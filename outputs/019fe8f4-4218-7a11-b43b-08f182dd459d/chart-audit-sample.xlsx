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metry" state="visible" r:id="rId4"/>
    <sheet sheetId="2" name="Materials" state="visible" r:id="rId5"/>
    <sheet sheetId="3" name="Mesh" state="visible" r:id="rId6"/>
    <sheet sheetId="4" name="Result" state="visible" r:id="rId7"/>
  </sheets>
  <definedNames>
    <definedName name="Origin_X">Geometry!$C$6</definedName>
    <definedName name="Origin_Y">Geometry!$C$7</definedName>
    <definedName name="Boundary_X">Geometry!$F$13:$F$36</definedName>
    <definedName name="Boundary_Y">Geometry!$G$13:$G$36</definedName>
    <definedName name="C_fck">Materials!$C$10</definedName>
    <definedName name="C_alpha">Materials!$C$12</definedName>
    <definedName name="C_eco">Materials!$C$13</definedName>
    <definedName name="C_n">Materials!$C$14</definedName>
    <definedName name="C_ecu">Materials!$C$15</definedName>
    <definedName name="S_1_fy">Materials!$D$20</definedName>
    <definedName name="S_1_Es">Materials!$E$20</definedName>
    <definedName name="Mesh_X">Mesh!$B$6:$B$425</definedName>
    <definedName name="Mesh_Y">Mesh!$C$6:$C$425</definedName>
    <definedName name="Mesh_A">Mesh!$D$6:$D$425</definedName>
  </definedNames>
  <calcPr calcId="171027" fullCalcOnLoad="1"/>
</workbook>
</file>

<file path=xl/sharedStrings.xml><?xml version="1.0" encoding="utf-8"?>
<sst xmlns="http://schemas.openxmlformats.org/spreadsheetml/2006/main" count="414" uniqueCount="244">
  <si>
    <t>PROJECT GEOMETRY AND LOAD INPUTS</t>
  </si>
  <si>
    <t>Legend</t>
  </si>
  <si>
    <t>Editable calculation input</t>
  </si>
  <si>
    <t>Formula</t>
  </si>
  <si>
    <t>Generated / check</t>
  </si>
  <si>
    <t>Requires re-export / remesh</t>
  </si>
  <si>
    <t>Project</t>
  </si>
  <si>
    <t>PM-advanced (7) 2D reference case</t>
  </si>
  <si>
    <t>Client</t>
  </si>
  <si>
    <t>Engineering review client</t>
  </si>
  <si>
    <t>Section</t>
  </si>
  <si>
    <t>PM-advanced (7) 2D — 1500x1200 chamfered section, two voids</t>
  </si>
  <si>
    <t>Company</t>
  </si>
  <si>
    <t>Audit engineering</t>
  </si>
  <si>
    <t>Calculation profile</t>
  </si>
  <si>
    <t>strain-domain-surface-v1</t>
  </si>
  <si>
    <t>Designed by</t>
  </si>
  <si>
    <t>Engineering example</t>
  </si>
  <si>
    <t>Analysis origin X</t>
  </si>
  <si>
    <t>mm</t>
  </si>
  <si>
    <t>Checked by</t>
  </si>
  <si>
    <t>Independent review</t>
  </si>
  <si>
    <t>Analysis origin Y</t>
  </si>
  <si>
    <t>Address</t>
  </si>
  <si>
    <t>Seoul, Korea</t>
  </si>
  <si>
    <t>Date</t>
  </si>
  <si>
    <t>2026-07-23</t>
  </si>
  <si>
    <t>Ring ID</t>
  </si>
  <si>
    <t>Boundary</t>
  </si>
  <si>
    <t>Point order</t>
  </si>
  <si>
    <t>X input (mm)</t>
  </si>
  <si>
    <t>Y input (mm)</t>
  </si>
  <si>
    <t>x local (mm)</t>
  </si>
  <si>
    <t>y local (mm)</t>
  </si>
  <si>
    <t>R1-OUTER</t>
  </si>
  <si>
    <t>Outer</t>
  </si>
  <si>
    <t>R1-H1</t>
  </si>
  <si>
    <t>Hole</t>
  </si>
  <si>
    <t>R1-H2</t>
  </si>
  <si>
    <t>Reinforcement</t>
  </si>
  <si>
    <t>No.</t>
  </si>
  <si>
    <t>Rebar ID</t>
  </si>
  <si>
    <t>Diameter (mm)</t>
  </si>
  <si>
    <t>X world (mm)</t>
  </si>
  <si>
    <t>Y world (mm)</t>
  </si>
  <si>
    <t>X local (mm)</t>
  </si>
  <si>
    <t>Y local (mm)</t>
  </si>
  <si>
    <t>Area (mm²)</t>
  </si>
  <si>
    <t>Steel material ID</t>
  </si>
  <si>
    <t>Project load cases</t>
  </si>
  <si>
    <t>ID</t>
  </si>
  <si>
    <t>Name</t>
  </si>
  <si>
    <t>P (kN)</t>
  </si>
  <si>
    <t>Mx (kN·m)</t>
  </si>
  <si>
    <t>My (kN·m)</t>
  </si>
  <si>
    <t>Action basis</t>
  </si>
  <si>
    <t>ULS-1 workbook Newton demand (on the 15 deg surface)</t>
  </si>
  <si>
    <t>factoredULS</t>
  </si>
  <si>
    <t>ULS-2 same axial, half moment (inside)</t>
  </si>
  <si>
    <t>ULS-3 low axial, high moment</t>
  </si>
  <si>
    <t>MATERIALS AND RESISTANCE BASIS</t>
  </si>
  <si>
    <t>Active result stage</t>
  </si>
  <si>
    <t>Design resistance</t>
  </si>
  <si>
    <t>KDS 2024 current set · resistance: KDS 14 20 10:2021 + KDS 14 20 20:2022</t>
  </si>
  <si>
    <t>Concrete</t>
  </si>
  <si>
    <t>Symbol</t>
  </si>
  <si>
    <t>Parameter</t>
  </si>
  <si>
    <t>Value</t>
  </si>
  <si>
    <t>Unit</t>
  </si>
  <si>
    <t>Basis / use in calculation</t>
  </si>
  <si>
    <t>Material</t>
  </si>
  <si>
    <t>KDS C30 (workbook Input)</t>
  </si>
  <si>
    <t>Standard</t>
  </si>
  <si>
    <t>KDS</t>
  </si>
  <si>
    <t>Stress–strain law</t>
  </si>
  <si>
    <t>kds-parabolic</t>
  </si>
  <si>
    <t>f′c / fck</t>
  </si>
  <si>
    <t>Specified concrete compressive strength</t>
  </si>
  <si>
    <t>MPa</t>
  </si>
  <si>
    <t>Strength used by the active material law</t>
  </si>
  <si>
    <t>Eᴄ</t>
  </si>
  <si>
    <t>Elastic modulus</t>
  </si>
  <si>
    <t>Concrete elastic modulus reported by the selected standard</t>
  </si>
  <si>
    <t>α</t>
  </si>
  <si>
    <t>Concrete stress coefficient</t>
  </si>
  <si>
    <t>–</t>
  </si>
  <si>
    <t>Multiplier applied to the concrete compression stress</t>
  </si>
  <si>
    <t>εc0</t>
  </si>
  <si>
    <t>Peak / plateau strain</t>
  </si>
  <si>
    <t>End of the parabolic branch</t>
  </si>
  <si>
    <t>n</t>
  </si>
  <si>
    <t>Parabola exponent</t>
  </si>
  <si>
    <t>Exponent of the concrete stress–strain curve</t>
  </si>
  <si>
    <t>εcu</t>
  </si>
  <si>
    <t>Ultimate compression strain</t>
  </si>
  <si>
    <t>Compression strain used at the neutral-axis boundary state</t>
  </si>
  <si>
    <t>Calculation law</t>
  </si>
  <si>
    <t>KDS parabola-rectangle: fc = α·fck·(1−(1−ε/εco)^n) up to εco, then α·fck</t>
  </si>
  <si>
    <t>Reinforcing steel</t>
  </si>
  <si>
    <t>fy (MPa)</t>
  </si>
  <si>
    <t>Eₛ (MPa)</t>
  </si>
  <si>
    <t>εy</t>
  </si>
  <si>
    <t>εu</t>
  </si>
  <si>
    <t>SD400 (workbook Input)</t>
  </si>
  <si>
    <t>elastic-perfectly-plastic</t>
  </si>
  <si>
    <t>Resistance basis</t>
  </si>
  <si>
    <t>Symbol / setting</t>
  </si>
  <si>
    <t>Code basis / note</t>
  </si>
  <si>
    <t>Resistance format</t>
  </si>
  <si>
    <t>globalResultantFactor</t>
  </si>
  <si>
    <t>design</t>
  </si>
  <si>
    <t>Profile</t>
  </si>
  <si>
    <t>kds-2024-current-set</t>
  </si>
  <si>
    <t>Transverse reinforcement</t>
  </si>
  <si>
    <t>other</t>
  </si>
  <si>
    <t>φc</t>
  </si>
  <si>
    <t>Compression-controlled strength factor</t>
  </si>
  <si>
    <t>φt</t>
  </si>
  <si>
    <t>Tension-controlled strength factor</t>
  </si>
  <si>
    <t>Pmax</t>
  </si>
  <si>
    <t>Axial compression limit enabled</t>
  </si>
  <si>
    <t>Yes</t>
  </si>
  <si>
    <t>Pmax/P0</t>
  </si>
  <si>
    <t>Axial compression limit ratio</t>
  </si>
  <si>
    <t>εt</t>
  </si>
  <si>
    <t>Tension-controlled transition rule</t>
  </si>
  <si>
    <t>fixed 0.005; high-strength 2.5·εy</t>
  </si>
  <si>
    <t>Blue text marks editable values that drive formulas. Orange text marks settings that require re-export because they change the generated surface or mesh.</t>
  </si>
  <si>
    <t>CONCRETE INTEGRATION MESH</t>
  </si>
  <si>
    <t>X and Y are measured from the analysis origin. Area is the quadrature weight used directly by Result SUMPRODUCT formulas.</t>
  </si>
  <si>
    <t>Cell size (mm)</t>
  </si>
  <si>
    <t>Points</t>
  </si>
  <si>
    <t>Area error</t>
  </si>
  <si>
    <t>Component</t>
  </si>
  <si>
    <t>FORMULA-DRIVEN CHART AUDIT</t>
  </si>
  <si>
    <t>Displayed values are formulas. Each resolved station criterion determines ε₀, κx and κy; the section result is then integrated from Materials and Mesh.</t>
  </si>
  <si>
    <t>Chart source</t>
  </si>
  <si>
    <t>Vertical</t>
  </si>
  <si>
    <t>Resistance stage</t>
  </si>
  <si>
    <t>Selected beta (deg)</t>
  </si>
  <si>
    <t>#</t>
  </si>
  <si>
    <t>Resolved criterion</t>
  </si>
  <si>
    <t>M (kN·m)</t>
  </si>
  <si>
    <t>Source key</t>
  </si>
  <si>
    <t>Station / role</t>
  </si>
  <si>
    <t>β (deg)</t>
  </si>
  <si>
    <t>Criterion basis</t>
  </si>
  <si>
    <t>Criterion value</t>
  </si>
  <si>
    <t>zc (mm)</t>
  </si>
  <si>
    <t>z control (mm)</t>
  </si>
  <si>
    <t>D (mm)</t>
  </si>
  <si>
    <t>εc</t>
  </si>
  <si>
    <t>ε control</t>
  </si>
  <si>
    <t>κ (1/mm)</t>
  </si>
  <si>
    <t>ε₀</t>
  </si>
  <si>
    <t>κx (1/mm)</t>
  </si>
  <si>
    <t>κy (1/mm)</t>
  </si>
  <si>
    <t>Concrete P</t>
  </si>
  <si>
    <t>Concrete Mx</t>
  </si>
  <si>
    <t>Concrete My</t>
  </si>
  <si>
    <t>Steel P</t>
  </si>
  <si>
    <t>Steel Mx</t>
  </si>
  <si>
    <t>Steel My</t>
  </si>
  <si>
    <t>Base P</t>
  </si>
  <si>
    <t>Base Mx</t>
  </si>
  <si>
    <t>Base My</t>
  </si>
  <si>
    <t>P scale</t>
  </si>
  <si>
    <t>M scale</t>
  </si>
  <si>
    <t>Final P</t>
  </si>
  <si>
    <t>Final Mx</t>
  </si>
  <si>
    <t>Final My</t>
  </si>
  <si>
    <t>Engine P</t>
  </si>
  <si>
    <t>Engine Mx</t>
  </si>
  <si>
    <t>Engine My</t>
  </si>
  <si>
    <t>ΔP</t>
  </si>
  <si>
    <t>ΔM</t>
  </si>
  <si>
    <t>Calculation mode</t>
  </si>
  <si>
    <t>Base engine P</t>
  </si>
  <si>
    <t>Base engine Mx</t>
  </si>
  <si>
    <t>Base engine My</t>
  </si>
  <si>
    <t>Concrete engine P</t>
  </si>
  <si>
    <t>Concrete engine Mx</t>
  </si>
  <si>
    <t>Concrete engine My</t>
  </si>
  <si>
    <t>Steel engine P</t>
  </si>
  <si>
    <t>Steel engine Mx</t>
  </si>
  <si>
    <t>Steel engine My</t>
  </si>
  <si>
    <t>Pure compression</t>
  </si>
  <si>
    <t>10-pure-compression|0.17453292519943295|0</t>
  </si>
  <si>
    <t>ε = constant</t>
  </si>
  <si>
    <t>mesh formula</t>
  </si>
  <si>
    <t>c/D = 3</t>
  </si>
  <si>
    <t>10-station-1|0.17453292519943295|1</t>
  </si>
  <si>
    <t>c/D</t>
  </si>
  <si>
    <t>c/D = 2</t>
  </si>
  <si>
    <t>10-station-2|0.17453292519943295|2</t>
  </si>
  <si>
    <t>c/D = 1.5</t>
  </si>
  <si>
    <t>10-station-3|0.17453292519943295|3</t>
  </si>
  <si>
    <t>c/D = 1.2</t>
  </si>
  <si>
    <t>10-station-4|0.17453292519943295|4</t>
  </si>
  <si>
    <t>c/D = 1.1</t>
  </si>
  <si>
    <t>10-station-5|0.17453292519943295|5</t>
  </si>
  <si>
    <t>c/D = 1</t>
  </si>
  <si>
    <t>10-station-6|0.17453292519943295|6</t>
  </si>
  <si>
    <t>εₛ/εy = 0</t>
  </si>
  <si>
    <t>10-station-7|0.17453292519943295|7</t>
  </si>
  <si>
    <t>εₛ/εy</t>
  </si>
  <si>
    <t>εₛ/εy = 0.25</t>
  </si>
  <si>
    <t>10-station-8|0.17453292519943295|8</t>
  </si>
  <si>
    <t>εₛ/εy = 0.375</t>
  </si>
  <si>
    <t>10-station-9|0.17453292519943295|9</t>
  </si>
  <si>
    <t>εₛ/εy = 0.5</t>
  </si>
  <si>
    <t>10-station-10|0.17453292519943295|10</t>
  </si>
  <si>
    <t>εₛ/εy = 0.625</t>
  </si>
  <si>
    <t>10-station-11|0.17453292519943295|11</t>
  </si>
  <si>
    <t>εₛ/εy = 0.75</t>
  </si>
  <si>
    <t>10-station-12|0.17453292519943295|12</t>
  </si>
  <si>
    <t>εₛ/εy = 0.875</t>
  </si>
  <si>
    <t>10-station-13|0.17453292519943295|13</t>
  </si>
  <si>
    <t>εₛ/εy = 1</t>
  </si>
  <si>
    <t>10-station-14|0.17453292519943295|14</t>
  </si>
  <si>
    <t>εₛ/εy = 1.25</t>
  </si>
  <si>
    <t>10-station-15|0.17453292519943295|15</t>
  </si>
  <si>
    <t>εₛ/εy = 1.5</t>
  </si>
  <si>
    <t>10-station-16|0.17453292519943295|16</t>
  </si>
  <si>
    <t>εₛ/εy = 1.75</t>
  </si>
  <si>
    <t>10-station-17|0.17453292519943295|17</t>
  </si>
  <si>
    <t>εₛ/εy = 2</t>
  </si>
  <si>
    <t>10-station-18|0.17453292519943295|18</t>
  </si>
  <si>
    <t>εₛ/εy = 2.5</t>
  </si>
  <si>
    <t>10-station-19|0.17453292519943295|19</t>
  </si>
  <si>
    <t>εₛ/εy = 3</t>
  </si>
  <si>
    <t>10-station-20|0.17453292519943295|20</t>
  </si>
  <si>
    <t>εₛ/εy = 4</t>
  </si>
  <si>
    <t>10-station-21|0.17453292519943295|21</t>
  </si>
  <si>
    <t>εₛ/εy = 5</t>
  </si>
  <si>
    <t>10-station-22|0.17453292519943295|22</t>
  </si>
  <si>
    <t>εₛ/εy = 7.5</t>
  </si>
  <si>
    <t>10-station-23|0.17453292519943295|23</t>
  </si>
  <si>
    <t>εₛ/εy = 10</t>
  </si>
  <si>
    <t>10-station-24|0.17453292519943295|24</t>
  </si>
  <si>
    <t>εₛ/εy = 20</t>
  </si>
  <si>
    <t>10-station-25|0.17453292519943295|25</t>
  </si>
  <si>
    <t>Pure tension</t>
  </si>
  <si>
    <t>0-pure-tension|0|26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</si>
</sst>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"/>
    <numFmt numFmtId="165" formatCode="0.000000"/>
    <numFmt numFmtId="166" formatCode="#,##0.0"/>
    <numFmt numFmtId="167" formatCode="0.000000000"/>
  </numFmts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475569"/>
      <sz val="9"/>
    </font>
    <font>
      <color rgb="FF0070C0"/>
      <sz val="9"/>
    </font>
    <font>
      <color rgb="FF008000"/>
      <sz val="9"/>
    </font>
    <font>
      <color rgb="FF64748B"/>
      <sz val="9"/>
    </font>
    <font>
      <color rgb="FFC65911"/>
      <sz val="9"/>
    </font>
    <font>
      <color rgb="FF64748B"/>
    </font>
    <font>
      <b/>
      <color rgb="FF1F2937"/>
      <sz val="10"/>
    </font>
    <font>
      <color rgb="FFC65911"/>
    </font>
    <font>
      <color rgb="FF008000"/>
    </font>
    <font>
      <b/>
      <color rgb="FF1F3864"/>
      <sz val="11"/>
    </font>
    <font>
      <color rgb="FF0070C0"/>
    </font>
    <font>
      <i/>
      <color rgb="FF6B7280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D6E4F5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94A3B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/>
    <xf numFmtId="164" fontId="10" fillId="0" borderId="0" xfId="0" applyNumberFormat="1" applyFont="1"/>
    <xf numFmtId="0" fontId="11" fillId="4" borderId="0" xfId="0" applyFont="1" applyFill="1"/>
    <xf numFmtId="0" fontId="12" fillId="0" borderId="0" xfId="0" applyFont="1"/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165" fontId="10" fillId="0" borderId="0" xfId="0" applyNumberFormat="1" applyFont="1"/>
    <xf numFmtId="0" fontId="13" fillId="0" borderId="0" xfId="0" applyFont="1"/>
    <xf numFmtId="0" fontId="0" fillId="5" borderId="0" xfId="0" applyFill="1"/>
    <xf numFmtId="166" fontId="10" fillId="5" borderId="0" xfId="0" applyNumberFormat="1" applyFont="1" applyFill="1"/>
    <xf numFmtId="4" fontId="10" fillId="5" borderId="0" xfId="0" applyNumberFormat="1" applyFont="1" applyFill="1"/>
    <xf numFmtId="167" fontId="10" fillId="0" borderId="0" xfId="0" applyNumberFormat="1" applyFont="1"/>
    <xf numFmtId="166" fontId="10" fillId="0" borderId="0" xfId="0" applyNumberFormat="1" applyFont="1"/>
    <xf numFmtId="4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J65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14" customWidth="1"/>
    <col min="4" max="7" width="16" customWidth="1"/>
    <col min="8" max="8" width="15" customWidth="1"/>
    <col min="9" max="9" width="18" customWidth="1"/>
  </cols>
  <sheetData>
    <row r="1" ht="2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4" customHeight="1" spans="1:5" x14ac:dyDescent="0.25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</row>
    <row r="3" spans="2:7" x14ac:dyDescent="0.25">
      <c r="B3" t="s">
        <v>6</v>
      </c>
      <c r="C3" s="7" t="s">
        <v>7</v>
      </c>
      <c r="F3" t="s">
        <v>8</v>
      </c>
      <c r="G3" s="7" t="s">
        <v>9</v>
      </c>
    </row>
    <row r="4" spans="2:7" x14ac:dyDescent="0.25">
      <c r="B4" t="s">
        <v>10</v>
      </c>
      <c r="C4" s="7" t="s">
        <v>11</v>
      </c>
      <c r="F4" t="s">
        <v>12</v>
      </c>
      <c r="G4" s="7" t="s">
        <v>13</v>
      </c>
    </row>
    <row r="5" spans="2:7" x14ac:dyDescent="0.25">
      <c r="B5" t="s">
        <v>14</v>
      </c>
      <c r="C5" s="7" t="s">
        <v>15</v>
      </c>
      <c r="F5" t="s">
        <v>16</v>
      </c>
      <c r="G5" s="7" t="s">
        <v>17</v>
      </c>
    </row>
    <row r="6" spans="2:7" x14ac:dyDescent="0.25">
      <c r="B6" t="s">
        <v>18</v>
      </c>
      <c r="C6" s="7">
        <v>0</v>
      </c>
      <c r="D6" t="s">
        <v>19</v>
      </c>
      <c r="F6" t="s">
        <v>20</v>
      </c>
      <c r="G6" s="7" t="s">
        <v>21</v>
      </c>
    </row>
    <row r="7" spans="2:7" x14ac:dyDescent="0.25">
      <c r="B7" t="s">
        <v>22</v>
      </c>
      <c r="C7" s="7">
        <v>0</v>
      </c>
      <c r="D7" t="s">
        <v>19</v>
      </c>
      <c r="F7" t="s">
        <v>23</v>
      </c>
      <c r="G7" s="7" t="s">
        <v>24</v>
      </c>
    </row>
    <row r="8" spans="6:7" x14ac:dyDescent="0.25">
      <c r="F8" t="s">
        <v>25</v>
      </c>
      <c r="G8" s="7" t="s">
        <v>26</v>
      </c>
    </row>
    <row r="12" ht="28" customHeight="1" spans="1:7" x14ac:dyDescent="0.25">
      <c r="A12" s="8" t="s">
        <v>27</v>
      </c>
      <c r="B12" s="8" t="s">
        <v>28</v>
      </c>
      <c r="C12" s="8" t="s">
        <v>29</v>
      </c>
      <c r="D12" s="8" t="s">
        <v>30</v>
      </c>
      <c r="E12" s="8" t="s">
        <v>31</v>
      </c>
      <c r="F12" s="8" t="s">
        <v>32</v>
      </c>
      <c r="G12" s="8" t="s">
        <v>33</v>
      </c>
    </row>
    <row r="13" spans="1:7" x14ac:dyDescent="0.25">
      <c r="A13" t="s">
        <v>34</v>
      </c>
      <c r="B13" t="s">
        <v>35</v>
      </c>
      <c r="C13">
        <v>1</v>
      </c>
      <c r="D13" s="9">
        <v>-550</v>
      </c>
      <c r="E13" s="9">
        <v>600</v>
      </c>
      <c r="F13" s="10">
        <f>D13-Origin_X</f>
        <v>-550</v>
      </c>
      <c r="G13" s="10">
        <f>E13-Origin_Y</f>
        <v>600</v>
      </c>
    </row>
    <row r="14" spans="1:7" x14ac:dyDescent="0.25">
      <c r="A14" t="s">
        <v>34</v>
      </c>
      <c r="B14" t="s">
        <v>35</v>
      </c>
      <c r="C14">
        <v>2</v>
      </c>
      <c r="D14" s="9">
        <v>550</v>
      </c>
      <c r="E14" s="9">
        <v>600</v>
      </c>
      <c r="F14" s="10">
        <f>D14-Origin_X</f>
        <v>550</v>
      </c>
      <c r="G14" s="10">
        <f>E14-Origin_Y</f>
        <v>600</v>
      </c>
    </row>
    <row r="15" spans="1:7" x14ac:dyDescent="0.25">
      <c r="A15" t="s">
        <v>34</v>
      </c>
      <c r="B15" t="s">
        <v>35</v>
      </c>
      <c r="C15">
        <v>3</v>
      </c>
      <c r="D15" s="9">
        <v>750</v>
      </c>
      <c r="E15" s="9">
        <v>400</v>
      </c>
      <c r="F15" s="10">
        <f>D15-Origin_X</f>
        <v>750</v>
      </c>
      <c r="G15" s="10">
        <f>E15-Origin_Y</f>
        <v>400</v>
      </c>
    </row>
    <row r="16" spans="1:7" x14ac:dyDescent="0.25">
      <c r="A16" t="s">
        <v>34</v>
      </c>
      <c r="B16" t="s">
        <v>35</v>
      </c>
      <c r="C16">
        <v>4</v>
      </c>
      <c r="D16" s="9">
        <v>750</v>
      </c>
      <c r="E16" s="9">
        <v>-400</v>
      </c>
      <c r="F16" s="10">
        <f>D16-Origin_X</f>
        <v>750</v>
      </c>
      <c r="G16" s="10">
        <f>E16-Origin_Y</f>
        <v>-400</v>
      </c>
    </row>
    <row r="17" spans="1:7" x14ac:dyDescent="0.25">
      <c r="A17" t="s">
        <v>34</v>
      </c>
      <c r="B17" t="s">
        <v>35</v>
      </c>
      <c r="C17">
        <v>5</v>
      </c>
      <c r="D17" s="9">
        <v>550</v>
      </c>
      <c r="E17" s="9">
        <v>-600</v>
      </c>
      <c r="F17" s="10">
        <f>D17-Origin_X</f>
        <v>550</v>
      </c>
      <c r="G17" s="10">
        <f>E17-Origin_Y</f>
        <v>-600</v>
      </c>
    </row>
    <row r="18" spans="1:7" x14ac:dyDescent="0.25">
      <c r="A18" t="s">
        <v>34</v>
      </c>
      <c r="B18" t="s">
        <v>35</v>
      </c>
      <c r="C18">
        <v>6</v>
      </c>
      <c r="D18" s="9">
        <v>-550</v>
      </c>
      <c r="E18" s="9">
        <v>-600</v>
      </c>
      <c r="F18" s="10">
        <f>D18-Origin_X</f>
        <v>-550</v>
      </c>
      <c r="G18" s="10">
        <f>E18-Origin_Y</f>
        <v>-600</v>
      </c>
    </row>
    <row r="19" spans="1:7" x14ac:dyDescent="0.25">
      <c r="A19" t="s">
        <v>34</v>
      </c>
      <c r="B19" t="s">
        <v>35</v>
      </c>
      <c r="C19">
        <v>7</v>
      </c>
      <c r="D19" s="9">
        <v>-750</v>
      </c>
      <c r="E19" s="9">
        <v>-400</v>
      </c>
      <c r="F19" s="10">
        <f>D19-Origin_X</f>
        <v>-750</v>
      </c>
      <c r="G19" s="10">
        <f>E19-Origin_Y</f>
        <v>-400</v>
      </c>
    </row>
    <row r="20" spans="1:7" x14ac:dyDescent="0.25">
      <c r="A20" t="s">
        <v>34</v>
      </c>
      <c r="B20" t="s">
        <v>35</v>
      </c>
      <c r="C20">
        <v>8</v>
      </c>
      <c r="D20" s="9">
        <v>-750</v>
      </c>
      <c r="E20" s="9">
        <v>400</v>
      </c>
      <c r="F20" s="10">
        <f>D20-Origin_X</f>
        <v>-750</v>
      </c>
      <c r="G20" s="10">
        <f>E20-Origin_Y</f>
        <v>400</v>
      </c>
    </row>
    <row r="21" spans="1:7" x14ac:dyDescent="0.25">
      <c r="A21" t="s">
        <v>36</v>
      </c>
      <c r="B21" t="s">
        <v>37</v>
      </c>
      <c r="C21">
        <v>1</v>
      </c>
      <c r="D21" s="9">
        <v>-450</v>
      </c>
      <c r="E21" s="9">
        <v>400</v>
      </c>
      <c r="F21" s="10">
        <f>D21-Origin_X</f>
        <v>-450</v>
      </c>
      <c r="G21" s="10">
        <f>E21-Origin_Y</f>
        <v>400</v>
      </c>
    </row>
    <row r="22" spans="1:7" x14ac:dyDescent="0.25">
      <c r="A22" t="s">
        <v>36</v>
      </c>
      <c r="B22" t="s">
        <v>37</v>
      </c>
      <c r="C22">
        <v>2</v>
      </c>
      <c r="D22" s="9">
        <v>-250</v>
      </c>
      <c r="E22" s="9">
        <v>400</v>
      </c>
      <c r="F22" s="10">
        <f>D22-Origin_X</f>
        <v>-250</v>
      </c>
      <c r="G22" s="10">
        <f>E22-Origin_Y</f>
        <v>400</v>
      </c>
    </row>
    <row r="23" spans="1:7" x14ac:dyDescent="0.25">
      <c r="A23" t="s">
        <v>36</v>
      </c>
      <c r="B23" t="s">
        <v>37</v>
      </c>
      <c r="C23">
        <v>3</v>
      </c>
      <c r="D23" s="9">
        <v>-150</v>
      </c>
      <c r="E23" s="9">
        <v>300</v>
      </c>
      <c r="F23" s="10">
        <f>D23-Origin_X</f>
        <v>-150</v>
      </c>
      <c r="G23" s="10">
        <f>E23-Origin_Y</f>
        <v>300</v>
      </c>
    </row>
    <row r="24" spans="1:7" x14ac:dyDescent="0.25">
      <c r="A24" t="s">
        <v>36</v>
      </c>
      <c r="B24" t="s">
        <v>37</v>
      </c>
      <c r="C24">
        <v>4</v>
      </c>
      <c r="D24" s="9">
        <v>-150</v>
      </c>
      <c r="E24" s="9">
        <v>-300</v>
      </c>
      <c r="F24" s="10">
        <f>D24-Origin_X</f>
        <v>-150</v>
      </c>
      <c r="G24" s="10">
        <f>E24-Origin_Y</f>
        <v>-300</v>
      </c>
    </row>
    <row r="25" spans="1:7" x14ac:dyDescent="0.25">
      <c r="A25" t="s">
        <v>36</v>
      </c>
      <c r="B25" t="s">
        <v>37</v>
      </c>
      <c r="C25">
        <v>5</v>
      </c>
      <c r="D25" s="9">
        <v>-250</v>
      </c>
      <c r="E25" s="9">
        <v>-400</v>
      </c>
      <c r="F25" s="10">
        <f>D25-Origin_X</f>
        <v>-250</v>
      </c>
      <c r="G25" s="10">
        <f>E25-Origin_Y</f>
        <v>-400</v>
      </c>
    </row>
    <row r="26" spans="1:7" x14ac:dyDescent="0.25">
      <c r="A26" t="s">
        <v>36</v>
      </c>
      <c r="B26" t="s">
        <v>37</v>
      </c>
      <c r="C26">
        <v>6</v>
      </c>
      <c r="D26" s="9">
        <v>-450</v>
      </c>
      <c r="E26" s="9">
        <v>-400</v>
      </c>
      <c r="F26" s="10">
        <f>D26-Origin_X</f>
        <v>-450</v>
      </c>
      <c r="G26" s="10">
        <f>E26-Origin_Y</f>
        <v>-400</v>
      </c>
    </row>
    <row r="27" spans="1:7" x14ac:dyDescent="0.25">
      <c r="A27" t="s">
        <v>36</v>
      </c>
      <c r="B27" t="s">
        <v>37</v>
      </c>
      <c r="C27">
        <v>7</v>
      </c>
      <c r="D27" s="9">
        <v>-550</v>
      </c>
      <c r="E27" s="9">
        <v>-300</v>
      </c>
      <c r="F27" s="10">
        <f>D27-Origin_X</f>
        <v>-550</v>
      </c>
      <c r="G27" s="10">
        <f>E27-Origin_Y</f>
        <v>-300</v>
      </c>
    </row>
    <row r="28" spans="1:7" x14ac:dyDescent="0.25">
      <c r="A28" t="s">
        <v>36</v>
      </c>
      <c r="B28" t="s">
        <v>37</v>
      </c>
      <c r="C28">
        <v>8</v>
      </c>
      <c r="D28" s="9">
        <v>-550</v>
      </c>
      <c r="E28" s="9">
        <v>300</v>
      </c>
      <c r="F28" s="10">
        <f>D28-Origin_X</f>
        <v>-550</v>
      </c>
      <c r="G28" s="10">
        <f>E28-Origin_Y</f>
        <v>300</v>
      </c>
    </row>
    <row r="29" spans="1:7" x14ac:dyDescent="0.25">
      <c r="A29" t="s">
        <v>38</v>
      </c>
      <c r="B29" t="s">
        <v>37</v>
      </c>
      <c r="C29">
        <v>1</v>
      </c>
      <c r="D29" s="9">
        <v>250</v>
      </c>
      <c r="E29" s="9">
        <v>400</v>
      </c>
      <c r="F29" s="10">
        <f>D29-Origin_X</f>
        <v>250</v>
      </c>
      <c r="G29" s="10">
        <f>E29-Origin_Y</f>
        <v>400</v>
      </c>
    </row>
    <row r="30" spans="1:7" x14ac:dyDescent="0.25">
      <c r="A30" t="s">
        <v>38</v>
      </c>
      <c r="B30" t="s">
        <v>37</v>
      </c>
      <c r="C30">
        <v>2</v>
      </c>
      <c r="D30" s="9">
        <v>450</v>
      </c>
      <c r="E30" s="9">
        <v>400</v>
      </c>
      <c r="F30" s="10">
        <f>D30-Origin_X</f>
        <v>450</v>
      </c>
      <c r="G30" s="10">
        <f>E30-Origin_Y</f>
        <v>400</v>
      </c>
    </row>
    <row r="31" spans="1:7" x14ac:dyDescent="0.25">
      <c r="A31" t="s">
        <v>38</v>
      </c>
      <c r="B31" t="s">
        <v>37</v>
      </c>
      <c r="C31">
        <v>3</v>
      </c>
      <c r="D31" s="9">
        <v>550</v>
      </c>
      <c r="E31" s="9">
        <v>300</v>
      </c>
      <c r="F31" s="10">
        <f>D31-Origin_X</f>
        <v>550</v>
      </c>
      <c r="G31" s="10">
        <f>E31-Origin_Y</f>
        <v>300</v>
      </c>
    </row>
    <row r="32" spans="1:7" x14ac:dyDescent="0.25">
      <c r="A32" t="s">
        <v>38</v>
      </c>
      <c r="B32" t="s">
        <v>37</v>
      </c>
      <c r="C32">
        <v>4</v>
      </c>
      <c r="D32" s="9">
        <v>550</v>
      </c>
      <c r="E32" s="9">
        <v>-300</v>
      </c>
      <c r="F32" s="10">
        <f>D32-Origin_X</f>
        <v>550</v>
      </c>
      <c r="G32" s="10">
        <f>E32-Origin_Y</f>
        <v>-300</v>
      </c>
    </row>
    <row r="33" spans="1:7" x14ac:dyDescent="0.25">
      <c r="A33" t="s">
        <v>38</v>
      </c>
      <c r="B33" t="s">
        <v>37</v>
      </c>
      <c r="C33">
        <v>5</v>
      </c>
      <c r="D33" s="9">
        <v>450</v>
      </c>
      <c r="E33" s="9">
        <v>-400</v>
      </c>
      <c r="F33" s="10">
        <f>D33-Origin_X</f>
        <v>450</v>
      </c>
      <c r="G33" s="10">
        <f>E33-Origin_Y</f>
        <v>-400</v>
      </c>
    </row>
    <row r="34" spans="1:7" x14ac:dyDescent="0.25">
      <c r="A34" t="s">
        <v>38</v>
      </c>
      <c r="B34" t="s">
        <v>37</v>
      </c>
      <c r="C34">
        <v>6</v>
      </c>
      <c r="D34" s="9">
        <v>250</v>
      </c>
      <c r="E34" s="9">
        <v>-400</v>
      </c>
      <c r="F34" s="10">
        <f>D34-Origin_X</f>
        <v>250</v>
      </c>
      <c r="G34" s="10">
        <f>E34-Origin_Y</f>
        <v>-400</v>
      </c>
    </row>
    <row r="35" spans="1:7" x14ac:dyDescent="0.25">
      <c r="A35" t="s">
        <v>38</v>
      </c>
      <c r="B35" t="s">
        <v>37</v>
      </c>
      <c r="C35">
        <v>7</v>
      </c>
      <c r="D35" s="9">
        <v>150</v>
      </c>
      <c r="E35" s="9">
        <v>-300</v>
      </c>
      <c r="F35" s="10">
        <f>D35-Origin_X</f>
        <v>150</v>
      </c>
      <c r="G35" s="10">
        <f>E35-Origin_Y</f>
        <v>-300</v>
      </c>
    </row>
    <row r="36" spans="1:7" x14ac:dyDescent="0.25">
      <c r="A36" t="s">
        <v>38</v>
      </c>
      <c r="B36" t="s">
        <v>37</v>
      </c>
      <c r="C36">
        <v>8</v>
      </c>
      <c r="D36" s="9">
        <v>150</v>
      </c>
      <c r="E36" s="9">
        <v>300</v>
      </c>
      <c r="F36" s="10">
        <f>D36-Origin_X</f>
        <v>150</v>
      </c>
      <c r="G36" s="10">
        <f>E36-Origin_Y</f>
        <v>300</v>
      </c>
    </row>
    <row r="38" spans="2:10" x14ac:dyDescent="0.25">
      <c r="B38" s="11" t="s">
        <v>39</v>
      </c>
      <c r="C38" s="11"/>
      <c r="D38" s="11"/>
      <c r="E38" s="11"/>
      <c r="F38" s="11"/>
      <c r="G38" s="11"/>
      <c r="H38" s="11"/>
      <c r="I38" s="11"/>
      <c r="J38" s="11"/>
    </row>
    <row r="39" ht="28" customHeight="1" spans="1:9" x14ac:dyDescent="0.25">
      <c r="A39" s="8" t="s">
        <v>40</v>
      </c>
      <c r="B39" s="8" t="s">
        <v>41</v>
      </c>
      <c r="C39" s="8" t="s">
        <v>42</v>
      </c>
      <c r="D39" s="8" t="s">
        <v>43</v>
      </c>
      <c r="E39" s="8" t="s">
        <v>44</v>
      </c>
      <c r="F39" s="8" t="s">
        <v>45</v>
      </c>
      <c r="G39" s="8" t="s">
        <v>46</v>
      </c>
      <c r="H39" s="8" t="s">
        <v>47</v>
      </c>
      <c r="I39" s="8" t="s">
        <v>48</v>
      </c>
    </row>
    <row r="40" spans="1:9" x14ac:dyDescent="0.25">
      <c r="A40">
        <v>1</v>
      </c>
      <c r="B40" s="7">
        <v>1</v>
      </c>
      <c r="C40" s="12">
        <v>32</v>
      </c>
      <c r="D40" s="12">
        <v>-400</v>
      </c>
      <c r="E40" s="12">
        <v>530</v>
      </c>
      <c r="F40" s="10">
        <f>D40-Origin_X</f>
        <v>-400</v>
      </c>
      <c r="G40" s="10">
        <f>E40-Origin_Y</f>
        <v>530</v>
      </c>
      <c r="H40" s="10">
        <f>PI()*C40^2/4</f>
        <v>804.247719318987</v>
      </c>
      <c r="I40" s="9">
        <v>1</v>
      </c>
    </row>
    <row r="41" spans="1:9" x14ac:dyDescent="0.25">
      <c r="A41">
        <v>2</v>
      </c>
      <c r="B41" s="7">
        <v>2</v>
      </c>
      <c r="C41" s="12">
        <v>32</v>
      </c>
      <c r="D41" s="12">
        <v>-200</v>
      </c>
      <c r="E41" s="12">
        <v>530</v>
      </c>
      <c r="F41" s="10">
        <f>D41-Origin_X</f>
        <v>-200</v>
      </c>
      <c r="G41" s="10">
        <f>E41-Origin_Y</f>
        <v>530</v>
      </c>
      <c r="H41" s="10">
        <f>PI()*C41^2/4</f>
        <v>804.247719318987</v>
      </c>
      <c r="I41" s="9">
        <v>1</v>
      </c>
    </row>
    <row r="42" spans="1:9" x14ac:dyDescent="0.25">
      <c r="A42">
        <v>3</v>
      </c>
      <c r="B42" s="7">
        <v>3</v>
      </c>
      <c r="C42" s="12">
        <v>32</v>
      </c>
      <c r="D42" s="12">
        <v>0</v>
      </c>
      <c r="E42" s="12">
        <v>530</v>
      </c>
      <c r="F42" s="10">
        <f>D42-Origin_X</f>
        <v>0</v>
      </c>
      <c r="G42" s="10">
        <f>E42-Origin_Y</f>
        <v>530</v>
      </c>
      <c r="H42" s="10">
        <f>PI()*C42^2/4</f>
        <v>804.247719318987</v>
      </c>
      <c r="I42" s="9">
        <v>1</v>
      </c>
    </row>
    <row r="43" spans="1:9" x14ac:dyDescent="0.25">
      <c r="A43">
        <v>4</v>
      </c>
      <c r="B43" s="7">
        <v>4</v>
      </c>
      <c r="C43" s="12">
        <v>32</v>
      </c>
      <c r="D43" s="12">
        <v>200</v>
      </c>
      <c r="E43" s="12">
        <v>530</v>
      </c>
      <c r="F43" s="10">
        <f>D43-Origin_X</f>
        <v>200</v>
      </c>
      <c r="G43" s="10">
        <f>E43-Origin_Y</f>
        <v>530</v>
      </c>
      <c r="H43" s="10">
        <f>PI()*C43^2/4</f>
        <v>804.247719318987</v>
      </c>
      <c r="I43" s="9">
        <v>1</v>
      </c>
    </row>
    <row r="44" spans="1:9" x14ac:dyDescent="0.25">
      <c r="A44">
        <v>5</v>
      </c>
      <c r="B44" s="7">
        <v>5</v>
      </c>
      <c r="C44" s="12">
        <v>32</v>
      </c>
      <c r="D44" s="12">
        <v>400</v>
      </c>
      <c r="E44" s="12">
        <v>530</v>
      </c>
      <c r="F44" s="10">
        <f>D44-Origin_X</f>
        <v>400</v>
      </c>
      <c r="G44" s="10">
        <f>E44-Origin_Y</f>
        <v>530</v>
      </c>
      <c r="H44" s="10">
        <f>PI()*C44^2/4</f>
        <v>804.247719318987</v>
      </c>
      <c r="I44" s="9">
        <v>1</v>
      </c>
    </row>
    <row r="45" spans="1:9" x14ac:dyDescent="0.25">
      <c r="A45">
        <v>6</v>
      </c>
      <c r="B45" s="7">
        <v>6</v>
      </c>
      <c r="C45" s="12">
        <v>32</v>
      </c>
      <c r="D45" s="12">
        <v>-400</v>
      </c>
      <c r="E45" s="12">
        <v>-530</v>
      </c>
      <c r="F45" s="10">
        <f>D45-Origin_X</f>
        <v>-400</v>
      </c>
      <c r="G45" s="10">
        <f>E45-Origin_Y</f>
        <v>-530</v>
      </c>
      <c r="H45" s="10">
        <f>PI()*C45^2/4</f>
        <v>804.247719318987</v>
      </c>
      <c r="I45" s="9">
        <v>1</v>
      </c>
    </row>
    <row r="46" spans="1:9" x14ac:dyDescent="0.25">
      <c r="A46">
        <v>7</v>
      </c>
      <c r="B46" s="7">
        <v>7</v>
      </c>
      <c r="C46" s="12">
        <v>32</v>
      </c>
      <c r="D46" s="12">
        <v>-200</v>
      </c>
      <c r="E46" s="12">
        <v>-530</v>
      </c>
      <c r="F46" s="10">
        <f>D46-Origin_X</f>
        <v>-200</v>
      </c>
      <c r="G46" s="10">
        <f>E46-Origin_Y</f>
        <v>-530</v>
      </c>
      <c r="H46" s="10">
        <f>PI()*C46^2/4</f>
        <v>804.247719318987</v>
      </c>
      <c r="I46" s="9">
        <v>1</v>
      </c>
    </row>
    <row r="47" spans="1:9" x14ac:dyDescent="0.25">
      <c r="A47">
        <v>8</v>
      </c>
      <c r="B47" s="7">
        <v>8</v>
      </c>
      <c r="C47" s="12">
        <v>32</v>
      </c>
      <c r="D47" s="12">
        <v>0</v>
      </c>
      <c r="E47" s="12">
        <v>-530</v>
      </c>
      <c r="F47" s="10">
        <f>D47-Origin_X</f>
        <v>0</v>
      </c>
      <c r="G47" s="10">
        <f>E47-Origin_Y</f>
        <v>-530</v>
      </c>
      <c r="H47" s="10">
        <f>PI()*C47^2/4</f>
        <v>804.247719318987</v>
      </c>
      <c r="I47" s="9">
        <v>1</v>
      </c>
    </row>
    <row r="48" spans="1:9" x14ac:dyDescent="0.25">
      <c r="A48">
        <v>9</v>
      </c>
      <c r="B48" s="7">
        <v>9</v>
      </c>
      <c r="C48" s="12">
        <v>32</v>
      </c>
      <c r="D48" s="12">
        <v>200</v>
      </c>
      <c r="E48" s="12">
        <v>-530</v>
      </c>
      <c r="F48" s="10">
        <f>D48-Origin_X</f>
        <v>200</v>
      </c>
      <c r="G48" s="10">
        <f>E48-Origin_Y</f>
        <v>-530</v>
      </c>
      <c r="H48" s="10">
        <f>PI()*C48^2/4</f>
        <v>804.247719318987</v>
      </c>
      <c r="I48" s="9">
        <v>1</v>
      </c>
    </row>
    <row r="49" spans="1:9" x14ac:dyDescent="0.25">
      <c r="A49">
        <v>10</v>
      </c>
      <c r="B49" s="7">
        <v>10</v>
      </c>
      <c r="C49" s="12">
        <v>32</v>
      </c>
      <c r="D49" s="12">
        <v>400</v>
      </c>
      <c r="E49" s="12">
        <v>-530</v>
      </c>
      <c r="F49" s="10">
        <f>D49-Origin_X</f>
        <v>400</v>
      </c>
      <c r="G49" s="10">
        <f>E49-Origin_Y</f>
        <v>-530</v>
      </c>
      <c r="H49" s="10">
        <f>PI()*C49^2/4</f>
        <v>804.247719318987</v>
      </c>
      <c r="I49" s="9">
        <v>1</v>
      </c>
    </row>
    <row r="50" spans="1:9" x14ac:dyDescent="0.25">
      <c r="A50">
        <v>11</v>
      </c>
      <c r="B50" s="7">
        <v>11</v>
      </c>
      <c r="C50" s="12">
        <v>32</v>
      </c>
      <c r="D50" s="12">
        <v>-680</v>
      </c>
      <c r="E50" s="12">
        <v>300</v>
      </c>
      <c r="F50" s="10">
        <f>D50-Origin_X</f>
        <v>-680</v>
      </c>
      <c r="G50" s="10">
        <f>E50-Origin_Y</f>
        <v>300</v>
      </c>
      <c r="H50" s="10">
        <f>PI()*C50^2/4</f>
        <v>804.247719318987</v>
      </c>
      <c r="I50" s="9">
        <v>1</v>
      </c>
    </row>
    <row r="51" spans="1:9" x14ac:dyDescent="0.25">
      <c r="A51">
        <v>12</v>
      </c>
      <c r="B51" s="7">
        <v>12</v>
      </c>
      <c r="C51" s="12">
        <v>32</v>
      </c>
      <c r="D51" s="12">
        <v>-680</v>
      </c>
      <c r="E51" s="12">
        <v>100</v>
      </c>
      <c r="F51" s="10">
        <f>D51-Origin_X</f>
        <v>-680</v>
      </c>
      <c r="G51" s="10">
        <f>E51-Origin_Y</f>
        <v>100</v>
      </c>
      <c r="H51" s="10">
        <f>PI()*C51^2/4</f>
        <v>804.247719318987</v>
      </c>
      <c r="I51" s="9">
        <v>1</v>
      </c>
    </row>
    <row r="52" spans="1:9" x14ac:dyDescent="0.25">
      <c r="A52">
        <v>13</v>
      </c>
      <c r="B52" s="7">
        <v>13</v>
      </c>
      <c r="C52" s="12">
        <v>32</v>
      </c>
      <c r="D52" s="12">
        <v>-680</v>
      </c>
      <c r="E52" s="12">
        <v>-100</v>
      </c>
      <c r="F52" s="10">
        <f>D52-Origin_X</f>
        <v>-680</v>
      </c>
      <c r="G52" s="10">
        <f>E52-Origin_Y</f>
        <v>-100</v>
      </c>
      <c r="H52" s="10">
        <f>PI()*C52^2/4</f>
        <v>804.247719318987</v>
      </c>
      <c r="I52" s="9">
        <v>1</v>
      </c>
    </row>
    <row r="53" spans="1:9" x14ac:dyDescent="0.25">
      <c r="A53">
        <v>14</v>
      </c>
      <c r="B53" s="7">
        <v>14</v>
      </c>
      <c r="C53" s="12">
        <v>32</v>
      </c>
      <c r="D53" s="12">
        <v>-680</v>
      </c>
      <c r="E53" s="12">
        <v>-300</v>
      </c>
      <c r="F53" s="10">
        <f>D53-Origin_X</f>
        <v>-680</v>
      </c>
      <c r="G53" s="10">
        <f>E53-Origin_Y</f>
        <v>-300</v>
      </c>
      <c r="H53" s="10">
        <f>PI()*C53^2/4</f>
        <v>804.247719318987</v>
      </c>
      <c r="I53" s="9">
        <v>1</v>
      </c>
    </row>
    <row r="54" spans="1:9" x14ac:dyDescent="0.25">
      <c r="A54">
        <v>15</v>
      </c>
      <c r="B54" s="7">
        <v>15</v>
      </c>
      <c r="C54" s="12">
        <v>32</v>
      </c>
      <c r="D54" s="12">
        <v>680</v>
      </c>
      <c r="E54" s="12">
        <v>300</v>
      </c>
      <c r="F54" s="10">
        <f>D54-Origin_X</f>
        <v>680</v>
      </c>
      <c r="G54" s="10">
        <f>E54-Origin_Y</f>
        <v>300</v>
      </c>
      <c r="H54" s="10">
        <f>PI()*C54^2/4</f>
        <v>804.247719318987</v>
      </c>
      <c r="I54" s="9">
        <v>1</v>
      </c>
    </row>
    <row r="55" spans="1:9" x14ac:dyDescent="0.25">
      <c r="A55">
        <v>16</v>
      </c>
      <c r="B55" s="7">
        <v>16</v>
      </c>
      <c r="C55" s="12">
        <v>32</v>
      </c>
      <c r="D55" s="12">
        <v>680</v>
      </c>
      <c r="E55" s="12">
        <v>100</v>
      </c>
      <c r="F55" s="10">
        <f>D55-Origin_X</f>
        <v>680</v>
      </c>
      <c r="G55" s="10">
        <f>E55-Origin_Y</f>
        <v>100</v>
      </c>
      <c r="H55" s="10">
        <f>PI()*C55^2/4</f>
        <v>804.247719318987</v>
      </c>
      <c r="I55" s="9">
        <v>1</v>
      </c>
    </row>
    <row r="56" spans="1:9" x14ac:dyDescent="0.25">
      <c r="A56">
        <v>17</v>
      </c>
      <c r="B56" s="7">
        <v>17</v>
      </c>
      <c r="C56" s="12">
        <v>32</v>
      </c>
      <c r="D56" s="12">
        <v>680</v>
      </c>
      <c r="E56" s="12">
        <v>-100</v>
      </c>
      <c r="F56" s="10">
        <f>D56-Origin_X</f>
        <v>680</v>
      </c>
      <c r="G56" s="10">
        <f>E56-Origin_Y</f>
        <v>-100</v>
      </c>
      <c r="H56" s="10">
        <f>PI()*C56^2/4</f>
        <v>804.247719318987</v>
      </c>
      <c r="I56" s="9">
        <v>1</v>
      </c>
    </row>
    <row r="57" spans="1:9" x14ac:dyDescent="0.25">
      <c r="A57">
        <v>18</v>
      </c>
      <c r="B57" s="7">
        <v>18</v>
      </c>
      <c r="C57" s="12">
        <v>32</v>
      </c>
      <c r="D57" s="12">
        <v>680</v>
      </c>
      <c r="E57" s="12">
        <v>-300</v>
      </c>
      <c r="F57" s="10">
        <f>D57-Origin_X</f>
        <v>680</v>
      </c>
      <c r="G57" s="10">
        <f>E57-Origin_Y</f>
        <v>-300</v>
      </c>
      <c r="H57" s="10">
        <f>PI()*C57^2/4</f>
        <v>804.247719318987</v>
      </c>
      <c r="I57" s="9">
        <v>1</v>
      </c>
    </row>
    <row r="61" spans="2:8" x14ac:dyDescent="0.25">
      <c r="B61" s="11" t="s">
        <v>49</v>
      </c>
      <c r="C61" s="11"/>
      <c r="D61" s="11"/>
      <c r="E61" s="11"/>
      <c r="F61" s="11"/>
      <c r="G61" s="11"/>
      <c r="H61" s="11"/>
    </row>
    <row r="62" ht="28" customHeight="1" spans="1:6" x14ac:dyDescent="0.25">
      <c r="A62" s="8" t="s">
        <v>50</v>
      </c>
      <c r="B62" s="8" t="s">
        <v>51</v>
      </c>
      <c r="C62" s="8" t="s">
        <v>52</v>
      </c>
      <c r="D62" s="8" t="s">
        <v>53</v>
      </c>
      <c r="E62" s="8" t="s">
        <v>54</v>
      </c>
      <c r="F62" s="8" t="s">
        <v>55</v>
      </c>
    </row>
    <row r="63" ht="28" customHeight="1" spans="1:6" x14ac:dyDescent="0.25">
      <c r="A63">
        <v>1</v>
      </c>
      <c r="B63" s="13" t="s">
        <v>56</v>
      </c>
      <c r="C63">
        <v>24942.922102452183</v>
      </c>
      <c r="D63">
        <v>3714.165943842699</v>
      </c>
      <c r="E63">
        <v>1431.7807276950741</v>
      </c>
      <c r="F63" t="s">
        <v>57</v>
      </c>
    </row>
    <row r="64" ht="28" customHeight="1" spans="1:6" x14ac:dyDescent="0.25">
      <c r="A64">
        <v>2</v>
      </c>
      <c r="B64" s="13" t="s">
        <v>58</v>
      </c>
      <c r="C64">
        <v>24942.922102452183</v>
      </c>
      <c r="D64">
        <v>1857.0829719213496</v>
      </c>
      <c r="E64">
        <v>715.890363847537</v>
      </c>
      <c r="F64" t="s">
        <v>57</v>
      </c>
    </row>
    <row r="65" ht="28" customHeight="1" spans="1:6" x14ac:dyDescent="0.25">
      <c r="A65">
        <v>3</v>
      </c>
      <c r="B65" s="13" t="s">
        <v>59</v>
      </c>
      <c r="C65">
        <v>5000</v>
      </c>
      <c r="D65">
        <v>4000</v>
      </c>
      <c r="E65">
        <v>1500</v>
      </c>
      <c r="F65" t="s">
        <v>57</v>
      </c>
    </row>
  </sheetData>
  <mergeCells count="3">
    <mergeCell ref="A1:I1"/>
    <mergeCell ref="B38:J38"/>
    <mergeCell ref="B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I3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26" customWidth="1"/>
    <col min="4" max="4" width="16" customWidth="1"/>
    <col min="5" max="5" width="54" customWidth="1"/>
    <col min="6" max="7" width="14" customWidth="1"/>
    <col min="8" max="8" width="24" customWidth="1"/>
  </cols>
  <sheetData>
    <row r="1" ht="22" customHeight="1" spans="1:8" x14ac:dyDescent="0.25">
      <c r="A1" s="1" t="s">
        <v>60</v>
      </c>
      <c r="B1" s="1"/>
      <c r="C1" s="1"/>
      <c r="D1" s="1"/>
      <c r="E1" s="1"/>
      <c r="F1" s="1"/>
      <c r="G1" s="1"/>
      <c r="H1" s="1"/>
    </row>
    <row r="2" ht="24" customHeight="1" spans="1:5" x14ac:dyDescent="0.25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</row>
    <row r="3" spans="1:5" x14ac:dyDescent="0.25">
      <c r="A3" t="s">
        <v>61</v>
      </c>
      <c r="B3" s="7" t="s">
        <v>62</v>
      </c>
      <c r="D3" t="s">
        <v>14</v>
      </c>
      <c r="E3" s="7" t="s">
        <v>63</v>
      </c>
    </row>
    <row r="5" spans="2:6" x14ac:dyDescent="0.25">
      <c r="B5" s="11" t="s">
        <v>64</v>
      </c>
      <c r="C5" s="11"/>
      <c r="D5" s="11"/>
      <c r="E5" s="11"/>
      <c r="F5" s="11"/>
    </row>
    <row r="6" ht="28" customHeight="1" spans="1:5" x14ac:dyDescent="0.25">
      <c r="A6" s="8" t="s">
        <v>65</v>
      </c>
      <c r="B6" s="8" t="s">
        <v>66</v>
      </c>
      <c r="C6" s="8" t="s">
        <v>67</v>
      </c>
      <c r="D6" s="8" t="s">
        <v>68</v>
      </c>
      <c r="E6" s="8" t="s">
        <v>69</v>
      </c>
    </row>
    <row r="7" spans="2:3" x14ac:dyDescent="0.25">
      <c r="B7" t="s">
        <v>70</v>
      </c>
      <c r="C7" s="7" t="s">
        <v>71</v>
      </c>
    </row>
    <row r="8" spans="2:3" x14ac:dyDescent="0.25">
      <c r="B8" t="s">
        <v>72</v>
      </c>
      <c r="C8" s="7" t="s">
        <v>73</v>
      </c>
    </row>
    <row r="9" spans="2:3" x14ac:dyDescent="0.25">
      <c r="B9" t="s">
        <v>74</v>
      </c>
      <c r="C9" s="7" t="s">
        <v>75</v>
      </c>
    </row>
    <row r="10" spans="1:5" x14ac:dyDescent="0.25">
      <c r="A10" t="s">
        <v>76</v>
      </c>
      <c r="B10" t="s">
        <v>77</v>
      </c>
      <c r="C10" s="12">
        <v>30</v>
      </c>
      <c r="D10" t="s">
        <v>78</v>
      </c>
      <c r="E10" s="13" t="s">
        <v>79</v>
      </c>
    </row>
    <row r="11" spans="1:5" x14ac:dyDescent="0.25">
      <c r="A11" t="s">
        <v>80</v>
      </c>
      <c r="B11" t="s">
        <v>81</v>
      </c>
      <c r="C11" s="9">
        <v>28417.47528313351</v>
      </c>
      <c r="D11" t="s">
        <v>78</v>
      </c>
      <c r="E11" s="13" t="s">
        <v>82</v>
      </c>
    </row>
    <row r="12" spans="1:5" x14ac:dyDescent="0.25">
      <c r="A12" t="s">
        <v>83</v>
      </c>
      <c r="B12" t="s">
        <v>84</v>
      </c>
      <c r="C12" s="12">
        <v>0.85</v>
      </c>
      <c r="D12" t="s">
        <v>85</v>
      </c>
      <c r="E12" s="13" t="s">
        <v>86</v>
      </c>
    </row>
    <row r="13" spans="1:5" x14ac:dyDescent="0.25">
      <c r="A13" t="s">
        <v>87</v>
      </c>
      <c r="B13" t="s">
        <v>88</v>
      </c>
      <c r="C13" s="12">
        <v>0.002</v>
      </c>
      <c r="D13" t="s">
        <v>85</v>
      </c>
      <c r="E13" s="13" t="s">
        <v>89</v>
      </c>
    </row>
    <row r="14" spans="1:5" x14ac:dyDescent="0.25">
      <c r="A14" t="s">
        <v>90</v>
      </c>
      <c r="B14" t="s">
        <v>91</v>
      </c>
      <c r="C14" s="12">
        <v>2</v>
      </c>
      <c r="D14" t="s">
        <v>85</v>
      </c>
      <c r="E14" s="13" t="s">
        <v>92</v>
      </c>
    </row>
    <row r="15" spans="1:5" x14ac:dyDescent="0.25">
      <c r="A15" t="s">
        <v>93</v>
      </c>
      <c r="B15" t="s">
        <v>94</v>
      </c>
      <c r="C15" s="12">
        <v>0.0033</v>
      </c>
      <c r="D15" t="s">
        <v>85</v>
      </c>
      <c r="E15" s="13" t="s">
        <v>95</v>
      </c>
    </row>
    <row r="16" spans="2:5" x14ac:dyDescent="0.25">
      <c r="B16" t="s">
        <v>96</v>
      </c>
      <c r="C16" s="14" t="s">
        <v>97</v>
      </c>
      <c r="D16" s="14"/>
      <c r="E16" s="14"/>
    </row>
    <row r="18" spans="2:9" x14ac:dyDescent="0.25">
      <c r="B18" s="11" t="s">
        <v>98</v>
      </c>
      <c r="C18" s="11"/>
      <c r="D18" s="11"/>
      <c r="E18" s="11"/>
      <c r="F18" s="11"/>
      <c r="G18" s="11"/>
      <c r="H18" s="11"/>
      <c r="I18" s="11"/>
    </row>
    <row r="19" ht="28" customHeight="1" spans="1:8" x14ac:dyDescent="0.25">
      <c r="A19" s="8" t="s">
        <v>50</v>
      </c>
      <c r="B19" s="8" t="s">
        <v>70</v>
      </c>
      <c r="C19" s="8" t="s">
        <v>72</v>
      </c>
      <c r="D19" s="8" t="s">
        <v>99</v>
      </c>
      <c r="E19" s="8" t="s">
        <v>100</v>
      </c>
      <c r="F19" s="8" t="s">
        <v>101</v>
      </c>
      <c r="G19" s="8" t="s">
        <v>102</v>
      </c>
      <c r="H19" s="8" t="s">
        <v>74</v>
      </c>
    </row>
    <row r="20" spans="1:8" x14ac:dyDescent="0.25">
      <c r="A20" s="7">
        <v>1</v>
      </c>
      <c r="B20" s="7" t="s">
        <v>103</v>
      </c>
      <c r="C20" s="7" t="s">
        <v>73</v>
      </c>
      <c r="D20" s="12">
        <v>400</v>
      </c>
      <c r="E20" s="12">
        <v>200000</v>
      </c>
      <c r="F20" s="15">
        <f>D20/E20</f>
        <v>0.002</v>
      </c>
      <c r="G20" s="9"/>
      <c r="H20" s="7" t="s">
        <v>104</v>
      </c>
    </row>
    <row r="24" spans="2:6" x14ac:dyDescent="0.25">
      <c r="B24" s="11" t="s">
        <v>105</v>
      </c>
      <c r="C24" s="11"/>
      <c r="D24" s="11"/>
      <c r="E24" s="11"/>
      <c r="F24" s="11"/>
    </row>
    <row r="25" ht="28" customHeight="1" spans="1:5" x14ac:dyDescent="0.25">
      <c r="A25" s="8" t="s">
        <v>106</v>
      </c>
      <c r="B25" s="8" t="s">
        <v>66</v>
      </c>
      <c r="C25" s="8" t="s">
        <v>67</v>
      </c>
      <c r="D25" s="8" t="s">
        <v>68</v>
      </c>
      <c r="E25" s="8" t="s">
        <v>107</v>
      </c>
    </row>
    <row r="26" spans="1:5" x14ac:dyDescent="0.25">
      <c r="B26" t="s">
        <v>108</v>
      </c>
      <c r="C26" s="9" t="s">
        <v>109</v>
      </c>
      <c r="D26" t="s">
        <v>85</v>
      </c>
      <c r="E26" s="13"/>
    </row>
    <row r="27" spans="1:5" x14ac:dyDescent="0.25">
      <c r="B27" t="s">
        <v>61</v>
      </c>
      <c r="C27" s="9" t="s">
        <v>110</v>
      </c>
      <c r="D27" t="s">
        <v>85</v>
      </c>
      <c r="E27" s="13"/>
    </row>
    <row r="28" spans="1:5" x14ac:dyDescent="0.25">
      <c r="B28" t="s">
        <v>111</v>
      </c>
      <c r="C28" s="9" t="s">
        <v>112</v>
      </c>
      <c r="D28" t="s">
        <v>85</v>
      </c>
      <c r="E28" s="13" t="s">
        <v>63</v>
      </c>
    </row>
    <row r="29" spans="1:5" x14ac:dyDescent="0.25">
      <c r="B29" t="s">
        <v>113</v>
      </c>
      <c r="C29" s="9" t="s">
        <v>114</v>
      </c>
      <c r="D29" t="s">
        <v>85</v>
      </c>
      <c r="E29" s="13"/>
    </row>
    <row r="30" spans="1:5" x14ac:dyDescent="0.25">
      <c r="A30" t="s">
        <v>115</v>
      </c>
      <c r="B30" t="s">
        <v>116</v>
      </c>
      <c r="C30" s="9">
        <v>0.65</v>
      </c>
      <c r="D30" t="s">
        <v>85</v>
      </c>
      <c r="E30" s="13"/>
    </row>
    <row r="31" spans="1:5" x14ac:dyDescent="0.25">
      <c r="A31" t="s">
        <v>117</v>
      </c>
      <c r="B31" t="s">
        <v>118</v>
      </c>
      <c r="C31" s="9">
        <v>0.85</v>
      </c>
      <c r="D31" t="s">
        <v>85</v>
      </c>
      <c r="E31" s="13"/>
    </row>
    <row r="32" spans="1:5" x14ac:dyDescent="0.25">
      <c r="A32" t="s">
        <v>119</v>
      </c>
      <c r="B32" t="s">
        <v>120</v>
      </c>
      <c r="C32" s="9" t="s">
        <v>121</v>
      </c>
      <c r="D32" t="s">
        <v>85</v>
      </c>
      <c r="E32" s="13"/>
    </row>
    <row r="33" spans="1:5" x14ac:dyDescent="0.25">
      <c r="A33" t="s">
        <v>122</v>
      </c>
      <c r="B33" t="s">
        <v>123</v>
      </c>
      <c r="C33" s="9">
        <v>0.8</v>
      </c>
      <c r="D33" t="s">
        <v>85</v>
      </c>
      <c r="E33" s="13"/>
    </row>
    <row r="34" spans="1:5" x14ac:dyDescent="0.25">
      <c r="A34" t="s">
        <v>124</v>
      </c>
      <c r="B34" t="s">
        <v>125</v>
      </c>
      <c r="C34" s="9" t="s">
        <v>126</v>
      </c>
      <c r="D34" t="s">
        <v>85</v>
      </c>
      <c r="E34" s="13"/>
    </row>
    <row r="36" spans="1:5" x14ac:dyDescent="0.25">
      <c r="A36" s="16" t="s">
        <v>127</v>
      </c>
      <c r="B36" s="16"/>
      <c r="C36" s="16"/>
      <c r="D36" s="16"/>
      <c r="E36" s="16"/>
    </row>
  </sheetData>
  <mergeCells count="6">
    <mergeCell ref="A1:H1"/>
    <mergeCell ref="B5:F5"/>
    <mergeCell ref="C16:E16"/>
    <mergeCell ref="B18:I18"/>
    <mergeCell ref="B24:F24"/>
    <mergeCell ref="A36:E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G425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4" width="16" customWidth="1"/>
    <col min="5" max="5" width="14" customWidth="1"/>
    <col min="6" max="7" width="16" customWidth="1"/>
  </cols>
  <sheetData>
    <row r="1" ht="22" customHeight="1" spans="1:7" x14ac:dyDescent="0.25">
      <c r="A1" s="1" t="s">
        <v>128</v>
      </c>
      <c r="B1" s="1"/>
      <c r="C1" s="1"/>
      <c r="D1" s="1"/>
      <c r="E1" s="1"/>
      <c r="F1" s="1"/>
      <c r="G1" s="1"/>
    </row>
    <row r="2" spans="2:7" x14ac:dyDescent="0.25">
      <c r="B2" s="16" t="s">
        <v>129</v>
      </c>
      <c r="C2" s="16"/>
      <c r="D2" s="16"/>
      <c r="E2" s="16"/>
      <c r="F2" s="16"/>
      <c r="G2" s="16"/>
    </row>
    <row r="3" spans="2:7" x14ac:dyDescent="0.25">
      <c r="B3" t="s">
        <v>130</v>
      </c>
      <c r="C3" s="9">
        <v>150</v>
      </c>
      <c r="D3" t="s">
        <v>131</v>
      </c>
      <c r="E3" s="7">
        <v>420</v>
      </c>
      <c r="F3" t="s">
        <v>132</v>
      </c>
      <c r="G3" s="7">
        <v>4.656612873077393e-10</v>
      </c>
    </row>
    <row r="4" ht="24" customHeight="1" spans="1:5" x14ac:dyDescent="0.25">
      <c r="A4" s="2" t="s">
        <v>1</v>
      </c>
      <c r="B4" s="3" t="s">
        <v>2</v>
      </c>
      <c r="C4" s="4" t="s">
        <v>3</v>
      </c>
      <c r="D4" s="5" t="s">
        <v>4</v>
      </c>
      <c r="E4" s="6" t="s">
        <v>5</v>
      </c>
    </row>
    <row r="5" ht="28" customHeight="1" spans="1:7" x14ac:dyDescent="0.25">
      <c r="A5" s="8" t="s">
        <v>40</v>
      </c>
      <c r="B5" s="8" t="s">
        <v>45</v>
      </c>
      <c r="C5" s="8" t="s">
        <v>46</v>
      </c>
      <c r="D5" s="8" t="s">
        <v>47</v>
      </c>
      <c r="E5" s="8" t="s">
        <v>133</v>
      </c>
      <c r="F5" s="8" t="s">
        <v>43</v>
      </c>
      <c r="G5" s="8" t="s">
        <v>44</v>
      </c>
    </row>
    <row r="6" spans="1:7" x14ac:dyDescent="0.25">
      <c r="A6" s="7">
        <v>1</v>
      </c>
      <c r="B6" s="7">
        <v>-666.6666666666666</v>
      </c>
      <c r="C6" s="7">
        <v>-466.66666666666663</v>
      </c>
      <c r="D6" s="7">
        <v>1666.6666666666667</v>
      </c>
      <c r="E6" s="7">
        <v>0</v>
      </c>
      <c r="F6" s="10">
        <f>B6+Origin_X</f>
        <v>-666.6666666666666</v>
      </c>
      <c r="G6" s="10">
        <f>C6+Origin_Y</f>
        <v>-466.66666666666663</v>
      </c>
    </row>
    <row r="7" spans="1:7" x14ac:dyDescent="0.25">
      <c r="A7" s="7">
        <v>2</v>
      </c>
      <c r="B7" s="7">
        <v>-616.6666666666666</v>
      </c>
      <c r="C7" s="7">
        <v>-516.6666666666666</v>
      </c>
      <c r="D7" s="7">
        <v>1666.6666666666667</v>
      </c>
      <c r="E7" s="7">
        <v>0</v>
      </c>
      <c r="F7" s="10">
        <f>B7+Origin_X</f>
        <v>-616.6666666666666</v>
      </c>
      <c r="G7" s="10">
        <f>C7+Origin_Y</f>
        <v>-516.6666666666666</v>
      </c>
    </row>
    <row r="8" spans="1:7" x14ac:dyDescent="0.25">
      <c r="A8" s="7">
        <v>3</v>
      </c>
      <c r="B8" s="7">
        <v>-616.6666666666666</v>
      </c>
      <c r="C8" s="7">
        <v>-466.66666666666663</v>
      </c>
      <c r="D8" s="7">
        <v>1666.6666666666667</v>
      </c>
      <c r="E8" s="7">
        <v>0</v>
      </c>
      <c r="F8" s="10">
        <f>B8+Origin_X</f>
        <v>-616.6666666666666</v>
      </c>
      <c r="G8" s="10">
        <f>C8+Origin_Y</f>
        <v>-466.66666666666663</v>
      </c>
    </row>
    <row r="9" spans="1:7" x14ac:dyDescent="0.25">
      <c r="A9" s="7">
        <v>4</v>
      </c>
      <c r="B9" s="7">
        <v>-741.6666666666666</v>
      </c>
      <c r="C9" s="7">
        <v>-341.66666666666663</v>
      </c>
      <c r="D9" s="7">
        <v>833.3333333333334</v>
      </c>
      <c r="E9" s="7">
        <v>1</v>
      </c>
      <c r="F9" s="10">
        <f>B9+Origin_X</f>
        <v>-741.6666666666666</v>
      </c>
      <c r="G9" s="10">
        <f>C9+Origin_Y</f>
        <v>-341.66666666666663</v>
      </c>
    </row>
    <row r="10" spans="1:7" x14ac:dyDescent="0.25">
      <c r="A10" s="7">
        <v>5</v>
      </c>
      <c r="B10" s="7">
        <v>-741.6666666666666</v>
      </c>
      <c r="C10" s="7">
        <v>-391.66666666666663</v>
      </c>
      <c r="D10" s="7">
        <v>833.3333333333334</v>
      </c>
      <c r="E10" s="7">
        <v>1</v>
      </c>
      <c r="F10" s="10">
        <f>B10+Origin_X</f>
        <v>-741.6666666666666</v>
      </c>
      <c r="G10" s="10">
        <f>C10+Origin_Y</f>
        <v>-391.66666666666663</v>
      </c>
    </row>
    <row r="11" spans="1:7" x14ac:dyDescent="0.25">
      <c r="A11" s="7">
        <v>6</v>
      </c>
      <c r="B11" s="7">
        <v>-716.6666666666666</v>
      </c>
      <c r="C11" s="7">
        <v>-416.66666666666663</v>
      </c>
      <c r="D11" s="7">
        <v>833.3333333333334</v>
      </c>
      <c r="E11" s="7">
        <v>1</v>
      </c>
      <c r="F11" s="10">
        <f>B11+Origin_X</f>
        <v>-716.6666666666666</v>
      </c>
      <c r="G11" s="10">
        <f>C11+Origin_Y</f>
        <v>-416.66666666666663</v>
      </c>
    </row>
    <row r="12" spans="1:7" x14ac:dyDescent="0.25">
      <c r="A12" s="7">
        <v>7</v>
      </c>
      <c r="B12" s="7">
        <v>-716.6666666666666</v>
      </c>
      <c r="C12" s="7">
        <v>-350</v>
      </c>
      <c r="D12" s="7">
        <v>2500</v>
      </c>
      <c r="E12" s="7">
        <v>1</v>
      </c>
      <c r="F12" s="10">
        <f>B12+Origin_X</f>
        <v>-716.6666666666666</v>
      </c>
      <c r="G12" s="10">
        <f>C12+Origin_Y</f>
        <v>-350</v>
      </c>
    </row>
    <row r="13" spans="1:7" x14ac:dyDescent="0.25">
      <c r="A13" s="7">
        <v>8</v>
      </c>
      <c r="B13" s="7">
        <v>-691.6666666666666</v>
      </c>
      <c r="C13" s="7">
        <v>-425</v>
      </c>
      <c r="D13" s="7">
        <v>2500</v>
      </c>
      <c r="E13" s="7">
        <v>1</v>
      </c>
      <c r="F13" s="10">
        <f>B13+Origin_X</f>
        <v>-691.6666666666666</v>
      </c>
      <c r="G13" s="10">
        <f>C13+Origin_Y</f>
        <v>-425</v>
      </c>
    </row>
    <row r="14" spans="1:7" x14ac:dyDescent="0.25">
      <c r="A14" s="7">
        <v>9</v>
      </c>
      <c r="B14" s="7">
        <v>-641.6666666666666</v>
      </c>
      <c r="C14" s="7">
        <v>-425</v>
      </c>
      <c r="D14" s="7">
        <v>2500</v>
      </c>
      <c r="E14" s="7">
        <v>1</v>
      </c>
      <c r="F14" s="10">
        <f>B14+Origin_X</f>
        <v>-641.6666666666666</v>
      </c>
      <c r="G14" s="10">
        <f>C14+Origin_Y</f>
        <v>-425</v>
      </c>
    </row>
    <row r="15" spans="1:7" x14ac:dyDescent="0.25">
      <c r="A15" s="7">
        <v>10</v>
      </c>
      <c r="B15" s="7">
        <v>-625</v>
      </c>
      <c r="C15" s="7">
        <v>-400</v>
      </c>
      <c r="D15" s="7">
        <v>3750</v>
      </c>
      <c r="E15" s="7">
        <v>1</v>
      </c>
      <c r="F15" s="10">
        <f>B15+Origin_X</f>
        <v>-625</v>
      </c>
      <c r="G15" s="10">
        <f>C15+Origin_Y</f>
        <v>-400</v>
      </c>
    </row>
    <row r="16" spans="1:7" x14ac:dyDescent="0.25">
      <c r="A16" s="7">
        <v>11</v>
      </c>
      <c r="B16" s="7">
        <v>-625</v>
      </c>
      <c r="C16" s="7">
        <v>-325</v>
      </c>
      <c r="D16" s="7">
        <v>3750</v>
      </c>
      <c r="E16" s="7">
        <v>1</v>
      </c>
      <c r="F16" s="10">
        <f>B16+Origin_X</f>
        <v>-625</v>
      </c>
      <c r="G16" s="10">
        <f>C16+Origin_Y</f>
        <v>-325</v>
      </c>
    </row>
    <row r="17" spans="1:7" x14ac:dyDescent="0.25">
      <c r="A17" s="7">
        <v>12</v>
      </c>
      <c r="B17" s="7">
        <v>-700</v>
      </c>
      <c r="C17" s="7">
        <v>-325</v>
      </c>
      <c r="D17" s="7">
        <v>3750</v>
      </c>
      <c r="E17" s="7">
        <v>1</v>
      </c>
      <c r="F17" s="10">
        <f>B17+Origin_X</f>
        <v>-700</v>
      </c>
      <c r="G17" s="10">
        <f>C17+Origin_Y</f>
        <v>-325</v>
      </c>
    </row>
    <row r="18" spans="1:7" x14ac:dyDescent="0.25">
      <c r="A18" s="7">
        <v>13</v>
      </c>
      <c r="B18" s="7">
        <v>-725</v>
      </c>
      <c r="C18" s="7">
        <v>-200</v>
      </c>
      <c r="D18" s="7">
        <v>3750</v>
      </c>
      <c r="E18" s="7">
        <v>2</v>
      </c>
      <c r="F18" s="10">
        <f>B18+Origin_X</f>
        <v>-725</v>
      </c>
      <c r="G18" s="10">
        <f>C18+Origin_Y</f>
        <v>-200</v>
      </c>
    </row>
    <row r="19" spans="1:7" x14ac:dyDescent="0.25">
      <c r="A19" s="7">
        <v>14</v>
      </c>
      <c r="B19" s="7">
        <v>-725</v>
      </c>
      <c r="C19" s="7">
        <v>-275</v>
      </c>
      <c r="D19" s="7">
        <v>3750</v>
      </c>
      <c r="E19" s="7">
        <v>2</v>
      </c>
      <c r="F19" s="10">
        <f>B19+Origin_X</f>
        <v>-725</v>
      </c>
      <c r="G19" s="10">
        <f>C19+Origin_Y</f>
        <v>-275</v>
      </c>
    </row>
    <row r="20" spans="1:7" x14ac:dyDescent="0.25">
      <c r="A20" s="7">
        <v>15</v>
      </c>
      <c r="B20" s="7">
        <v>-650</v>
      </c>
      <c r="C20" s="7">
        <v>-275</v>
      </c>
      <c r="D20" s="7">
        <v>3750</v>
      </c>
      <c r="E20" s="7">
        <v>2</v>
      </c>
      <c r="F20" s="10">
        <f>B20+Origin_X</f>
        <v>-650</v>
      </c>
      <c r="G20" s="10">
        <f>C20+Origin_Y</f>
        <v>-275</v>
      </c>
    </row>
    <row r="21" spans="1:7" x14ac:dyDescent="0.25">
      <c r="A21" s="7">
        <v>16</v>
      </c>
      <c r="B21" s="7">
        <v>-625</v>
      </c>
      <c r="C21" s="7">
        <v>-250</v>
      </c>
      <c r="D21" s="7">
        <v>3750</v>
      </c>
      <c r="E21" s="7">
        <v>2</v>
      </c>
      <c r="F21" s="10">
        <f>B21+Origin_X</f>
        <v>-625</v>
      </c>
      <c r="G21" s="10">
        <f>C21+Origin_Y</f>
        <v>-250</v>
      </c>
    </row>
    <row r="22" spans="1:7" x14ac:dyDescent="0.25">
      <c r="A22" s="7">
        <v>17</v>
      </c>
      <c r="B22" s="7">
        <v>-625</v>
      </c>
      <c r="C22" s="7">
        <v>-175</v>
      </c>
      <c r="D22" s="7">
        <v>3750</v>
      </c>
      <c r="E22" s="7">
        <v>2</v>
      </c>
      <c r="F22" s="10">
        <f>B22+Origin_X</f>
        <v>-625</v>
      </c>
      <c r="G22" s="10">
        <f>C22+Origin_Y</f>
        <v>-175</v>
      </c>
    </row>
    <row r="23" spans="1:7" x14ac:dyDescent="0.25">
      <c r="A23" s="7">
        <v>18</v>
      </c>
      <c r="B23" s="7">
        <v>-700</v>
      </c>
      <c r="C23" s="7">
        <v>-175</v>
      </c>
      <c r="D23" s="7">
        <v>3750</v>
      </c>
      <c r="E23" s="7">
        <v>2</v>
      </c>
      <c r="F23" s="10">
        <f>B23+Origin_X</f>
        <v>-700</v>
      </c>
      <c r="G23" s="10">
        <f>C23+Origin_Y</f>
        <v>-175</v>
      </c>
    </row>
    <row r="24" spans="1:7" x14ac:dyDescent="0.25">
      <c r="A24" s="7">
        <v>19</v>
      </c>
      <c r="B24" s="7">
        <v>-725</v>
      </c>
      <c r="C24" s="7">
        <v>-50</v>
      </c>
      <c r="D24" s="7">
        <v>3750</v>
      </c>
      <c r="E24" s="7">
        <v>3</v>
      </c>
      <c r="F24" s="10">
        <f>B24+Origin_X</f>
        <v>-725</v>
      </c>
      <c r="G24" s="10">
        <f>C24+Origin_Y</f>
        <v>-50</v>
      </c>
    </row>
    <row r="25" spans="1:7" x14ac:dyDescent="0.25">
      <c r="A25" s="7">
        <v>20</v>
      </c>
      <c r="B25" s="7">
        <v>-725</v>
      </c>
      <c r="C25" s="7">
        <v>-125</v>
      </c>
      <c r="D25" s="7">
        <v>3750</v>
      </c>
      <c r="E25" s="7">
        <v>3</v>
      </c>
      <c r="F25" s="10">
        <f>B25+Origin_X</f>
        <v>-725</v>
      </c>
      <c r="G25" s="10">
        <f>C25+Origin_Y</f>
        <v>-125</v>
      </c>
    </row>
    <row r="26" spans="1:7" x14ac:dyDescent="0.25">
      <c r="A26" s="7">
        <v>21</v>
      </c>
      <c r="B26" s="7">
        <v>-650</v>
      </c>
      <c r="C26" s="7">
        <v>-125</v>
      </c>
      <c r="D26" s="7">
        <v>3750</v>
      </c>
      <c r="E26" s="7">
        <v>3</v>
      </c>
      <c r="F26" s="10">
        <f>B26+Origin_X</f>
        <v>-650</v>
      </c>
      <c r="G26" s="10">
        <f>C26+Origin_Y</f>
        <v>-125</v>
      </c>
    </row>
    <row r="27" spans="1:7" x14ac:dyDescent="0.25">
      <c r="A27" s="7">
        <v>22</v>
      </c>
      <c r="B27" s="7">
        <v>-625</v>
      </c>
      <c r="C27" s="7">
        <v>-100</v>
      </c>
      <c r="D27" s="7">
        <v>3750</v>
      </c>
      <c r="E27" s="7">
        <v>3</v>
      </c>
      <c r="F27" s="10">
        <f>B27+Origin_X</f>
        <v>-625</v>
      </c>
      <c r="G27" s="10">
        <f>C27+Origin_Y</f>
        <v>-100</v>
      </c>
    </row>
    <row r="28" spans="1:7" x14ac:dyDescent="0.25">
      <c r="A28" s="7">
        <v>23</v>
      </c>
      <c r="B28" s="7">
        <v>-625</v>
      </c>
      <c r="C28" s="7">
        <v>-25</v>
      </c>
      <c r="D28" s="7">
        <v>3750</v>
      </c>
      <c r="E28" s="7">
        <v>3</v>
      </c>
      <c r="F28" s="10">
        <f>B28+Origin_X</f>
        <v>-625</v>
      </c>
      <c r="G28" s="10">
        <f>C28+Origin_Y</f>
        <v>-25</v>
      </c>
    </row>
    <row r="29" spans="1:7" x14ac:dyDescent="0.25">
      <c r="A29" s="7">
        <v>24</v>
      </c>
      <c r="B29" s="7">
        <v>-700</v>
      </c>
      <c r="C29" s="7">
        <v>-25</v>
      </c>
      <c r="D29" s="7">
        <v>3750</v>
      </c>
      <c r="E29" s="7">
        <v>3</v>
      </c>
      <c r="F29" s="10">
        <f>B29+Origin_X</f>
        <v>-700</v>
      </c>
      <c r="G29" s="10">
        <f>C29+Origin_Y</f>
        <v>-25</v>
      </c>
    </row>
    <row r="30" spans="1:7" x14ac:dyDescent="0.25">
      <c r="A30" s="7">
        <v>25</v>
      </c>
      <c r="B30" s="7">
        <v>-725</v>
      </c>
      <c r="C30" s="7">
        <v>100</v>
      </c>
      <c r="D30" s="7">
        <v>3750</v>
      </c>
      <c r="E30" s="7">
        <v>4</v>
      </c>
      <c r="F30" s="10">
        <f>B30+Origin_X</f>
        <v>-725</v>
      </c>
      <c r="G30" s="10">
        <f>C30+Origin_Y</f>
        <v>100</v>
      </c>
    </row>
    <row r="31" spans="1:7" x14ac:dyDescent="0.25">
      <c r="A31" s="7">
        <v>26</v>
      </c>
      <c r="B31" s="7">
        <v>-725</v>
      </c>
      <c r="C31" s="7">
        <v>25</v>
      </c>
      <c r="D31" s="7">
        <v>3750</v>
      </c>
      <c r="E31" s="7">
        <v>4</v>
      </c>
      <c r="F31" s="10">
        <f>B31+Origin_X</f>
        <v>-725</v>
      </c>
      <c r="G31" s="10">
        <f>C31+Origin_Y</f>
        <v>25</v>
      </c>
    </row>
    <row r="32" spans="1:7" x14ac:dyDescent="0.25">
      <c r="A32" s="7">
        <v>27</v>
      </c>
      <c r="B32" s="7">
        <v>-650</v>
      </c>
      <c r="C32" s="7">
        <v>25</v>
      </c>
      <c r="D32" s="7">
        <v>3750</v>
      </c>
      <c r="E32" s="7">
        <v>4</v>
      </c>
      <c r="F32" s="10">
        <f>B32+Origin_X</f>
        <v>-650</v>
      </c>
      <c r="G32" s="10">
        <f>C32+Origin_Y</f>
        <v>25</v>
      </c>
    </row>
    <row r="33" spans="1:7" x14ac:dyDescent="0.25">
      <c r="A33" s="7">
        <v>28</v>
      </c>
      <c r="B33" s="7">
        <v>-625</v>
      </c>
      <c r="C33" s="7">
        <v>50</v>
      </c>
      <c r="D33" s="7">
        <v>3750</v>
      </c>
      <c r="E33" s="7">
        <v>4</v>
      </c>
      <c r="F33" s="10">
        <f>B33+Origin_X</f>
        <v>-625</v>
      </c>
      <c r="G33" s="10">
        <f>C33+Origin_Y</f>
        <v>50</v>
      </c>
    </row>
    <row r="34" spans="1:7" x14ac:dyDescent="0.25">
      <c r="A34" s="7">
        <v>29</v>
      </c>
      <c r="B34" s="7">
        <v>-625</v>
      </c>
      <c r="C34" s="7">
        <v>125</v>
      </c>
      <c r="D34" s="7">
        <v>3750</v>
      </c>
      <c r="E34" s="7">
        <v>4</v>
      </c>
      <c r="F34" s="10">
        <f>B34+Origin_X</f>
        <v>-625</v>
      </c>
      <c r="G34" s="10">
        <f>C34+Origin_Y</f>
        <v>125</v>
      </c>
    </row>
    <row r="35" spans="1:7" x14ac:dyDescent="0.25">
      <c r="A35" s="7">
        <v>30</v>
      </c>
      <c r="B35" s="7">
        <v>-700</v>
      </c>
      <c r="C35" s="7">
        <v>125</v>
      </c>
      <c r="D35" s="7">
        <v>3750</v>
      </c>
      <c r="E35" s="7">
        <v>4</v>
      </c>
      <c r="F35" s="10">
        <f>B35+Origin_X</f>
        <v>-700</v>
      </c>
      <c r="G35" s="10">
        <f>C35+Origin_Y</f>
        <v>125</v>
      </c>
    </row>
    <row r="36" spans="1:7" x14ac:dyDescent="0.25">
      <c r="A36" s="7">
        <v>31</v>
      </c>
      <c r="B36" s="7">
        <v>-725</v>
      </c>
      <c r="C36" s="7">
        <v>250</v>
      </c>
      <c r="D36" s="7">
        <v>3750</v>
      </c>
      <c r="E36" s="7">
        <v>5</v>
      </c>
      <c r="F36" s="10">
        <f>B36+Origin_X</f>
        <v>-725</v>
      </c>
      <c r="G36" s="10">
        <f>C36+Origin_Y</f>
        <v>250</v>
      </c>
    </row>
    <row r="37" spans="1:7" x14ac:dyDescent="0.25">
      <c r="A37" s="7">
        <v>32</v>
      </c>
      <c r="B37" s="7">
        <v>-725</v>
      </c>
      <c r="C37" s="7">
        <v>175</v>
      </c>
      <c r="D37" s="7">
        <v>3750</v>
      </c>
      <c r="E37" s="7">
        <v>5</v>
      </c>
      <c r="F37" s="10">
        <f>B37+Origin_X</f>
        <v>-725</v>
      </c>
      <c r="G37" s="10">
        <f>C37+Origin_Y</f>
        <v>175</v>
      </c>
    </row>
    <row r="38" spans="1:7" x14ac:dyDescent="0.25">
      <c r="A38" s="7">
        <v>33</v>
      </c>
      <c r="B38" s="7">
        <v>-650</v>
      </c>
      <c r="C38" s="7">
        <v>175</v>
      </c>
      <c r="D38" s="7">
        <v>3750</v>
      </c>
      <c r="E38" s="7">
        <v>5</v>
      </c>
      <c r="F38" s="10">
        <f>B38+Origin_X</f>
        <v>-650</v>
      </c>
      <c r="G38" s="10">
        <f>C38+Origin_Y</f>
        <v>175</v>
      </c>
    </row>
    <row r="39" spans="1:7" x14ac:dyDescent="0.25">
      <c r="A39" s="7">
        <v>34</v>
      </c>
      <c r="B39" s="7">
        <v>-625</v>
      </c>
      <c r="C39" s="7">
        <v>200</v>
      </c>
      <c r="D39" s="7">
        <v>3750</v>
      </c>
      <c r="E39" s="7">
        <v>5</v>
      </c>
      <c r="F39" s="10">
        <f>B39+Origin_X</f>
        <v>-625</v>
      </c>
      <c r="G39" s="10">
        <f>C39+Origin_Y</f>
        <v>200</v>
      </c>
    </row>
    <row r="40" spans="1:7" x14ac:dyDescent="0.25">
      <c r="A40" s="7">
        <v>35</v>
      </c>
      <c r="B40" s="7">
        <v>-625</v>
      </c>
      <c r="C40" s="7">
        <v>275</v>
      </c>
      <c r="D40" s="7">
        <v>3750</v>
      </c>
      <c r="E40" s="7">
        <v>5</v>
      </c>
      <c r="F40" s="10">
        <f>B40+Origin_X</f>
        <v>-625</v>
      </c>
      <c r="G40" s="10">
        <f>C40+Origin_Y</f>
        <v>275</v>
      </c>
    </row>
    <row r="41" spans="1:7" x14ac:dyDescent="0.25">
      <c r="A41" s="7">
        <v>36</v>
      </c>
      <c r="B41" s="7">
        <v>-700</v>
      </c>
      <c r="C41" s="7">
        <v>275</v>
      </c>
      <c r="D41" s="7">
        <v>3750</v>
      </c>
      <c r="E41" s="7">
        <v>5</v>
      </c>
      <c r="F41" s="10">
        <f>B41+Origin_X</f>
        <v>-700</v>
      </c>
      <c r="G41" s="10">
        <f>C41+Origin_Y</f>
        <v>275</v>
      </c>
    </row>
    <row r="42" spans="1:7" x14ac:dyDescent="0.25">
      <c r="A42" s="7">
        <v>37</v>
      </c>
      <c r="B42" s="7">
        <v>-725</v>
      </c>
      <c r="C42" s="7">
        <v>366.66666666666663</v>
      </c>
      <c r="D42" s="7">
        <v>2500</v>
      </c>
      <c r="E42" s="7">
        <v>6</v>
      </c>
      <c r="F42" s="10">
        <f>B42+Origin_X</f>
        <v>-725</v>
      </c>
      <c r="G42" s="10">
        <f>C42+Origin_Y</f>
        <v>366.66666666666663</v>
      </c>
    </row>
    <row r="43" spans="1:7" x14ac:dyDescent="0.25">
      <c r="A43" s="7">
        <v>38</v>
      </c>
      <c r="B43" s="7">
        <v>-725</v>
      </c>
      <c r="C43" s="7">
        <v>316.66666666666663</v>
      </c>
      <c r="D43" s="7">
        <v>2500</v>
      </c>
      <c r="E43" s="7">
        <v>6</v>
      </c>
      <c r="F43" s="10">
        <f>B43+Origin_X</f>
        <v>-725</v>
      </c>
      <c r="G43" s="10">
        <f>C43+Origin_Y</f>
        <v>316.66666666666663</v>
      </c>
    </row>
    <row r="44" spans="1:7" x14ac:dyDescent="0.25">
      <c r="A44" s="7">
        <v>39</v>
      </c>
      <c r="B44" s="7">
        <v>-650</v>
      </c>
      <c r="C44" s="7">
        <v>316.66666666666663</v>
      </c>
      <c r="D44" s="7">
        <v>2500</v>
      </c>
      <c r="E44" s="7">
        <v>6</v>
      </c>
      <c r="F44" s="10">
        <f>B44+Origin_X</f>
        <v>-650</v>
      </c>
      <c r="G44" s="10">
        <f>C44+Origin_Y</f>
        <v>316.66666666666663</v>
      </c>
    </row>
    <row r="45" spans="1:7" x14ac:dyDescent="0.25">
      <c r="A45" s="7">
        <v>40</v>
      </c>
      <c r="B45" s="7">
        <v>-700</v>
      </c>
      <c r="C45" s="7">
        <v>391.66666666666663</v>
      </c>
      <c r="D45" s="7">
        <v>3750</v>
      </c>
      <c r="E45" s="7">
        <v>6</v>
      </c>
      <c r="F45" s="10">
        <f>B45+Origin_X</f>
        <v>-700</v>
      </c>
      <c r="G45" s="10">
        <f>C45+Origin_Y</f>
        <v>391.66666666666663</v>
      </c>
    </row>
    <row r="46" spans="1:7" x14ac:dyDescent="0.25">
      <c r="A46" s="7">
        <v>41</v>
      </c>
      <c r="B46" s="7">
        <v>-625</v>
      </c>
      <c r="C46" s="7">
        <v>341.66666666666663</v>
      </c>
      <c r="D46" s="7">
        <v>3750</v>
      </c>
      <c r="E46" s="7">
        <v>6</v>
      </c>
      <c r="F46" s="10">
        <f>B46+Origin_X</f>
        <v>-625</v>
      </c>
      <c r="G46" s="10">
        <f>C46+Origin_Y</f>
        <v>341.66666666666663</v>
      </c>
    </row>
    <row r="47" spans="1:7" x14ac:dyDescent="0.25">
      <c r="A47" s="7">
        <v>42</v>
      </c>
      <c r="B47" s="7">
        <v>-625</v>
      </c>
      <c r="C47" s="7">
        <v>416.66666666666663</v>
      </c>
      <c r="D47" s="7">
        <v>3750</v>
      </c>
      <c r="E47" s="7">
        <v>6</v>
      </c>
      <c r="F47" s="10">
        <f>B47+Origin_X</f>
        <v>-625</v>
      </c>
      <c r="G47" s="10">
        <f>C47+Origin_Y</f>
        <v>416.66666666666663</v>
      </c>
    </row>
    <row r="48" spans="1:7" x14ac:dyDescent="0.25">
      <c r="A48" s="7">
        <v>43</v>
      </c>
      <c r="B48" s="7">
        <v>-641.6666666666666</v>
      </c>
      <c r="C48" s="7">
        <v>441.66666666666663</v>
      </c>
      <c r="D48" s="7">
        <v>833.3333333333334</v>
      </c>
      <c r="E48" s="7">
        <v>6</v>
      </c>
      <c r="F48" s="10">
        <f>B48+Origin_X</f>
        <v>-641.6666666666666</v>
      </c>
      <c r="G48" s="10">
        <f>C48+Origin_Y</f>
        <v>441.66666666666663</v>
      </c>
    </row>
    <row r="49" spans="1:7" x14ac:dyDescent="0.25">
      <c r="A49" s="7">
        <v>44</v>
      </c>
      <c r="B49" s="7">
        <v>-691.6666666666666</v>
      </c>
      <c r="C49" s="7">
        <v>441.66666666666663</v>
      </c>
      <c r="D49" s="7">
        <v>833.3333333333334</v>
      </c>
      <c r="E49" s="7">
        <v>6</v>
      </c>
      <c r="F49" s="10">
        <f>B49+Origin_X</f>
        <v>-691.6666666666666</v>
      </c>
      <c r="G49" s="10">
        <f>C49+Origin_Y</f>
        <v>441.66666666666663</v>
      </c>
    </row>
    <row r="50" spans="1:7" x14ac:dyDescent="0.25">
      <c r="A50" s="7">
        <v>45</v>
      </c>
      <c r="B50" s="7">
        <v>-716.6666666666666</v>
      </c>
      <c r="C50" s="7">
        <v>416.66666666666663</v>
      </c>
      <c r="D50" s="7">
        <v>833.3333333333334</v>
      </c>
      <c r="E50" s="7">
        <v>6</v>
      </c>
      <c r="F50" s="10">
        <f>B50+Origin_X</f>
        <v>-716.6666666666666</v>
      </c>
      <c r="G50" s="10">
        <f>C50+Origin_Y</f>
        <v>416.66666666666663</v>
      </c>
    </row>
    <row r="51" spans="1:7" x14ac:dyDescent="0.25">
      <c r="A51" s="7">
        <v>46</v>
      </c>
      <c r="B51" s="7">
        <v>-666.6666666666666</v>
      </c>
      <c r="C51" s="7">
        <v>466.66666666666663</v>
      </c>
      <c r="D51" s="7">
        <v>1666.6666666666667</v>
      </c>
      <c r="E51" s="7">
        <v>7</v>
      </c>
      <c r="F51" s="10">
        <f>B51+Origin_X</f>
        <v>-666.6666666666666</v>
      </c>
      <c r="G51" s="10">
        <f>C51+Origin_Y</f>
        <v>466.66666666666663</v>
      </c>
    </row>
    <row r="52" spans="1:7" x14ac:dyDescent="0.25">
      <c r="A52" s="7">
        <v>47</v>
      </c>
      <c r="B52" s="7">
        <v>-616.6666666666666</v>
      </c>
      <c r="C52" s="7">
        <v>466.66666666666663</v>
      </c>
      <c r="D52" s="7">
        <v>1666.6666666666667</v>
      </c>
      <c r="E52" s="7">
        <v>7</v>
      </c>
      <c r="F52" s="10">
        <f>B52+Origin_X</f>
        <v>-616.6666666666666</v>
      </c>
      <c r="G52" s="10">
        <f>C52+Origin_Y</f>
        <v>466.66666666666663</v>
      </c>
    </row>
    <row r="53" spans="1:7" x14ac:dyDescent="0.25">
      <c r="A53" s="7">
        <v>48</v>
      </c>
      <c r="B53" s="7">
        <v>-616.6666666666666</v>
      </c>
      <c r="C53" s="7">
        <v>516.6666666666666</v>
      </c>
      <c r="D53" s="7">
        <v>1666.6666666666667</v>
      </c>
      <c r="E53" s="7">
        <v>7</v>
      </c>
      <c r="F53" s="10">
        <f>B53+Origin_X</f>
        <v>-616.6666666666666</v>
      </c>
      <c r="G53" s="10">
        <f>C53+Origin_Y</f>
        <v>516.6666666666666</v>
      </c>
    </row>
    <row r="54" spans="1:7" x14ac:dyDescent="0.25">
      <c r="A54" s="7">
        <v>49</v>
      </c>
      <c r="B54" s="7">
        <v>-591.6666666666666</v>
      </c>
      <c r="C54" s="7">
        <v>-491.66666666666663</v>
      </c>
      <c r="D54" s="7">
        <v>833.3333333333334</v>
      </c>
      <c r="E54" s="7">
        <v>8</v>
      </c>
      <c r="F54" s="10">
        <f>B54+Origin_X</f>
        <v>-591.6666666666666</v>
      </c>
      <c r="G54" s="10">
        <f>C54+Origin_Y</f>
        <v>-491.66666666666663</v>
      </c>
    </row>
    <row r="55" spans="1:7" x14ac:dyDescent="0.25">
      <c r="A55" s="7">
        <v>50</v>
      </c>
      <c r="B55" s="7">
        <v>-591.6666666666666</v>
      </c>
      <c r="C55" s="7">
        <v>-541.6666666666666</v>
      </c>
      <c r="D55" s="7">
        <v>833.3333333333334</v>
      </c>
      <c r="E55" s="7">
        <v>8</v>
      </c>
      <c r="F55" s="10">
        <f>B55+Origin_X</f>
        <v>-591.6666666666666</v>
      </c>
      <c r="G55" s="10">
        <f>C55+Origin_Y</f>
        <v>-541.6666666666666</v>
      </c>
    </row>
    <row r="56" spans="1:7" x14ac:dyDescent="0.25">
      <c r="A56" s="7">
        <v>51</v>
      </c>
      <c r="B56" s="7">
        <v>-566.6666666666666</v>
      </c>
      <c r="C56" s="7">
        <v>-566.6666666666666</v>
      </c>
      <c r="D56" s="7">
        <v>833.3333333333334</v>
      </c>
      <c r="E56" s="7">
        <v>8</v>
      </c>
      <c r="F56" s="10">
        <f>B56+Origin_X</f>
        <v>-566.6666666666666</v>
      </c>
      <c r="G56" s="10">
        <f>C56+Origin_Y</f>
        <v>-566.6666666666666</v>
      </c>
    </row>
    <row r="57" spans="1:7" x14ac:dyDescent="0.25">
      <c r="A57" s="7">
        <v>52</v>
      </c>
      <c r="B57" s="7">
        <v>-566.6666666666666</v>
      </c>
      <c r="C57" s="7">
        <v>-500</v>
      </c>
      <c r="D57" s="7">
        <v>2500</v>
      </c>
      <c r="E57" s="7">
        <v>8</v>
      </c>
      <c r="F57" s="10">
        <f>B57+Origin_X</f>
        <v>-566.6666666666666</v>
      </c>
      <c r="G57" s="10">
        <f>C57+Origin_Y</f>
        <v>-500</v>
      </c>
    </row>
    <row r="58" spans="1:7" x14ac:dyDescent="0.25">
      <c r="A58" s="7">
        <v>53</v>
      </c>
      <c r="B58" s="7">
        <v>-541.6666666666666</v>
      </c>
      <c r="C58" s="7">
        <v>-575</v>
      </c>
      <c r="D58" s="7">
        <v>2500</v>
      </c>
      <c r="E58" s="7">
        <v>8</v>
      </c>
      <c r="F58" s="10">
        <f>B58+Origin_X</f>
        <v>-541.6666666666666</v>
      </c>
      <c r="G58" s="10">
        <f>C58+Origin_Y</f>
        <v>-575</v>
      </c>
    </row>
    <row r="59" spans="1:7" x14ac:dyDescent="0.25">
      <c r="A59" s="7">
        <v>54</v>
      </c>
      <c r="B59" s="7">
        <v>-491.66666666666663</v>
      </c>
      <c r="C59" s="7">
        <v>-575</v>
      </c>
      <c r="D59" s="7">
        <v>2500</v>
      </c>
      <c r="E59" s="7">
        <v>8</v>
      </c>
      <c r="F59" s="10">
        <f>B59+Origin_X</f>
        <v>-491.66666666666663</v>
      </c>
      <c r="G59" s="10">
        <f>C59+Origin_Y</f>
        <v>-575</v>
      </c>
    </row>
    <row r="60" spans="1:7" x14ac:dyDescent="0.25">
      <c r="A60" s="7">
        <v>55</v>
      </c>
      <c r="B60" s="7">
        <v>-475</v>
      </c>
      <c r="C60" s="7">
        <v>-550</v>
      </c>
      <c r="D60" s="7">
        <v>3750</v>
      </c>
      <c r="E60" s="7">
        <v>8</v>
      </c>
      <c r="F60" s="10">
        <f>B60+Origin_X</f>
        <v>-475</v>
      </c>
      <c r="G60" s="10">
        <f>C60+Origin_Y</f>
        <v>-550</v>
      </c>
    </row>
    <row r="61" spans="1:7" x14ac:dyDescent="0.25">
      <c r="A61" s="7">
        <v>56</v>
      </c>
      <c r="B61" s="7">
        <v>-475</v>
      </c>
      <c r="C61" s="7">
        <v>-475</v>
      </c>
      <c r="D61" s="7">
        <v>3750</v>
      </c>
      <c r="E61" s="7">
        <v>8</v>
      </c>
      <c r="F61" s="10">
        <f>B61+Origin_X</f>
        <v>-475</v>
      </c>
      <c r="G61" s="10">
        <f>C61+Origin_Y</f>
        <v>-475</v>
      </c>
    </row>
    <row r="62" spans="1:7" x14ac:dyDescent="0.25">
      <c r="A62" s="7">
        <v>57</v>
      </c>
      <c r="B62" s="7">
        <v>-550</v>
      </c>
      <c r="C62" s="7">
        <v>-475</v>
      </c>
      <c r="D62" s="7">
        <v>3750</v>
      </c>
      <c r="E62" s="7">
        <v>8</v>
      </c>
      <c r="F62" s="10">
        <f>B62+Origin_X</f>
        <v>-550</v>
      </c>
      <c r="G62" s="10">
        <f>C62+Origin_Y</f>
        <v>-475</v>
      </c>
    </row>
    <row r="63" spans="1:7" x14ac:dyDescent="0.25">
      <c r="A63" s="7">
        <v>58</v>
      </c>
      <c r="B63" s="7">
        <v>-575</v>
      </c>
      <c r="C63" s="7">
        <v>-350</v>
      </c>
      <c r="D63" s="7">
        <v>3750</v>
      </c>
      <c r="E63" s="7">
        <v>9</v>
      </c>
      <c r="F63" s="10">
        <f>B63+Origin_X</f>
        <v>-575</v>
      </c>
      <c r="G63" s="10">
        <f>C63+Origin_Y</f>
        <v>-350</v>
      </c>
    </row>
    <row r="64" spans="1:7" x14ac:dyDescent="0.25">
      <c r="A64" s="7">
        <v>59</v>
      </c>
      <c r="B64" s="7">
        <v>-575</v>
      </c>
      <c r="C64" s="7">
        <v>-425</v>
      </c>
      <c r="D64" s="7">
        <v>3750</v>
      </c>
      <c r="E64" s="7">
        <v>9</v>
      </c>
      <c r="F64" s="10">
        <f>B64+Origin_X</f>
        <v>-575</v>
      </c>
      <c r="G64" s="10">
        <f>C64+Origin_Y</f>
        <v>-425</v>
      </c>
    </row>
    <row r="65" spans="1:7" x14ac:dyDescent="0.25">
      <c r="A65" s="7">
        <v>60</v>
      </c>
      <c r="B65" s="7">
        <v>-500</v>
      </c>
      <c r="C65" s="7">
        <v>-425</v>
      </c>
      <c r="D65" s="7">
        <v>3750</v>
      </c>
      <c r="E65" s="7">
        <v>9</v>
      </c>
      <c r="F65" s="10">
        <f>B65+Origin_X</f>
        <v>-500</v>
      </c>
      <c r="G65" s="10">
        <f>C65+Origin_Y</f>
        <v>-425</v>
      </c>
    </row>
    <row r="66" spans="1:7" x14ac:dyDescent="0.25">
      <c r="A66" s="7">
        <v>61</v>
      </c>
      <c r="B66" s="7">
        <v>-550</v>
      </c>
      <c r="C66" s="7">
        <v>-341.66666666666663</v>
      </c>
      <c r="D66" s="7">
        <v>1250</v>
      </c>
      <c r="E66" s="7">
        <v>9</v>
      </c>
      <c r="F66" s="10">
        <f>B66+Origin_X</f>
        <v>-550</v>
      </c>
      <c r="G66" s="10">
        <f>C66+Origin_Y</f>
        <v>-341.66666666666663</v>
      </c>
    </row>
    <row r="67" spans="1:7" x14ac:dyDescent="0.25">
      <c r="A67" s="7">
        <v>62</v>
      </c>
      <c r="B67" s="7">
        <v>-475</v>
      </c>
      <c r="C67" s="7">
        <v>-416.66666666666663</v>
      </c>
      <c r="D67" s="7">
        <v>1250</v>
      </c>
      <c r="E67" s="7">
        <v>9</v>
      </c>
      <c r="F67" s="10">
        <f>B67+Origin_X</f>
        <v>-475</v>
      </c>
      <c r="G67" s="10">
        <f>C67+Origin_Y</f>
        <v>-416.66666666666663</v>
      </c>
    </row>
    <row r="68" spans="1:7" x14ac:dyDescent="0.25">
      <c r="A68" s="7">
        <v>63</v>
      </c>
      <c r="B68" s="7">
        <v>-475</v>
      </c>
      <c r="C68" s="7">
        <v>-391.66666666666663</v>
      </c>
      <c r="D68" s="7">
        <v>1250</v>
      </c>
      <c r="E68" s="7">
        <v>9</v>
      </c>
      <c r="F68" s="10">
        <f>B68+Origin_X</f>
        <v>-475</v>
      </c>
      <c r="G68" s="10">
        <f>C68+Origin_Y</f>
        <v>-391.66666666666663</v>
      </c>
    </row>
    <row r="69" spans="1:7" x14ac:dyDescent="0.25">
      <c r="A69" s="7">
        <v>64</v>
      </c>
      <c r="B69" s="7">
        <v>-491.66666666666663</v>
      </c>
      <c r="C69" s="7">
        <v>-366.66666666666663</v>
      </c>
      <c r="D69" s="7">
        <v>833.3333333333334</v>
      </c>
      <c r="E69" s="7">
        <v>9</v>
      </c>
      <c r="F69" s="10">
        <f>B69+Origin_X</f>
        <v>-491.66666666666663</v>
      </c>
      <c r="G69" s="10">
        <f>C69+Origin_Y</f>
        <v>-366.66666666666663</v>
      </c>
    </row>
    <row r="70" spans="1:7" x14ac:dyDescent="0.25">
      <c r="A70" s="7">
        <v>65</v>
      </c>
      <c r="B70" s="7">
        <v>-541.6666666666666</v>
      </c>
      <c r="C70" s="7">
        <v>-316.66666666666663</v>
      </c>
      <c r="D70" s="7">
        <v>833.3333333333334</v>
      </c>
      <c r="E70" s="7">
        <v>9</v>
      </c>
      <c r="F70" s="10">
        <f>B70+Origin_X</f>
        <v>-541.6666666666666</v>
      </c>
      <c r="G70" s="10">
        <f>C70+Origin_Y</f>
        <v>-316.66666666666663</v>
      </c>
    </row>
    <row r="71" spans="1:7" x14ac:dyDescent="0.25">
      <c r="A71" s="7">
        <v>66</v>
      </c>
      <c r="B71" s="7">
        <v>-566.6666666666666</v>
      </c>
      <c r="C71" s="7">
        <v>-316.66666666666663</v>
      </c>
      <c r="D71" s="7">
        <v>833.3333333333334</v>
      </c>
      <c r="E71" s="7">
        <v>9</v>
      </c>
      <c r="F71" s="10">
        <f>B71+Origin_X</f>
        <v>-566.6666666666666</v>
      </c>
      <c r="G71" s="10">
        <f>C71+Origin_Y</f>
        <v>-316.66666666666663</v>
      </c>
    </row>
    <row r="72" spans="1:7" x14ac:dyDescent="0.25">
      <c r="A72" s="7">
        <v>67</v>
      </c>
      <c r="B72" s="7">
        <v>-591.6666666666666</v>
      </c>
      <c r="C72" s="7">
        <v>-200</v>
      </c>
      <c r="D72" s="7">
        <v>1250</v>
      </c>
      <c r="E72" s="7">
        <v>10</v>
      </c>
      <c r="F72" s="10">
        <f>B72+Origin_X</f>
        <v>-591.6666666666666</v>
      </c>
      <c r="G72" s="10">
        <f>C72+Origin_Y</f>
        <v>-200</v>
      </c>
    </row>
    <row r="73" spans="1:7" x14ac:dyDescent="0.25">
      <c r="A73" s="7">
        <v>68</v>
      </c>
      <c r="B73" s="7">
        <v>-591.6666666666666</v>
      </c>
      <c r="C73" s="7">
        <v>-275</v>
      </c>
      <c r="D73" s="7">
        <v>1250</v>
      </c>
      <c r="E73" s="7">
        <v>10</v>
      </c>
      <c r="F73" s="10">
        <f>B73+Origin_X</f>
        <v>-591.6666666666666</v>
      </c>
      <c r="G73" s="10">
        <f>C73+Origin_Y</f>
        <v>-275</v>
      </c>
    </row>
    <row r="74" spans="1:7" x14ac:dyDescent="0.25">
      <c r="A74" s="7">
        <v>69</v>
      </c>
      <c r="B74" s="7">
        <v>-566.6666666666666</v>
      </c>
      <c r="C74" s="7">
        <v>-275</v>
      </c>
      <c r="D74" s="7">
        <v>1250</v>
      </c>
      <c r="E74" s="7">
        <v>10</v>
      </c>
      <c r="F74" s="10">
        <f>B74+Origin_X</f>
        <v>-566.6666666666666</v>
      </c>
      <c r="G74" s="10">
        <f>C74+Origin_Y</f>
        <v>-275</v>
      </c>
    </row>
    <row r="75" spans="1:7" x14ac:dyDescent="0.25">
      <c r="A75" s="7">
        <v>70</v>
      </c>
      <c r="B75" s="7">
        <v>-558.3333333333333</v>
      </c>
      <c r="C75" s="7">
        <v>-250</v>
      </c>
      <c r="D75" s="7">
        <v>1250</v>
      </c>
      <c r="E75" s="7">
        <v>10</v>
      </c>
      <c r="F75" s="10">
        <f>B75+Origin_X</f>
        <v>-558.3333333333333</v>
      </c>
      <c r="G75" s="10">
        <f>C75+Origin_Y</f>
        <v>-250</v>
      </c>
    </row>
    <row r="76" spans="1:7" x14ac:dyDescent="0.25">
      <c r="A76" s="7">
        <v>71</v>
      </c>
      <c r="B76" s="7">
        <v>-558.3333333333333</v>
      </c>
      <c r="C76" s="7">
        <v>-175</v>
      </c>
      <c r="D76" s="7">
        <v>1250</v>
      </c>
      <c r="E76" s="7">
        <v>10</v>
      </c>
      <c r="F76" s="10">
        <f>B76+Origin_X</f>
        <v>-558.3333333333333</v>
      </c>
      <c r="G76" s="10">
        <f>C76+Origin_Y</f>
        <v>-175</v>
      </c>
    </row>
    <row r="77" spans="1:7" x14ac:dyDescent="0.25">
      <c r="A77" s="7">
        <v>72</v>
      </c>
      <c r="B77" s="7">
        <v>-583.3333333333333</v>
      </c>
      <c r="C77" s="7">
        <v>-175</v>
      </c>
      <c r="D77" s="7">
        <v>1250</v>
      </c>
      <c r="E77" s="7">
        <v>10</v>
      </c>
      <c r="F77" s="10">
        <f>B77+Origin_X</f>
        <v>-583.3333333333333</v>
      </c>
      <c r="G77" s="10">
        <f>C77+Origin_Y</f>
        <v>-175</v>
      </c>
    </row>
    <row r="78" spans="1:7" x14ac:dyDescent="0.25">
      <c r="A78" s="7">
        <v>73</v>
      </c>
      <c r="B78" s="7">
        <v>-591.6666666666666</v>
      </c>
      <c r="C78" s="7">
        <v>-50</v>
      </c>
      <c r="D78" s="7">
        <v>1250</v>
      </c>
      <c r="E78" s="7">
        <v>11</v>
      </c>
      <c r="F78" s="10">
        <f>B78+Origin_X</f>
        <v>-591.6666666666666</v>
      </c>
      <c r="G78" s="10">
        <f>C78+Origin_Y</f>
        <v>-50</v>
      </c>
    </row>
    <row r="79" spans="1:7" x14ac:dyDescent="0.25">
      <c r="A79" s="7">
        <v>74</v>
      </c>
      <c r="B79" s="7">
        <v>-591.6666666666666</v>
      </c>
      <c r="C79" s="7">
        <v>-125</v>
      </c>
      <c r="D79" s="7">
        <v>1250</v>
      </c>
      <c r="E79" s="7">
        <v>11</v>
      </c>
      <c r="F79" s="10">
        <f>B79+Origin_X</f>
        <v>-591.6666666666666</v>
      </c>
      <c r="G79" s="10">
        <f>C79+Origin_Y</f>
        <v>-125</v>
      </c>
    </row>
    <row r="80" spans="1:7" x14ac:dyDescent="0.25">
      <c r="A80" s="7">
        <v>75</v>
      </c>
      <c r="B80" s="7">
        <v>-566.6666666666666</v>
      </c>
      <c r="C80" s="7">
        <v>-125</v>
      </c>
      <c r="D80" s="7">
        <v>1250</v>
      </c>
      <c r="E80" s="7">
        <v>11</v>
      </c>
      <c r="F80" s="10">
        <f>B80+Origin_X</f>
        <v>-566.6666666666666</v>
      </c>
      <c r="G80" s="10">
        <f>C80+Origin_Y</f>
        <v>-125</v>
      </c>
    </row>
    <row r="81" spans="1:7" x14ac:dyDescent="0.25">
      <c r="A81" s="7">
        <v>76</v>
      </c>
      <c r="B81" s="7">
        <v>-558.3333333333333</v>
      </c>
      <c r="C81" s="7">
        <v>-100</v>
      </c>
      <c r="D81" s="7">
        <v>1250</v>
      </c>
      <c r="E81" s="7">
        <v>11</v>
      </c>
      <c r="F81" s="10">
        <f>B81+Origin_X</f>
        <v>-558.3333333333333</v>
      </c>
      <c r="G81" s="10">
        <f>C81+Origin_Y</f>
        <v>-100</v>
      </c>
    </row>
    <row r="82" spans="1:7" x14ac:dyDescent="0.25">
      <c r="A82" s="7">
        <v>77</v>
      </c>
      <c r="B82" s="7">
        <v>-558.3333333333333</v>
      </c>
      <c r="C82" s="7">
        <v>-25</v>
      </c>
      <c r="D82" s="7">
        <v>1250</v>
      </c>
      <c r="E82" s="7">
        <v>11</v>
      </c>
      <c r="F82" s="10">
        <f>B82+Origin_X</f>
        <v>-558.3333333333333</v>
      </c>
      <c r="G82" s="10">
        <f>C82+Origin_Y</f>
        <v>-25</v>
      </c>
    </row>
    <row r="83" spans="1:7" x14ac:dyDescent="0.25">
      <c r="A83" s="7">
        <v>78</v>
      </c>
      <c r="B83" s="7">
        <v>-583.3333333333333</v>
      </c>
      <c r="C83" s="7">
        <v>-25</v>
      </c>
      <c r="D83" s="7">
        <v>1250</v>
      </c>
      <c r="E83" s="7">
        <v>11</v>
      </c>
      <c r="F83" s="10">
        <f>B83+Origin_X</f>
        <v>-583.3333333333333</v>
      </c>
      <c r="G83" s="10">
        <f>C83+Origin_Y</f>
        <v>-25</v>
      </c>
    </row>
    <row r="84" spans="1:7" x14ac:dyDescent="0.25">
      <c r="A84" s="7">
        <v>79</v>
      </c>
      <c r="B84" s="7">
        <v>-591.6666666666666</v>
      </c>
      <c r="C84" s="7">
        <v>100</v>
      </c>
      <c r="D84" s="7">
        <v>1250</v>
      </c>
      <c r="E84" s="7">
        <v>12</v>
      </c>
      <c r="F84" s="10">
        <f>B84+Origin_X</f>
        <v>-591.6666666666666</v>
      </c>
      <c r="G84" s="10">
        <f>C84+Origin_Y</f>
        <v>100</v>
      </c>
    </row>
    <row r="85" spans="1:7" x14ac:dyDescent="0.25">
      <c r="A85" s="7">
        <v>80</v>
      </c>
      <c r="B85" s="7">
        <v>-591.6666666666666</v>
      </c>
      <c r="C85" s="7">
        <v>25</v>
      </c>
      <c r="D85" s="7">
        <v>1250</v>
      </c>
      <c r="E85" s="7">
        <v>12</v>
      </c>
      <c r="F85" s="10">
        <f>B85+Origin_X</f>
        <v>-591.6666666666666</v>
      </c>
      <c r="G85" s="10">
        <f>C85+Origin_Y</f>
        <v>25</v>
      </c>
    </row>
    <row r="86" spans="1:7" x14ac:dyDescent="0.25">
      <c r="A86" s="7">
        <v>81</v>
      </c>
      <c r="B86" s="7">
        <v>-566.6666666666666</v>
      </c>
      <c r="C86" s="7">
        <v>25</v>
      </c>
      <c r="D86" s="7">
        <v>1250</v>
      </c>
      <c r="E86" s="7">
        <v>12</v>
      </c>
      <c r="F86" s="10">
        <f>B86+Origin_X</f>
        <v>-566.6666666666666</v>
      </c>
      <c r="G86" s="10">
        <f>C86+Origin_Y</f>
        <v>25</v>
      </c>
    </row>
    <row r="87" spans="1:7" x14ac:dyDescent="0.25">
      <c r="A87" s="7">
        <v>82</v>
      </c>
      <c r="B87" s="7">
        <v>-558.3333333333333</v>
      </c>
      <c r="C87" s="7">
        <v>50</v>
      </c>
      <c r="D87" s="7">
        <v>1250</v>
      </c>
      <c r="E87" s="7">
        <v>12</v>
      </c>
      <c r="F87" s="10">
        <f>B87+Origin_X</f>
        <v>-558.3333333333333</v>
      </c>
      <c r="G87" s="10">
        <f>C87+Origin_Y</f>
        <v>50</v>
      </c>
    </row>
    <row r="88" spans="1:7" x14ac:dyDescent="0.25">
      <c r="A88" s="7">
        <v>83</v>
      </c>
      <c r="B88" s="7">
        <v>-558.3333333333333</v>
      </c>
      <c r="C88" s="7">
        <v>125</v>
      </c>
      <c r="D88" s="7">
        <v>1250</v>
      </c>
      <c r="E88" s="7">
        <v>12</v>
      </c>
      <c r="F88" s="10">
        <f>B88+Origin_X</f>
        <v>-558.3333333333333</v>
      </c>
      <c r="G88" s="10">
        <f>C88+Origin_Y</f>
        <v>125</v>
      </c>
    </row>
    <row r="89" spans="1:7" x14ac:dyDescent="0.25">
      <c r="A89" s="7">
        <v>84</v>
      </c>
      <c r="B89" s="7">
        <v>-583.3333333333333</v>
      </c>
      <c r="C89" s="7">
        <v>125</v>
      </c>
      <c r="D89" s="7">
        <v>1250</v>
      </c>
      <c r="E89" s="7">
        <v>12</v>
      </c>
      <c r="F89" s="10">
        <f>B89+Origin_X</f>
        <v>-583.3333333333333</v>
      </c>
      <c r="G89" s="10">
        <f>C89+Origin_Y</f>
        <v>125</v>
      </c>
    </row>
    <row r="90" spans="1:7" x14ac:dyDescent="0.25">
      <c r="A90" s="7">
        <v>85</v>
      </c>
      <c r="B90" s="7">
        <v>-591.6666666666666</v>
      </c>
      <c r="C90" s="7">
        <v>250</v>
      </c>
      <c r="D90" s="7">
        <v>1250</v>
      </c>
      <c r="E90" s="7">
        <v>13</v>
      </c>
      <c r="F90" s="10">
        <f>B90+Origin_X</f>
        <v>-591.6666666666666</v>
      </c>
      <c r="G90" s="10">
        <f>C90+Origin_Y</f>
        <v>250</v>
      </c>
    </row>
    <row r="91" spans="1:7" x14ac:dyDescent="0.25">
      <c r="A91" s="7">
        <v>86</v>
      </c>
      <c r="B91" s="7">
        <v>-591.6666666666666</v>
      </c>
      <c r="C91" s="7">
        <v>175</v>
      </c>
      <c r="D91" s="7">
        <v>1250</v>
      </c>
      <c r="E91" s="7">
        <v>13</v>
      </c>
      <c r="F91" s="10">
        <f>B91+Origin_X</f>
        <v>-591.6666666666666</v>
      </c>
      <c r="G91" s="10">
        <f>C91+Origin_Y</f>
        <v>175</v>
      </c>
    </row>
    <row r="92" spans="1:7" x14ac:dyDescent="0.25">
      <c r="A92" s="7">
        <v>87</v>
      </c>
      <c r="B92" s="7">
        <v>-566.6666666666666</v>
      </c>
      <c r="C92" s="7">
        <v>175</v>
      </c>
      <c r="D92" s="7">
        <v>1250</v>
      </c>
      <c r="E92" s="7">
        <v>13</v>
      </c>
      <c r="F92" s="10">
        <f>B92+Origin_X</f>
        <v>-566.6666666666666</v>
      </c>
      <c r="G92" s="10">
        <f>C92+Origin_Y</f>
        <v>175</v>
      </c>
    </row>
    <row r="93" spans="1:7" x14ac:dyDescent="0.25">
      <c r="A93" s="7">
        <v>88</v>
      </c>
      <c r="B93" s="7">
        <v>-558.3333333333333</v>
      </c>
      <c r="C93" s="7">
        <v>200</v>
      </c>
      <c r="D93" s="7">
        <v>1250</v>
      </c>
      <c r="E93" s="7">
        <v>13</v>
      </c>
      <c r="F93" s="10">
        <f>B93+Origin_X</f>
        <v>-558.3333333333333</v>
      </c>
      <c r="G93" s="10">
        <f>C93+Origin_Y</f>
        <v>200</v>
      </c>
    </row>
    <row r="94" spans="1:7" x14ac:dyDescent="0.25">
      <c r="A94" s="7">
        <v>89</v>
      </c>
      <c r="B94" s="7">
        <v>-558.3333333333333</v>
      </c>
      <c r="C94" s="7">
        <v>275</v>
      </c>
      <c r="D94" s="7">
        <v>1250</v>
      </c>
      <c r="E94" s="7">
        <v>13</v>
      </c>
      <c r="F94" s="10">
        <f>B94+Origin_X</f>
        <v>-558.3333333333333</v>
      </c>
      <c r="G94" s="10">
        <f>C94+Origin_Y</f>
        <v>275</v>
      </c>
    </row>
    <row r="95" spans="1:7" x14ac:dyDescent="0.25">
      <c r="A95" s="7">
        <v>90</v>
      </c>
      <c r="B95" s="7">
        <v>-583.3333333333333</v>
      </c>
      <c r="C95" s="7">
        <v>275</v>
      </c>
      <c r="D95" s="7">
        <v>1250</v>
      </c>
      <c r="E95" s="7">
        <v>13</v>
      </c>
      <c r="F95" s="10">
        <f>B95+Origin_X</f>
        <v>-583.3333333333333</v>
      </c>
      <c r="G95" s="10">
        <f>C95+Origin_Y</f>
        <v>275</v>
      </c>
    </row>
    <row r="96" spans="1:7" x14ac:dyDescent="0.25">
      <c r="A96" s="7">
        <v>91</v>
      </c>
      <c r="B96" s="7">
        <v>-591.6666666666666</v>
      </c>
      <c r="C96" s="7">
        <v>400</v>
      </c>
      <c r="D96" s="7">
        <v>1250</v>
      </c>
      <c r="E96" s="7">
        <v>14</v>
      </c>
      <c r="F96" s="10">
        <f>B96+Origin_X</f>
        <v>-591.6666666666666</v>
      </c>
      <c r="G96" s="10">
        <f>C96+Origin_Y</f>
        <v>400</v>
      </c>
    </row>
    <row r="97" spans="1:7" x14ac:dyDescent="0.25">
      <c r="A97" s="7">
        <v>92</v>
      </c>
      <c r="B97" s="7">
        <v>-591.6666666666666</v>
      </c>
      <c r="C97" s="7">
        <v>325</v>
      </c>
      <c r="D97" s="7">
        <v>1250</v>
      </c>
      <c r="E97" s="7">
        <v>14</v>
      </c>
      <c r="F97" s="10">
        <f>B97+Origin_X</f>
        <v>-591.6666666666666</v>
      </c>
      <c r="G97" s="10">
        <f>C97+Origin_Y</f>
        <v>325</v>
      </c>
    </row>
    <row r="98" spans="1:7" x14ac:dyDescent="0.25">
      <c r="A98" s="7">
        <v>93</v>
      </c>
      <c r="B98" s="7">
        <v>-566.6666666666666</v>
      </c>
      <c r="C98" s="7">
        <v>325</v>
      </c>
      <c r="D98" s="7">
        <v>1250</v>
      </c>
      <c r="E98" s="7">
        <v>14</v>
      </c>
      <c r="F98" s="10">
        <f>B98+Origin_X</f>
        <v>-566.6666666666666</v>
      </c>
      <c r="G98" s="10">
        <f>C98+Origin_Y</f>
        <v>325</v>
      </c>
    </row>
    <row r="99" spans="1:7" x14ac:dyDescent="0.25">
      <c r="A99" s="7">
        <v>94</v>
      </c>
      <c r="B99" s="7">
        <v>-566.6666666666666</v>
      </c>
      <c r="C99" s="7">
        <v>416.66666666666663</v>
      </c>
      <c r="D99" s="7">
        <v>3333.3333333333335</v>
      </c>
      <c r="E99" s="7">
        <v>14</v>
      </c>
      <c r="F99" s="10">
        <f>B99+Origin_X</f>
        <v>-566.6666666666666</v>
      </c>
      <c r="G99" s="10">
        <f>C99+Origin_Y</f>
        <v>416.66666666666663</v>
      </c>
    </row>
    <row r="100" spans="1:7" x14ac:dyDescent="0.25">
      <c r="A100" s="7">
        <v>95</v>
      </c>
      <c r="B100" s="7">
        <v>-541.6666666666666</v>
      </c>
      <c r="C100" s="7">
        <v>341.66666666666663</v>
      </c>
      <c r="D100" s="7">
        <v>3333.3333333333335</v>
      </c>
      <c r="E100" s="7">
        <v>14</v>
      </c>
      <c r="F100" s="10">
        <f>B100+Origin_X</f>
        <v>-541.6666666666666</v>
      </c>
      <c r="G100" s="10">
        <f>C100+Origin_Y</f>
        <v>341.66666666666663</v>
      </c>
    </row>
    <row r="101" spans="1:7" x14ac:dyDescent="0.25">
      <c r="A101" s="7">
        <v>96</v>
      </c>
      <c r="B101" s="7">
        <v>-491.66666666666663</v>
      </c>
      <c r="C101" s="7">
        <v>391.66666666666663</v>
      </c>
      <c r="D101" s="7">
        <v>3333.3333333333335</v>
      </c>
      <c r="E101" s="7">
        <v>14</v>
      </c>
      <c r="F101" s="10">
        <f>B101+Origin_X</f>
        <v>-491.66666666666663</v>
      </c>
      <c r="G101" s="10">
        <f>C101+Origin_Y</f>
        <v>391.66666666666663</v>
      </c>
    </row>
    <row r="102" spans="1:7" x14ac:dyDescent="0.25">
      <c r="A102" s="7">
        <v>97</v>
      </c>
      <c r="B102" s="7">
        <v>-475</v>
      </c>
      <c r="C102" s="7">
        <v>416.66666666666663</v>
      </c>
      <c r="D102" s="7">
        <v>1250</v>
      </c>
      <c r="E102" s="7">
        <v>14</v>
      </c>
      <c r="F102" s="10">
        <f>B102+Origin_X</f>
        <v>-475</v>
      </c>
      <c r="G102" s="10">
        <f>C102+Origin_Y</f>
        <v>416.66666666666663</v>
      </c>
    </row>
    <row r="103" spans="1:7" x14ac:dyDescent="0.25">
      <c r="A103" s="7">
        <v>98</v>
      </c>
      <c r="B103" s="7">
        <v>-475</v>
      </c>
      <c r="C103" s="7">
        <v>441.66666666666663</v>
      </c>
      <c r="D103" s="7">
        <v>1250</v>
      </c>
      <c r="E103" s="7">
        <v>14</v>
      </c>
      <c r="F103" s="10">
        <f>B103+Origin_X</f>
        <v>-475</v>
      </c>
      <c r="G103" s="10">
        <f>C103+Origin_Y</f>
        <v>441.66666666666663</v>
      </c>
    </row>
    <row r="104" spans="1:7" x14ac:dyDescent="0.25">
      <c r="A104" s="7">
        <v>99</v>
      </c>
      <c r="B104" s="7">
        <v>-550</v>
      </c>
      <c r="C104" s="7">
        <v>441.66666666666663</v>
      </c>
      <c r="D104" s="7">
        <v>1250</v>
      </c>
      <c r="E104" s="7">
        <v>14</v>
      </c>
      <c r="F104" s="10">
        <f>B104+Origin_X</f>
        <v>-550</v>
      </c>
      <c r="G104" s="10">
        <f>C104+Origin_Y</f>
        <v>441.66666666666663</v>
      </c>
    </row>
    <row r="105" spans="1:7" x14ac:dyDescent="0.25">
      <c r="A105" s="7">
        <v>100</v>
      </c>
      <c r="B105" s="7">
        <v>-575</v>
      </c>
      <c r="C105" s="7">
        <v>516.6666666666666</v>
      </c>
      <c r="D105" s="7">
        <v>2500</v>
      </c>
      <c r="E105" s="7">
        <v>15</v>
      </c>
      <c r="F105" s="10">
        <f>B105+Origin_X</f>
        <v>-575</v>
      </c>
      <c r="G105" s="10">
        <f>C105+Origin_Y</f>
        <v>516.6666666666666</v>
      </c>
    </row>
    <row r="106" spans="1:7" x14ac:dyDescent="0.25">
      <c r="A106" s="7">
        <v>101</v>
      </c>
      <c r="B106" s="7">
        <v>-575</v>
      </c>
      <c r="C106" s="7">
        <v>466.66666666666663</v>
      </c>
      <c r="D106" s="7">
        <v>2500</v>
      </c>
      <c r="E106" s="7">
        <v>15</v>
      </c>
      <c r="F106" s="10">
        <f>B106+Origin_X</f>
        <v>-575</v>
      </c>
      <c r="G106" s="10">
        <f>C106+Origin_Y</f>
        <v>466.66666666666663</v>
      </c>
    </row>
    <row r="107" spans="1:7" x14ac:dyDescent="0.25">
      <c r="A107" s="7">
        <v>102</v>
      </c>
      <c r="B107" s="7">
        <v>-500</v>
      </c>
      <c r="C107" s="7">
        <v>466.66666666666663</v>
      </c>
      <c r="D107" s="7">
        <v>2500</v>
      </c>
      <c r="E107" s="7">
        <v>15</v>
      </c>
      <c r="F107" s="10">
        <f>B107+Origin_X</f>
        <v>-500</v>
      </c>
      <c r="G107" s="10">
        <f>C107+Origin_Y</f>
        <v>466.66666666666663</v>
      </c>
    </row>
    <row r="108" spans="1:7" x14ac:dyDescent="0.25">
      <c r="A108" s="7">
        <v>103</v>
      </c>
      <c r="B108" s="7">
        <v>-550</v>
      </c>
      <c r="C108" s="7">
        <v>541.6666666666666</v>
      </c>
      <c r="D108" s="7">
        <v>3750</v>
      </c>
      <c r="E108" s="7">
        <v>15</v>
      </c>
      <c r="F108" s="10">
        <f>B108+Origin_X</f>
        <v>-550</v>
      </c>
      <c r="G108" s="10">
        <f>C108+Origin_Y</f>
        <v>541.6666666666666</v>
      </c>
    </row>
    <row r="109" spans="1:7" x14ac:dyDescent="0.25">
      <c r="A109" s="7">
        <v>104</v>
      </c>
      <c r="B109" s="7">
        <v>-475</v>
      </c>
      <c r="C109" s="7">
        <v>491.66666666666663</v>
      </c>
      <c r="D109" s="7">
        <v>3750</v>
      </c>
      <c r="E109" s="7">
        <v>15</v>
      </c>
      <c r="F109" s="10">
        <f>B109+Origin_X</f>
        <v>-475</v>
      </c>
      <c r="G109" s="10">
        <f>C109+Origin_Y</f>
        <v>491.66666666666663</v>
      </c>
    </row>
    <row r="110" spans="1:7" x14ac:dyDescent="0.25">
      <c r="A110" s="7">
        <v>105</v>
      </c>
      <c r="B110" s="7">
        <v>-475</v>
      </c>
      <c r="C110" s="7">
        <v>566.6666666666666</v>
      </c>
      <c r="D110" s="7">
        <v>3750</v>
      </c>
      <c r="E110" s="7">
        <v>15</v>
      </c>
      <c r="F110" s="10">
        <f>B110+Origin_X</f>
        <v>-475</v>
      </c>
      <c r="G110" s="10">
        <f>C110+Origin_Y</f>
        <v>566.6666666666666</v>
      </c>
    </row>
    <row r="111" spans="1:7" x14ac:dyDescent="0.25">
      <c r="A111" s="7">
        <v>106</v>
      </c>
      <c r="B111" s="7">
        <v>-491.66666666666663</v>
      </c>
      <c r="C111" s="7">
        <v>591.6666666666666</v>
      </c>
      <c r="D111" s="7">
        <v>833.3333333333334</v>
      </c>
      <c r="E111" s="7">
        <v>15</v>
      </c>
      <c r="F111" s="10">
        <f>B111+Origin_X</f>
        <v>-491.66666666666663</v>
      </c>
      <c r="G111" s="10">
        <f>C111+Origin_Y</f>
        <v>591.6666666666666</v>
      </c>
    </row>
    <row r="112" spans="1:7" x14ac:dyDescent="0.25">
      <c r="A112" s="7">
        <v>107</v>
      </c>
      <c r="B112" s="7">
        <v>-541.6666666666666</v>
      </c>
      <c r="C112" s="7">
        <v>591.6666666666666</v>
      </c>
      <c r="D112" s="7">
        <v>833.3333333333334</v>
      </c>
      <c r="E112" s="7">
        <v>15</v>
      </c>
      <c r="F112" s="10">
        <f>B112+Origin_X</f>
        <v>-541.6666666666666</v>
      </c>
      <c r="G112" s="10">
        <f>C112+Origin_Y</f>
        <v>591.6666666666666</v>
      </c>
    </row>
    <row r="113" spans="1:7" x14ac:dyDescent="0.25">
      <c r="A113" s="7">
        <v>108</v>
      </c>
      <c r="B113" s="7">
        <v>-566.6666666666666</v>
      </c>
      <c r="C113" s="7">
        <v>566.6666666666666</v>
      </c>
      <c r="D113" s="7">
        <v>833.3333333333334</v>
      </c>
      <c r="E113" s="7">
        <v>15</v>
      </c>
      <c r="F113" s="10">
        <f>B113+Origin_X</f>
        <v>-566.6666666666666</v>
      </c>
      <c r="G113" s="10">
        <f>C113+Origin_Y</f>
        <v>566.6666666666666</v>
      </c>
    </row>
    <row r="114" spans="1:7" x14ac:dyDescent="0.25">
      <c r="A114" s="7">
        <v>109</v>
      </c>
      <c r="B114" s="7">
        <v>-425</v>
      </c>
      <c r="C114" s="7">
        <v>-500</v>
      </c>
      <c r="D114" s="7">
        <v>3750</v>
      </c>
      <c r="E114" s="7">
        <v>16</v>
      </c>
      <c r="F114" s="10">
        <f>B114+Origin_X</f>
        <v>-425</v>
      </c>
      <c r="G114" s="10">
        <f>C114+Origin_Y</f>
        <v>-500</v>
      </c>
    </row>
    <row r="115" spans="1:7" x14ac:dyDescent="0.25">
      <c r="A115" s="7">
        <v>110</v>
      </c>
      <c r="B115" s="7">
        <v>-425</v>
      </c>
      <c r="C115" s="7">
        <v>-575</v>
      </c>
      <c r="D115" s="7">
        <v>3750</v>
      </c>
      <c r="E115" s="7">
        <v>16</v>
      </c>
      <c r="F115" s="10">
        <f>B115+Origin_X</f>
        <v>-425</v>
      </c>
      <c r="G115" s="10">
        <f>C115+Origin_Y</f>
        <v>-575</v>
      </c>
    </row>
    <row r="116" spans="1:7" x14ac:dyDescent="0.25">
      <c r="A116" s="7">
        <v>111</v>
      </c>
      <c r="B116" s="7">
        <v>-350</v>
      </c>
      <c r="C116" s="7">
        <v>-575</v>
      </c>
      <c r="D116" s="7">
        <v>3750</v>
      </c>
      <c r="E116" s="7">
        <v>16</v>
      </c>
      <c r="F116" s="10">
        <f>B116+Origin_X</f>
        <v>-350</v>
      </c>
      <c r="G116" s="10">
        <f>C116+Origin_Y</f>
        <v>-575</v>
      </c>
    </row>
    <row r="117" spans="1:7" x14ac:dyDescent="0.25">
      <c r="A117" s="7">
        <v>112</v>
      </c>
      <c r="B117" s="7">
        <v>-325</v>
      </c>
      <c r="C117" s="7">
        <v>-550</v>
      </c>
      <c r="D117" s="7">
        <v>3750</v>
      </c>
      <c r="E117" s="7">
        <v>16</v>
      </c>
      <c r="F117" s="10">
        <f>B117+Origin_X</f>
        <v>-325</v>
      </c>
      <c r="G117" s="10">
        <f>C117+Origin_Y</f>
        <v>-550</v>
      </c>
    </row>
    <row r="118" spans="1:7" x14ac:dyDescent="0.25">
      <c r="A118" s="7">
        <v>113</v>
      </c>
      <c r="B118" s="7">
        <v>-325</v>
      </c>
      <c r="C118" s="7">
        <v>-475</v>
      </c>
      <c r="D118" s="7">
        <v>3750</v>
      </c>
      <c r="E118" s="7">
        <v>16</v>
      </c>
      <c r="F118" s="10">
        <f>B118+Origin_X</f>
        <v>-325</v>
      </c>
      <c r="G118" s="10">
        <f>C118+Origin_Y</f>
        <v>-475</v>
      </c>
    </row>
    <row r="119" spans="1:7" x14ac:dyDescent="0.25">
      <c r="A119" s="7">
        <v>114</v>
      </c>
      <c r="B119" s="7">
        <v>-400</v>
      </c>
      <c r="C119" s="7">
        <v>-475</v>
      </c>
      <c r="D119" s="7">
        <v>3750</v>
      </c>
      <c r="E119" s="7">
        <v>16</v>
      </c>
      <c r="F119" s="10">
        <f>B119+Origin_X</f>
        <v>-400</v>
      </c>
      <c r="G119" s="10">
        <f>C119+Origin_Y</f>
        <v>-475</v>
      </c>
    </row>
    <row r="120" spans="1:7" x14ac:dyDescent="0.25">
      <c r="A120" s="7">
        <v>115</v>
      </c>
      <c r="B120" s="7">
        <v>-425</v>
      </c>
      <c r="C120" s="7">
        <v>-416.66666666666663</v>
      </c>
      <c r="D120" s="7">
        <v>1250</v>
      </c>
      <c r="E120" s="7">
        <v>17</v>
      </c>
      <c r="F120" s="10">
        <f>B120+Origin_X</f>
        <v>-425</v>
      </c>
      <c r="G120" s="10">
        <f>C120+Origin_Y</f>
        <v>-416.66666666666663</v>
      </c>
    </row>
    <row r="121" spans="1:7" x14ac:dyDescent="0.25">
      <c r="A121" s="7">
        <v>116</v>
      </c>
      <c r="B121" s="7">
        <v>-425</v>
      </c>
      <c r="C121" s="7">
        <v>-441.66666666666663</v>
      </c>
      <c r="D121" s="7">
        <v>1250</v>
      </c>
      <c r="E121" s="7">
        <v>17</v>
      </c>
      <c r="F121" s="10">
        <f>B121+Origin_X</f>
        <v>-425</v>
      </c>
      <c r="G121" s="10">
        <f>C121+Origin_Y</f>
        <v>-441.66666666666663</v>
      </c>
    </row>
    <row r="122" spans="1:7" x14ac:dyDescent="0.25">
      <c r="A122" s="7">
        <v>117</v>
      </c>
      <c r="B122" s="7">
        <v>-350</v>
      </c>
      <c r="C122" s="7">
        <v>-441.66666666666663</v>
      </c>
      <c r="D122" s="7">
        <v>1250</v>
      </c>
      <c r="E122" s="7">
        <v>17</v>
      </c>
      <c r="F122" s="10">
        <f>B122+Origin_X</f>
        <v>-350</v>
      </c>
      <c r="G122" s="10">
        <f>C122+Origin_Y</f>
        <v>-441.66666666666663</v>
      </c>
    </row>
    <row r="123" spans="1:7" x14ac:dyDescent="0.25">
      <c r="A123" s="7">
        <v>118</v>
      </c>
      <c r="B123" s="7">
        <v>-325</v>
      </c>
      <c r="C123" s="7">
        <v>-433.33333333333326</v>
      </c>
      <c r="D123" s="7">
        <v>1250</v>
      </c>
      <c r="E123" s="7">
        <v>17</v>
      </c>
      <c r="F123" s="10">
        <f>B123+Origin_X</f>
        <v>-325</v>
      </c>
      <c r="G123" s="10">
        <f>C123+Origin_Y</f>
        <v>-433.33333333333326</v>
      </c>
    </row>
    <row r="124" spans="1:7" x14ac:dyDescent="0.25">
      <c r="A124" s="7">
        <v>119</v>
      </c>
      <c r="B124" s="7">
        <v>-325</v>
      </c>
      <c r="C124" s="7">
        <v>-408.33333333333326</v>
      </c>
      <c r="D124" s="7">
        <v>1250</v>
      </c>
      <c r="E124" s="7">
        <v>17</v>
      </c>
      <c r="F124" s="10">
        <f>B124+Origin_X</f>
        <v>-325</v>
      </c>
      <c r="G124" s="10">
        <f>C124+Origin_Y</f>
        <v>-408.33333333333326</v>
      </c>
    </row>
    <row r="125" spans="1:7" x14ac:dyDescent="0.25">
      <c r="A125" s="7">
        <v>120</v>
      </c>
      <c r="B125" s="7">
        <v>-400</v>
      </c>
      <c r="C125" s="7">
        <v>-408.33333333333326</v>
      </c>
      <c r="D125" s="7">
        <v>1250</v>
      </c>
      <c r="E125" s="7">
        <v>17</v>
      </c>
      <c r="F125" s="10">
        <f>B125+Origin_X</f>
        <v>-400</v>
      </c>
      <c r="G125" s="10">
        <f>C125+Origin_Y</f>
        <v>-408.33333333333326</v>
      </c>
    </row>
    <row r="126" spans="1:7" x14ac:dyDescent="0.25">
      <c r="A126" s="7">
        <v>121</v>
      </c>
      <c r="B126" s="7">
        <v>-425</v>
      </c>
      <c r="C126" s="7">
        <v>433.33333333333326</v>
      </c>
      <c r="D126" s="7">
        <v>1250</v>
      </c>
      <c r="E126" s="7">
        <v>18</v>
      </c>
      <c r="F126" s="10">
        <f>B126+Origin_X</f>
        <v>-425</v>
      </c>
      <c r="G126" s="10">
        <f>C126+Origin_Y</f>
        <v>433.33333333333326</v>
      </c>
    </row>
    <row r="127" spans="1:7" x14ac:dyDescent="0.25">
      <c r="A127" s="7">
        <v>122</v>
      </c>
      <c r="B127" s="7">
        <v>-425</v>
      </c>
      <c r="C127" s="7">
        <v>408.33333333333326</v>
      </c>
      <c r="D127" s="7">
        <v>1250</v>
      </c>
      <c r="E127" s="7">
        <v>18</v>
      </c>
      <c r="F127" s="10">
        <f>B127+Origin_X</f>
        <v>-425</v>
      </c>
      <c r="G127" s="10">
        <f>C127+Origin_Y</f>
        <v>408.33333333333326</v>
      </c>
    </row>
    <row r="128" spans="1:7" x14ac:dyDescent="0.25">
      <c r="A128" s="7">
        <v>123</v>
      </c>
      <c r="B128" s="7">
        <v>-350</v>
      </c>
      <c r="C128" s="7">
        <v>408.33333333333326</v>
      </c>
      <c r="D128" s="7">
        <v>1250</v>
      </c>
      <c r="E128" s="7">
        <v>18</v>
      </c>
      <c r="F128" s="10">
        <f>B128+Origin_X</f>
        <v>-350</v>
      </c>
      <c r="G128" s="10">
        <f>C128+Origin_Y</f>
        <v>408.33333333333326</v>
      </c>
    </row>
    <row r="129" spans="1:7" x14ac:dyDescent="0.25">
      <c r="A129" s="7">
        <v>124</v>
      </c>
      <c r="B129" s="7">
        <v>-325</v>
      </c>
      <c r="C129" s="7">
        <v>416.66666666666663</v>
      </c>
      <c r="D129" s="7">
        <v>1250</v>
      </c>
      <c r="E129" s="7">
        <v>18</v>
      </c>
      <c r="F129" s="10">
        <f>B129+Origin_X</f>
        <v>-325</v>
      </c>
      <c r="G129" s="10">
        <f>C129+Origin_Y</f>
        <v>416.66666666666663</v>
      </c>
    </row>
    <row r="130" spans="1:7" x14ac:dyDescent="0.25">
      <c r="A130" s="7">
        <v>125</v>
      </c>
      <c r="B130" s="7">
        <v>-325</v>
      </c>
      <c r="C130" s="7">
        <v>441.66666666666663</v>
      </c>
      <c r="D130" s="7">
        <v>1250</v>
      </c>
      <c r="E130" s="7">
        <v>18</v>
      </c>
      <c r="F130" s="10">
        <f>B130+Origin_X</f>
        <v>-325</v>
      </c>
      <c r="G130" s="10">
        <f>C130+Origin_Y</f>
        <v>441.66666666666663</v>
      </c>
    </row>
    <row r="131" spans="1:7" x14ac:dyDescent="0.25">
      <c r="A131" s="7">
        <v>126</v>
      </c>
      <c r="B131" s="7">
        <v>-400</v>
      </c>
      <c r="C131" s="7">
        <v>441.66666666666663</v>
      </c>
      <c r="D131" s="7">
        <v>1250</v>
      </c>
      <c r="E131" s="7">
        <v>18</v>
      </c>
      <c r="F131" s="10">
        <f>B131+Origin_X</f>
        <v>-400</v>
      </c>
      <c r="G131" s="10">
        <f>C131+Origin_Y</f>
        <v>441.66666666666663</v>
      </c>
    </row>
    <row r="132" spans="1:7" x14ac:dyDescent="0.25">
      <c r="A132" s="7">
        <v>127</v>
      </c>
      <c r="B132" s="7">
        <v>-425</v>
      </c>
      <c r="C132" s="7">
        <v>550</v>
      </c>
      <c r="D132" s="7">
        <v>3750</v>
      </c>
      <c r="E132" s="7">
        <v>19</v>
      </c>
      <c r="F132" s="10">
        <f>B132+Origin_X</f>
        <v>-425</v>
      </c>
      <c r="G132" s="10">
        <f>C132+Origin_Y</f>
        <v>550</v>
      </c>
    </row>
    <row r="133" spans="1:7" x14ac:dyDescent="0.25">
      <c r="A133" s="7">
        <v>128</v>
      </c>
      <c r="B133" s="7">
        <v>-425</v>
      </c>
      <c r="C133" s="7">
        <v>475</v>
      </c>
      <c r="D133" s="7">
        <v>3750</v>
      </c>
      <c r="E133" s="7">
        <v>19</v>
      </c>
      <c r="F133" s="10">
        <f>B133+Origin_X</f>
        <v>-425</v>
      </c>
      <c r="G133" s="10">
        <f>C133+Origin_Y</f>
        <v>475</v>
      </c>
    </row>
    <row r="134" spans="1:7" x14ac:dyDescent="0.25">
      <c r="A134" s="7">
        <v>129</v>
      </c>
      <c r="B134" s="7">
        <v>-350</v>
      </c>
      <c r="C134" s="7">
        <v>475</v>
      </c>
      <c r="D134" s="7">
        <v>3750</v>
      </c>
      <c r="E134" s="7">
        <v>19</v>
      </c>
      <c r="F134" s="10">
        <f>B134+Origin_X</f>
        <v>-350</v>
      </c>
      <c r="G134" s="10">
        <f>C134+Origin_Y</f>
        <v>475</v>
      </c>
    </row>
    <row r="135" spans="1:7" x14ac:dyDescent="0.25">
      <c r="A135" s="7">
        <v>130</v>
      </c>
      <c r="B135" s="7">
        <v>-325</v>
      </c>
      <c r="C135" s="7">
        <v>500</v>
      </c>
      <c r="D135" s="7">
        <v>3750</v>
      </c>
      <c r="E135" s="7">
        <v>19</v>
      </c>
      <c r="F135" s="10">
        <f>B135+Origin_X</f>
        <v>-325</v>
      </c>
      <c r="G135" s="10">
        <f>C135+Origin_Y</f>
        <v>500</v>
      </c>
    </row>
    <row r="136" spans="1:7" x14ac:dyDescent="0.25">
      <c r="A136" s="7">
        <v>131</v>
      </c>
      <c r="B136" s="7">
        <v>-325</v>
      </c>
      <c r="C136" s="7">
        <v>575</v>
      </c>
      <c r="D136" s="7">
        <v>3750</v>
      </c>
      <c r="E136" s="7">
        <v>19</v>
      </c>
      <c r="F136" s="10">
        <f>B136+Origin_X</f>
        <v>-325</v>
      </c>
      <c r="G136" s="10">
        <f>C136+Origin_Y</f>
        <v>575</v>
      </c>
    </row>
    <row r="137" spans="1:7" x14ac:dyDescent="0.25">
      <c r="A137" s="7">
        <v>132</v>
      </c>
      <c r="B137" s="7">
        <v>-400</v>
      </c>
      <c r="C137" s="7">
        <v>575</v>
      </c>
      <c r="D137" s="7">
        <v>3750</v>
      </c>
      <c r="E137" s="7">
        <v>19</v>
      </c>
      <c r="F137" s="10">
        <f>B137+Origin_X</f>
        <v>-400</v>
      </c>
      <c r="G137" s="10">
        <f>C137+Origin_Y</f>
        <v>575</v>
      </c>
    </row>
    <row r="138" spans="1:7" x14ac:dyDescent="0.25">
      <c r="A138" s="7">
        <v>133</v>
      </c>
      <c r="B138" s="7">
        <v>-275</v>
      </c>
      <c r="C138" s="7">
        <v>-500</v>
      </c>
      <c r="D138" s="7">
        <v>3750</v>
      </c>
      <c r="E138" s="7">
        <v>20</v>
      </c>
      <c r="F138" s="10">
        <f>B138+Origin_X</f>
        <v>-275</v>
      </c>
      <c r="G138" s="10">
        <f>C138+Origin_Y</f>
        <v>-500</v>
      </c>
    </row>
    <row r="139" spans="1:7" x14ac:dyDescent="0.25">
      <c r="A139" s="7">
        <v>134</v>
      </c>
      <c r="B139" s="7">
        <v>-275</v>
      </c>
      <c r="C139" s="7">
        <v>-575</v>
      </c>
      <c r="D139" s="7">
        <v>3750</v>
      </c>
      <c r="E139" s="7">
        <v>20</v>
      </c>
      <c r="F139" s="10">
        <f>B139+Origin_X</f>
        <v>-275</v>
      </c>
      <c r="G139" s="10">
        <f>C139+Origin_Y</f>
        <v>-575</v>
      </c>
    </row>
    <row r="140" spans="1:7" x14ac:dyDescent="0.25">
      <c r="A140" s="7">
        <v>135</v>
      </c>
      <c r="B140" s="7">
        <v>-200</v>
      </c>
      <c r="C140" s="7">
        <v>-575</v>
      </c>
      <c r="D140" s="7">
        <v>3750</v>
      </c>
      <c r="E140" s="7">
        <v>20</v>
      </c>
      <c r="F140" s="10">
        <f>B140+Origin_X</f>
        <v>-200</v>
      </c>
      <c r="G140" s="10">
        <f>C140+Origin_Y</f>
        <v>-575</v>
      </c>
    </row>
    <row r="141" spans="1:7" x14ac:dyDescent="0.25">
      <c r="A141" s="7">
        <v>136</v>
      </c>
      <c r="B141" s="7">
        <v>-175</v>
      </c>
      <c r="C141" s="7">
        <v>-550</v>
      </c>
      <c r="D141" s="7">
        <v>3750</v>
      </c>
      <c r="E141" s="7">
        <v>20</v>
      </c>
      <c r="F141" s="10">
        <f>B141+Origin_X</f>
        <v>-175</v>
      </c>
      <c r="G141" s="10">
        <f>C141+Origin_Y</f>
        <v>-550</v>
      </c>
    </row>
    <row r="142" spans="1:7" x14ac:dyDescent="0.25">
      <c r="A142" s="7">
        <v>137</v>
      </c>
      <c r="B142" s="7">
        <v>-175</v>
      </c>
      <c r="C142" s="7">
        <v>-475</v>
      </c>
      <c r="D142" s="7">
        <v>3750</v>
      </c>
      <c r="E142" s="7">
        <v>20</v>
      </c>
      <c r="F142" s="10">
        <f>B142+Origin_X</f>
        <v>-175</v>
      </c>
      <c r="G142" s="10">
        <f>C142+Origin_Y</f>
        <v>-475</v>
      </c>
    </row>
    <row r="143" spans="1:7" x14ac:dyDescent="0.25">
      <c r="A143" s="7">
        <v>138</v>
      </c>
      <c r="B143" s="7">
        <v>-250</v>
      </c>
      <c r="C143" s="7">
        <v>-475</v>
      </c>
      <c r="D143" s="7">
        <v>3750</v>
      </c>
      <c r="E143" s="7">
        <v>20</v>
      </c>
      <c r="F143" s="10">
        <f>B143+Origin_X</f>
        <v>-250</v>
      </c>
      <c r="G143" s="10">
        <f>C143+Origin_Y</f>
        <v>-475</v>
      </c>
    </row>
    <row r="144" spans="1:7" x14ac:dyDescent="0.25">
      <c r="A144" s="7">
        <v>139</v>
      </c>
      <c r="B144" s="7">
        <v>-275</v>
      </c>
      <c r="C144" s="7">
        <v>-416.66666666666663</v>
      </c>
      <c r="D144" s="7">
        <v>1250</v>
      </c>
      <c r="E144" s="7">
        <v>21</v>
      </c>
      <c r="F144" s="10">
        <f>B144+Origin_X</f>
        <v>-275</v>
      </c>
      <c r="G144" s="10">
        <f>C144+Origin_Y</f>
        <v>-416.66666666666663</v>
      </c>
    </row>
    <row r="145" spans="1:7" x14ac:dyDescent="0.25">
      <c r="A145" s="7">
        <v>140</v>
      </c>
      <c r="B145" s="7">
        <v>-275</v>
      </c>
      <c r="C145" s="7">
        <v>-441.66666666666663</v>
      </c>
      <c r="D145" s="7">
        <v>1250</v>
      </c>
      <c r="E145" s="7">
        <v>21</v>
      </c>
      <c r="F145" s="10">
        <f>B145+Origin_X</f>
        <v>-275</v>
      </c>
      <c r="G145" s="10">
        <f>C145+Origin_Y</f>
        <v>-441.66666666666663</v>
      </c>
    </row>
    <row r="146" spans="1:7" x14ac:dyDescent="0.25">
      <c r="A146" s="7">
        <v>141</v>
      </c>
      <c r="B146" s="7">
        <v>-200</v>
      </c>
      <c r="C146" s="7">
        <v>-441.66666666666663</v>
      </c>
      <c r="D146" s="7">
        <v>1250</v>
      </c>
      <c r="E146" s="7">
        <v>21</v>
      </c>
      <c r="F146" s="10">
        <f>B146+Origin_X</f>
        <v>-200</v>
      </c>
      <c r="G146" s="10">
        <f>C146+Origin_Y</f>
        <v>-441.66666666666663</v>
      </c>
    </row>
    <row r="147" spans="1:7" x14ac:dyDescent="0.25">
      <c r="A147" s="7">
        <v>142</v>
      </c>
      <c r="B147" s="7">
        <v>-166.66666666666666</v>
      </c>
      <c r="C147" s="7">
        <v>-416.66666666666663</v>
      </c>
      <c r="D147" s="7">
        <v>2500</v>
      </c>
      <c r="E147" s="7">
        <v>21</v>
      </c>
      <c r="F147" s="10">
        <f>B147+Origin_X</f>
        <v>-166.66666666666666</v>
      </c>
      <c r="G147" s="10">
        <f>C147+Origin_Y</f>
        <v>-416.66666666666663</v>
      </c>
    </row>
    <row r="148" spans="1:7" x14ac:dyDescent="0.25">
      <c r="A148" s="7">
        <v>143</v>
      </c>
      <c r="B148" s="7">
        <v>-166.66666666666666</v>
      </c>
      <c r="C148" s="7">
        <v>-341.66666666666663</v>
      </c>
      <c r="D148" s="7">
        <v>2500</v>
      </c>
      <c r="E148" s="7">
        <v>21</v>
      </c>
      <c r="F148" s="10">
        <f>B148+Origin_X</f>
        <v>-166.66666666666666</v>
      </c>
      <c r="G148" s="10">
        <f>C148+Origin_Y</f>
        <v>-341.66666666666663</v>
      </c>
    </row>
    <row r="149" spans="1:7" x14ac:dyDescent="0.25">
      <c r="A149" s="7">
        <v>144</v>
      </c>
      <c r="B149" s="7">
        <v>-216.66666666666666</v>
      </c>
      <c r="C149" s="7">
        <v>-391.66666666666663</v>
      </c>
      <c r="D149" s="7">
        <v>2500</v>
      </c>
      <c r="E149" s="7">
        <v>21</v>
      </c>
      <c r="F149" s="10">
        <f>B149+Origin_X</f>
        <v>-216.66666666666666</v>
      </c>
      <c r="G149" s="10">
        <f>C149+Origin_Y</f>
        <v>-391.66666666666663</v>
      </c>
    </row>
    <row r="150" spans="1:7" x14ac:dyDescent="0.25">
      <c r="A150" s="7">
        <v>145</v>
      </c>
      <c r="B150" s="7">
        <v>-191.66666666666666</v>
      </c>
      <c r="C150" s="7">
        <v>-433.33333333333326</v>
      </c>
      <c r="D150" s="7">
        <v>416.6666666666667</v>
      </c>
      <c r="E150" s="7">
        <v>21</v>
      </c>
      <c r="F150" s="10">
        <f>B150+Origin_X</f>
        <v>-191.66666666666666</v>
      </c>
      <c r="G150" s="10">
        <f>C150+Origin_Y</f>
        <v>-433.33333333333326</v>
      </c>
    </row>
    <row r="151" spans="1:7" x14ac:dyDescent="0.25">
      <c r="A151" s="7">
        <v>146</v>
      </c>
      <c r="B151" s="7">
        <v>-241.66666666666666</v>
      </c>
      <c r="C151" s="7">
        <v>-408.33333333333326</v>
      </c>
      <c r="D151" s="7">
        <v>416.6666666666667</v>
      </c>
      <c r="E151" s="7">
        <v>21</v>
      </c>
      <c r="F151" s="10">
        <f>B151+Origin_X</f>
        <v>-241.66666666666666</v>
      </c>
      <c r="G151" s="10">
        <f>C151+Origin_Y</f>
        <v>-408.33333333333326</v>
      </c>
    </row>
    <row r="152" spans="1:7" x14ac:dyDescent="0.25">
      <c r="A152" s="7">
        <v>147</v>
      </c>
      <c r="B152" s="7">
        <v>-266.66666666666663</v>
      </c>
      <c r="C152" s="7">
        <v>-408.33333333333326</v>
      </c>
      <c r="D152" s="7">
        <v>416.6666666666667</v>
      </c>
      <c r="E152" s="7">
        <v>21</v>
      </c>
      <c r="F152" s="10">
        <f>B152+Origin_X</f>
        <v>-266.66666666666663</v>
      </c>
      <c r="G152" s="10">
        <f>C152+Origin_Y</f>
        <v>-408.33333333333326</v>
      </c>
    </row>
    <row r="153" spans="1:7" x14ac:dyDescent="0.25">
      <c r="A153" s="7">
        <v>148</v>
      </c>
      <c r="B153" s="7">
        <v>-291.6666666666667</v>
      </c>
      <c r="C153" s="7">
        <v>433.33333333333326</v>
      </c>
      <c r="D153" s="7">
        <v>416.6666666666667</v>
      </c>
      <c r="E153" s="7">
        <v>22</v>
      </c>
      <c r="F153" s="10">
        <f>B153+Origin_X</f>
        <v>-291.6666666666667</v>
      </c>
      <c r="G153" s="10">
        <f>C153+Origin_Y</f>
        <v>433.33333333333326</v>
      </c>
    </row>
    <row r="154" spans="1:7" x14ac:dyDescent="0.25">
      <c r="A154" s="7">
        <v>149</v>
      </c>
      <c r="B154" s="7">
        <v>-291.6666666666667</v>
      </c>
      <c r="C154" s="7">
        <v>408.33333333333326</v>
      </c>
      <c r="D154" s="7">
        <v>416.6666666666667</v>
      </c>
      <c r="E154" s="7">
        <v>22</v>
      </c>
      <c r="F154" s="10">
        <f>B154+Origin_X</f>
        <v>-291.6666666666667</v>
      </c>
      <c r="G154" s="10">
        <f>C154+Origin_Y</f>
        <v>408.33333333333326</v>
      </c>
    </row>
    <row r="155" spans="1:7" x14ac:dyDescent="0.25">
      <c r="A155" s="7">
        <v>150</v>
      </c>
      <c r="B155" s="7">
        <v>-266.66666666666663</v>
      </c>
      <c r="C155" s="7">
        <v>408.33333333333326</v>
      </c>
      <c r="D155" s="7">
        <v>416.6666666666667</v>
      </c>
      <c r="E155" s="7">
        <v>22</v>
      </c>
      <c r="F155" s="10">
        <f>B155+Origin_X</f>
        <v>-266.66666666666663</v>
      </c>
      <c r="G155" s="10">
        <f>C155+Origin_Y</f>
        <v>408.33333333333326</v>
      </c>
    </row>
    <row r="156" spans="1:7" x14ac:dyDescent="0.25">
      <c r="A156" s="7">
        <v>151</v>
      </c>
      <c r="B156" s="7">
        <v>-216.66666666666666</v>
      </c>
      <c r="C156" s="7">
        <v>391.66666666666663</v>
      </c>
      <c r="D156" s="7">
        <v>2500</v>
      </c>
      <c r="E156" s="7">
        <v>22</v>
      </c>
      <c r="F156" s="10">
        <f>B156+Origin_X</f>
        <v>-216.66666666666666</v>
      </c>
      <c r="G156" s="10">
        <f>C156+Origin_Y</f>
        <v>391.66666666666663</v>
      </c>
    </row>
    <row r="157" spans="1:7" x14ac:dyDescent="0.25">
      <c r="A157" s="7">
        <v>152</v>
      </c>
      <c r="B157" s="7">
        <v>-166.66666666666666</v>
      </c>
      <c r="C157" s="7">
        <v>341.66666666666663</v>
      </c>
      <c r="D157" s="7">
        <v>2500</v>
      </c>
      <c r="E157" s="7">
        <v>22</v>
      </c>
      <c r="F157" s="10">
        <f>B157+Origin_X</f>
        <v>-166.66666666666666</v>
      </c>
      <c r="G157" s="10">
        <f>C157+Origin_Y</f>
        <v>341.66666666666663</v>
      </c>
    </row>
    <row r="158" spans="1:7" x14ac:dyDescent="0.25">
      <c r="A158" s="7">
        <v>153</v>
      </c>
      <c r="B158" s="7">
        <v>-166.66666666666666</v>
      </c>
      <c r="C158" s="7">
        <v>416.66666666666663</v>
      </c>
      <c r="D158" s="7">
        <v>2500</v>
      </c>
      <c r="E158" s="7">
        <v>22</v>
      </c>
      <c r="F158" s="10">
        <f>B158+Origin_X</f>
        <v>-166.66666666666666</v>
      </c>
      <c r="G158" s="10">
        <f>C158+Origin_Y</f>
        <v>416.66666666666663</v>
      </c>
    </row>
    <row r="159" spans="1:7" x14ac:dyDescent="0.25">
      <c r="A159" s="7">
        <v>154</v>
      </c>
      <c r="B159" s="7">
        <v>-241.66666666666666</v>
      </c>
      <c r="C159" s="7">
        <v>416.66666666666663</v>
      </c>
      <c r="D159" s="7">
        <v>1250</v>
      </c>
      <c r="E159" s="7">
        <v>22</v>
      </c>
      <c r="F159" s="10">
        <f>B159+Origin_X</f>
        <v>-241.66666666666666</v>
      </c>
      <c r="G159" s="10">
        <f>C159+Origin_Y</f>
        <v>416.66666666666663</v>
      </c>
    </row>
    <row r="160" spans="1:7" x14ac:dyDescent="0.25">
      <c r="A160" s="7">
        <v>155</v>
      </c>
      <c r="B160" s="7">
        <v>-191.66666666666666</v>
      </c>
      <c r="C160" s="7">
        <v>441.66666666666663</v>
      </c>
      <c r="D160" s="7">
        <v>1250</v>
      </c>
      <c r="E160" s="7">
        <v>22</v>
      </c>
      <c r="F160" s="10">
        <f>B160+Origin_X</f>
        <v>-191.66666666666666</v>
      </c>
      <c r="G160" s="10">
        <f>C160+Origin_Y</f>
        <v>441.66666666666663</v>
      </c>
    </row>
    <row r="161" spans="1:7" x14ac:dyDescent="0.25">
      <c r="A161" s="7">
        <v>156</v>
      </c>
      <c r="B161" s="7">
        <v>-266.66666666666663</v>
      </c>
      <c r="C161" s="7">
        <v>441.66666666666663</v>
      </c>
      <c r="D161" s="7">
        <v>1250</v>
      </c>
      <c r="E161" s="7">
        <v>22</v>
      </c>
      <c r="F161" s="10">
        <f>B161+Origin_X</f>
        <v>-266.66666666666663</v>
      </c>
      <c r="G161" s="10">
        <f>C161+Origin_Y</f>
        <v>441.66666666666663</v>
      </c>
    </row>
    <row r="162" spans="1:7" x14ac:dyDescent="0.25">
      <c r="A162" s="7">
        <v>157</v>
      </c>
      <c r="B162" s="7">
        <v>-275</v>
      </c>
      <c r="C162" s="7">
        <v>550</v>
      </c>
      <c r="D162" s="7">
        <v>3750</v>
      </c>
      <c r="E162" s="7">
        <v>23</v>
      </c>
      <c r="F162" s="10">
        <f>B162+Origin_X</f>
        <v>-275</v>
      </c>
      <c r="G162" s="10">
        <f>C162+Origin_Y</f>
        <v>550</v>
      </c>
    </row>
    <row r="163" spans="1:7" x14ac:dyDescent="0.25">
      <c r="A163" s="7">
        <v>158</v>
      </c>
      <c r="B163" s="7">
        <v>-275</v>
      </c>
      <c r="C163" s="7">
        <v>475</v>
      </c>
      <c r="D163" s="7">
        <v>3750</v>
      </c>
      <c r="E163" s="7">
        <v>23</v>
      </c>
      <c r="F163" s="10">
        <f>B163+Origin_X</f>
        <v>-275</v>
      </c>
      <c r="G163" s="10">
        <f>C163+Origin_Y</f>
        <v>475</v>
      </c>
    </row>
    <row r="164" spans="1:7" x14ac:dyDescent="0.25">
      <c r="A164" s="7">
        <v>159</v>
      </c>
      <c r="B164" s="7">
        <v>-200</v>
      </c>
      <c r="C164" s="7">
        <v>475</v>
      </c>
      <c r="D164" s="7">
        <v>3750</v>
      </c>
      <c r="E164" s="7">
        <v>23</v>
      </c>
      <c r="F164" s="10">
        <f>B164+Origin_X</f>
        <v>-200</v>
      </c>
      <c r="G164" s="10">
        <f>C164+Origin_Y</f>
        <v>475</v>
      </c>
    </row>
    <row r="165" spans="1:7" x14ac:dyDescent="0.25">
      <c r="A165" s="7">
        <v>160</v>
      </c>
      <c r="B165" s="7">
        <v>-175</v>
      </c>
      <c r="C165" s="7">
        <v>500</v>
      </c>
      <c r="D165" s="7">
        <v>3750</v>
      </c>
      <c r="E165" s="7">
        <v>23</v>
      </c>
      <c r="F165" s="10">
        <f>B165+Origin_X</f>
        <v>-175</v>
      </c>
      <c r="G165" s="10">
        <f>C165+Origin_Y</f>
        <v>500</v>
      </c>
    </row>
    <row r="166" spans="1:7" x14ac:dyDescent="0.25">
      <c r="A166" s="7">
        <v>161</v>
      </c>
      <c r="B166" s="7">
        <v>-175</v>
      </c>
      <c r="C166" s="7">
        <v>575</v>
      </c>
      <c r="D166" s="7">
        <v>3750</v>
      </c>
      <c r="E166" s="7">
        <v>23</v>
      </c>
      <c r="F166" s="10">
        <f>B166+Origin_X</f>
        <v>-175</v>
      </c>
      <c r="G166" s="10">
        <f>C166+Origin_Y</f>
        <v>575</v>
      </c>
    </row>
    <row r="167" spans="1:7" x14ac:dyDescent="0.25">
      <c r="A167" s="7">
        <v>162</v>
      </c>
      <c r="B167" s="7">
        <v>-250</v>
      </c>
      <c r="C167" s="7">
        <v>575</v>
      </c>
      <c r="D167" s="7">
        <v>3750</v>
      </c>
      <c r="E167" s="7">
        <v>23</v>
      </c>
      <c r="F167" s="10">
        <f>B167+Origin_X</f>
        <v>-250</v>
      </c>
      <c r="G167" s="10">
        <f>C167+Origin_Y</f>
        <v>575</v>
      </c>
    </row>
    <row r="168" spans="1:7" x14ac:dyDescent="0.25">
      <c r="A168" s="7">
        <v>163</v>
      </c>
      <c r="B168" s="7">
        <v>-125</v>
      </c>
      <c r="C168" s="7">
        <v>-500</v>
      </c>
      <c r="D168" s="7">
        <v>3750</v>
      </c>
      <c r="E168" s="7">
        <v>24</v>
      </c>
      <c r="F168" s="10">
        <f>B168+Origin_X</f>
        <v>-125</v>
      </c>
      <c r="G168" s="10">
        <f>C168+Origin_Y</f>
        <v>-500</v>
      </c>
    </row>
    <row r="169" spans="1:7" x14ac:dyDescent="0.25">
      <c r="A169" s="7">
        <v>164</v>
      </c>
      <c r="B169" s="7">
        <v>-125</v>
      </c>
      <c r="C169" s="7">
        <v>-575</v>
      </c>
      <c r="D169" s="7">
        <v>3750</v>
      </c>
      <c r="E169" s="7">
        <v>24</v>
      </c>
      <c r="F169" s="10">
        <f>B169+Origin_X</f>
        <v>-125</v>
      </c>
      <c r="G169" s="10">
        <f>C169+Origin_Y</f>
        <v>-575</v>
      </c>
    </row>
    <row r="170" spans="1:7" x14ac:dyDescent="0.25">
      <c r="A170" s="7">
        <v>165</v>
      </c>
      <c r="B170" s="7">
        <v>-50</v>
      </c>
      <c r="C170" s="7">
        <v>-575</v>
      </c>
      <c r="D170" s="7">
        <v>3750</v>
      </c>
      <c r="E170" s="7">
        <v>24</v>
      </c>
      <c r="F170" s="10">
        <f>B170+Origin_X</f>
        <v>-50</v>
      </c>
      <c r="G170" s="10">
        <f>C170+Origin_Y</f>
        <v>-575</v>
      </c>
    </row>
    <row r="171" spans="1:7" x14ac:dyDescent="0.25">
      <c r="A171" s="7">
        <v>166</v>
      </c>
      <c r="B171" s="7">
        <v>-25</v>
      </c>
      <c r="C171" s="7">
        <v>-550</v>
      </c>
      <c r="D171" s="7">
        <v>3750</v>
      </c>
      <c r="E171" s="7">
        <v>24</v>
      </c>
      <c r="F171" s="10">
        <f>B171+Origin_X</f>
        <v>-25</v>
      </c>
      <c r="G171" s="10">
        <f>C171+Origin_Y</f>
        <v>-550</v>
      </c>
    </row>
    <row r="172" spans="1:7" x14ac:dyDescent="0.25">
      <c r="A172" s="7">
        <v>167</v>
      </c>
      <c r="B172" s="7">
        <v>-25</v>
      </c>
      <c r="C172" s="7">
        <v>-475</v>
      </c>
      <c r="D172" s="7">
        <v>3750</v>
      </c>
      <c r="E172" s="7">
        <v>24</v>
      </c>
      <c r="F172" s="10">
        <f>B172+Origin_X</f>
        <v>-25</v>
      </c>
      <c r="G172" s="10">
        <f>C172+Origin_Y</f>
        <v>-475</v>
      </c>
    </row>
    <row r="173" spans="1:7" x14ac:dyDescent="0.25">
      <c r="A173" s="7">
        <v>168</v>
      </c>
      <c r="B173" s="7">
        <v>-100</v>
      </c>
      <c r="C173" s="7">
        <v>-475</v>
      </c>
      <c r="D173" s="7">
        <v>3750</v>
      </c>
      <c r="E173" s="7">
        <v>24</v>
      </c>
      <c r="F173" s="10">
        <f>B173+Origin_X</f>
        <v>-100</v>
      </c>
      <c r="G173" s="10">
        <f>C173+Origin_Y</f>
        <v>-475</v>
      </c>
    </row>
    <row r="174" spans="1:7" x14ac:dyDescent="0.25">
      <c r="A174" s="7">
        <v>169</v>
      </c>
      <c r="B174" s="7">
        <v>-125</v>
      </c>
      <c r="C174" s="7">
        <v>-350</v>
      </c>
      <c r="D174" s="7">
        <v>3750</v>
      </c>
      <c r="E174" s="7">
        <v>25</v>
      </c>
      <c r="F174" s="10">
        <f>B174+Origin_X</f>
        <v>-125</v>
      </c>
      <c r="G174" s="10">
        <f>C174+Origin_Y</f>
        <v>-350</v>
      </c>
    </row>
    <row r="175" spans="1:7" x14ac:dyDescent="0.25">
      <c r="A175" s="7">
        <v>170</v>
      </c>
      <c r="B175" s="7">
        <v>-125</v>
      </c>
      <c r="C175" s="7">
        <v>-425</v>
      </c>
      <c r="D175" s="7">
        <v>3750</v>
      </c>
      <c r="E175" s="7">
        <v>25</v>
      </c>
      <c r="F175" s="10">
        <f>B175+Origin_X</f>
        <v>-125</v>
      </c>
      <c r="G175" s="10">
        <f>C175+Origin_Y</f>
        <v>-425</v>
      </c>
    </row>
    <row r="176" spans="1:7" x14ac:dyDescent="0.25">
      <c r="A176" s="7">
        <v>171</v>
      </c>
      <c r="B176" s="7">
        <v>-50</v>
      </c>
      <c r="C176" s="7">
        <v>-425</v>
      </c>
      <c r="D176" s="7">
        <v>3750</v>
      </c>
      <c r="E176" s="7">
        <v>25</v>
      </c>
      <c r="F176" s="10">
        <f>B176+Origin_X</f>
        <v>-50</v>
      </c>
      <c r="G176" s="10">
        <f>C176+Origin_Y</f>
        <v>-425</v>
      </c>
    </row>
    <row r="177" spans="1:7" x14ac:dyDescent="0.25">
      <c r="A177" s="7">
        <v>172</v>
      </c>
      <c r="B177" s="7">
        <v>-25</v>
      </c>
      <c r="C177" s="7">
        <v>-400</v>
      </c>
      <c r="D177" s="7">
        <v>3750</v>
      </c>
      <c r="E177" s="7">
        <v>25</v>
      </c>
      <c r="F177" s="10">
        <f>B177+Origin_X</f>
        <v>-25</v>
      </c>
      <c r="G177" s="10">
        <f>C177+Origin_Y</f>
        <v>-400</v>
      </c>
    </row>
    <row r="178" spans="1:7" x14ac:dyDescent="0.25">
      <c r="A178" s="7">
        <v>173</v>
      </c>
      <c r="B178" s="7">
        <v>-25</v>
      </c>
      <c r="C178" s="7">
        <v>-325</v>
      </c>
      <c r="D178" s="7">
        <v>3750</v>
      </c>
      <c r="E178" s="7">
        <v>25</v>
      </c>
      <c r="F178" s="10">
        <f>B178+Origin_X</f>
        <v>-25</v>
      </c>
      <c r="G178" s="10">
        <f>C178+Origin_Y</f>
        <v>-325</v>
      </c>
    </row>
    <row r="179" spans="1:7" x14ac:dyDescent="0.25">
      <c r="A179" s="7">
        <v>174</v>
      </c>
      <c r="B179" s="7">
        <v>-100</v>
      </c>
      <c r="C179" s="7">
        <v>-325</v>
      </c>
      <c r="D179" s="7">
        <v>3750</v>
      </c>
      <c r="E179" s="7">
        <v>25</v>
      </c>
      <c r="F179" s="10">
        <f>B179+Origin_X</f>
        <v>-100</v>
      </c>
      <c r="G179" s="10">
        <f>C179+Origin_Y</f>
        <v>-325</v>
      </c>
    </row>
    <row r="180" spans="1:7" x14ac:dyDescent="0.25">
      <c r="A180" s="7">
        <v>175</v>
      </c>
      <c r="B180" s="7">
        <v>-125</v>
      </c>
      <c r="C180" s="7">
        <v>-200</v>
      </c>
      <c r="D180" s="7">
        <v>3750</v>
      </c>
      <c r="E180" s="7">
        <v>26</v>
      </c>
      <c r="F180" s="10">
        <f>B180+Origin_X</f>
        <v>-125</v>
      </c>
      <c r="G180" s="10">
        <f>C180+Origin_Y</f>
        <v>-200</v>
      </c>
    </row>
    <row r="181" spans="1:7" x14ac:dyDescent="0.25">
      <c r="A181" s="7">
        <v>176</v>
      </c>
      <c r="B181" s="7">
        <v>-125</v>
      </c>
      <c r="C181" s="7">
        <v>-275</v>
      </c>
      <c r="D181" s="7">
        <v>3750</v>
      </c>
      <c r="E181" s="7">
        <v>26</v>
      </c>
      <c r="F181" s="10">
        <f>B181+Origin_X</f>
        <v>-125</v>
      </c>
      <c r="G181" s="10">
        <f>C181+Origin_Y</f>
        <v>-275</v>
      </c>
    </row>
    <row r="182" spans="1:7" x14ac:dyDescent="0.25">
      <c r="A182" s="7">
        <v>177</v>
      </c>
      <c r="B182" s="7">
        <v>-50</v>
      </c>
      <c r="C182" s="7">
        <v>-275</v>
      </c>
      <c r="D182" s="7">
        <v>3750</v>
      </c>
      <c r="E182" s="7">
        <v>26</v>
      </c>
      <c r="F182" s="10">
        <f>B182+Origin_X</f>
        <v>-50</v>
      </c>
      <c r="G182" s="10">
        <f>C182+Origin_Y</f>
        <v>-275</v>
      </c>
    </row>
    <row r="183" spans="1:7" x14ac:dyDescent="0.25">
      <c r="A183" s="7">
        <v>178</v>
      </c>
      <c r="B183" s="7">
        <v>-25</v>
      </c>
      <c r="C183" s="7">
        <v>-250</v>
      </c>
      <c r="D183" s="7">
        <v>3750</v>
      </c>
      <c r="E183" s="7">
        <v>26</v>
      </c>
      <c r="F183" s="10">
        <f>B183+Origin_X</f>
        <v>-25</v>
      </c>
      <c r="G183" s="10">
        <f>C183+Origin_Y</f>
        <v>-250</v>
      </c>
    </row>
    <row r="184" spans="1:7" x14ac:dyDescent="0.25">
      <c r="A184" s="7">
        <v>179</v>
      </c>
      <c r="B184" s="7">
        <v>-25</v>
      </c>
      <c r="C184" s="7">
        <v>-175</v>
      </c>
      <c r="D184" s="7">
        <v>3750</v>
      </c>
      <c r="E184" s="7">
        <v>26</v>
      </c>
      <c r="F184" s="10">
        <f>B184+Origin_X</f>
        <v>-25</v>
      </c>
      <c r="G184" s="10">
        <f>C184+Origin_Y</f>
        <v>-175</v>
      </c>
    </row>
    <row r="185" spans="1:7" x14ac:dyDescent="0.25">
      <c r="A185" s="7">
        <v>180</v>
      </c>
      <c r="B185" s="7">
        <v>-100</v>
      </c>
      <c r="C185" s="7">
        <v>-175</v>
      </c>
      <c r="D185" s="7">
        <v>3750</v>
      </c>
      <c r="E185" s="7">
        <v>26</v>
      </c>
      <c r="F185" s="10">
        <f>B185+Origin_X</f>
        <v>-100</v>
      </c>
      <c r="G185" s="10">
        <f>C185+Origin_Y</f>
        <v>-175</v>
      </c>
    </row>
    <row r="186" spans="1:7" x14ac:dyDescent="0.25">
      <c r="A186" s="7">
        <v>181</v>
      </c>
      <c r="B186" s="7">
        <v>-125</v>
      </c>
      <c r="C186" s="7">
        <v>-50</v>
      </c>
      <c r="D186" s="7">
        <v>3750</v>
      </c>
      <c r="E186" s="7">
        <v>27</v>
      </c>
      <c r="F186" s="10">
        <f>B186+Origin_X</f>
        <v>-125</v>
      </c>
      <c r="G186" s="10">
        <f>C186+Origin_Y</f>
        <v>-50</v>
      </c>
    </row>
    <row r="187" spans="1:7" x14ac:dyDescent="0.25">
      <c r="A187" s="7">
        <v>182</v>
      </c>
      <c r="B187" s="7">
        <v>-125</v>
      </c>
      <c r="C187" s="7">
        <v>-125</v>
      </c>
      <c r="D187" s="7">
        <v>3750</v>
      </c>
      <c r="E187" s="7">
        <v>27</v>
      </c>
      <c r="F187" s="10">
        <f>B187+Origin_X</f>
        <v>-125</v>
      </c>
      <c r="G187" s="10">
        <f>C187+Origin_Y</f>
        <v>-125</v>
      </c>
    </row>
    <row r="188" spans="1:7" x14ac:dyDescent="0.25">
      <c r="A188" s="7">
        <v>183</v>
      </c>
      <c r="B188" s="7">
        <v>-50</v>
      </c>
      <c r="C188" s="7">
        <v>-125</v>
      </c>
      <c r="D188" s="7">
        <v>3750</v>
      </c>
      <c r="E188" s="7">
        <v>27</v>
      </c>
      <c r="F188" s="10">
        <f>B188+Origin_X</f>
        <v>-50</v>
      </c>
      <c r="G188" s="10">
        <f>C188+Origin_Y</f>
        <v>-125</v>
      </c>
    </row>
    <row r="189" spans="1:7" x14ac:dyDescent="0.25">
      <c r="A189" s="7">
        <v>184</v>
      </c>
      <c r="B189" s="7">
        <v>-25</v>
      </c>
      <c r="C189" s="7">
        <v>-100</v>
      </c>
      <c r="D189" s="7">
        <v>3750</v>
      </c>
      <c r="E189" s="7">
        <v>27</v>
      </c>
      <c r="F189" s="10">
        <f>B189+Origin_X</f>
        <v>-25</v>
      </c>
      <c r="G189" s="10">
        <f>C189+Origin_Y</f>
        <v>-100</v>
      </c>
    </row>
    <row r="190" spans="1:7" x14ac:dyDescent="0.25">
      <c r="A190" s="7">
        <v>185</v>
      </c>
      <c r="B190" s="7">
        <v>-25</v>
      </c>
      <c r="C190" s="7">
        <v>-25</v>
      </c>
      <c r="D190" s="7">
        <v>3750</v>
      </c>
      <c r="E190" s="7">
        <v>27</v>
      </c>
      <c r="F190" s="10">
        <f>B190+Origin_X</f>
        <v>-25</v>
      </c>
      <c r="G190" s="10">
        <f>C190+Origin_Y</f>
        <v>-25</v>
      </c>
    </row>
    <row r="191" spans="1:7" x14ac:dyDescent="0.25">
      <c r="A191" s="7">
        <v>186</v>
      </c>
      <c r="B191" s="7">
        <v>-100</v>
      </c>
      <c r="C191" s="7">
        <v>-25</v>
      </c>
      <c r="D191" s="7">
        <v>3750</v>
      </c>
      <c r="E191" s="7">
        <v>27</v>
      </c>
      <c r="F191" s="10">
        <f>B191+Origin_X</f>
        <v>-100</v>
      </c>
      <c r="G191" s="10">
        <f>C191+Origin_Y</f>
        <v>-25</v>
      </c>
    </row>
    <row r="192" spans="1:7" x14ac:dyDescent="0.25">
      <c r="A192" s="7">
        <v>187</v>
      </c>
      <c r="B192" s="7">
        <v>-125</v>
      </c>
      <c r="C192" s="7">
        <v>100</v>
      </c>
      <c r="D192" s="7">
        <v>3750</v>
      </c>
      <c r="E192" s="7">
        <v>28</v>
      </c>
      <c r="F192" s="10">
        <f>B192+Origin_X</f>
        <v>-125</v>
      </c>
      <c r="G192" s="10">
        <f>C192+Origin_Y</f>
        <v>100</v>
      </c>
    </row>
    <row r="193" spans="1:7" x14ac:dyDescent="0.25">
      <c r="A193" s="7">
        <v>188</v>
      </c>
      <c r="B193" s="7">
        <v>-125</v>
      </c>
      <c r="C193" s="7">
        <v>25</v>
      </c>
      <c r="D193" s="7">
        <v>3750</v>
      </c>
      <c r="E193" s="7">
        <v>28</v>
      </c>
      <c r="F193" s="10">
        <f>B193+Origin_X</f>
        <v>-125</v>
      </c>
      <c r="G193" s="10">
        <f>C193+Origin_Y</f>
        <v>25</v>
      </c>
    </row>
    <row r="194" spans="1:7" x14ac:dyDescent="0.25">
      <c r="A194" s="7">
        <v>189</v>
      </c>
      <c r="B194" s="7">
        <v>-50</v>
      </c>
      <c r="C194" s="7">
        <v>25</v>
      </c>
      <c r="D194" s="7">
        <v>3750</v>
      </c>
      <c r="E194" s="7">
        <v>28</v>
      </c>
      <c r="F194" s="10">
        <f>B194+Origin_X</f>
        <v>-50</v>
      </c>
      <c r="G194" s="10">
        <f>C194+Origin_Y</f>
        <v>25</v>
      </c>
    </row>
    <row r="195" spans="1:7" x14ac:dyDescent="0.25">
      <c r="A195" s="7">
        <v>190</v>
      </c>
      <c r="B195" s="7">
        <v>-25</v>
      </c>
      <c r="C195" s="7">
        <v>50</v>
      </c>
      <c r="D195" s="7">
        <v>3750</v>
      </c>
      <c r="E195" s="7">
        <v>28</v>
      </c>
      <c r="F195" s="10">
        <f>B195+Origin_X</f>
        <v>-25</v>
      </c>
      <c r="G195" s="10">
        <f>C195+Origin_Y</f>
        <v>50</v>
      </c>
    </row>
    <row r="196" spans="1:7" x14ac:dyDescent="0.25">
      <c r="A196" s="7">
        <v>191</v>
      </c>
      <c r="B196" s="7">
        <v>-25</v>
      </c>
      <c r="C196" s="7">
        <v>125</v>
      </c>
      <c r="D196" s="7">
        <v>3750</v>
      </c>
      <c r="E196" s="7">
        <v>28</v>
      </c>
      <c r="F196" s="10">
        <f>B196+Origin_X</f>
        <v>-25</v>
      </c>
      <c r="G196" s="10">
        <f>C196+Origin_Y</f>
        <v>125</v>
      </c>
    </row>
    <row r="197" spans="1:7" x14ac:dyDescent="0.25">
      <c r="A197" s="7">
        <v>192</v>
      </c>
      <c r="B197" s="7">
        <v>-100</v>
      </c>
      <c r="C197" s="7">
        <v>125</v>
      </c>
      <c r="D197" s="7">
        <v>3750</v>
      </c>
      <c r="E197" s="7">
        <v>28</v>
      </c>
      <c r="F197" s="10">
        <f>B197+Origin_X</f>
        <v>-100</v>
      </c>
      <c r="G197" s="10">
        <f>C197+Origin_Y</f>
        <v>125</v>
      </c>
    </row>
    <row r="198" spans="1:7" x14ac:dyDescent="0.25">
      <c r="A198" s="7">
        <v>193</v>
      </c>
      <c r="B198" s="7">
        <v>-125</v>
      </c>
      <c r="C198" s="7">
        <v>250</v>
      </c>
      <c r="D198" s="7">
        <v>3750</v>
      </c>
      <c r="E198" s="7">
        <v>29</v>
      </c>
      <c r="F198" s="10">
        <f>B198+Origin_X</f>
        <v>-125</v>
      </c>
      <c r="G198" s="10">
        <f>C198+Origin_Y</f>
        <v>250</v>
      </c>
    </row>
    <row r="199" spans="1:7" x14ac:dyDescent="0.25">
      <c r="A199" s="7">
        <v>194</v>
      </c>
      <c r="B199" s="7">
        <v>-125</v>
      </c>
      <c r="C199" s="7">
        <v>175</v>
      </c>
      <c r="D199" s="7">
        <v>3750</v>
      </c>
      <c r="E199" s="7">
        <v>29</v>
      </c>
      <c r="F199" s="10">
        <f>B199+Origin_X</f>
        <v>-125</v>
      </c>
      <c r="G199" s="10">
        <f>C199+Origin_Y</f>
        <v>175</v>
      </c>
    </row>
    <row r="200" spans="1:7" x14ac:dyDescent="0.25">
      <c r="A200" s="7">
        <v>195</v>
      </c>
      <c r="B200" s="7">
        <v>-50</v>
      </c>
      <c r="C200" s="7">
        <v>175</v>
      </c>
      <c r="D200" s="7">
        <v>3750</v>
      </c>
      <c r="E200" s="7">
        <v>29</v>
      </c>
      <c r="F200" s="10">
        <f>B200+Origin_X</f>
        <v>-50</v>
      </c>
      <c r="G200" s="10">
        <f>C200+Origin_Y</f>
        <v>175</v>
      </c>
    </row>
    <row r="201" spans="1:7" x14ac:dyDescent="0.25">
      <c r="A201" s="7">
        <v>196</v>
      </c>
      <c r="B201" s="7">
        <v>-25</v>
      </c>
      <c r="C201" s="7">
        <v>200</v>
      </c>
      <c r="D201" s="7">
        <v>3750</v>
      </c>
      <c r="E201" s="7">
        <v>29</v>
      </c>
      <c r="F201" s="10">
        <f>B201+Origin_X</f>
        <v>-25</v>
      </c>
      <c r="G201" s="10">
        <f>C201+Origin_Y</f>
        <v>200</v>
      </c>
    </row>
    <row r="202" spans="1:7" x14ac:dyDescent="0.25">
      <c r="A202" s="7">
        <v>197</v>
      </c>
      <c r="B202" s="7">
        <v>-25</v>
      </c>
      <c r="C202" s="7">
        <v>275</v>
      </c>
      <c r="D202" s="7">
        <v>3750</v>
      </c>
      <c r="E202" s="7">
        <v>29</v>
      </c>
      <c r="F202" s="10">
        <f>B202+Origin_X</f>
        <v>-25</v>
      </c>
      <c r="G202" s="10">
        <f>C202+Origin_Y</f>
        <v>275</v>
      </c>
    </row>
    <row r="203" spans="1:7" x14ac:dyDescent="0.25">
      <c r="A203" s="7">
        <v>198</v>
      </c>
      <c r="B203" s="7">
        <v>-100</v>
      </c>
      <c r="C203" s="7">
        <v>275</v>
      </c>
      <c r="D203" s="7">
        <v>3750</v>
      </c>
      <c r="E203" s="7">
        <v>29</v>
      </c>
      <c r="F203" s="10">
        <f>B203+Origin_X</f>
        <v>-100</v>
      </c>
      <c r="G203" s="10">
        <f>C203+Origin_Y</f>
        <v>275</v>
      </c>
    </row>
    <row r="204" spans="1:7" x14ac:dyDescent="0.25">
      <c r="A204" s="7">
        <v>199</v>
      </c>
      <c r="B204" s="7">
        <v>-125</v>
      </c>
      <c r="C204" s="7">
        <v>400</v>
      </c>
      <c r="D204" s="7">
        <v>3750</v>
      </c>
      <c r="E204" s="7">
        <v>30</v>
      </c>
      <c r="F204" s="10">
        <f>B204+Origin_X</f>
        <v>-125</v>
      </c>
      <c r="G204" s="10">
        <f>C204+Origin_Y</f>
        <v>400</v>
      </c>
    </row>
    <row r="205" spans="1:7" x14ac:dyDescent="0.25">
      <c r="A205" s="7">
        <v>200</v>
      </c>
      <c r="B205" s="7">
        <v>-125</v>
      </c>
      <c r="C205" s="7">
        <v>325</v>
      </c>
      <c r="D205" s="7">
        <v>3750</v>
      </c>
      <c r="E205" s="7">
        <v>30</v>
      </c>
      <c r="F205" s="10">
        <f>B205+Origin_X</f>
        <v>-125</v>
      </c>
      <c r="G205" s="10">
        <f>C205+Origin_Y</f>
        <v>325</v>
      </c>
    </row>
    <row r="206" spans="1:7" x14ac:dyDescent="0.25">
      <c r="A206" s="7">
        <v>201</v>
      </c>
      <c r="B206" s="7">
        <v>-50</v>
      </c>
      <c r="C206" s="7">
        <v>325</v>
      </c>
      <c r="D206" s="7">
        <v>3750</v>
      </c>
      <c r="E206" s="7">
        <v>30</v>
      </c>
      <c r="F206" s="10">
        <f>B206+Origin_X</f>
        <v>-50</v>
      </c>
      <c r="G206" s="10">
        <f>C206+Origin_Y</f>
        <v>325</v>
      </c>
    </row>
    <row r="207" spans="1:7" x14ac:dyDescent="0.25">
      <c r="A207" s="7">
        <v>202</v>
      </c>
      <c r="B207" s="7">
        <v>-25</v>
      </c>
      <c r="C207" s="7">
        <v>350</v>
      </c>
      <c r="D207" s="7">
        <v>3750</v>
      </c>
      <c r="E207" s="7">
        <v>30</v>
      </c>
      <c r="F207" s="10">
        <f>B207+Origin_X</f>
        <v>-25</v>
      </c>
      <c r="G207" s="10">
        <f>C207+Origin_Y</f>
        <v>350</v>
      </c>
    </row>
    <row r="208" spans="1:7" x14ac:dyDescent="0.25">
      <c r="A208" s="7">
        <v>203</v>
      </c>
      <c r="B208" s="7">
        <v>-25</v>
      </c>
      <c r="C208" s="7">
        <v>425</v>
      </c>
      <c r="D208" s="7">
        <v>3750</v>
      </c>
      <c r="E208" s="7">
        <v>30</v>
      </c>
      <c r="F208" s="10">
        <f>B208+Origin_X</f>
        <v>-25</v>
      </c>
      <c r="G208" s="10">
        <f>C208+Origin_Y</f>
        <v>425</v>
      </c>
    </row>
    <row r="209" spans="1:7" x14ac:dyDescent="0.25">
      <c r="A209" s="7">
        <v>204</v>
      </c>
      <c r="B209" s="7">
        <v>-100</v>
      </c>
      <c r="C209" s="7">
        <v>425</v>
      </c>
      <c r="D209" s="7">
        <v>3750</v>
      </c>
      <c r="E209" s="7">
        <v>30</v>
      </c>
      <c r="F209" s="10">
        <f>B209+Origin_X</f>
        <v>-100</v>
      </c>
      <c r="G209" s="10">
        <f>C209+Origin_Y</f>
        <v>425</v>
      </c>
    </row>
    <row r="210" spans="1:7" x14ac:dyDescent="0.25">
      <c r="A210" s="7">
        <v>205</v>
      </c>
      <c r="B210" s="7">
        <v>-125</v>
      </c>
      <c r="C210" s="7">
        <v>550</v>
      </c>
      <c r="D210" s="7">
        <v>3750</v>
      </c>
      <c r="E210" s="7">
        <v>31</v>
      </c>
      <c r="F210" s="10">
        <f>B210+Origin_X</f>
        <v>-125</v>
      </c>
      <c r="G210" s="10">
        <f>C210+Origin_Y</f>
        <v>550</v>
      </c>
    </row>
    <row r="211" spans="1:7" x14ac:dyDescent="0.25">
      <c r="A211" s="7">
        <v>206</v>
      </c>
      <c r="B211" s="7">
        <v>-125</v>
      </c>
      <c r="C211" s="7">
        <v>475</v>
      </c>
      <c r="D211" s="7">
        <v>3750</v>
      </c>
      <c r="E211" s="7">
        <v>31</v>
      </c>
      <c r="F211" s="10">
        <f>B211+Origin_X</f>
        <v>-125</v>
      </c>
      <c r="G211" s="10">
        <f>C211+Origin_Y</f>
        <v>475</v>
      </c>
    </row>
    <row r="212" spans="1:7" x14ac:dyDescent="0.25">
      <c r="A212" s="7">
        <v>207</v>
      </c>
      <c r="B212" s="7">
        <v>-50</v>
      </c>
      <c r="C212" s="7">
        <v>475</v>
      </c>
      <c r="D212" s="7">
        <v>3750</v>
      </c>
      <c r="E212" s="7">
        <v>31</v>
      </c>
      <c r="F212" s="10">
        <f>B212+Origin_X</f>
        <v>-50</v>
      </c>
      <c r="G212" s="10">
        <f>C212+Origin_Y</f>
        <v>475</v>
      </c>
    </row>
    <row r="213" spans="1:7" x14ac:dyDescent="0.25">
      <c r="A213" s="7">
        <v>208</v>
      </c>
      <c r="B213" s="7">
        <v>-25</v>
      </c>
      <c r="C213" s="7">
        <v>500</v>
      </c>
      <c r="D213" s="7">
        <v>3750</v>
      </c>
      <c r="E213" s="7">
        <v>31</v>
      </c>
      <c r="F213" s="10">
        <f>B213+Origin_X</f>
        <v>-25</v>
      </c>
      <c r="G213" s="10">
        <f>C213+Origin_Y</f>
        <v>500</v>
      </c>
    </row>
    <row r="214" spans="1:7" x14ac:dyDescent="0.25">
      <c r="A214" s="7">
        <v>209</v>
      </c>
      <c r="B214" s="7">
        <v>-25</v>
      </c>
      <c r="C214" s="7">
        <v>575</v>
      </c>
      <c r="D214" s="7">
        <v>3750</v>
      </c>
      <c r="E214" s="7">
        <v>31</v>
      </c>
      <c r="F214" s="10">
        <f>B214+Origin_X</f>
        <v>-25</v>
      </c>
      <c r="G214" s="10">
        <f>C214+Origin_Y</f>
        <v>575</v>
      </c>
    </row>
    <row r="215" spans="1:7" x14ac:dyDescent="0.25">
      <c r="A215" s="7">
        <v>210</v>
      </c>
      <c r="B215" s="7">
        <v>-100</v>
      </c>
      <c r="C215" s="7">
        <v>575</v>
      </c>
      <c r="D215" s="7">
        <v>3750</v>
      </c>
      <c r="E215" s="7">
        <v>31</v>
      </c>
      <c r="F215" s="10">
        <f>B215+Origin_X</f>
        <v>-100</v>
      </c>
      <c r="G215" s="10">
        <f>C215+Origin_Y</f>
        <v>575</v>
      </c>
    </row>
    <row r="216" spans="1:7" x14ac:dyDescent="0.25">
      <c r="A216" s="7">
        <v>211</v>
      </c>
      <c r="B216" s="7">
        <v>25</v>
      </c>
      <c r="C216" s="7">
        <v>-500</v>
      </c>
      <c r="D216" s="7">
        <v>3750</v>
      </c>
      <c r="E216" s="7">
        <v>32</v>
      </c>
      <c r="F216" s="10">
        <f>B216+Origin_X</f>
        <v>25</v>
      </c>
      <c r="G216" s="10">
        <f>C216+Origin_Y</f>
        <v>-500</v>
      </c>
    </row>
    <row r="217" spans="1:7" x14ac:dyDescent="0.25">
      <c r="A217" s="7">
        <v>212</v>
      </c>
      <c r="B217" s="7">
        <v>25</v>
      </c>
      <c r="C217" s="7">
        <v>-575</v>
      </c>
      <c r="D217" s="7">
        <v>3750</v>
      </c>
      <c r="E217" s="7">
        <v>32</v>
      </c>
      <c r="F217" s="10">
        <f>B217+Origin_X</f>
        <v>25</v>
      </c>
      <c r="G217" s="10">
        <f>C217+Origin_Y</f>
        <v>-575</v>
      </c>
    </row>
    <row r="218" spans="1:7" x14ac:dyDescent="0.25">
      <c r="A218" s="7">
        <v>213</v>
      </c>
      <c r="B218" s="7">
        <v>100</v>
      </c>
      <c r="C218" s="7">
        <v>-575</v>
      </c>
      <c r="D218" s="7">
        <v>3750</v>
      </c>
      <c r="E218" s="7">
        <v>32</v>
      </c>
      <c r="F218" s="10">
        <f>B218+Origin_X</f>
        <v>100</v>
      </c>
      <c r="G218" s="10">
        <f>C218+Origin_Y</f>
        <v>-575</v>
      </c>
    </row>
    <row r="219" spans="1:7" x14ac:dyDescent="0.25">
      <c r="A219" s="7">
        <v>214</v>
      </c>
      <c r="B219" s="7">
        <v>125</v>
      </c>
      <c r="C219" s="7">
        <v>-550</v>
      </c>
      <c r="D219" s="7">
        <v>3750</v>
      </c>
      <c r="E219" s="7">
        <v>32</v>
      </c>
      <c r="F219" s="10">
        <f>B219+Origin_X</f>
        <v>125</v>
      </c>
      <c r="G219" s="10">
        <f>C219+Origin_Y</f>
        <v>-550</v>
      </c>
    </row>
    <row r="220" spans="1:7" x14ac:dyDescent="0.25">
      <c r="A220" s="7">
        <v>215</v>
      </c>
      <c r="B220" s="7">
        <v>125</v>
      </c>
      <c r="C220" s="7">
        <v>-475</v>
      </c>
      <c r="D220" s="7">
        <v>3750</v>
      </c>
      <c r="E220" s="7">
        <v>32</v>
      </c>
      <c r="F220" s="10">
        <f>B220+Origin_X</f>
        <v>125</v>
      </c>
      <c r="G220" s="10">
        <f>C220+Origin_Y</f>
        <v>-475</v>
      </c>
    </row>
    <row r="221" spans="1:7" x14ac:dyDescent="0.25">
      <c r="A221" s="7">
        <v>216</v>
      </c>
      <c r="B221" s="7">
        <v>50</v>
      </c>
      <c r="C221" s="7">
        <v>-475</v>
      </c>
      <c r="D221" s="7">
        <v>3750</v>
      </c>
      <c r="E221" s="7">
        <v>32</v>
      </c>
      <c r="F221" s="10">
        <f>B221+Origin_X</f>
        <v>50</v>
      </c>
      <c r="G221" s="10">
        <f>C221+Origin_Y</f>
        <v>-475</v>
      </c>
    </row>
    <row r="222" spans="1:7" x14ac:dyDescent="0.25">
      <c r="A222" s="7">
        <v>217</v>
      </c>
      <c r="B222" s="7">
        <v>25</v>
      </c>
      <c r="C222" s="7">
        <v>-350</v>
      </c>
      <c r="D222" s="7">
        <v>3750</v>
      </c>
      <c r="E222" s="7">
        <v>33</v>
      </c>
      <c r="F222" s="10">
        <f>B222+Origin_X</f>
        <v>25</v>
      </c>
      <c r="G222" s="10">
        <f>C222+Origin_Y</f>
        <v>-350</v>
      </c>
    </row>
    <row r="223" spans="1:7" x14ac:dyDescent="0.25">
      <c r="A223" s="7">
        <v>218</v>
      </c>
      <c r="B223" s="7">
        <v>25</v>
      </c>
      <c r="C223" s="7">
        <v>-425</v>
      </c>
      <c r="D223" s="7">
        <v>3750</v>
      </c>
      <c r="E223" s="7">
        <v>33</v>
      </c>
      <c r="F223" s="10">
        <f>B223+Origin_X</f>
        <v>25</v>
      </c>
      <c r="G223" s="10">
        <f>C223+Origin_Y</f>
        <v>-425</v>
      </c>
    </row>
    <row r="224" spans="1:7" x14ac:dyDescent="0.25">
      <c r="A224" s="7">
        <v>219</v>
      </c>
      <c r="B224" s="7">
        <v>100</v>
      </c>
      <c r="C224" s="7">
        <v>-425</v>
      </c>
      <c r="D224" s="7">
        <v>3750</v>
      </c>
      <c r="E224" s="7">
        <v>33</v>
      </c>
      <c r="F224" s="10">
        <f>B224+Origin_X</f>
        <v>100</v>
      </c>
      <c r="G224" s="10">
        <f>C224+Origin_Y</f>
        <v>-425</v>
      </c>
    </row>
    <row r="225" spans="1:7" x14ac:dyDescent="0.25">
      <c r="A225" s="7">
        <v>220</v>
      </c>
      <c r="B225" s="7">
        <v>125</v>
      </c>
      <c r="C225" s="7">
        <v>-400</v>
      </c>
      <c r="D225" s="7">
        <v>3750</v>
      </c>
      <c r="E225" s="7">
        <v>33</v>
      </c>
      <c r="F225" s="10">
        <f>B225+Origin_X</f>
        <v>125</v>
      </c>
      <c r="G225" s="10">
        <f>C225+Origin_Y</f>
        <v>-400</v>
      </c>
    </row>
    <row r="226" spans="1:7" x14ac:dyDescent="0.25">
      <c r="A226" s="7">
        <v>221</v>
      </c>
      <c r="B226" s="7">
        <v>125</v>
      </c>
      <c r="C226" s="7">
        <v>-325</v>
      </c>
      <c r="D226" s="7">
        <v>3750</v>
      </c>
      <c r="E226" s="7">
        <v>33</v>
      </c>
      <c r="F226" s="10">
        <f>B226+Origin_X</f>
        <v>125</v>
      </c>
      <c r="G226" s="10">
        <f>C226+Origin_Y</f>
        <v>-325</v>
      </c>
    </row>
    <row r="227" spans="1:7" x14ac:dyDescent="0.25">
      <c r="A227" s="7">
        <v>222</v>
      </c>
      <c r="B227" s="7">
        <v>50</v>
      </c>
      <c r="C227" s="7">
        <v>-325</v>
      </c>
      <c r="D227" s="7">
        <v>3750</v>
      </c>
      <c r="E227" s="7">
        <v>33</v>
      </c>
      <c r="F227" s="10">
        <f>B227+Origin_X</f>
        <v>50</v>
      </c>
      <c r="G227" s="10">
        <f>C227+Origin_Y</f>
        <v>-325</v>
      </c>
    </row>
    <row r="228" spans="1:7" x14ac:dyDescent="0.25">
      <c r="A228" s="7">
        <v>223</v>
      </c>
      <c r="B228" s="7">
        <v>25</v>
      </c>
      <c r="C228" s="7">
        <v>-200</v>
      </c>
      <c r="D228" s="7">
        <v>3750</v>
      </c>
      <c r="E228" s="7">
        <v>34</v>
      </c>
      <c r="F228" s="10">
        <f>B228+Origin_X</f>
        <v>25</v>
      </c>
      <c r="G228" s="10">
        <f>C228+Origin_Y</f>
        <v>-200</v>
      </c>
    </row>
    <row r="229" spans="1:7" x14ac:dyDescent="0.25">
      <c r="A229" s="7">
        <v>224</v>
      </c>
      <c r="B229" s="7">
        <v>25</v>
      </c>
      <c r="C229" s="7">
        <v>-275</v>
      </c>
      <c r="D229" s="7">
        <v>3750</v>
      </c>
      <c r="E229" s="7">
        <v>34</v>
      </c>
      <c r="F229" s="10">
        <f>B229+Origin_X</f>
        <v>25</v>
      </c>
      <c r="G229" s="10">
        <f>C229+Origin_Y</f>
        <v>-275</v>
      </c>
    </row>
    <row r="230" spans="1:7" x14ac:dyDescent="0.25">
      <c r="A230" s="7">
        <v>225</v>
      </c>
      <c r="B230" s="7">
        <v>100</v>
      </c>
      <c r="C230" s="7">
        <v>-275</v>
      </c>
      <c r="D230" s="7">
        <v>3750</v>
      </c>
      <c r="E230" s="7">
        <v>34</v>
      </c>
      <c r="F230" s="10">
        <f>B230+Origin_X</f>
        <v>100</v>
      </c>
      <c r="G230" s="10">
        <f>C230+Origin_Y</f>
        <v>-275</v>
      </c>
    </row>
    <row r="231" spans="1:7" x14ac:dyDescent="0.25">
      <c r="A231" s="7">
        <v>226</v>
      </c>
      <c r="B231" s="7">
        <v>125</v>
      </c>
      <c r="C231" s="7">
        <v>-250</v>
      </c>
      <c r="D231" s="7">
        <v>3750</v>
      </c>
      <c r="E231" s="7">
        <v>34</v>
      </c>
      <c r="F231" s="10">
        <f>B231+Origin_X</f>
        <v>125</v>
      </c>
      <c r="G231" s="10">
        <f>C231+Origin_Y</f>
        <v>-250</v>
      </c>
    </row>
    <row r="232" spans="1:7" x14ac:dyDescent="0.25">
      <c r="A232" s="7">
        <v>227</v>
      </c>
      <c r="B232" s="7">
        <v>125</v>
      </c>
      <c r="C232" s="7">
        <v>-175</v>
      </c>
      <c r="D232" s="7">
        <v>3750</v>
      </c>
      <c r="E232" s="7">
        <v>34</v>
      </c>
      <c r="F232" s="10">
        <f>B232+Origin_X</f>
        <v>125</v>
      </c>
      <c r="G232" s="10">
        <f>C232+Origin_Y</f>
        <v>-175</v>
      </c>
    </row>
    <row r="233" spans="1:7" x14ac:dyDescent="0.25">
      <c r="A233" s="7">
        <v>228</v>
      </c>
      <c r="B233" s="7">
        <v>50</v>
      </c>
      <c r="C233" s="7">
        <v>-175</v>
      </c>
      <c r="D233" s="7">
        <v>3750</v>
      </c>
      <c r="E233" s="7">
        <v>34</v>
      </c>
      <c r="F233" s="10">
        <f>B233+Origin_X</f>
        <v>50</v>
      </c>
      <c r="G233" s="10">
        <f>C233+Origin_Y</f>
        <v>-175</v>
      </c>
    </row>
    <row r="234" spans="1:7" x14ac:dyDescent="0.25">
      <c r="A234" s="7">
        <v>229</v>
      </c>
      <c r="B234" s="7">
        <v>25</v>
      </c>
      <c r="C234" s="7">
        <v>-50</v>
      </c>
      <c r="D234" s="7">
        <v>3750</v>
      </c>
      <c r="E234" s="7">
        <v>35</v>
      </c>
      <c r="F234" s="10">
        <f>B234+Origin_X</f>
        <v>25</v>
      </c>
      <c r="G234" s="10">
        <f>C234+Origin_Y</f>
        <v>-50</v>
      </c>
    </row>
    <row r="235" spans="1:7" x14ac:dyDescent="0.25">
      <c r="A235" s="7">
        <v>230</v>
      </c>
      <c r="B235" s="7">
        <v>25</v>
      </c>
      <c r="C235" s="7">
        <v>-125</v>
      </c>
      <c r="D235" s="7">
        <v>3750</v>
      </c>
      <c r="E235" s="7">
        <v>35</v>
      </c>
      <c r="F235" s="10">
        <f>B235+Origin_X</f>
        <v>25</v>
      </c>
      <c r="G235" s="10">
        <f>C235+Origin_Y</f>
        <v>-125</v>
      </c>
    </row>
    <row r="236" spans="1:7" x14ac:dyDescent="0.25">
      <c r="A236" s="7">
        <v>231</v>
      </c>
      <c r="B236" s="7">
        <v>100</v>
      </c>
      <c r="C236" s="7">
        <v>-125</v>
      </c>
      <c r="D236" s="7">
        <v>3750</v>
      </c>
      <c r="E236" s="7">
        <v>35</v>
      </c>
      <c r="F236" s="10">
        <f>B236+Origin_X</f>
        <v>100</v>
      </c>
      <c r="G236" s="10">
        <f>C236+Origin_Y</f>
        <v>-125</v>
      </c>
    </row>
    <row r="237" spans="1:7" x14ac:dyDescent="0.25">
      <c r="A237" s="7">
        <v>232</v>
      </c>
      <c r="B237" s="7">
        <v>125</v>
      </c>
      <c r="C237" s="7">
        <v>-100</v>
      </c>
      <c r="D237" s="7">
        <v>3750</v>
      </c>
      <c r="E237" s="7">
        <v>35</v>
      </c>
      <c r="F237" s="10">
        <f>B237+Origin_X</f>
        <v>125</v>
      </c>
      <c r="G237" s="10">
        <f>C237+Origin_Y</f>
        <v>-100</v>
      </c>
    </row>
    <row r="238" spans="1:7" x14ac:dyDescent="0.25">
      <c r="A238" s="7">
        <v>233</v>
      </c>
      <c r="B238" s="7">
        <v>125</v>
      </c>
      <c r="C238" s="7">
        <v>-25</v>
      </c>
      <c r="D238" s="7">
        <v>3750</v>
      </c>
      <c r="E238" s="7">
        <v>35</v>
      </c>
      <c r="F238" s="10">
        <f>B238+Origin_X</f>
        <v>125</v>
      </c>
      <c r="G238" s="10">
        <f>C238+Origin_Y</f>
        <v>-25</v>
      </c>
    </row>
    <row r="239" spans="1:7" x14ac:dyDescent="0.25">
      <c r="A239" s="7">
        <v>234</v>
      </c>
      <c r="B239" s="7">
        <v>50</v>
      </c>
      <c r="C239" s="7">
        <v>-25</v>
      </c>
      <c r="D239" s="7">
        <v>3750</v>
      </c>
      <c r="E239" s="7">
        <v>35</v>
      </c>
      <c r="F239" s="10">
        <f>B239+Origin_X</f>
        <v>50</v>
      </c>
      <c r="G239" s="10">
        <f>C239+Origin_Y</f>
        <v>-25</v>
      </c>
    </row>
    <row r="240" spans="1:7" x14ac:dyDescent="0.25">
      <c r="A240" s="7">
        <v>235</v>
      </c>
      <c r="B240" s="7">
        <v>25</v>
      </c>
      <c r="C240" s="7">
        <v>100</v>
      </c>
      <c r="D240" s="7">
        <v>3750</v>
      </c>
      <c r="E240" s="7">
        <v>36</v>
      </c>
      <c r="F240" s="10">
        <f>B240+Origin_X</f>
        <v>25</v>
      </c>
      <c r="G240" s="10">
        <f>C240+Origin_Y</f>
        <v>100</v>
      </c>
    </row>
    <row r="241" spans="1:7" x14ac:dyDescent="0.25">
      <c r="A241" s="7">
        <v>236</v>
      </c>
      <c r="B241" s="7">
        <v>25</v>
      </c>
      <c r="C241" s="7">
        <v>25</v>
      </c>
      <c r="D241" s="7">
        <v>3750</v>
      </c>
      <c r="E241" s="7">
        <v>36</v>
      </c>
      <c r="F241" s="10">
        <f>B241+Origin_X</f>
        <v>25</v>
      </c>
      <c r="G241" s="10">
        <f>C241+Origin_Y</f>
        <v>25</v>
      </c>
    </row>
    <row r="242" spans="1:7" x14ac:dyDescent="0.25">
      <c r="A242" s="7">
        <v>237</v>
      </c>
      <c r="B242" s="7">
        <v>100</v>
      </c>
      <c r="C242" s="7">
        <v>25</v>
      </c>
      <c r="D242" s="7">
        <v>3750</v>
      </c>
      <c r="E242" s="7">
        <v>36</v>
      </c>
      <c r="F242" s="10">
        <f>B242+Origin_X</f>
        <v>100</v>
      </c>
      <c r="G242" s="10">
        <f>C242+Origin_Y</f>
        <v>25</v>
      </c>
    </row>
    <row r="243" spans="1:7" x14ac:dyDescent="0.25">
      <c r="A243" s="7">
        <v>238</v>
      </c>
      <c r="B243" s="7">
        <v>125</v>
      </c>
      <c r="C243" s="7">
        <v>50</v>
      </c>
      <c r="D243" s="7">
        <v>3750</v>
      </c>
      <c r="E243" s="7">
        <v>36</v>
      </c>
      <c r="F243" s="10">
        <f>B243+Origin_X</f>
        <v>125</v>
      </c>
      <c r="G243" s="10">
        <f>C243+Origin_Y</f>
        <v>50</v>
      </c>
    </row>
    <row r="244" spans="1:7" x14ac:dyDescent="0.25">
      <c r="A244" s="7">
        <v>239</v>
      </c>
      <c r="B244" s="7">
        <v>125</v>
      </c>
      <c r="C244" s="7">
        <v>125</v>
      </c>
      <c r="D244" s="7">
        <v>3750</v>
      </c>
      <c r="E244" s="7">
        <v>36</v>
      </c>
      <c r="F244" s="10">
        <f>B244+Origin_X</f>
        <v>125</v>
      </c>
      <c r="G244" s="10">
        <f>C244+Origin_Y</f>
        <v>125</v>
      </c>
    </row>
    <row r="245" spans="1:7" x14ac:dyDescent="0.25">
      <c r="A245" s="7">
        <v>240</v>
      </c>
      <c r="B245" s="7">
        <v>50</v>
      </c>
      <c r="C245" s="7">
        <v>125</v>
      </c>
      <c r="D245" s="7">
        <v>3750</v>
      </c>
      <c r="E245" s="7">
        <v>36</v>
      </c>
      <c r="F245" s="10">
        <f>B245+Origin_X</f>
        <v>50</v>
      </c>
      <c r="G245" s="10">
        <f>C245+Origin_Y</f>
        <v>125</v>
      </c>
    </row>
    <row r="246" spans="1:7" x14ac:dyDescent="0.25">
      <c r="A246" s="7">
        <v>241</v>
      </c>
      <c r="B246" s="7">
        <v>25</v>
      </c>
      <c r="C246" s="7">
        <v>250</v>
      </c>
      <c r="D246" s="7">
        <v>3750</v>
      </c>
      <c r="E246" s="7">
        <v>37</v>
      </c>
      <c r="F246" s="10">
        <f>B246+Origin_X</f>
        <v>25</v>
      </c>
      <c r="G246" s="10">
        <f>C246+Origin_Y</f>
        <v>250</v>
      </c>
    </row>
    <row r="247" spans="1:7" x14ac:dyDescent="0.25">
      <c r="A247" s="7">
        <v>242</v>
      </c>
      <c r="B247" s="7">
        <v>25</v>
      </c>
      <c r="C247" s="7">
        <v>175</v>
      </c>
      <c r="D247" s="7">
        <v>3750</v>
      </c>
      <c r="E247" s="7">
        <v>37</v>
      </c>
      <c r="F247" s="10">
        <f>B247+Origin_X</f>
        <v>25</v>
      </c>
      <c r="G247" s="10">
        <f>C247+Origin_Y</f>
        <v>175</v>
      </c>
    </row>
    <row r="248" spans="1:7" x14ac:dyDescent="0.25">
      <c r="A248" s="7">
        <v>243</v>
      </c>
      <c r="B248" s="7">
        <v>100</v>
      </c>
      <c r="C248" s="7">
        <v>175</v>
      </c>
      <c r="D248" s="7">
        <v>3750</v>
      </c>
      <c r="E248" s="7">
        <v>37</v>
      </c>
      <c r="F248" s="10">
        <f>B248+Origin_X</f>
        <v>100</v>
      </c>
      <c r="G248" s="10">
        <f>C248+Origin_Y</f>
        <v>175</v>
      </c>
    </row>
    <row r="249" spans="1:7" x14ac:dyDescent="0.25">
      <c r="A249" s="7">
        <v>244</v>
      </c>
      <c r="B249" s="7">
        <v>125</v>
      </c>
      <c r="C249" s="7">
        <v>200</v>
      </c>
      <c r="D249" s="7">
        <v>3750</v>
      </c>
      <c r="E249" s="7">
        <v>37</v>
      </c>
      <c r="F249" s="10">
        <f>B249+Origin_X</f>
        <v>125</v>
      </c>
      <c r="G249" s="10">
        <f>C249+Origin_Y</f>
        <v>200</v>
      </c>
    </row>
    <row r="250" spans="1:7" x14ac:dyDescent="0.25">
      <c r="A250" s="7">
        <v>245</v>
      </c>
      <c r="B250" s="7">
        <v>125</v>
      </c>
      <c r="C250" s="7">
        <v>275</v>
      </c>
      <c r="D250" s="7">
        <v>3750</v>
      </c>
      <c r="E250" s="7">
        <v>37</v>
      </c>
      <c r="F250" s="10">
        <f>B250+Origin_X</f>
        <v>125</v>
      </c>
      <c r="G250" s="10">
        <f>C250+Origin_Y</f>
        <v>275</v>
      </c>
    </row>
    <row r="251" spans="1:7" x14ac:dyDescent="0.25">
      <c r="A251" s="7">
        <v>246</v>
      </c>
      <c r="B251" s="7">
        <v>50</v>
      </c>
      <c r="C251" s="7">
        <v>275</v>
      </c>
      <c r="D251" s="7">
        <v>3750</v>
      </c>
      <c r="E251" s="7">
        <v>37</v>
      </c>
      <c r="F251" s="10">
        <f>B251+Origin_X</f>
        <v>50</v>
      </c>
      <c r="G251" s="10">
        <f>C251+Origin_Y</f>
        <v>275</v>
      </c>
    </row>
    <row r="252" spans="1:7" x14ac:dyDescent="0.25">
      <c r="A252" s="7">
        <v>247</v>
      </c>
      <c r="B252" s="7">
        <v>25</v>
      </c>
      <c r="C252" s="7">
        <v>400</v>
      </c>
      <c r="D252" s="7">
        <v>3750</v>
      </c>
      <c r="E252" s="7">
        <v>38</v>
      </c>
      <c r="F252" s="10">
        <f>B252+Origin_X</f>
        <v>25</v>
      </c>
      <c r="G252" s="10">
        <f>C252+Origin_Y</f>
        <v>400</v>
      </c>
    </row>
    <row r="253" spans="1:7" x14ac:dyDescent="0.25">
      <c r="A253" s="7">
        <v>248</v>
      </c>
      <c r="B253" s="7">
        <v>25</v>
      </c>
      <c r="C253" s="7">
        <v>325</v>
      </c>
      <c r="D253" s="7">
        <v>3750</v>
      </c>
      <c r="E253" s="7">
        <v>38</v>
      </c>
      <c r="F253" s="10">
        <f>B253+Origin_X</f>
        <v>25</v>
      </c>
      <c r="G253" s="10">
        <f>C253+Origin_Y</f>
        <v>325</v>
      </c>
    </row>
    <row r="254" spans="1:7" x14ac:dyDescent="0.25">
      <c r="A254" s="7">
        <v>249</v>
      </c>
      <c r="B254" s="7">
        <v>100</v>
      </c>
      <c r="C254" s="7">
        <v>325</v>
      </c>
      <c r="D254" s="7">
        <v>3750</v>
      </c>
      <c r="E254" s="7">
        <v>38</v>
      </c>
      <c r="F254" s="10">
        <f>B254+Origin_X</f>
        <v>100</v>
      </c>
      <c r="G254" s="10">
        <f>C254+Origin_Y</f>
        <v>325</v>
      </c>
    </row>
    <row r="255" spans="1:7" x14ac:dyDescent="0.25">
      <c r="A255" s="7">
        <v>250</v>
      </c>
      <c r="B255" s="7">
        <v>125</v>
      </c>
      <c r="C255" s="7">
        <v>350</v>
      </c>
      <c r="D255" s="7">
        <v>3750</v>
      </c>
      <c r="E255" s="7">
        <v>38</v>
      </c>
      <c r="F255" s="10">
        <f>B255+Origin_X</f>
        <v>125</v>
      </c>
      <c r="G255" s="10">
        <f>C255+Origin_Y</f>
        <v>350</v>
      </c>
    </row>
    <row r="256" spans="1:7" x14ac:dyDescent="0.25">
      <c r="A256" s="7">
        <v>251</v>
      </c>
      <c r="B256" s="7">
        <v>125</v>
      </c>
      <c r="C256" s="7">
        <v>425</v>
      </c>
      <c r="D256" s="7">
        <v>3750</v>
      </c>
      <c r="E256" s="7">
        <v>38</v>
      </c>
      <c r="F256" s="10">
        <f>B256+Origin_X</f>
        <v>125</v>
      </c>
      <c r="G256" s="10">
        <f>C256+Origin_Y</f>
        <v>425</v>
      </c>
    </row>
    <row r="257" spans="1:7" x14ac:dyDescent="0.25">
      <c r="A257" s="7">
        <v>252</v>
      </c>
      <c r="B257" s="7">
        <v>50</v>
      </c>
      <c r="C257" s="7">
        <v>425</v>
      </c>
      <c r="D257" s="7">
        <v>3750</v>
      </c>
      <c r="E257" s="7">
        <v>38</v>
      </c>
      <c r="F257" s="10">
        <f>B257+Origin_X</f>
        <v>50</v>
      </c>
      <c r="G257" s="10">
        <f>C257+Origin_Y</f>
        <v>425</v>
      </c>
    </row>
    <row r="258" spans="1:7" x14ac:dyDescent="0.25">
      <c r="A258" s="7">
        <v>253</v>
      </c>
      <c r="B258" s="7">
        <v>25</v>
      </c>
      <c r="C258" s="7">
        <v>550</v>
      </c>
      <c r="D258" s="7">
        <v>3750</v>
      </c>
      <c r="E258" s="7">
        <v>39</v>
      </c>
      <c r="F258" s="10">
        <f>B258+Origin_X</f>
        <v>25</v>
      </c>
      <c r="G258" s="10">
        <f>C258+Origin_Y</f>
        <v>550</v>
      </c>
    </row>
    <row r="259" spans="1:7" x14ac:dyDescent="0.25">
      <c r="A259" s="7">
        <v>254</v>
      </c>
      <c r="B259" s="7">
        <v>25</v>
      </c>
      <c r="C259" s="7">
        <v>475</v>
      </c>
      <c r="D259" s="7">
        <v>3750</v>
      </c>
      <c r="E259" s="7">
        <v>39</v>
      </c>
      <c r="F259" s="10">
        <f>B259+Origin_X</f>
        <v>25</v>
      </c>
      <c r="G259" s="10">
        <f>C259+Origin_Y</f>
        <v>475</v>
      </c>
    </row>
    <row r="260" spans="1:7" x14ac:dyDescent="0.25">
      <c r="A260" s="7">
        <v>255</v>
      </c>
      <c r="B260" s="7">
        <v>100</v>
      </c>
      <c r="C260" s="7">
        <v>475</v>
      </c>
      <c r="D260" s="7">
        <v>3750</v>
      </c>
      <c r="E260" s="7">
        <v>39</v>
      </c>
      <c r="F260" s="10">
        <f>B260+Origin_X</f>
        <v>100</v>
      </c>
      <c r="G260" s="10">
        <f>C260+Origin_Y</f>
        <v>475</v>
      </c>
    </row>
    <row r="261" spans="1:7" x14ac:dyDescent="0.25">
      <c r="A261" s="7">
        <v>256</v>
      </c>
      <c r="B261" s="7">
        <v>125</v>
      </c>
      <c r="C261" s="7">
        <v>500</v>
      </c>
      <c r="D261" s="7">
        <v>3750</v>
      </c>
      <c r="E261" s="7">
        <v>39</v>
      </c>
      <c r="F261" s="10">
        <f>B261+Origin_X</f>
        <v>125</v>
      </c>
      <c r="G261" s="10">
        <f>C261+Origin_Y</f>
        <v>500</v>
      </c>
    </row>
    <row r="262" spans="1:7" x14ac:dyDescent="0.25">
      <c r="A262" s="7">
        <v>257</v>
      </c>
      <c r="B262" s="7">
        <v>125</v>
      </c>
      <c r="C262" s="7">
        <v>575</v>
      </c>
      <c r="D262" s="7">
        <v>3750</v>
      </c>
      <c r="E262" s="7">
        <v>39</v>
      </c>
      <c r="F262" s="10">
        <f>B262+Origin_X</f>
        <v>125</v>
      </c>
      <c r="G262" s="10">
        <f>C262+Origin_Y</f>
        <v>575</v>
      </c>
    </row>
    <row r="263" spans="1:7" x14ac:dyDescent="0.25">
      <c r="A263" s="7">
        <v>258</v>
      </c>
      <c r="B263" s="7">
        <v>50</v>
      </c>
      <c r="C263" s="7">
        <v>575</v>
      </c>
      <c r="D263" s="7">
        <v>3750</v>
      </c>
      <c r="E263" s="7">
        <v>39</v>
      </c>
      <c r="F263" s="10">
        <f>B263+Origin_X</f>
        <v>50</v>
      </c>
      <c r="G263" s="10">
        <f>C263+Origin_Y</f>
        <v>575</v>
      </c>
    </row>
    <row r="264" spans="1:7" x14ac:dyDescent="0.25">
      <c r="A264" s="7">
        <v>259</v>
      </c>
      <c r="B264" s="7">
        <v>175</v>
      </c>
      <c r="C264" s="7">
        <v>-500</v>
      </c>
      <c r="D264" s="7">
        <v>3750</v>
      </c>
      <c r="E264" s="7">
        <v>40</v>
      </c>
      <c r="F264" s="10">
        <f>B264+Origin_X</f>
        <v>175</v>
      </c>
      <c r="G264" s="10">
        <f>C264+Origin_Y</f>
        <v>-500</v>
      </c>
    </row>
    <row r="265" spans="1:7" x14ac:dyDescent="0.25">
      <c r="A265" s="7">
        <v>260</v>
      </c>
      <c r="B265" s="7">
        <v>175</v>
      </c>
      <c r="C265" s="7">
        <v>-575</v>
      </c>
      <c r="D265" s="7">
        <v>3750</v>
      </c>
      <c r="E265" s="7">
        <v>40</v>
      </c>
      <c r="F265" s="10">
        <f>B265+Origin_X</f>
        <v>175</v>
      </c>
      <c r="G265" s="10">
        <f>C265+Origin_Y</f>
        <v>-575</v>
      </c>
    </row>
    <row r="266" spans="1:7" x14ac:dyDescent="0.25">
      <c r="A266" s="7">
        <v>261</v>
      </c>
      <c r="B266" s="7">
        <v>250</v>
      </c>
      <c r="C266" s="7">
        <v>-575</v>
      </c>
      <c r="D266" s="7">
        <v>3750</v>
      </c>
      <c r="E266" s="7">
        <v>40</v>
      </c>
      <c r="F266" s="10">
        <f>B266+Origin_X</f>
        <v>250</v>
      </c>
      <c r="G266" s="10">
        <f>C266+Origin_Y</f>
        <v>-575</v>
      </c>
    </row>
    <row r="267" spans="1:7" x14ac:dyDescent="0.25">
      <c r="A267" s="7">
        <v>262</v>
      </c>
      <c r="B267" s="7">
        <v>275</v>
      </c>
      <c r="C267" s="7">
        <v>-550</v>
      </c>
      <c r="D267" s="7">
        <v>3750</v>
      </c>
      <c r="E267" s="7">
        <v>40</v>
      </c>
      <c r="F267" s="10">
        <f>B267+Origin_X</f>
        <v>275</v>
      </c>
      <c r="G267" s="10">
        <f>C267+Origin_Y</f>
        <v>-550</v>
      </c>
    </row>
    <row r="268" spans="1:7" x14ac:dyDescent="0.25">
      <c r="A268" s="7">
        <v>263</v>
      </c>
      <c r="B268" s="7">
        <v>275</v>
      </c>
      <c r="C268" s="7">
        <v>-475</v>
      </c>
      <c r="D268" s="7">
        <v>3750</v>
      </c>
      <c r="E268" s="7">
        <v>40</v>
      </c>
      <c r="F268" s="10">
        <f>B268+Origin_X</f>
        <v>275</v>
      </c>
      <c r="G268" s="10">
        <f>C268+Origin_Y</f>
        <v>-475</v>
      </c>
    </row>
    <row r="269" spans="1:7" x14ac:dyDescent="0.25">
      <c r="A269" s="7">
        <v>264</v>
      </c>
      <c r="B269" s="7">
        <v>200</v>
      </c>
      <c r="C269" s="7">
        <v>-475</v>
      </c>
      <c r="D269" s="7">
        <v>3750</v>
      </c>
      <c r="E269" s="7">
        <v>40</v>
      </c>
      <c r="F269" s="10">
        <f>B269+Origin_X</f>
        <v>200</v>
      </c>
      <c r="G269" s="10">
        <f>C269+Origin_Y</f>
        <v>-475</v>
      </c>
    </row>
    <row r="270" spans="1:7" x14ac:dyDescent="0.25">
      <c r="A270" s="7">
        <v>265</v>
      </c>
      <c r="B270" s="7">
        <v>200</v>
      </c>
      <c r="C270" s="7">
        <v>-441.66666666666663</v>
      </c>
      <c r="D270" s="7">
        <v>1250</v>
      </c>
      <c r="E270" s="7">
        <v>41</v>
      </c>
      <c r="F270" s="10">
        <f>B270+Origin_X</f>
        <v>200</v>
      </c>
      <c r="G270" s="10">
        <f>C270+Origin_Y</f>
        <v>-441.66666666666663</v>
      </c>
    </row>
    <row r="271" spans="1:7" x14ac:dyDescent="0.25">
      <c r="A271" s="7">
        <v>266</v>
      </c>
      <c r="B271" s="7">
        <v>275</v>
      </c>
      <c r="C271" s="7">
        <v>-441.66666666666663</v>
      </c>
      <c r="D271" s="7">
        <v>1250</v>
      </c>
      <c r="E271" s="7">
        <v>41</v>
      </c>
      <c r="F271" s="10">
        <f>B271+Origin_X</f>
        <v>275</v>
      </c>
      <c r="G271" s="10">
        <f>C271+Origin_Y</f>
        <v>-441.66666666666663</v>
      </c>
    </row>
    <row r="272" spans="1:7" x14ac:dyDescent="0.25">
      <c r="A272" s="7">
        <v>267</v>
      </c>
      <c r="B272" s="7">
        <v>275</v>
      </c>
      <c r="C272" s="7">
        <v>-416.66666666666663</v>
      </c>
      <c r="D272" s="7">
        <v>1250</v>
      </c>
      <c r="E272" s="7">
        <v>41</v>
      </c>
      <c r="F272" s="10">
        <f>B272+Origin_X</f>
        <v>275</v>
      </c>
      <c r="G272" s="10">
        <f>C272+Origin_Y</f>
        <v>-416.66666666666663</v>
      </c>
    </row>
    <row r="273" spans="1:7" x14ac:dyDescent="0.25">
      <c r="A273" s="7">
        <v>268</v>
      </c>
      <c r="B273" s="7">
        <v>191.66666666666666</v>
      </c>
      <c r="C273" s="7">
        <v>-433.33333333333326</v>
      </c>
      <c r="D273" s="7">
        <v>416.6666666666667</v>
      </c>
      <c r="E273" s="7">
        <v>41</v>
      </c>
      <c r="F273" s="10">
        <f>B273+Origin_X</f>
        <v>191.66666666666666</v>
      </c>
      <c r="G273" s="10">
        <f>C273+Origin_Y</f>
        <v>-433.33333333333326</v>
      </c>
    </row>
    <row r="274" spans="1:7" x14ac:dyDescent="0.25">
      <c r="A274" s="7">
        <v>269</v>
      </c>
      <c r="B274" s="7">
        <v>266.6666666666667</v>
      </c>
      <c r="C274" s="7">
        <v>-408.33333333333326</v>
      </c>
      <c r="D274" s="7">
        <v>416.6666666666667</v>
      </c>
      <c r="E274" s="7">
        <v>41</v>
      </c>
      <c r="F274" s="10">
        <f>B274+Origin_X</f>
        <v>266.6666666666667</v>
      </c>
      <c r="G274" s="10">
        <f>C274+Origin_Y</f>
        <v>-408.33333333333326</v>
      </c>
    </row>
    <row r="275" spans="1:7" x14ac:dyDescent="0.25">
      <c r="A275" s="7">
        <v>270</v>
      </c>
      <c r="B275" s="7">
        <v>241.66666666666666</v>
      </c>
      <c r="C275" s="7">
        <v>-408.33333333333326</v>
      </c>
      <c r="D275" s="7">
        <v>416.6666666666667</v>
      </c>
      <c r="E275" s="7">
        <v>41</v>
      </c>
      <c r="F275" s="10">
        <f>B275+Origin_X</f>
        <v>241.66666666666666</v>
      </c>
      <c r="G275" s="10">
        <f>C275+Origin_Y</f>
        <v>-408.33333333333326</v>
      </c>
    </row>
    <row r="276" spans="1:7" x14ac:dyDescent="0.25">
      <c r="A276" s="7">
        <v>271</v>
      </c>
      <c r="B276" s="7">
        <v>166.66666666666666</v>
      </c>
      <c r="C276" s="7">
        <v>-416.66666666666663</v>
      </c>
      <c r="D276" s="7">
        <v>2500</v>
      </c>
      <c r="E276" s="7">
        <v>41</v>
      </c>
      <c r="F276" s="10">
        <f>B276+Origin_X</f>
        <v>166.66666666666666</v>
      </c>
      <c r="G276" s="10">
        <f>C276+Origin_Y</f>
        <v>-416.66666666666663</v>
      </c>
    </row>
    <row r="277" spans="1:7" x14ac:dyDescent="0.25">
      <c r="A277" s="7">
        <v>272</v>
      </c>
      <c r="B277" s="7">
        <v>216.66666666666666</v>
      </c>
      <c r="C277" s="7">
        <v>-391.66666666666663</v>
      </c>
      <c r="D277" s="7">
        <v>2500</v>
      </c>
      <c r="E277" s="7">
        <v>41</v>
      </c>
      <c r="F277" s="10">
        <f>B277+Origin_X</f>
        <v>216.66666666666666</v>
      </c>
      <c r="G277" s="10">
        <f>C277+Origin_Y</f>
        <v>-391.66666666666663</v>
      </c>
    </row>
    <row r="278" spans="1:7" x14ac:dyDescent="0.25">
      <c r="A278" s="7">
        <v>273</v>
      </c>
      <c r="B278" s="7">
        <v>166.66666666666666</v>
      </c>
      <c r="C278" s="7">
        <v>-341.66666666666663</v>
      </c>
      <c r="D278" s="7">
        <v>2500</v>
      </c>
      <c r="E278" s="7">
        <v>41</v>
      </c>
      <c r="F278" s="10">
        <f>B278+Origin_X</f>
        <v>166.66666666666666</v>
      </c>
      <c r="G278" s="10">
        <f>C278+Origin_Y</f>
        <v>-341.66666666666663</v>
      </c>
    </row>
    <row r="279" spans="1:7" x14ac:dyDescent="0.25">
      <c r="A279" s="7">
        <v>274</v>
      </c>
      <c r="B279" s="7">
        <v>166.66666666666666</v>
      </c>
      <c r="C279" s="7">
        <v>416.66666666666663</v>
      </c>
      <c r="D279" s="7">
        <v>2500</v>
      </c>
      <c r="E279" s="7">
        <v>42</v>
      </c>
      <c r="F279" s="10">
        <f>B279+Origin_X</f>
        <v>166.66666666666666</v>
      </c>
      <c r="G279" s="10">
        <f>C279+Origin_Y</f>
        <v>416.66666666666663</v>
      </c>
    </row>
    <row r="280" spans="1:7" x14ac:dyDescent="0.25">
      <c r="A280" s="7">
        <v>275</v>
      </c>
      <c r="B280" s="7">
        <v>166.66666666666666</v>
      </c>
      <c r="C280" s="7">
        <v>341.66666666666663</v>
      </c>
      <c r="D280" s="7">
        <v>2500</v>
      </c>
      <c r="E280" s="7">
        <v>42</v>
      </c>
      <c r="F280" s="10">
        <f>B280+Origin_X</f>
        <v>166.66666666666666</v>
      </c>
      <c r="G280" s="10">
        <f>C280+Origin_Y</f>
        <v>341.66666666666663</v>
      </c>
    </row>
    <row r="281" spans="1:7" x14ac:dyDescent="0.25">
      <c r="A281" s="7">
        <v>276</v>
      </c>
      <c r="B281" s="7">
        <v>216.66666666666666</v>
      </c>
      <c r="C281" s="7">
        <v>391.66666666666663</v>
      </c>
      <c r="D281" s="7">
        <v>2500</v>
      </c>
      <c r="E281" s="7">
        <v>42</v>
      </c>
      <c r="F281" s="10">
        <f>B281+Origin_X</f>
        <v>216.66666666666666</v>
      </c>
      <c r="G281" s="10">
        <f>C281+Origin_Y</f>
        <v>391.66666666666663</v>
      </c>
    </row>
    <row r="282" spans="1:7" x14ac:dyDescent="0.25">
      <c r="A282" s="7">
        <v>277</v>
      </c>
      <c r="B282" s="7">
        <v>191.66666666666666</v>
      </c>
      <c r="C282" s="7">
        <v>433.33333333333326</v>
      </c>
      <c r="D282" s="7">
        <v>416.6666666666667</v>
      </c>
      <c r="E282" s="7">
        <v>42</v>
      </c>
      <c r="F282" s="10">
        <f>B282+Origin_X</f>
        <v>191.66666666666666</v>
      </c>
      <c r="G282" s="10">
        <f>C282+Origin_Y</f>
        <v>433.33333333333326</v>
      </c>
    </row>
    <row r="283" spans="1:7" x14ac:dyDescent="0.25">
      <c r="A283" s="7">
        <v>278</v>
      </c>
      <c r="B283" s="7">
        <v>241.66666666666666</v>
      </c>
      <c r="C283" s="7">
        <v>408.33333333333326</v>
      </c>
      <c r="D283" s="7">
        <v>416.6666666666667</v>
      </c>
      <c r="E283" s="7">
        <v>42</v>
      </c>
      <c r="F283" s="10">
        <f>B283+Origin_X</f>
        <v>241.66666666666666</v>
      </c>
      <c r="G283" s="10">
        <f>C283+Origin_Y</f>
        <v>408.33333333333326</v>
      </c>
    </row>
    <row r="284" spans="1:7" x14ac:dyDescent="0.25">
      <c r="A284" s="7">
        <v>279</v>
      </c>
      <c r="B284" s="7">
        <v>266.66666666666663</v>
      </c>
      <c r="C284" s="7">
        <v>408.33333333333326</v>
      </c>
      <c r="D284" s="7">
        <v>416.6666666666667</v>
      </c>
      <c r="E284" s="7">
        <v>42</v>
      </c>
      <c r="F284" s="10">
        <f>B284+Origin_X</f>
        <v>266.66666666666663</v>
      </c>
      <c r="G284" s="10">
        <f>C284+Origin_Y</f>
        <v>408.33333333333326</v>
      </c>
    </row>
    <row r="285" spans="1:7" x14ac:dyDescent="0.25">
      <c r="A285" s="7">
        <v>280</v>
      </c>
      <c r="B285" s="7">
        <v>275</v>
      </c>
      <c r="C285" s="7">
        <v>416.66666666666663</v>
      </c>
      <c r="D285" s="7">
        <v>1250</v>
      </c>
      <c r="E285" s="7">
        <v>42</v>
      </c>
      <c r="F285" s="10">
        <f>B285+Origin_X</f>
        <v>275</v>
      </c>
      <c r="G285" s="10">
        <f>C285+Origin_Y</f>
        <v>416.66666666666663</v>
      </c>
    </row>
    <row r="286" spans="1:7" x14ac:dyDescent="0.25">
      <c r="A286" s="7">
        <v>281</v>
      </c>
      <c r="B286" s="7">
        <v>275</v>
      </c>
      <c r="C286" s="7">
        <v>441.66666666666663</v>
      </c>
      <c r="D286" s="7">
        <v>1250</v>
      </c>
      <c r="E286" s="7">
        <v>42</v>
      </c>
      <c r="F286" s="10">
        <f>B286+Origin_X</f>
        <v>275</v>
      </c>
      <c r="G286" s="10">
        <f>C286+Origin_Y</f>
        <v>441.66666666666663</v>
      </c>
    </row>
    <row r="287" spans="1:7" x14ac:dyDescent="0.25">
      <c r="A287" s="7">
        <v>282</v>
      </c>
      <c r="B287" s="7">
        <v>200</v>
      </c>
      <c r="C287" s="7">
        <v>441.66666666666663</v>
      </c>
      <c r="D287" s="7">
        <v>1250</v>
      </c>
      <c r="E287" s="7">
        <v>42</v>
      </c>
      <c r="F287" s="10">
        <f>B287+Origin_X</f>
        <v>200</v>
      </c>
      <c r="G287" s="10">
        <f>C287+Origin_Y</f>
        <v>441.66666666666663</v>
      </c>
    </row>
    <row r="288" spans="1:7" x14ac:dyDescent="0.25">
      <c r="A288" s="7">
        <v>283</v>
      </c>
      <c r="B288" s="7">
        <v>175</v>
      </c>
      <c r="C288" s="7">
        <v>550</v>
      </c>
      <c r="D288" s="7">
        <v>3750</v>
      </c>
      <c r="E288" s="7">
        <v>43</v>
      </c>
      <c r="F288" s="10">
        <f>B288+Origin_X</f>
        <v>175</v>
      </c>
      <c r="G288" s="10">
        <f>C288+Origin_Y</f>
        <v>550</v>
      </c>
    </row>
    <row r="289" spans="1:7" x14ac:dyDescent="0.25">
      <c r="A289" s="7">
        <v>284</v>
      </c>
      <c r="B289" s="7">
        <v>175</v>
      </c>
      <c r="C289" s="7">
        <v>475</v>
      </c>
      <c r="D289" s="7">
        <v>3750</v>
      </c>
      <c r="E289" s="7">
        <v>43</v>
      </c>
      <c r="F289" s="10">
        <f>B289+Origin_X</f>
        <v>175</v>
      </c>
      <c r="G289" s="10">
        <f>C289+Origin_Y</f>
        <v>475</v>
      </c>
    </row>
    <row r="290" spans="1:7" x14ac:dyDescent="0.25">
      <c r="A290" s="7">
        <v>285</v>
      </c>
      <c r="B290" s="7">
        <v>250</v>
      </c>
      <c r="C290" s="7">
        <v>475</v>
      </c>
      <c r="D290" s="7">
        <v>3750</v>
      </c>
      <c r="E290" s="7">
        <v>43</v>
      </c>
      <c r="F290" s="10">
        <f>B290+Origin_X</f>
        <v>250</v>
      </c>
      <c r="G290" s="10">
        <f>C290+Origin_Y</f>
        <v>475</v>
      </c>
    </row>
    <row r="291" spans="1:7" x14ac:dyDescent="0.25">
      <c r="A291" s="7">
        <v>286</v>
      </c>
      <c r="B291" s="7">
        <v>275</v>
      </c>
      <c r="C291" s="7">
        <v>500</v>
      </c>
      <c r="D291" s="7">
        <v>3750</v>
      </c>
      <c r="E291" s="7">
        <v>43</v>
      </c>
      <c r="F291" s="10">
        <f>B291+Origin_X</f>
        <v>275</v>
      </c>
      <c r="G291" s="10">
        <f>C291+Origin_Y</f>
        <v>500</v>
      </c>
    </row>
    <row r="292" spans="1:7" x14ac:dyDescent="0.25">
      <c r="A292" s="7">
        <v>287</v>
      </c>
      <c r="B292" s="7">
        <v>275</v>
      </c>
      <c r="C292" s="7">
        <v>575</v>
      </c>
      <c r="D292" s="7">
        <v>3750</v>
      </c>
      <c r="E292" s="7">
        <v>43</v>
      </c>
      <c r="F292" s="10">
        <f>B292+Origin_X</f>
        <v>275</v>
      </c>
      <c r="G292" s="10">
        <f>C292+Origin_Y</f>
        <v>575</v>
      </c>
    </row>
    <row r="293" spans="1:7" x14ac:dyDescent="0.25">
      <c r="A293" s="7">
        <v>288</v>
      </c>
      <c r="B293" s="7">
        <v>200</v>
      </c>
      <c r="C293" s="7">
        <v>575</v>
      </c>
      <c r="D293" s="7">
        <v>3750</v>
      </c>
      <c r="E293" s="7">
        <v>43</v>
      </c>
      <c r="F293" s="10">
        <f>B293+Origin_X</f>
        <v>200</v>
      </c>
      <c r="G293" s="10">
        <f>C293+Origin_Y</f>
        <v>575</v>
      </c>
    </row>
    <row r="294" spans="1:7" x14ac:dyDescent="0.25">
      <c r="A294" s="7">
        <v>289</v>
      </c>
      <c r="B294" s="7">
        <v>325</v>
      </c>
      <c r="C294" s="7">
        <v>-500</v>
      </c>
      <c r="D294" s="7">
        <v>3750</v>
      </c>
      <c r="E294" s="7">
        <v>44</v>
      </c>
      <c r="F294" s="10">
        <f>B294+Origin_X</f>
        <v>325</v>
      </c>
      <c r="G294" s="10">
        <f>C294+Origin_Y</f>
        <v>-500</v>
      </c>
    </row>
    <row r="295" spans="1:7" x14ac:dyDescent="0.25">
      <c r="A295" s="7">
        <v>290</v>
      </c>
      <c r="B295" s="7">
        <v>325</v>
      </c>
      <c r="C295" s="7">
        <v>-575</v>
      </c>
      <c r="D295" s="7">
        <v>3750</v>
      </c>
      <c r="E295" s="7">
        <v>44</v>
      </c>
      <c r="F295" s="10">
        <f>B295+Origin_X</f>
        <v>325</v>
      </c>
      <c r="G295" s="10">
        <f>C295+Origin_Y</f>
        <v>-575</v>
      </c>
    </row>
    <row r="296" spans="1:7" x14ac:dyDescent="0.25">
      <c r="A296" s="7">
        <v>291</v>
      </c>
      <c r="B296" s="7">
        <v>400</v>
      </c>
      <c r="C296" s="7">
        <v>-575</v>
      </c>
      <c r="D296" s="7">
        <v>3750</v>
      </c>
      <c r="E296" s="7">
        <v>44</v>
      </c>
      <c r="F296" s="10">
        <f>B296+Origin_X</f>
        <v>400</v>
      </c>
      <c r="G296" s="10">
        <f>C296+Origin_Y</f>
        <v>-575</v>
      </c>
    </row>
    <row r="297" spans="1:7" x14ac:dyDescent="0.25">
      <c r="A297" s="7">
        <v>292</v>
      </c>
      <c r="B297" s="7">
        <v>425</v>
      </c>
      <c r="C297" s="7">
        <v>-550</v>
      </c>
      <c r="D297" s="7">
        <v>3750</v>
      </c>
      <c r="E297" s="7">
        <v>44</v>
      </c>
      <c r="F297" s="10">
        <f>B297+Origin_X</f>
        <v>425</v>
      </c>
      <c r="G297" s="10">
        <f>C297+Origin_Y</f>
        <v>-550</v>
      </c>
    </row>
    <row r="298" spans="1:7" x14ac:dyDescent="0.25">
      <c r="A298" s="7">
        <v>293</v>
      </c>
      <c r="B298" s="7">
        <v>425</v>
      </c>
      <c r="C298" s="7">
        <v>-475</v>
      </c>
      <c r="D298" s="7">
        <v>3750</v>
      </c>
      <c r="E298" s="7">
        <v>44</v>
      </c>
      <c r="F298" s="10">
        <f>B298+Origin_X</f>
        <v>425</v>
      </c>
      <c r="G298" s="10">
        <f>C298+Origin_Y</f>
        <v>-475</v>
      </c>
    </row>
    <row r="299" spans="1:7" x14ac:dyDescent="0.25">
      <c r="A299" s="7">
        <v>294</v>
      </c>
      <c r="B299" s="7">
        <v>350</v>
      </c>
      <c r="C299" s="7">
        <v>-475</v>
      </c>
      <c r="D299" s="7">
        <v>3750</v>
      </c>
      <c r="E299" s="7">
        <v>44</v>
      </c>
      <c r="F299" s="10">
        <f>B299+Origin_X</f>
        <v>350</v>
      </c>
      <c r="G299" s="10">
        <f>C299+Origin_Y</f>
        <v>-475</v>
      </c>
    </row>
    <row r="300" spans="1:7" x14ac:dyDescent="0.25">
      <c r="A300" s="7">
        <v>295</v>
      </c>
      <c r="B300" s="7">
        <v>325</v>
      </c>
      <c r="C300" s="7">
        <v>-416.66666666666663</v>
      </c>
      <c r="D300" s="7">
        <v>1250</v>
      </c>
      <c r="E300" s="7">
        <v>45</v>
      </c>
      <c r="F300" s="10">
        <f>B300+Origin_X</f>
        <v>325</v>
      </c>
      <c r="G300" s="10">
        <f>C300+Origin_Y</f>
        <v>-416.66666666666663</v>
      </c>
    </row>
    <row r="301" spans="1:7" x14ac:dyDescent="0.25">
      <c r="A301" s="7">
        <v>296</v>
      </c>
      <c r="B301" s="7">
        <v>325</v>
      </c>
      <c r="C301" s="7">
        <v>-441.66666666666663</v>
      </c>
      <c r="D301" s="7">
        <v>1250</v>
      </c>
      <c r="E301" s="7">
        <v>45</v>
      </c>
      <c r="F301" s="10">
        <f>B301+Origin_X</f>
        <v>325</v>
      </c>
      <c r="G301" s="10">
        <f>C301+Origin_Y</f>
        <v>-441.66666666666663</v>
      </c>
    </row>
    <row r="302" spans="1:7" x14ac:dyDescent="0.25">
      <c r="A302" s="7">
        <v>297</v>
      </c>
      <c r="B302" s="7">
        <v>400</v>
      </c>
      <c r="C302" s="7">
        <v>-441.66666666666663</v>
      </c>
      <c r="D302" s="7">
        <v>1250</v>
      </c>
      <c r="E302" s="7">
        <v>45</v>
      </c>
      <c r="F302" s="10">
        <f>B302+Origin_X</f>
        <v>400</v>
      </c>
      <c r="G302" s="10">
        <f>C302+Origin_Y</f>
        <v>-441.66666666666663</v>
      </c>
    </row>
    <row r="303" spans="1:7" x14ac:dyDescent="0.25">
      <c r="A303" s="7">
        <v>298</v>
      </c>
      <c r="B303" s="7">
        <v>425</v>
      </c>
      <c r="C303" s="7">
        <v>-433.33333333333326</v>
      </c>
      <c r="D303" s="7">
        <v>1250</v>
      </c>
      <c r="E303" s="7">
        <v>45</v>
      </c>
      <c r="F303" s="10">
        <f>B303+Origin_X</f>
        <v>425</v>
      </c>
      <c r="G303" s="10">
        <f>C303+Origin_Y</f>
        <v>-433.33333333333326</v>
      </c>
    </row>
    <row r="304" spans="1:7" x14ac:dyDescent="0.25">
      <c r="A304" s="7">
        <v>299</v>
      </c>
      <c r="B304" s="7">
        <v>425</v>
      </c>
      <c r="C304" s="7">
        <v>-408.33333333333326</v>
      </c>
      <c r="D304" s="7">
        <v>1250</v>
      </c>
      <c r="E304" s="7">
        <v>45</v>
      </c>
      <c r="F304" s="10">
        <f>B304+Origin_X</f>
        <v>425</v>
      </c>
      <c r="G304" s="10">
        <f>C304+Origin_Y</f>
        <v>-408.33333333333326</v>
      </c>
    </row>
    <row r="305" spans="1:7" x14ac:dyDescent="0.25">
      <c r="A305" s="7">
        <v>300</v>
      </c>
      <c r="B305" s="7">
        <v>350</v>
      </c>
      <c r="C305" s="7">
        <v>-408.33333333333326</v>
      </c>
      <c r="D305" s="7">
        <v>1250</v>
      </c>
      <c r="E305" s="7">
        <v>45</v>
      </c>
      <c r="F305" s="10">
        <f>B305+Origin_X</f>
        <v>350</v>
      </c>
      <c r="G305" s="10">
        <f>C305+Origin_Y</f>
        <v>-408.33333333333326</v>
      </c>
    </row>
    <row r="306" spans="1:7" x14ac:dyDescent="0.25">
      <c r="A306" s="7">
        <v>301</v>
      </c>
      <c r="B306" s="7">
        <v>325</v>
      </c>
      <c r="C306" s="7">
        <v>433.33333333333326</v>
      </c>
      <c r="D306" s="7">
        <v>1250</v>
      </c>
      <c r="E306" s="7">
        <v>46</v>
      </c>
      <c r="F306" s="10">
        <f>B306+Origin_X</f>
        <v>325</v>
      </c>
      <c r="G306" s="10">
        <f>C306+Origin_Y</f>
        <v>433.33333333333326</v>
      </c>
    </row>
    <row r="307" spans="1:7" x14ac:dyDescent="0.25">
      <c r="A307" s="7">
        <v>302</v>
      </c>
      <c r="B307" s="7">
        <v>325</v>
      </c>
      <c r="C307" s="7">
        <v>408.33333333333326</v>
      </c>
      <c r="D307" s="7">
        <v>1250</v>
      </c>
      <c r="E307" s="7">
        <v>46</v>
      </c>
      <c r="F307" s="10">
        <f>B307+Origin_X</f>
        <v>325</v>
      </c>
      <c r="G307" s="10">
        <f>C307+Origin_Y</f>
        <v>408.33333333333326</v>
      </c>
    </row>
    <row r="308" spans="1:7" x14ac:dyDescent="0.25">
      <c r="A308" s="7">
        <v>303</v>
      </c>
      <c r="B308" s="7">
        <v>400</v>
      </c>
      <c r="C308" s="7">
        <v>408.33333333333326</v>
      </c>
      <c r="D308" s="7">
        <v>1250</v>
      </c>
      <c r="E308" s="7">
        <v>46</v>
      </c>
      <c r="F308" s="10">
        <f>B308+Origin_X</f>
        <v>400</v>
      </c>
      <c r="G308" s="10">
        <f>C308+Origin_Y</f>
        <v>408.33333333333326</v>
      </c>
    </row>
    <row r="309" spans="1:7" x14ac:dyDescent="0.25">
      <c r="A309" s="7">
        <v>304</v>
      </c>
      <c r="B309" s="7">
        <v>425</v>
      </c>
      <c r="C309" s="7">
        <v>416.66666666666663</v>
      </c>
      <c r="D309" s="7">
        <v>1250</v>
      </c>
      <c r="E309" s="7">
        <v>46</v>
      </c>
      <c r="F309" s="10">
        <f>B309+Origin_X</f>
        <v>425</v>
      </c>
      <c r="G309" s="10">
        <f>C309+Origin_Y</f>
        <v>416.66666666666663</v>
      </c>
    </row>
    <row r="310" spans="1:7" x14ac:dyDescent="0.25">
      <c r="A310" s="7">
        <v>305</v>
      </c>
      <c r="B310" s="7">
        <v>425</v>
      </c>
      <c r="C310" s="7">
        <v>441.66666666666663</v>
      </c>
      <c r="D310" s="7">
        <v>1250</v>
      </c>
      <c r="E310" s="7">
        <v>46</v>
      </c>
      <c r="F310" s="10">
        <f>B310+Origin_X</f>
        <v>425</v>
      </c>
      <c r="G310" s="10">
        <f>C310+Origin_Y</f>
        <v>441.66666666666663</v>
      </c>
    </row>
    <row r="311" spans="1:7" x14ac:dyDescent="0.25">
      <c r="A311" s="7">
        <v>306</v>
      </c>
      <c r="B311" s="7">
        <v>350</v>
      </c>
      <c r="C311" s="7">
        <v>441.66666666666663</v>
      </c>
      <c r="D311" s="7">
        <v>1250</v>
      </c>
      <c r="E311" s="7">
        <v>46</v>
      </c>
      <c r="F311" s="10">
        <f>B311+Origin_X</f>
        <v>350</v>
      </c>
      <c r="G311" s="10">
        <f>C311+Origin_Y</f>
        <v>441.66666666666663</v>
      </c>
    </row>
    <row r="312" spans="1:7" x14ac:dyDescent="0.25">
      <c r="A312" s="7">
        <v>307</v>
      </c>
      <c r="B312" s="7">
        <v>325</v>
      </c>
      <c r="C312" s="7">
        <v>550</v>
      </c>
      <c r="D312" s="7">
        <v>3750</v>
      </c>
      <c r="E312" s="7">
        <v>47</v>
      </c>
      <c r="F312" s="10">
        <f>B312+Origin_X</f>
        <v>325</v>
      </c>
      <c r="G312" s="10">
        <f>C312+Origin_Y</f>
        <v>550</v>
      </c>
    </row>
    <row r="313" spans="1:7" x14ac:dyDescent="0.25">
      <c r="A313" s="7">
        <v>308</v>
      </c>
      <c r="B313" s="7">
        <v>325</v>
      </c>
      <c r="C313" s="7">
        <v>475</v>
      </c>
      <c r="D313" s="7">
        <v>3750</v>
      </c>
      <c r="E313" s="7">
        <v>47</v>
      </c>
      <c r="F313" s="10">
        <f>B313+Origin_X</f>
        <v>325</v>
      </c>
      <c r="G313" s="10">
        <f>C313+Origin_Y</f>
        <v>475</v>
      </c>
    </row>
    <row r="314" spans="1:7" x14ac:dyDescent="0.25">
      <c r="A314" s="7">
        <v>309</v>
      </c>
      <c r="B314" s="7">
        <v>400</v>
      </c>
      <c r="C314" s="7">
        <v>475</v>
      </c>
      <c r="D314" s="7">
        <v>3750</v>
      </c>
      <c r="E314" s="7">
        <v>47</v>
      </c>
      <c r="F314" s="10">
        <f>B314+Origin_X</f>
        <v>400</v>
      </c>
      <c r="G314" s="10">
        <f>C314+Origin_Y</f>
        <v>475</v>
      </c>
    </row>
    <row r="315" spans="1:7" x14ac:dyDescent="0.25">
      <c r="A315" s="7">
        <v>310</v>
      </c>
      <c r="B315" s="7">
        <v>425</v>
      </c>
      <c r="C315" s="7">
        <v>500</v>
      </c>
      <c r="D315" s="7">
        <v>3750</v>
      </c>
      <c r="E315" s="7">
        <v>47</v>
      </c>
      <c r="F315" s="10">
        <f>B315+Origin_X</f>
        <v>425</v>
      </c>
      <c r="G315" s="10">
        <f>C315+Origin_Y</f>
        <v>500</v>
      </c>
    </row>
    <row r="316" spans="1:7" x14ac:dyDescent="0.25">
      <c r="A316" s="7">
        <v>311</v>
      </c>
      <c r="B316" s="7">
        <v>425</v>
      </c>
      <c r="C316" s="7">
        <v>575</v>
      </c>
      <c r="D316" s="7">
        <v>3750</v>
      </c>
      <c r="E316" s="7">
        <v>47</v>
      </c>
      <c r="F316" s="10">
        <f>B316+Origin_X</f>
        <v>425</v>
      </c>
      <c r="G316" s="10">
        <f>C316+Origin_Y</f>
        <v>575</v>
      </c>
    </row>
    <row r="317" spans="1:7" x14ac:dyDescent="0.25">
      <c r="A317" s="7">
        <v>312</v>
      </c>
      <c r="B317" s="7">
        <v>350</v>
      </c>
      <c r="C317" s="7">
        <v>575</v>
      </c>
      <c r="D317" s="7">
        <v>3750</v>
      </c>
      <c r="E317" s="7">
        <v>47</v>
      </c>
      <c r="F317" s="10">
        <f>B317+Origin_X</f>
        <v>350</v>
      </c>
      <c r="G317" s="10">
        <f>C317+Origin_Y</f>
        <v>575</v>
      </c>
    </row>
    <row r="318" spans="1:7" x14ac:dyDescent="0.25">
      <c r="A318" s="7">
        <v>313</v>
      </c>
      <c r="B318" s="7">
        <v>466.66666666666663</v>
      </c>
      <c r="C318" s="7">
        <v>-500</v>
      </c>
      <c r="D318" s="7">
        <v>2500</v>
      </c>
      <c r="E318" s="7">
        <v>48</v>
      </c>
      <c r="F318" s="10">
        <f>B318+Origin_X</f>
        <v>466.66666666666663</v>
      </c>
      <c r="G318" s="10">
        <f>C318+Origin_Y</f>
        <v>-500</v>
      </c>
    </row>
    <row r="319" spans="1:7" x14ac:dyDescent="0.25">
      <c r="A319" s="7">
        <v>314</v>
      </c>
      <c r="B319" s="7">
        <v>466.66666666666663</v>
      </c>
      <c r="C319" s="7">
        <v>-575</v>
      </c>
      <c r="D319" s="7">
        <v>2500</v>
      </c>
      <c r="E319" s="7">
        <v>48</v>
      </c>
      <c r="F319" s="10">
        <f>B319+Origin_X</f>
        <v>466.66666666666663</v>
      </c>
      <c r="G319" s="10">
        <f>C319+Origin_Y</f>
        <v>-575</v>
      </c>
    </row>
    <row r="320" spans="1:7" x14ac:dyDescent="0.25">
      <c r="A320" s="7">
        <v>315</v>
      </c>
      <c r="B320" s="7">
        <v>516.6666666666666</v>
      </c>
      <c r="C320" s="7">
        <v>-575</v>
      </c>
      <c r="D320" s="7">
        <v>2500</v>
      </c>
      <c r="E320" s="7">
        <v>48</v>
      </c>
      <c r="F320" s="10">
        <f>B320+Origin_X</f>
        <v>516.6666666666666</v>
      </c>
      <c r="G320" s="10">
        <f>C320+Origin_Y</f>
        <v>-575</v>
      </c>
    </row>
    <row r="321" spans="1:7" x14ac:dyDescent="0.25">
      <c r="A321" s="7">
        <v>316</v>
      </c>
      <c r="B321" s="7">
        <v>491.66666666666663</v>
      </c>
      <c r="C321" s="7">
        <v>-491.66666666666663</v>
      </c>
      <c r="D321" s="7">
        <v>2083.3333333333335</v>
      </c>
      <c r="E321" s="7">
        <v>48</v>
      </c>
      <c r="F321" s="10">
        <f>B321+Origin_X</f>
        <v>491.66666666666663</v>
      </c>
      <c r="G321" s="10">
        <f>C321+Origin_Y</f>
        <v>-491.66666666666663</v>
      </c>
    </row>
    <row r="322" spans="1:7" x14ac:dyDescent="0.25">
      <c r="A322" s="7">
        <v>317</v>
      </c>
      <c r="B322" s="7">
        <v>541.6666666666666</v>
      </c>
      <c r="C322" s="7">
        <v>-566.6666666666666</v>
      </c>
      <c r="D322" s="7">
        <v>2083.3333333333335</v>
      </c>
      <c r="E322" s="7">
        <v>48</v>
      </c>
      <c r="F322" s="10">
        <f>B322+Origin_X</f>
        <v>541.6666666666666</v>
      </c>
      <c r="G322" s="10">
        <f>C322+Origin_Y</f>
        <v>-566.6666666666666</v>
      </c>
    </row>
    <row r="323" spans="1:7" x14ac:dyDescent="0.25">
      <c r="A323" s="7">
        <v>318</v>
      </c>
      <c r="B323" s="7">
        <v>566.6666666666666</v>
      </c>
      <c r="C323" s="7">
        <v>-541.6666666666666</v>
      </c>
      <c r="D323" s="7">
        <v>2083.3333333333335</v>
      </c>
      <c r="E323" s="7">
        <v>48</v>
      </c>
      <c r="F323" s="10">
        <f>B323+Origin_X</f>
        <v>566.6666666666666</v>
      </c>
      <c r="G323" s="10">
        <f>C323+Origin_Y</f>
        <v>-541.6666666666666</v>
      </c>
    </row>
    <row r="324" spans="1:7" x14ac:dyDescent="0.25">
      <c r="A324" s="7">
        <v>319</v>
      </c>
      <c r="B324" s="7">
        <v>575</v>
      </c>
      <c r="C324" s="7">
        <v>-516.6666666666666</v>
      </c>
      <c r="D324" s="7">
        <v>2500</v>
      </c>
      <c r="E324" s="7">
        <v>48</v>
      </c>
      <c r="F324" s="10">
        <f>B324+Origin_X</f>
        <v>575</v>
      </c>
      <c r="G324" s="10">
        <f>C324+Origin_Y</f>
        <v>-516.6666666666666</v>
      </c>
    </row>
    <row r="325" spans="1:7" x14ac:dyDescent="0.25">
      <c r="A325" s="7">
        <v>320</v>
      </c>
      <c r="B325" s="7">
        <v>575</v>
      </c>
      <c r="C325" s="7">
        <v>-466.66666666666663</v>
      </c>
      <c r="D325" s="7">
        <v>2500</v>
      </c>
      <c r="E325" s="7">
        <v>48</v>
      </c>
      <c r="F325" s="10">
        <f>B325+Origin_X</f>
        <v>575</v>
      </c>
      <c r="G325" s="10">
        <f>C325+Origin_Y</f>
        <v>-466.66666666666663</v>
      </c>
    </row>
    <row r="326" spans="1:7" x14ac:dyDescent="0.25">
      <c r="A326" s="7">
        <v>321</v>
      </c>
      <c r="B326" s="7">
        <v>500</v>
      </c>
      <c r="C326" s="7">
        <v>-466.66666666666663</v>
      </c>
      <c r="D326" s="7">
        <v>2500</v>
      </c>
      <c r="E326" s="7">
        <v>48</v>
      </c>
      <c r="F326" s="10">
        <f>B326+Origin_X</f>
        <v>500</v>
      </c>
      <c r="G326" s="10">
        <f>C326+Origin_Y</f>
        <v>-466.66666666666663</v>
      </c>
    </row>
    <row r="327" spans="1:7" x14ac:dyDescent="0.25">
      <c r="A327" s="7">
        <v>322</v>
      </c>
      <c r="B327" s="7">
        <v>475</v>
      </c>
      <c r="C327" s="7">
        <v>-416.66666666666663</v>
      </c>
      <c r="D327" s="7">
        <v>1250</v>
      </c>
      <c r="E327" s="7">
        <v>49</v>
      </c>
      <c r="F327" s="10">
        <f>B327+Origin_X</f>
        <v>475</v>
      </c>
      <c r="G327" s="10">
        <f>C327+Origin_Y</f>
        <v>-416.66666666666663</v>
      </c>
    </row>
    <row r="328" spans="1:7" x14ac:dyDescent="0.25">
      <c r="A328" s="7">
        <v>323</v>
      </c>
      <c r="B328" s="7">
        <v>475</v>
      </c>
      <c r="C328" s="7">
        <v>-441.66666666666663</v>
      </c>
      <c r="D328" s="7">
        <v>1250</v>
      </c>
      <c r="E328" s="7">
        <v>49</v>
      </c>
      <c r="F328" s="10">
        <f>B328+Origin_X</f>
        <v>475</v>
      </c>
      <c r="G328" s="10">
        <f>C328+Origin_Y</f>
        <v>-441.66666666666663</v>
      </c>
    </row>
    <row r="329" spans="1:7" x14ac:dyDescent="0.25">
      <c r="A329" s="7">
        <v>324</v>
      </c>
      <c r="B329" s="7">
        <v>550</v>
      </c>
      <c r="C329" s="7">
        <v>-441.66666666666663</v>
      </c>
      <c r="D329" s="7">
        <v>1250</v>
      </c>
      <c r="E329" s="7">
        <v>49</v>
      </c>
      <c r="F329" s="10">
        <f>B329+Origin_X</f>
        <v>550</v>
      </c>
      <c r="G329" s="10">
        <f>C329+Origin_Y</f>
        <v>-441.66666666666663</v>
      </c>
    </row>
    <row r="330" spans="1:7" x14ac:dyDescent="0.25">
      <c r="A330" s="7">
        <v>325</v>
      </c>
      <c r="B330" s="7">
        <v>500</v>
      </c>
      <c r="C330" s="7">
        <v>-391.66666666666663</v>
      </c>
      <c r="D330" s="7">
        <v>3750</v>
      </c>
      <c r="E330" s="7">
        <v>49</v>
      </c>
      <c r="F330" s="10">
        <f>B330+Origin_X</f>
        <v>500</v>
      </c>
      <c r="G330" s="10">
        <f>C330+Origin_Y</f>
        <v>-391.66666666666663</v>
      </c>
    </row>
    <row r="331" spans="1:7" x14ac:dyDescent="0.25">
      <c r="A331" s="7">
        <v>326</v>
      </c>
      <c r="B331" s="7">
        <v>575</v>
      </c>
      <c r="C331" s="7">
        <v>-416.66666666666663</v>
      </c>
      <c r="D331" s="7">
        <v>3750</v>
      </c>
      <c r="E331" s="7">
        <v>49</v>
      </c>
      <c r="F331" s="10">
        <f>B331+Origin_X</f>
        <v>575</v>
      </c>
      <c r="G331" s="10">
        <f>C331+Origin_Y</f>
        <v>-416.66666666666663</v>
      </c>
    </row>
    <row r="332" spans="1:7" x14ac:dyDescent="0.25">
      <c r="A332" s="7">
        <v>327</v>
      </c>
      <c r="B332" s="7">
        <v>575</v>
      </c>
      <c r="C332" s="7">
        <v>-341.66666666666663</v>
      </c>
      <c r="D332" s="7">
        <v>3750</v>
      </c>
      <c r="E332" s="7">
        <v>49</v>
      </c>
      <c r="F332" s="10">
        <f>B332+Origin_X</f>
        <v>575</v>
      </c>
      <c r="G332" s="10">
        <f>C332+Origin_Y</f>
        <v>-341.66666666666663</v>
      </c>
    </row>
    <row r="333" spans="1:7" x14ac:dyDescent="0.25">
      <c r="A333" s="7">
        <v>328</v>
      </c>
      <c r="B333" s="7">
        <v>566.6666666666666</v>
      </c>
      <c r="C333" s="7">
        <v>-316.66666666666663</v>
      </c>
      <c r="D333" s="7">
        <v>833.3333333333334</v>
      </c>
      <c r="E333" s="7">
        <v>49</v>
      </c>
      <c r="F333" s="10">
        <f>B333+Origin_X</f>
        <v>566.6666666666666</v>
      </c>
      <c r="G333" s="10">
        <f>C333+Origin_Y</f>
        <v>-316.66666666666663</v>
      </c>
    </row>
    <row r="334" spans="1:7" x14ac:dyDescent="0.25">
      <c r="A334" s="7">
        <v>329</v>
      </c>
      <c r="B334" s="7">
        <v>541.6666666666666</v>
      </c>
      <c r="C334" s="7">
        <v>-316.66666666666663</v>
      </c>
      <c r="D334" s="7">
        <v>833.3333333333334</v>
      </c>
      <c r="E334" s="7">
        <v>49</v>
      </c>
      <c r="F334" s="10">
        <f>B334+Origin_X</f>
        <v>541.6666666666666</v>
      </c>
      <c r="G334" s="10">
        <f>C334+Origin_Y</f>
        <v>-316.66666666666663</v>
      </c>
    </row>
    <row r="335" spans="1:7" x14ac:dyDescent="0.25">
      <c r="A335" s="7">
        <v>330</v>
      </c>
      <c r="B335" s="7">
        <v>491.66666666666663</v>
      </c>
      <c r="C335" s="7">
        <v>-366.66666666666663</v>
      </c>
      <c r="D335" s="7">
        <v>833.3333333333334</v>
      </c>
      <c r="E335" s="7">
        <v>49</v>
      </c>
      <c r="F335" s="10">
        <f>B335+Origin_X</f>
        <v>491.66666666666663</v>
      </c>
      <c r="G335" s="10">
        <f>C335+Origin_Y</f>
        <v>-366.66666666666663</v>
      </c>
    </row>
    <row r="336" spans="1:7" x14ac:dyDescent="0.25">
      <c r="A336" s="7">
        <v>331</v>
      </c>
      <c r="B336" s="7">
        <v>558.3333333333333</v>
      </c>
      <c r="C336" s="7">
        <v>-200</v>
      </c>
      <c r="D336" s="7">
        <v>1250</v>
      </c>
      <c r="E336" s="7">
        <v>50</v>
      </c>
      <c r="F336" s="10">
        <f>B336+Origin_X</f>
        <v>558.3333333333333</v>
      </c>
      <c r="G336" s="10">
        <f>C336+Origin_Y</f>
        <v>-200</v>
      </c>
    </row>
    <row r="337" spans="1:7" x14ac:dyDescent="0.25">
      <c r="A337" s="7">
        <v>332</v>
      </c>
      <c r="B337" s="7">
        <v>558.3333333333333</v>
      </c>
      <c r="C337" s="7">
        <v>-275</v>
      </c>
      <c r="D337" s="7">
        <v>1250</v>
      </c>
      <c r="E337" s="7">
        <v>50</v>
      </c>
      <c r="F337" s="10">
        <f>B337+Origin_X</f>
        <v>558.3333333333333</v>
      </c>
      <c r="G337" s="10">
        <f>C337+Origin_Y</f>
        <v>-275</v>
      </c>
    </row>
    <row r="338" spans="1:7" x14ac:dyDescent="0.25">
      <c r="A338" s="7">
        <v>333</v>
      </c>
      <c r="B338" s="7">
        <v>583.3333333333333</v>
      </c>
      <c r="C338" s="7">
        <v>-275</v>
      </c>
      <c r="D338" s="7">
        <v>1250</v>
      </c>
      <c r="E338" s="7">
        <v>50</v>
      </c>
      <c r="F338" s="10">
        <f>B338+Origin_X</f>
        <v>583.3333333333333</v>
      </c>
      <c r="G338" s="10">
        <f>C338+Origin_Y</f>
        <v>-275</v>
      </c>
    </row>
    <row r="339" spans="1:7" x14ac:dyDescent="0.25">
      <c r="A339" s="7">
        <v>334</v>
      </c>
      <c r="B339" s="7">
        <v>591.6666666666666</v>
      </c>
      <c r="C339" s="7">
        <v>-250</v>
      </c>
      <c r="D339" s="7">
        <v>1250</v>
      </c>
      <c r="E339" s="7">
        <v>50</v>
      </c>
      <c r="F339" s="10">
        <f>B339+Origin_X</f>
        <v>591.6666666666666</v>
      </c>
      <c r="G339" s="10">
        <f>C339+Origin_Y</f>
        <v>-250</v>
      </c>
    </row>
    <row r="340" spans="1:7" x14ac:dyDescent="0.25">
      <c r="A340" s="7">
        <v>335</v>
      </c>
      <c r="B340" s="7">
        <v>591.6666666666666</v>
      </c>
      <c r="C340" s="7">
        <v>-175</v>
      </c>
      <c r="D340" s="7">
        <v>1250</v>
      </c>
      <c r="E340" s="7">
        <v>50</v>
      </c>
      <c r="F340" s="10">
        <f>B340+Origin_X</f>
        <v>591.6666666666666</v>
      </c>
      <c r="G340" s="10">
        <f>C340+Origin_Y</f>
        <v>-175</v>
      </c>
    </row>
    <row r="341" spans="1:7" x14ac:dyDescent="0.25">
      <c r="A341" s="7">
        <v>336</v>
      </c>
      <c r="B341" s="7">
        <v>566.6666666666666</v>
      </c>
      <c r="C341" s="7">
        <v>-175</v>
      </c>
      <c r="D341" s="7">
        <v>1250</v>
      </c>
      <c r="E341" s="7">
        <v>50</v>
      </c>
      <c r="F341" s="10">
        <f>B341+Origin_X</f>
        <v>566.6666666666666</v>
      </c>
      <c r="G341" s="10">
        <f>C341+Origin_Y</f>
        <v>-175</v>
      </c>
    </row>
    <row r="342" spans="1:7" x14ac:dyDescent="0.25">
      <c r="A342" s="7">
        <v>337</v>
      </c>
      <c r="B342" s="7">
        <v>558.3333333333333</v>
      </c>
      <c r="C342" s="7">
        <v>-50</v>
      </c>
      <c r="D342" s="7">
        <v>1250</v>
      </c>
      <c r="E342" s="7">
        <v>51</v>
      </c>
      <c r="F342" s="10">
        <f>B342+Origin_X</f>
        <v>558.3333333333333</v>
      </c>
      <c r="G342" s="10">
        <f>C342+Origin_Y</f>
        <v>-50</v>
      </c>
    </row>
    <row r="343" spans="1:7" x14ac:dyDescent="0.25">
      <c r="A343" s="7">
        <v>338</v>
      </c>
      <c r="B343" s="7">
        <v>558.3333333333333</v>
      </c>
      <c r="C343" s="7">
        <v>-125</v>
      </c>
      <c r="D343" s="7">
        <v>1250</v>
      </c>
      <c r="E343" s="7">
        <v>51</v>
      </c>
      <c r="F343" s="10">
        <f>B343+Origin_X</f>
        <v>558.3333333333333</v>
      </c>
      <c r="G343" s="10">
        <f>C343+Origin_Y</f>
        <v>-125</v>
      </c>
    </row>
    <row r="344" spans="1:7" x14ac:dyDescent="0.25">
      <c r="A344" s="7">
        <v>339</v>
      </c>
      <c r="B344" s="7">
        <v>583.3333333333333</v>
      </c>
      <c r="C344" s="7">
        <v>-125</v>
      </c>
      <c r="D344" s="7">
        <v>1250</v>
      </c>
      <c r="E344" s="7">
        <v>51</v>
      </c>
      <c r="F344" s="10">
        <f>B344+Origin_X</f>
        <v>583.3333333333333</v>
      </c>
      <c r="G344" s="10">
        <f>C344+Origin_Y</f>
        <v>-125</v>
      </c>
    </row>
    <row r="345" spans="1:7" x14ac:dyDescent="0.25">
      <c r="A345" s="7">
        <v>340</v>
      </c>
      <c r="B345" s="7">
        <v>591.6666666666666</v>
      </c>
      <c r="C345" s="7">
        <v>-100</v>
      </c>
      <c r="D345" s="7">
        <v>1250</v>
      </c>
      <c r="E345" s="7">
        <v>51</v>
      </c>
      <c r="F345" s="10">
        <f>B345+Origin_X</f>
        <v>591.6666666666666</v>
      </c>
      <c r="G345" s="10">
        <f>C345+Origin_Y</f>
        <v>-100</v>
      </c>
    </row>
    <row r="346" spans="1:7" x14ac:dyDescent="0.25">
      <c r="A346" s="7">
        <v>341</v>
      </c>
      <c r="B346" s="7">
        <v>591.6666666666666</v>
      </c>
      <c r="C346" s="7">
        <v>-25</v>
      </c>
      <c r="D346" s="7">
        <v>1250</v>
      </c>
      <c r="E346" s="7">
        <v>51</v>
      </c>
      <c r="F346" s="10">
        <f>B346+Origin_X</f>
        <v>591.6666666666666</v>
      </c>
      <c r="G346" s="10">
        <f>C346+Origin_Y</f>
        <v>-25</v>
      </c>
    </row>
    <row r="347" spans="1:7" x14ac:dyDescent="0.25">
      <c r="A347" s="7">
        <v>342</v>
      </c>
      <c r="B347" s="7">
        <v>566.6666666666666</v>
      </c>
      <c r="C347" s="7">
        <v>-25</v>
      </c>
      <c r="D347" s="7">
        <v>1250</v>
      </c>
      <c r="E347" s="7">
        <v>51</v>
      </c>
      <c r="F347" s="10">
        <f>B347+Origin_X</f>
        <v>566.6666666666666</v>
      </c>
      <c r="G347" s="10">
        <f>C347+Origin_Y</f>
        <v>-25</v>
      </c>
    </row>
    <row r="348" spans="1:7" x14ac:dyDescent="0.25">
      <c r="A348" s="7">
        <v>343</v>
      </c>
      <c r="B348" s="7">
        <v>558.3333333333333</v>
      </c>
      <c r="C348" s="7">
        <v>100</v>
      </c>
      <c r="D348" s="7">
        <v>1250</v>
      </c>
      <c r="E348" s="7">
        <v>52</v>
      </c>
      <c r="F348" s="10">
        <f>B348+Origin_X</f>
        <v>558.3333333333333</v>
      </c>
      <c r="G348" s="10">
        <f>C348+Origin_Y</f>
        <v>100</v>
      </c>
    </row>
    <row r="349" spans="1:7" x14ac:dyDescent="0.25">
      <c r="A349" s="7">
        <v>344</v>
      </c>
      <c r="B349" s="7">
        <v>558.3333333333333</v>
      </c>
      <c r="C349" s="7">
        <v>25</v>
      </c>
      <c r="D349" s="7">
        <v>1250</v>
      </c>
      <c r="E349" s="7">
        <v>52</v>
      </c>
      <c r="F349" s="10">
        <f>B349+Origin_X</f>
        <v>558.3333333333333</v>
      </c>
      <c r="G349" s="10">
        <f>C349+Origin_Y</f>
        <v>25</v>
      </c>
    </row>
    <row r="350" spans="1:7" x14ac:dyDescent="0.25">
      <c r="A350" s="7">
        <v>345</v>
      </c>
      <c r="B350" s="7">
        <v>583.3333333333333</v>
      </c>
      <c r="C350" s="7">
        <v>25</v>
      </c>
      <c r="D350" s="7">
        <v>1250</v>
      </c>
      <c r="E350" s="7">
        <v>52</v>
      </c>
      <c r="F350" s="10">
        <f>B350+Origin_X</f>
        <v>583.3333333333333</v>
      </c>
      <c r="G350" s="10">
        <f>C350+Origin_Y</f>
        <v>25</v>
      </c>
    </row>
    <row r="351" spans="1:7" x14ac:dyDescent="0.25">
      <c r="A351" s="7">
        <v>346</v>
      </c>
      <c r="B351" s="7">
        <v>591.6666666666666</v>
      </c>
      <c r="C351" s="7">
        <v>50</v>
      </c>
      <c r="D351" s="7">
        <v>1250</v>
      </c>
      <c r="E351" s="7">
        <v>52</v>
      </c>
      <c r="F351" s="10">
        <f>B351+Origin_X</f>
        <v>591.6666666666666</v>
      </c>
      <c r="G351" s="10">
        <f>C351+Origin_Y</f>
        <v>50</v>
      </c>
    </row>
    <row r="352" spans="1:7" x14ac:dyDescent="0.25">
      <c r="A352" s="7">
        <v>347</v>
      </c>
      <c r="B352" s="7">
        <v>591.6666666666666</v>
      </c>
      <c r="C352" s="7">
        <v>125</v>
      </c>
      <c r="D352" s="7">
        <v>1250</v>
      </c>
      <c r="E352" s="7">
        <v>52</v>
      </c>
      <c r="F352" s="10">
        <f>B352+Origin_X</f>
        <v>591.6666666666666</v>
      </c>
      <c r="G352" s="10">
        <f>C352+Origin_Y</f>
        <v>125</v>
      </c>
    </row>
    <row r="353" spans="1:7" x14ac:dyDescent="0.25">
      <c r="A353" s="7">
        <v>348</v>
      </c>
      <c r="B353" s="7">
        <v>566.6666666666666</v>
      </c>
      <c r="C353" s="7">
        <v>125</v>
      </c>
      <c r="D353" s="7">
        <v>1250</v>
      </c>
      <c r="E353" s="7">
        <v>52</v>
      </c>
      <c r="F353" s="10">
        <f>B353+Origin_X</f>
        <v>566.6666666666666</v>
      </c>
      <c r="G353" s="10">
        <f>C353+Origin_Y</f>
        <v>125</v>
      </c>
    </row>
    <row r="354" spans="1:7" x14ac:dyDescent="0.25">
      <c r="A354" s="7">
        <v>349</v>
      </c>
      <c r="B354" s="7">
        <v>558.3333333333333</v>
      </c>
      <c r="C354" s="7">
        <v>250</v>
      </c>
      <c r="D354" s="7">
        <v>1250</v>
      </c>
      <c r="E354" s="7">
        <v>53</v>
      </c>
      <c r="F354" s="10">
        <f>B354+Origin_X</f>
        <v>558.3333333333333</v>
      </c>
      <c r="G354" s="10">
        <f>C354+Origin_Y</f>
        <v>250</v>
      </c>
    </row>
    <row r="355" spans="1:7" x14ac:dyDescent="0.25">
      <c r="A355" s="7">
        <v>350</v>
      </c>
      <c r="B355" s="7">
        <v>558.3333333333333</v>
      </c>
      <c r="C355" s="7">
        <v>175</v>
      </c>
      <c r="D355" s="7">
        <v>1250</v>
      </c>
      <c r="E355" s="7">
        <v>53</v>
      </c>
      <c r="F355" s="10">
        <f>B355+Origin_X</f>
        <v>558.3333333333333</v>
      </c>
      <c r="G355" s="10">
        <f>C355+Origin_Y</f>
        <v>175</v>
      </c>
    </row>
    <row r="356" spans="1:7" x14ac:dyDescent="0.25">
      <c r="A356" s="7">
        <v>351</v>
      </c>
      <c r="B356" s="7">
        <v>583.3333333333333</v>
      </c>
      <c r="C356" s="7">
        <v>175</v>
      </c>
      <c r="D356" s="7">
        <v>1250</v>
      </c>
      <c r="E356" s="7">
        <v>53</v>
      </c>
      <c r="F356" s="10">
        <f>B356+Origin_X</f>
        <v>583.3333333333333</v>
      </c>
      <c r="G356" s="10">
        <f>C356+Origin_Y</f>
        <v>175</v>
      </c>
    </row>
    <row r="357" spans="1:7" x14ac:dyDescent="0.25">
      <c r="A357" s="7">
        <v>352</v>
      </c>
      <c r="B357" s="7">
        <v>591.6666666666666</v>
      </c>
      <c r="C357" s="7">
        <v>200</v>
      </c>
      <c r="D357" s="7">
        <v>1250</v>
      </c>
      <c r="E357" s="7">
        <v>53</v>
      </c>
      <c r="F357" s="10">
        <f>B357+Origin_X</f>
        <v>591.6666666666666</v>
      </c>
      <c r="G357" s="10">
        <f>C357+Origin_Y</f>
        <v>200</v>
      </c>
    </row>
    <row r="358" spans="1:7" x14ac:dyDescent="0.25">
      <c r="A358" s="7">
        <v>353</v>
      </c>
      <c r="B358" s="7">
        <v>591.6666666666666</v>
      </c>
      <c r="C358" s="7">
        <v>275</v>
      </c>
      <c r="D358" s="7">
        <v>1250</v>
      </c>
      <c r="E358" s="7">
        <v>53</v>
      </c>
      <c r="F358" s="10">
        <f>B358+Origin_X</f>
        <v>591.6666666666666</v>
      </c>
      <c r="G358" s="10">
        <f>C358+Origin_Y</f>
        <v>275</v>
      </c>
    </row>
    <row r="359" spans="1:7" x14ac:dyDescent="0.25">
      <c r="A359" s="7">
        <v>354</v>
      </c>
      <c r="B359" s="7">
        <v>566.6666666666666</v>
      </c>
      <c r="C359" s="7">
        <v>275</v>
      </c>
      <c r="D359" s="7">
        <v>1250</v>
      </c>
      <c r="E359" s="7">
        <v>53</v>
      </c>
      <c r="F359" s="10">
        <f>B359+Origin_X</f>
        <v>566.6666666666666</v>
      </c>
      <c r="G359" s="10">
        <f>C359+Origin_Y</f>
        <v>275</v>
      </c>
    </row>
    <row r="360" spans="1:7" x14ac:dyDescent="0.25">
      <c r="A360" s="7">
        <v>355</v>
      </c>
      <c r="B360" s="7">
        <v>466.66666666666663</v>
      </c>
      <c r="C360" s="7">
        <v>416.66666666666663</v>
      </c>
      <c r="D360" s="7">
        <v>833.3333333333334</v>
      </c>
      <c r="E360" s="7">
        <v>54</v>
      </c>
      <c r="F360" s="10">
        <f>B360+Origin_X</f>
        <v>466.66666666666663</v>
      </c>
      <c r="G360" s="10">
        <f>C360+Origin_Y</f>
        <v>416.66666666666663</v>
      </c>
    </row>
    <row r="361" spans="1:7" x14ac:dyDescent="0.25">
      <c r="A361" s="7">
        <v>356</v>
      </c>
      <c r="B361" s="7">
        <v>466.66666666666663</v>
      </c>
      <c r="C361" s="7">
        <v>391.66666666666663</v>
      </c>
      <c r="D361" s="7">
        <v>833.3333333333334</v>
      </c>
      <c r="E361" s="7">
        <v>54</v>
      </c>
      <c r="F361" s="10">
        <f>B361+Origin_X</f>
        <v>466.66666666666663</v>
      </c>
      <c r="G361" s="10">
        <f>C361+Origin_Y</f>
        <v>391.66666666666663</v>
      </c>
    </row>
    <row r="362" spans="1:7" x14ac:dyDescent="0.25">
      <c r="A362" s="7">
        <v>357</v>
      </c>
      <c r="B362" s="7">
        <v>516.6666666666666</v>
      </c>
      <c r="C362" s="7">
        <v>341.66666666666663</v>
      </c>
      <c r="D362" s="7">
        <v>833.3333333333334</v>
      </c>
      <c r="E362" s="7">
        <v>54</v>
      </c>
      <c r="F362" s="10">
        <f>B362+Origin_X</f>
        <v>516.6666666666666</v>
      </c>
      <c r="G362" s="10">
        <f>C362+Origin_Y</f>
        <v>341.66666666666663</v>
      </c>
    </row>
    <row r="363" spans="1:7" x14ac:dyDescent="0.25">
      <c r="A363" s="7">
        <v>358</v>
      </c>
      <c r="B363" s="7">
        <v>491.66666666666663</v>
      </c>
      <c r="C363" s="7">
        <v>400</v>
      </c>
      <c r="D363" s="7">
        <v>1250</v>
      </c>
      <c r="E363" s="7">
        <v>54</v>
      </c>
      <c r="F363" s="10">
        <f>B363+Origin_X</f>
        <v>491.66666666666663</v>
      </c>
      <c r="G363" s="10">
        <f>C363+Origin_Y</f>
        <v>400</v>
      </c>
    </row>
    <row r="364" spans="1:7" x14ac:dyDescent="0.25">
      <c r="A364" s="7">
        <v>359</v>
      </c>
      <c r="B364" s="7">
        <v>541.6666666666666</v>
      </c>
      <c r="C364" s="7">
        <v>325</v>
      </c>
      <c r="D364" s="7">
        <v>1250</v>
      </c>
      <c r="E364" s="7">
        <v>54</v>
      </c>
      <c r="F364" s="10">
        <f>B364+Origin_X</f>
        <v>541.6666666666666</v>
      </c>
      <c r="G364" s="10">
        <f>C364+Origin_Y</f>
        <v>325</v>
      </c>
    </row>
    <row r="365" spans="1:7" x14ac:dyDescent="0.25">
      <c r="A365" s="7">
        <v>360</v>
      </c>
      <c r="B365" s="7">
        <v>566.6666666666666</v>
      </c>
      <c r="C365" s="7">
        <v>325</v>
      </c>
      <c r="D365" s="7">
        <v>1250</v>
      </c>
      <c r="E365" s="7">
        <v>54</v>
      </c>
      <c r="F365" s="10">
        <f>B365+Origin_X</f>
        <v>566.6666666666666</v>
      </c>
      <c r="G365" s="10">
        <f>C365+Origin_Y</f>
        <v>325</v>
      </c>
    </row>
    <row r="366" spans="1:7" x14ac:dyDescent="0.25">
      <c r="A366" s="7">
        <v>361</v>
      </c>
      <c r="B366" s="7">
        <v>575</v>
      </c>
      <c r="C366" s="7">
        <v>350</v>
      </c>
      <c r="D366" s="7">
        <v>3750</v>
      </c>
      <c r="E366" s="7">
        <v>54</v>
      </c>
      <c r="F366" s="10">
        <f>B366+Origin_X</f>
        <v>575</v>
      </c>
      <c r="G366" s="10">
        <f>C366+Origin_Y</f>
        <v>350</v>
      </c>
    </row>
    <row r="367" spans="1:7" x14ac:dyDescent="0.25">
      <c r="A367" s="7">
        <v>362</v>
      </c>
      <c r="B367" s="7">
        <v>575</v>
      </c>
      <c r="C367" s="7">
        <v>425</v>
      </c>
      <c r="D367" s="7">
        <v>3750</v>
      </c>
      <c r="E367" s="7">
        <v>54</v>
      </c>
      <c r="F367" s="10">
        <f>B367+Origin_X</f>
        <v>575</v>
      </c>
      <c r="G367" s="10">
        <f>C367+Origin_Y</f>
        <v>425</v>
      </c>
    </row>
    <row r="368" spans="1:7" x14ac:dyDescent="0.25">
      <c r="A368" s="7">
        <v>363</v>
      </c>
      <c r="B368" s="7">
        <v>500</v>
      </c>
      <c r="C368" s="7">
        <v>425</v>
      </c>
      <c r="D368" s="7">
        <v>3750</v>
      </c>
      <c r="E368" s="7">
        <v>54</v>
      </c>
      <c r="F368" s="10">
        <f>B368+Origin_X</f>
        <v>500</v>
      </c>
      <c r="G368" s="10">
        <f>C368+Origin_Y</f>
        <v>425</v>
      </c>
    </row>
    <row r="369" spans="1:7" x14ac:dyDescent="0.25">
      <c r="A369" s="7">
        <v>364</v>
      </c>
      <c r="B369" s="7">
        <v>475</v>
      </c>
      <c r="C369" s="7">
        <v>550</v>
      </c>
      <c r="D369" s="7">
        <v>3750</v>
      </c>
      <c r="E369" s="7">
        <v>55</v>
      </c>
      <c r="F369" s="10">
        <f>B369+Origin_X</f>
        <v>475</v>
      </c>
      <c r="G369" s="10">
        <f>C369+Origin_Y</f>
        <v>550</v>
      </c>
    </row>
    <row r="370" spans="1:7" x14ac:dyDescent="0.25">
      <c r="A370" s="7">
        <v>365</v>
      </c>
      <c r="B370" s="7">
        <v>475</v>
      </c>
      <c r="C370" s="7">
        <v>475</v>
      </c>
      <c r="D370" s="7">
        <v>3750</v>
      </c>
      <c r="E370" s="7">
        <v>55</v>
      </c>
      <c r="F370" s="10">
        <f>B370+Origin_X</f>
        <v>475</v>
      </c>
      <c r="G370" s="10">
        <f>C370+Origin_Y</f>
        <v>475</v>
      </c>
    </row>
    <row r="371" spans="1:7" x14ac:dyDescent="0.25">
      <c r="A371" s="7">
        <v>366</v>
      </c>
      <c r="B371" s="7">
        <v>550</v>
      </c>
      <c r="C371" s="7">
        <v>475</v>
      </c>
      <c r="D371" s="7">
        <v>3750</v>
      </c>
      <c r="E371" s="7">
        <v>55</v>
      </c>
      <c r="F371" s="10">
        <f>B371+Origin_X</f>
        <v>550</v>
      </c>
      <c r="G371" s="10">
        <f>C371+Origin_Y</f>
        <v>475</v>
      </c>
    </row>
    <row r="372" spans="1:7" x14ac:dyDescent="0.25">
      <c r="A372" s="7">
        <v>367</v>
      </c>
      <c r="B372" s="7">
        <v>500</v>
      </c>
      <c r="C372" s="7">
        <v>566.6666666666666</v>
      </c>
      <c r="D372" s="7">
        <v>2500</v>
      </c>
      <c r="E372" s="7">
        <v>55</v>
      </c>
      <c r="F372" s="10">
        <f>B372+Origin_X</f>
        <v>500</v>
      </c>
      <c r="G372" s="10">
        <f>C372+Origin_Y</f>
        <v>566.6666666666666</v>
      </c>
    </row>
    <row r="373" spans="1:7" x14ac:dyDescent="0.25">
      <c r="A373" s="7">
        <v>368</v>
      </c>
      <c r="B373" s="7">
        <v>575</v>
      </c>
      <c r="C373" s="7">
        <v>491.66666666666663</v>
      </c>
      <c r="D373" s="7">
        <v>2500</v>
      </c>
      <c r="E373" s="7">
        <v>55</v>
      </c>
      <c r="F373" s="10">
        <f>B373+Origin_X</f>
        <v>575</v>
      </c>
      <c r="G373" s="10">
        <f>C373+Origin_Y</f>
        <v>491.66666666666663</v>
      </c>
    </row>
    <row r="374" spans="1:7" x14ac:dyDescent="0.25">
      <c r="A374" s="7">
        <v>369</v>
      </c>
      <c r="B374" s="7">
        <v>575</v>
      </c>
      <c r="C374" s="7">
        <v>541.6666666666666</v>
      </c>
      <c r="D374" s="7">
        <v>2500</v>
      </c>
      <c r="E374" s="7">
        <v>55</v>
      </c>
      <c r="F374" s="10">
        <f>B374+Origin_X</f>
        <v>575</v>
      </c>
      <c r="G374" s="10">
        <f>C374+Origin_Y</f>
        <v>541.6666666666666</v>
      </c>
    </row>
    <row r="375" spans="1:7" x14ac:dyDescent="0.25">
      <c r="A375" s="7">
        <v>370</v>
      </c>
      <c r="B375" s="7">
        <v>566.6666666666666</v>
      </c>
      <c r="C375" s="7">
        <v>566.6666666666666</v>
      </c>
      <c r="D375" s="7">
        <v>833.3333333333334</v>
      </c>
      <c r="E375" s="7">
        <v>55</v>
      </c>
      <c r="F375" s="10">
        <f>B375+Origin_X</f>
        <v>566.6666666666666</v>
      </c>
      <c r="G375" s="10">
        <f>C375+Origin_Y</f>
        <v>566.6666666666666</v>
      </c>
    </row>
    <row r="376" spans="1:7" x14ac:dyDescent="0.25">
      <c r="A376" s="7">
        <v>371</v>
      </c>
      <c r="B376" s="7">
        <v>541.6666666666666</v>
      </c>
      <c r="C376" s="7">
        <v>591.6666666666666</v>
      </c>
      <c r="D376" s="7">
        <v>833.3333333333334</v>
      </c>
      <c r="E376" s="7">
        <v>55</v>
      </c>
      <c r="F376" s="10">
        <f>B376+Origin_X</f>
        <v>541.6666666666666</v>
      </c>
      <c r="G376" s="10">
        <f>C376+Origin_Y</f>
        <v>591.6666666666666</v>
      </c>
    </row>
    <row r="377" spans="1:7" x14ac:dyDescent="0.25">
      <c r="A377" s="7">
        <v>372</v>
      </c>
      <c r="B377" s="7">
        <v>491.66666666666663</v>
      </c>
      <c r="C377" s="7">
        <v>591.6666666666666</v>
      </c>
      <c r="D377" s="7">
        <v>833.3333333333334</v>
      </c>
      <c r="E377" s="7">
        <v>55</v>
      </c>
      <c r="F377" s="10">
        <f>B377+Origin_X</f>
        <v>491.66666666666663</v>
      </c>
      <c r="G377" s="10">
        <f>C377+Origin_Y</f>
        <v>591.6666666666666</v>
      </c>
    </row>
    <row r="378" spans="1:7" x14ac:dyDescent="0.25">
      <c r="A378" s="7">
        <v>373</v>
      </c>
      <c r="B378" s="7">
        <v>616.6666666666666</v>
      </c>
      <c r="C378" s="7">
        <v>-516.6666666666666</v>
      </c>
      <c r="D378" s="7">
        <v>1666.6666666666667</v>
      </c>
      <c r="E378" s="7">
        <v>56</v>
      </c>
      <c r="F378" s="10">
        <f>B378+Origin_X</f>
        <v>616.6666666666666</v>
      </c>
      <c r="G378" s="10">
        <f>C378+Origin_Y</f>
        <v>-516.6666666666666</v>
      </c>
    </row>
    <row r="379" spans="1:7" x14ac:dyDescent="0.25">
      <c r="A379" s="7">
        <v>374</v>
      </c>
      <c r="B379" s="7">
        <v>666.6666666666666</v>
      </c>
      <c r="C379" s="7">
        <v>-466.66666666666663</v>
      </c>
      <c r="D379" s="7">
        <v>1666.6666666666667</v>
      </c>
      <c r="E379" s="7">
        <v>56</v>
      </c>
      <c r="F379" s="10">
        <f>B379+Origin_X</f>
        <v>666.6666666666666</v>
      </c>
      <c r="G379" s="10">
        <f>C379+Origin_Y</f>
        <v>-466.66666666666663</v>
      </c>
    </row>
    <row r="380" spans="1:7" x14ac:dyDescent="0.25">
      <c r="A380" s="7">
        <v>375</v>
      </c>
      <c r="B380" s="7">
        <v>616.6666666666666</v>
      </c>
      <c r="C380" s="7">
        <v>-466.66666666666663</v>
      </c>
      <c r="D380" s="7">
        <v>1666.6666666666667</v>
      </c>
      <c r="E380" s="7">
        <v>56</v>
      </c>
      <c r="F380" s="10">
        <f>B380+Origin_X</f>
        <v>616.6666666666666</v>
      </c>
      <c r="G380" s="10">
        <f>C380+Origin_Y</f>
        <v>-466.66666666666663</v>
      </c>
    </row>
    <row r="381" spans="1:7" x14ac:dyDescent="0.25">
      <c r="A381" s="7">
        <v>376</v>
      </c>
      <c r="B381" s="7">
        <v>616.6666666666666</v>
      </c>
      <c r="C381" s="7">
        <v>-350</v>
      </c>
      <c r="D381" s="7">
        <v>2500</v>
      </c>
      <c r="E381" s="7">
        <v>57</v>
      </c>
      <c r="F381" s="10">
        <f>B381+Origin_X</f>
        <v>616.6666666666666</v>
      </c>
      <c r="G381" s="10">
        <f>C381+Origin_Y</f>
        <v>-350</v>
      </c>
    </row>
    <row r="382" spans="1:7" x14ac:dyDescent="0.25">
      <c r="A382" s="7">
        <v>377</v>
      </c>
      <c r="B382" s="7">
        <v>616.6666666666666</v>
      </c>
      <c r="C382" s="7">
        <v>-425</v>
      </c>
      <c r="D382" s="7">
        <v>2500</v>
      </c>
      <c r="E382" s="7">
        <v>57</v>
      </c>
      <c r="F382" s="10">
        <f>B382+Origin_X</f>
        <v>616.6666666666666</v>
      </c>
      <c r="G382" s="10">
        <f>C382+Origin_Y</f>
        <v>-425</v>
      </c>
    </row>
    <row r="383" spans="1:7" x14ac:dyDescent="0.25">
      <c r="A383" s="7">
        <v>378</v>
      </c>
      <c r="B383" s="7">
        <v>666.6666666666666</v>
      </c>
      <c r="C383" s="7">
        <v>-425</v>
      </c>
      <c r="D383" s="7">
        <v>2500</v>
      </c>
      <c r="E383" s="7">
        <v>57</v>
      </c>
      <c r="F383" s="10">
        <f>B383+Origin_X</f>
        <v>666.6666666666666</v>
      </c>
      <c r="G383" s="10">
        <f>C383+Origin_Y</f>
        <v>-425</v>
      </c>
    </row>
    <row r="384" spans="1:7" x14ac:dyDescent="0.25">
      <c r="A384" s="7">
        <v>379</v>
      </c>
      <c r="B384" s="7">
        <v>641.6666666666666</v>
      </c>
      <c r="C384" s="7">
        <v>-341.66666666666663</v>
      </c>
      <c r="D384" s="7">
        <v>2083.3333333333335</v>
      </c>
      <c r="E384" s="7">
        <v>57</v>
      </c>
      <c r="F384" s="10">
        <f>B384+Origin_X</f>
        <v>641.6666666666666</v>
      </c>
      <c r="G384" s="10">
        <f>C384+Origin_Y</f>
        <v>-341.66666666666663</v>
      </c>
    </row>
    <row r="385" spans="1:7" x14ac:dyDescent="0.25">
      <c r="A385" s="7">
        <v>380</v>
      </c>
      <c r="B385" s="7">
        <v>691.6666666666666</v>
      </c>
      <c r="C385" s="7">
        <v>-416.66666666666663</v>
      </c>
      <c r="D385" s="7">
        <v>2083.3333333333335</v>
      </c>
      <c r="E385" s="7">
        <v>57</v>
      </c>
      <c r="F385" s="10">
        <f>B385+Origin_X</f>
        <v>691.6666666666666</v>
      </c>
      <c r="G385" s="10">
        <f>C385+Origin_Y</f>
        <v>-416.66666666666663</v>
      </c>
    </row>
    <row r="386" spans="1:7" x14ac:dyDescent="0.25">
      <c r="A386" s="7">
        <v>381</v>
      </c>
      <c r="B386" s="7">
        <v>716.6666666666666</v>
      </c>
      <c r="C386" s="7">
        <v>-391.66666666666663</v>
      </c>
      <c r="D386" s="7">
        <v>2083.3333333333335</v>
      </c>
      <c r="E386" s="7">
        <v>57</v>
      </c>
      <c r="F386" s="10">
        <f>B386+Origin_X</f>
        <v>716.6666666666666</v>
      </c>
      <c r="G386" s="10">
        <f>C386+Origin_Y</f>
        <v>-391.66666666666663</v>
      </c>
    </row>
    <row r="387" spans="1:7" x14ac:dyDescent="0.25">
      <c r="A387" s="7">
        <v>382</v>
      </c>
      <c r="B387" s="7">
        <v>725</v>
      </c>
      <c r="C387" s="7">
        <v>-366.66666666666663</v>
      </c>
      <c r="D387" s="7">
        <v>2500</v>
      </c>
      <c r="E387" s="7">
        <v>57</v>
      </c>
      <c r="F387" s="10">
        <f>B387+Origin_X</f>
        <v>725</v>
      </c>
      <c r="G387" s="10">
        <f>C387+Origin_Y</f>
        <v>-366.66666666666663</v>
      </c>
    </row>
    <row r="388" spans="1:7" x14ac:dyDescent="0.25">
      <c r="A388" s="7">
        <v>383</v>
      </c>
      <c r="B388" s="7">
        <v>725</v>
      </c>
      <c r="C388" s="7">
        <v>-316.66666666666663</v>
      </c>
      <c r="D388" s="7">
        <v>2500</v>
      </c>
      <c r="E388" s="7">
        <v>57</v>
      </c>
      <c r="F388" s="10">
        <f>B388+Origin_X</f>
        <v>725</v>
      </c>
      <c r="G388" s="10">
        <f>C388+Origin_Y</f>
        <v>-316.66666666666663</v>
      </c>
    </row>
    <row r="389" spans="1:7" x14ac:dyDescent="0.25">
      <c r="A389" s="7">
        <v>384</v>
      </c>
      <c r="B389" s="7">
        <v>650</v>
      </c>
      <c r="C389" s="7">
        <v>-316.66666666666663</v>
      </c>
      <c r="D389" s="7">
        <v>2500</v>
      </c>
      <c r="E389" s="7">
        <v>57</v>
      </c>
      <c r="F389" s="10">
        <f>B389+Origin_X</f>
        <v>650</v>
      </c>
      <c r="G389" s="10">
        <f>C389+Origin_Y</f>
        <v>-316.66666666666663</v>
      </c>
    </row>
    <row r="390" spans="1:7" x14ac:dyDescent="0.25">
      <c r="A390" s="7">
        <v>385</v>
      </c>
      <c r="B390" s="7">
        <v>625</v>
      </c>
      <c r="C390" s="7">
        <v>-200</v>
      </c>
      <c r="D390" s="7">
        <v>3750</v>
      </c>
      <c r="E390" s="7">
        <v>58</v>
      </c>
      <c r="F390" s="10">
        <f>B390+Origin_X</f>
        <v>625</v>
      </c>
      <c r="G390" s="10">
        <f>C390+Origin_Y</f>
        <v>-200</v>
      </c>
    </row>
    <row r="391" spans="1:7" x14ac:dyDescent="0.25">
      <c r="A391" s="7">
        <v>386</v>
      </c>
      <c r="B391" s="7">
        <v>625</v>
      </c>
      <c r="C391" s="7">
        <v>-275</v>
      </c>
      <c r="D391" s="7">
        <v>3750</v>
      </c>
      <c r="E391" s="7">
        <v>58</v>
      </c>
      <c r="F391" s="10">
        <f>B391+Origin_X</f>
        <v>625</v>
      </c>
      <c r="G391" s="10">
        <f>C391+Origin_Y</f>
        <v>-275</v>
      </c>
    </row>
    <row r="392" spans="1:7" x14ac:dyDescent="0.25">
      <c r="A392" s="7">
        <v>387</v>
      </c>
      <c r="B392" s="7">
        <v>700</v>
      </c>
      <c r="C392" s="7">
        <v>-275</v>
      </c>
      <c r="D392" s="7">
        <v>3750</v>
      </c>
      <c r="E392" s="7">
        <v>58</v>
      </c>
      <c r="F392" s="10">
        <f>B392+Origin_X</f>
        <v>700</v>
      </c>
      <c r="G392" s="10">
        <f>C392+Origin_Y</f>
        <v>-275</v>
      </c>
    </row>
    <row r="393" spans="1:7" x14ac:dyDescent="0.25">
      <c r="A393" s="7">
        <v>388</v>
      </c>
      <c r="B393" s="7">
        <v>725</v>
      </c>
      <c r="C393" s="7">
        <v>-250</v>
      </c>
      <c r="D393" s="7">
        <v>3750</v>
      </c>
      <c r="E393" s="7">
        <v>58</v>
      </c>
      <c r="F393" s="10">
        <f>B393+Origin_X</f>
        <v>725</v>
      </c>
      <c r="G393" s="10">
        <f>C393+Origin_Y</f>
        <v>-250</v>
      </c>
    </row>
    <row r="394" spans="1:7" x14ac:dyDescent="0.25">
      <c r="A394" s="7">
        <v>389</v>
      </c>
      <c r="B394" s="7">
        <v>725</v>
      </c>
      <c r="C394" s="7">
        <v>-175</v>
      </c>
      <c r="D394" s="7">
        <v>3750</v>
      </c>
      <c r="E394" s="7">
        <v>58</v>
      </c>
      <c r="F394" s="10">
        <f>B394+Origin_X</f>
        <v>725</v>
      </c>
      <c r="G394" s="10">
        <f>C394+Origin_Y</f>
        <v>-175</v>
      </c>
    </row>
    <row r="395" spans="1:7" x14ac:dyDescent="0.25">
      <c r="A395" s="7">
        <v>390</v>
      </c>
      <c r="B395" s="7">
        <v>650</v>
      </c>
      <c r="C395" s="7">
        <v>-175</v>
      </c>
      <c r="D395" s="7">
        <v>3750</v>
      </c>
      <c r="E395" s="7">
        <v>58</v>
      </c>
      <c r="F395" s="10">
        <f>B395+Origin_X</f>
        <v>650</v>
      </c>
      <c r="G395" s="10">
        <f>C395+Origin_Y</f>
        <v>-175</v>
      </c>
    </row>
    <row r="396" spans="1:7" x14ac:dyDescent="0.25">
      <c r="A396" s="7">
        <v>391</v>
      </c>
      <c r="B396" s="7">
        <v>625</v>
      </c>
      <c r="C396" s="7">
        <v>-50</v>
      </c>
      <c r="D396" s="7">
        <v>3750</v>
      </c>
      <c r="E396" s="7">
        <v>59</v>
      </c>
      <c r="F396" s="10">
        <f>B396+Origin_X</f>
        <v>625</v>
      </c>
      <c r="G396" s="10">
        <f>C396+Origin_Y</f>
        <v>-50</v>
      </c>
    </row>
    <row r="397" spans="1:7" x14ac:dyDescent="0.25">
      <c r="A397" s="7">
        <v>392</v>
      </c>
      <c r="B397" s="7">
        <v>625</v>
      </c>
      <c r="C397" s="7">
        <v>-125</v>
      </c>
      <c r="D397" s="7">
        <v>3750</v>
      </c>
      <c r="E397" s="7">
        <v>59</v>
      </c>
      <c r="F397" s="10">
        <f>B397+Origin_X</f>
        <v>625</v>
      </c>
      <c r="G397" s="10">
        <f>C397+Origin_Y</f>
        <v>-125</v>
      </c>
    </row>
    <row r="398" spans="1:7" x14ac:dyDescent="0.25">
      <c r="A398" s="7">
        <v>393</v>
      </c>
      <c r="B398" s="7">
        <v>700</v>
      </c>
      <c r="C398" s="7">
        <v>-125</v>
      </c>
      <c r="D398" s="7">
        <v>3750</v>
      </c>
      <c r="E398" s="7">
        <v>59</v>
      </c>
      <c r="F398" s="10">
        <f>B398+Origin_X</f>
        <v>700</v>
      </c>
      <c r="G398" s="10">
        <f>C398+Origin_Y</f>
        <v>-125</v>
      </c>
    </row>
    <row r="399" spans="1:7" x14ac:dyDescent="0.25">
      <c r="A399" s="7">
        <v>394</v>
      </c>
      <c r="B399" s="7">
        <v>725</v>
      </c>
      <c r="C399" s="7">
        <v>-100</v>
      </c>
      <c r="D399" s="7">
        <v>3750</v>
      </c>
      <c r="E399" s="7">
        <v>59</v>
      </c>
      <c r="F399" s="10">
        <f>B399+Origin_X</f>
        <v>725</v>
      </c>
      <c r="G399" s="10">
        <f>C399+Origin_Y</f>
        <v>-100</v>
      </c>
    </row>
    <row r="400" spans="1:7" x14ac:dyDescent="0.25">
      <c r="A400" s="7">
        <v>395</v>
      </c>
      <c r="B400" s="7">
        <v>725</v>
      </c>
      <c r="C400" s="7">
        <v>-25</v>
      </c>
      <c r="D400" s="7">
        <v>3750</v>
      </c>
      <c r="E400" s="7">
        <v>59</v>
      </c>
      <c r="F400" s="10">
        <f>B400+Origin_X</f>
        <v>725</v>
      </c>
      <c r="G400" s="10">
        <f>C400+Origin_Y</f>
        <v>-25</v>
      </c>
    </row>
    <row r="401" spans="1:7" x14ac:dyDescent="0.25">
      <c r="A401" s="7">
        <v>396</v>
      </c>
      <c r="B401" s="7">
        <v>650</v>
      </c>
      <c r="C401" s="7">
        <v>-25</v>
      </c>
      <c r="D401" s="7">
        <v>3750</v>
      </c>
      <c r="E401" s="7">
        <v>59</v>
      </c>
      <c r="F401" s="10">
        <f>B401+Origin_X</f>
        <v>650</v>
      </c>
      <c r="G401" s="10">
        <f>C401+Origin_Y</f>
        <v>-25</v>
      </c>
    </row>
    <row r="402" spans="1:7" x14ac:dyDescent="0.25">
      <c r="A402" s="7">
        <v>397</v>
      </c>
      <c r="B402" s="7">
        <v>625</v>
      </c>
      <c r="C402" s="7">
        <v>100</v>
      </c>
      <c r="D402" s="7">
        <v>3750</v>
      </c>
      <c r="E402" s="7">
        <v>60</v>
      </c>
      <c r="F402" s="10">
        <f>B402+Origin_X</f>
        <v>625</v>
      </c>
      <c r="G402" s="10">
        <f>C402+Origin_Y</f>
        <v>100</v>
      </c>
    </row>
    <row r="403" spans="1:7" x14ac:dyDescent="0.25">
      <c r="A403" s="7">
        <v>398</v>
      </c>
      <c r="B403" s="7">
        <v>625</v>
      </c>
      <c r="C403" s="7">
        <v>25</v>
      </c>
      <c r="D403" s="7">
        <v>3750</v>
      </c>
      <c r="E403" s="7">
        <v>60</v>
      </c>
      <c r="F403" s="10">
        <f>B403+Origin_X</f>
        <v>625</v>
      </c>
      <c r="G403" s="10">
        <f>C403+Origin_Y</f>
        <v>25</v>
      </c>
    </row>
    <row r="404" spans="1:7" x14ac:dyDescent="0.25">
      <c r="A404" s="7">
        <v>399</v>
      </c>
      <c r="B404" s="7">
        <v>700</v>
      </c>
      <c r="C404" s="7">
        <v>25</v>
      </c>
      <c r="D404" s="7">
        <v>3750</v>
      </c>
      <c r="E404" s="7">
        <v>60</v>
      </c>
      <c r="F404" s="10">
        <f>B404+Origin_X</f>
        <v>700</v>
      </c>
      <c r="G404" s="10">
        <f>C404+Origin_Y</f>
        <v>25</v>
      </c>
    </row>
    <row r="405" spans="1:7" x14ac:dyDescent="0.25">
      <c r="A405" s="7">
        <v>400</v>
      </c>
      <c r="B405" s="7">
        <v>725</v>
      </c>
      <c r="C405" s="7">
        <v>50</v>
      </c>
      <c r="D405" s="7">
        <v>3750</v>
      </c>
      <c r="E405" s="7">
        <v>60</v>
      </c>
      <c r="F405" s="10">
        <f>B405+Origin_X</f>
        <v>725</v>
      </c>
      <c r="G405" s="10">
        <f>C405+Origin_Y</f>
        <v>50</v>
      </c>
    </row>
    <row r="406" spans="1:7" x14ac:dyDescent="0.25">
      <c r="A406" s="7">
        <v>401</v>
      </c>
      <c r="B406" s="7">
        <v>725</v>
      </c>
      <c r="C406" s="7">
        <v>125</v>
      </c>
      <c r="D406" s="7">
        <v>3750</v>
      </c>
      <c r="E406" s="7">
        <v>60</v>
      </c>
      <c r="F406" s="10">
        <f>B406+Origin_X</f>
        <v>725</v>
      </c>
      <c r="G406" s="10">
        <f>C406+Origin_Y</f>
        <v>125</v>
      </c>
    </row>
    <row r="407" spans="1:7" x14ac:dyDescent="0.25">
      <c r="A407" s="7">
        <v>402</v>
      </c>
      <c r="B407" s="7">
        <v>650</v>
      </c>
      <c r="C407" s="7">
        <v>125</v>
      </c>
      <c r="D407" s="7">
        <v>3750</v>
      </c>
      <c r="E407" s="7">
        <v>60</v>
      </c>
      <c r="F407" s="10">
        <f>B407+Origin_X</f>
        <v>650</v>
      </c>
      <c r="G407" s="10">
        <f>C407+Origin_Y</f>
        <v>125</v>
      </c>
    </row>
    <row r="408" spans="1:7" x14ac:dyDescent="0.25">
      <c r="A408" s="7">
        <v>403</v>
      </c>
      <c r="B408" s="7">
        <v>625</v>
      </c>
      <c r="C408" s="7">
        <v>250</v>
      </c>
      <c r="D408" s="7">
        <v>3750</v>
      </c>
      <c r="E408" s="7">
        <v>61</v>
      </c>
      <c r="F408" s="10">
        <f>B408+Origin_X</f>
        <v>625</v>
      </c>
      <c r="G408" s="10">
        <f>C408+Origin_Y</f>
        <v>250</v>
      </c>
    </row>
    <row r="409" spans="1:7" x14ac:dyDescent="0.25">
      <c r="A409" s="7">
        <v>404</v>
      </c>
      <c r="B409" s="7">
        <v>625</v>
      </c>
      <c r="C409" s="7">
        <v>175</v>
      </c>
      <c r="D409" s="7">
        <v>3750</v>
      </c>
      <c r="E409" s="7">
        <v>61</v>
      </c>
      <c r="F409" s="10">
        <f>B409+Origin_X</f>
        <v>625</v>
      </c>
      <c r="G409" s="10">
        <f>C409+Origin_Y</f>
        <v>175</v>
      </c>
    </row>
    <row r="410" spans="1:7" x14ac:dyDescent="0.25">
      <c r="A410" s="7">
        <v>405</v>
      </c>
      <c r="B410" s="7">
        <v>700</v>
      </c>
      <c r="C410" s="7">
        <v>175</v>
      </c>
      <c r="D410" s="7">
        <v>3750</v>
      </c>
      <c r="E410" s="7">
        <v>61</v>
      </c>
      <c r="F410" s="10">
        <f>B410+Origin_X</f>
        <v>700</v>
      </c>
      <c r="G410" s="10">
        <f>C410+Origin_Y</f>
        <v>175</v>
      </c>
    </row>
    <row r="411" spans="1:7" x14ac:dyDescent="0.25">
      <c r="A411" s="7">
        <v>406</v>
      </c>
      <c r="B411" s="7">
        <v>725</v>
      </c>
      <c r="C411" s="7">
        <v>200</v>
      </c>
      <c r="D411" s="7">
        <v>3750</v>
      </c>
      <c r="E411" s="7">
        <v>61</v>
      </c>
      <c r="F411" s="10">
        <f>B411+Origin_X</f>
        <v>725</v>
      </c>
      <c r="G411" s="10">
        <f>C411+Origin_Y</f>
        <v>200</v>
      </c>
    </row>
    <row r="412" spans="1:7" x14ac:dyDescent="0.25">
      <c r="A412" s="7">
        <v>407</v>
      </c>
      <c r="B412" s="7">
        <v>725</v>
      </c>
      <c r="C412" s="7">
        <v>275</v>
      </c>
      <c r="D412" s="7">
        <v>3750</v>
      </c>
      <c r="E412" s="7">
        <v>61</v>
      </c>
      <c r="F412" s="10">
        <f>B412+Origin_X</f>
        <v>725</v>
      </c>
      <c r="G412" s="10">
        <f>C412+Origin_Y</f>
        <v>275</v>
      </c>
    </row>
    <row r="413" spans="1:7" x14ac:dyDescent="0.25">
      <c r="A413" s="7">
        <v>408</v>
      </c>
      <c r="B413" s="7">
        <v>650</v>
      </c>
      <c r="C413" s="7">
        <v>275</v>
      </c>
      <c r="D413" s="7">
        <v>3750</v>
      </c>
      <c r="E413" s="7">
        <v>61</v>
      </c>
      <c r="F413" s="10">
        <f>B413+Origin_X</f>
        <v>650</v>
      </c>
      <c r="G413" s="10">
        <f>C413+Origin_Y</f>
        <v>275</v>
      </c>
    </row>
    <row r="414" spans="1:7" x14ac:dyDescent="0.25">
      <c r="A414" s="7">
        <v>409</v>
      </c>
      <c r="B414" s="7">
        <v>625</v>
      </c>
      <c r="C414" s="7">
        <v>400</v>
      </c>
      <c r="D414" s="7">
        <v>3750</v>
      </c>
      <c r="E414" s="7">
        <v>62</v>
      </c>
      <c r="F414" s="10">
        <f>B414+Origin_X</f>
        <v>625</v>
      </c>
      <c r="G414" s="10">
        <f>C414+Origin_Y</f>
        <v>400</v>
      </c>
    </row>
    <row r="415" spans="1:7" x14ac:dyDescent="0.25">
      <c r="A415" s="7">
        <v>410</v>
      </c>
      <c r="B415" s="7">
        <v>625</v>
      </c>
      <c r="C415" s="7">
        <v>325</v>
      </c>
      <c r="D415" s="7">
        <v>3750</v>
      </c>
      <c r="E415" s="7">
        <v>62</v>
      </c>
      <c r="F415" s="10">
        <f>B415+Origin_X</f>
        <v>625</v>
      </c>
      <c r="G415" s="10">
        <f>C415+Origin_Y</f>
        <v>325</v>
      </c>
    </row>
    <row r="416" spans="1:7" x14ac:dyDescent="0.25">
      <c r="A416" s="7">
        <v>411</v>
      </c>
      <c r="B416" s="7">
        <v>700</v>
      </c>
      <c r="C416" s="7">
        <v>325</v>
      </c>
      <c r="D416" s="7">
        <v>3750</v>
      </c>
      <c r="E416" s="7">
        <v>62</v>
      </c>
      <c r="F416" s="10">
        <f>B416+Origin_X</f>
        <v>700</v>
      </c>
      <c r="G416" s="10">
        <f>C416+Origin_Y</f>
        <v>325</v>
      </c>
    </row>
    <row r="417" spans="1:7" x14ac:dyDescent="0.25">
      <c r="A417" s="7">
        <v>412</v>
      </c>
      <c r="B417" s="7">
        <v>650</v>
      </c>
      <c r="C417" s="7">
        <v>416.66666666666663</v>
      </c>
      <c r="D417" s="7">
        <v>2500</v>
      </c>
      <c r="E417" s="7">
        <v>62</v>
      </c>
      <c r="F417" s="10">
        <f>B417+Origin_X</f>
        <v>650</v>
      </c>
      <c r="G417" s="10">
        <f>C417+Origin_Y</f>
        <v>416.66666666666663</v>
      </c>
    </row>
    <row r="418" spans="1:7" x14ac:dyDescent="0.25">
      <c r="A418" s="7">
        <v>413</v>
      </c>
      <c r="B418" s="7">
        <v>725</v>
      </c>
      <c r="C418" s="7">
        <v>341.66666666666663</v>
      </c>
      <c r="D418" s="7">
        <v>2500</v>
      </c>
      <c r="E418" s="7">
        <v>62</v>
      </c>
      <c r="F418" s="10">
        <f>B418+Origin_X</f>
        <v>725</v>
      </c>
      <c r="G418" s="10">
        <f>C418+Origin_Y</f>
        <v>341.66666666666663</v>
      </c>
    </row>
    <row r="419" spans="1:7" x14ac:dyDescent="0.25">
      <c r="A419" s="7">
        <v>414</v>
      </c>
      <c r="B419" s="7">
        <v>725</v>
      </c>
      <c r="C419" s="7">
        <v>391.66666666666663</v>
      </c>
      <c r="D419" s="7">
        <v>2500</v>
      </c>
      <c r="E419" s="7">
        <v>62</v>
      </c>
      <c r="F419" s="10">
        <f>B419+Origin_X</f>
        <v>725</v>
      </c>
      <c r="G419" s="10">
        <f>C419+Origin_Y</f>
        <v>391.66666666666663</v>
      </c>
    </row>
    <row r="420" spans="1:7" x14ac:dyDescent="0.25">
      <c r="A420" s="7">
        <v>415</v>
      </c>
      <c r="B420" s="7">
        <v>716.6666666666666</v>
      </c>
      <c r="C420" s="7">
        <v>416.66666666666663</v>
      </c>
      <c r="D420" s="7">
        <v>833.3333333333334</v>
      </c>
      <c r="E420" s="7">
        <v>62</v>
      </c>
      <c r="F420" s="10">
        <f>B420+Origin_X</f>
        <v>716.6666666666666</v>
      </c>
      <c r="G420" s="10">
        <f>C420+Origin_Y</f>
        <v>416.66666666666663</v>
      </c>
    </row>
    <row r="421" spans="1:7" x14ac:dyDescent="0.25">
      <c r="A421" s="7">
        <v>416</v>
      </c>
      <c r="B421" s="7">
        <v>691.6666666666666</v>
      </c>
      <c r="C421" s="7">
        <v>441.66666666666663</v>
      </c>
      <c r="D421" s="7">
        <v>833.3333333333334</v>
      </c>
      <c r="E421" s="7">
        <v>62</v>
      </c>
      <c r="F421" s="10">
        <f>B421+Origin_X</f>
        <v>691.6666666666666</v>
      </c>
      <c r="G421" s="10">
        <f>C421+Origin_Y</f>
        <v>441.66666666666663</v>
      </c>
    </row>
    <row r="422" spans="1:7" x14ac:dyDescent="0.25">
      <c r="A422" s="7">
        <v>417</v>
      </c>
      <c r="B422" s="7">
        <v>641.6666666666666</v>
      </c>
      <c r="C422" s="7">
        <v>441.66666666666663</v>
      </c>
      <c r="D422" s="7">
        <v>833.3333333333334</v>
      </c>
      <c r="E422" s="7">
        <v>62</v>
      </c>
      <c r="F422" s="10">
        <f>B422+Origin_X</f>
        <v>641.6666666666666</v>
      </c>
      <c r="G422" s="10">
        <f>C422+Origin_Y</f>
        <v>441.66666666666663</v>
      </c>
    </row>
    <row r="423" spans="1:7" x14ac:dyDescent="0.25">
      <c r="A423" s="7">
        <v>418</v>
      </c>
      <c r="B423" s="7">
        <v>616.6666666666666</v>
      </c>
      <c r="C423" s="7">
        <v>466.66666666666663</v>
      </c>
      <c r="D423" s="7">
        <v>1666.6666666666667</v>
      </c>
      <c r="E423" s="7">
        <v>63</v>
      </c>
      <c r="F423" s="10">
        <f>B423+Origin_X</f>
        <v>616.6666666666666</v>
      </c>
      <c r="G423" s="10">
        <f>C423+Origin_Y</f>
        <v>466.66666666666663</v>
      </c>
    </row>
    <row r="424" spans="1:7" x14ac:dyDescent="0.25">
      <c r="A424" s="7">
        <v>419</v>
      </c>
      <c r="B424" s="7">
        <v>666.6666666666666</v>
      </c>
      <c r="C424" s="7">
        <v>466.66666666666663</v>
      </c>
      <c r="D424" s="7">
        <v>1666.6666666666667</v>
      </c>
      <c r="E424" s="7">
        <v>63</v>
      </c>
      <c r="F424" s="10">
        <f>B424+Origin_X</f>
        <v>666.6666666666666</v>
      </c>
      <c r="G424" s="10">
        <f>C424+Origin_Y</f>
        <v>466.66666666666663</v>
      </c>
    </row>
    <row r="425" spans="1:7" x14ac:dyDescent="0.25">
      <c r="A425" s="7">
        <v>420</v>
      </c>
      <c r="B425" s="7">
        <v>616.6666666666666</v>
      </c>
      <c r="C425" s="7">
        <v>516.6666666666666</v>
      </c>
      <c r="D425" s="7">
        <v>1666.6666666666667</v>
      </c>
      <c r="E425" s="7">
        <v>63</v>
      </c>
      <c r="F425" s="10">
        <f>B425+Origin_X</f>
        <v>616.6666666666666</v>
      </c>
      <c r="G425" s="10">
        <f>C425+Origin_Y</f>
        <v>516.6666666666666</v>
      </c>
    </row>
  </sheetData>
  <mergeCells count="2">
    <mergeCell ref="A1:G1"/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A1:AW34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2" customWidth="1"/>
    <col min="3" max="4" width="16" customWidth="1"/>
    <col min="5" max="6" width="14" customWidth="1"/>
    <col min="7" max="7" width="24" customWidth="1"/>
    <col min="8" max="8" width="30" customWidth="1"/>
    <col min="9" max="9" width="12" customWidth="1"/>
    <col min="10" max="10" width="18" customWidth="1"/>
    <col min="11" max="11" width="16" customWidth="1"/>
    <col min="12" max="12" width="14" customWidth="1"/>
    <col min="13" max="13" width="15" customWidth="1"/>
    <col min="14" max="20" width="14" customWidth="1"/>
    <col min="21" max="34" width="16" customWidth="1"/>
    <col min="35" max="49" width="16" hidden="1" customWidth="1"/>
  </cols>
  <sheetData>
    <row r="1" ht="22" customHeight="1" spans="1:34" x14ac:dyDescent="0.25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4" customHeight="1" spans="2:34" x14ac:dyDescent="0.25">
      <c r="B2" s="16" t="s">
        <v>135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2:3" x14ac:dyDescent="0.25">
      <c r="B3" t="s">
        <v>136</v>
      </c>
      <c r="C3" s="7" t="s">
        <v>137</v>
      </c>
    </row>
    <row r="4" spans="2:3" x14ac:dyDescent="0.25">
      <c r="B4" t="s">
        <v>138</v>
      </c>
      <c r="C4" s="7" t="s">
        <v>110</v>
      </c>
    </row>
    <row r="5" spans="2:3" x14ac:dyDescent="0.25">
      <c r="B5" t="s">
        <v>139</v>
      </c>
      <c r="C5" s="9">
        <v>14.999999999999998</v>
      </c>
    </row>
    <row r="6" ht="24" customHeight="1" spans="1:5" x14ac:dyDescent="0.25">
      <c r="A6" s="2" t="s">
        <v>1</v>
      </c>
      <c r="B6" s="3" t="s">
        <v>2</v>
      </c>
      <c r="C6" s="4" t="s">
        <v>3</v>
      </c>
      <c r="D6" s="5" t="s">
        <v>4</v>
      </c>
      <c r="E6" s="6" t="s">
        <v>5</v>
      </c>
    </row>
    <row r="7" ht="28" customHeight="1" spans="1:49" x14ac:dyDescent="0.25">
      <c r="A7" s="8" t="s">
        <v>140</v>
      </c>
      <c r="B7" s="8" t="s">
        <v>141</v>
      </c>
      <c r="C7" s="8" t="s">
        <v>52</v>
      </c>
      <c r="D7" s="8" t="s">
        <v>142</v>
      </c>
      <c r="G7" s="8" t="s">
        <v>143</v>
      </c>
      <c r="H7" s="8" t="s">
        <v>144</v>
      </c>
      <c r="I7" s="8" t="s">
        <v>145</v>
      </c>
      <c r="J7" s="8" t="s">
        <v>146</v>
      </c>
      <c r="K7" s="8" t="s">
        <v>147</v>
      </c>
      <c r="L7" s="8" t="s">
        <v>148</v>
      </c>
      <c r="M7" s="8" t="s">
        <v>149</v>
      </c>
      <c r="N7" s="8" t="s">
        <v>150</v>
      </c>
      <c r="O7" s="8" t="s">
        <v>151</v>
      </c>
      <c r="P7" s="8" t="s">
        <v>152</v>
      </c>
      <c r="Q7" s="8" t="s">
        <v>153</v>
      </c>
      <c r="R7" s="8" t="s">
        <v>154</v>
      </c>
      <c r="S7" s="8" t="s">
        <v>155</v>
      </c>
      <c r="T7" s="8" t="s">
        <v>156</v>
      </c>
      <c r="U7" s="8" t="s">
        <v>157</v>
      </c>
      <c r="V7" s="8" t="s">
        <v>158</v>
      </c>
      <c r="W7" s="8" t="s">
        <v>159</v>
      </c>
      <c r="X7" s="8" t="s">
        <v>160</v>
      </c>
      <c r="Y7" s="8" t="s">
        <v>161</v>
      </c>
      <c r="Z7" s="8" t="s">
        <v>162</v>
      </c>
      <c r="AA7" s="8" t="s">
        <v>163</v>
      </c>
      <c r="AB7" s="8" t="s">
        <v>164</v>
      </c>
      <c r="AC7" s="8" t="s">
        <v>165</v>
      </c>
      <c r="AD7" s="8" t="s">
        <v>166</v>
      </c>
      <c r="AE7" s="8" t="s">
        <v>167</v>
      </c>
      <c r="AF7" s="8" t="s">
        <v>168</v>
      </c>
      <c r="AG7" s="8" t="s">
        <v>169</v>
      </c>
      <c r="AH7" s="8" t="s">
        <v>170</v>
      </c>
      <c r="AI7" s="8" t="s">
        <v>171</v>
      </c>
      <c r="AJ7" s="8" t="s">
        <v>172</v>
      </c>
      <c r="AK7" s="8" t="s">
        <v>173</v>
      </c>
      <c r="AL7" s="8" t="s">
        <v>174</v>
      </c>
      <c r="AM7" s="8" t="s">
        <v>175</v>
      </c>
      <c r="AN7" s="8" t="s">
        <v>176</v>
      </c>
      <c r="AO7" s="8" t="s">
        <v>177</v>
      </c>
      <c r="AP7" s="8" t="s">
        <v>178</v>
      </c>
      <c r="AQ7" s="8" t="s">
        <v>179</v>
      </c>
      <c r="AR7" s="8" t="s">
        <v>180</v>
      </c>
      <c r="AS7" s="8" t="s">
        <v>181</v>
      </c>
      <c r="AT7" s="8" t="s">
        <v>182</v>
      </c>
      <c r="AU7" s="8" t="s">
        <v>183</v>
      </c>
      <c r="AV7" s="8" t="s">
        <v>184</v>
      </c>
      <c r="AW7" s="8" t="s">
        <v>185</v>
      </c>
    </row>
    <row r="8" spans="1:49" x14ac:dyDescent="0.25">
      <c r="A8" s="17">
        <v>1</v>
      </c>
      <c r="B8" s="17" t="s">
        <v>186</v>
      </c>
      <c r="C8" s="18">
        <f>$AF$8</f>
        <v>17670.345615483235</v>
      </c>
      <c r="D8" s="19">
        <f>$AG$8*COS(RADIANS($C$5))+$AH$8*SIN(RADIANS($C$5))</f>
        <v>0</v>
      </c>
      <c r="G8" s="7" t="s">
        <v>187</v>
      </c>
      <c r="H8" s="7" t="s">
        <v>186</v>
      </c>
      <c r="I8" s="12">
        <v>15</v>
      </c>
      <c r="J8" s="7" t="s">
        <v>188</v>
      </c>
      <c r="K8" s="12">
        <v>0.0033</v>
      </c>
      <c r="L8" s="10">
        <f>MAX(('Geometry'!$G$13*COS(RADIANS(I8))+'Geometry'!$F$13*SIN(RADIANS(I8))),('Geometry'!$G$14*COS(RADIANS(I8))+'Geometry'!$F$14*SIN(RADIANS(I8))),('Geometry'!$G$15*COS(RADIANS(I8))+'Geometry'!$F$15*SIN(RADIANS(I8))),('Geometry'!$G$16*COS(RADIANS(I8))+'Geometry'!$F$16*SIN(RADIANS(I8))),('Geometry'!$G$17*COS(RADIANS(I8))+'Geometry'!$F$17*SIN(RADIANS(I8))),('Geometry'!$G$18*COS(RADIANS(I8))+'Geometry'!$F$18*SIN(RADIANS(I8))),('Geometry'!$G$19*COS(RADIANS(I8))+'Geometry'!$F$19*SIN(RADIANS(I8))),('Geometry'!$G$20*COS(RADIANS(I8))+'Geometry'!$F$20*SIN(RADIANS(I8))))</f>
        <v>721.9059705798273</v>
      </c>
      <c r="M8" s="10">
        <f>L8</f>
        <v>-615.4683059742146</v>
      </c>
      <c r="N8" s="10">
        <f>L8-MIN(('Geometry'!$G$13*COS(RADIANS(I8))+'Geometry'!$F$13*SIN(RADIANS(I8))),('Geometry'!$G$14*COS(RADIANS(I8))+'Geometry'!$F$14*SIN(RADIANS(I8))),('Geometry'!$G$15*COS(RADIANS(I8))+'Geometry'!$F$15*SIN(RADIANS(I8))),('Geometry'!$G$16*COS(RADIANS(I8))+'Geometry'!$F$16*SIN(RADIANS(I8))),('Geometry'!$G$17*COS(RADIANS(I8))+'Geometry'!$F$17*SIN(RADIANS(I8))),('Geometry'!$G$18*COS(RADIANS(I8))+'Geometry'!$F$18*SIN(RADIANS(I8))),('Geometry'!$G$19*COS(RADIANS(I8))+'Geometry'!$F$19*SIN(RADIANS(I8))),('Geometry'!$G$20*COS(RADIANS(I8))+'Geometry'!$F$20*SIN(RADIANS(I8))))</f>
        <v>1443.8119411596547</v>
      </c>
      <c r="O8" s="15">
        <f>K8</f>
        <v>0.0033</v>
      </c>
      <c r="P8" s="15">
        <f>K8</f>
        <v>0.0033</v>
      </c>
      <c r="Q8" s="20">
        <f>0</f>
        <v>0</v>
      </c>
      <c r="R8" s="15">
        <f>K8</f>
        <v>0.0033</v>
      </c>
      <c r="S8" s="20">
        <f>Q8*COS(RADIANS(I8))</f>
        <v>0</v>
      </c>
      <c r="T8" s="20">
        <f>Q8*SIN(RADIANS(I8))</f>
        <v>0</v>
      </c>
      <c r="U8" s="10">
        <f>SUMPRODUCT(C_alpha*C_fck*(1-(1-((($R8+$S8*Mesh_Y+$T8*Mesh_X))*(($R8+$S8*Mesh_Y+$T8*Mesh_X)&gt;0)*(($R8+$S8*Mesh_Y+$T8*Mesh_X)&lt;C_eco)+C_eco*(($R8+$S8*Mesh_Y+$T8*Mesh_X)&gt;=C_eco))/C_eco)^C_n)*((($R8+$S8*Mesh_Y+$T8*Mesh_X))&gt;0),Mesh_A)/1000</f>
        <v>28560</v>
      </c>
      <c r="V8" s="10">
        <f>SUMPRODUCT(C_alpha*C_fck*(1-(1-((($R8+$S8*Mesh_Y+$T8*Mesh_X))*(($R8+$S8*Mesh_Y+$T8*Mesh_X)&gt;0)*(($R8+$S8*Mesh_Y+$T8*Mesh_X)&lt;C_eco)+C_eco*(($R8+$S8*Mesh_Y+$T8*Mesh_X)&gt;=C_eco))/C_eco)^C_n)*((($R8+$S8*Mesh_Y+$T8*Mesh_X))&gt;0),Mesh_A,Mesh_Y)/1000000</f>
        <v>7.450580596923828e-15</v>
      </c>
      <c r="W8" s="10">
        <f>SUMPRODUCT(C_alpha*C_fck*(1-(1-((($R8+$S8*Mesh_Y+$T8*Mesh_X))*(($R8+$S8*Mesh_Y+$T8*Mesh_X)&gt;0)*(($R8+$S8*Mesh_Y+$T8*Mesh_X)&lt;C_eco)+C_eco*(($R8+$S8*Mesh_Y+$T8*Mesh_X)&gt;=C_eco))/C_eco)^C_n)*((($R8+$S8*Mesh_Y+$T8*Mesh_X))&gt;0),Mesh_A,Mesh_X)/1000000</f>
        <v>2.4586915969848635e-13</v>
      </c>
      <c r="X8" s="10">
        <f>(((MAX(MIN(S_1_Es*($R8+$S8*'Geometry'!$G$40+$T8*'Geometry'!$F$40),S_1_fy),-S_1_fy))-(IF(($R8+$S8*'Geometry'!$G$40+$T8*'Geometry'!$F$40)&gt;0,IF(($R8+$S8*'Geometry'!$G$40+$T8*'Geometry'!$F$40)&lt;=C_eco,C_alpha*C_fck*(1-(1-($R8+$S8*'Geometry'!$G$40+$T8*'Geometry'!$F$40)/C_eco)^C_n),C_alpha*C_fck),0)))*'Geometry'!$H$40+((MAX(MIN(S_1_Es*($R8+$S8*'Geometry'!$G$41+$T8*'Geometry'!$F$41),S_1_fy),-S_1_fy))-(IF(($R8+$S8*'Geometry'!$G$41+$T8*'Geometry'!$F$41)&gt;0,IF(($R8+$S8*'Geometry'!$G$41+$T8*'Geometry'!$F$41)&lt;=C_eco,C_alpha*C_fck*(1-(1-($R8+$S8*'Geometry'!$G$41+$T8*'Geometry'!$F$41)/C_eco)^C_n),C_alpha*C_fck),0)))*'Geometry'!$H$41+((MAX(MIN(S_1_Es*($R8+$S8*'Geometry'!$G$42+$T8*'Geometry'!$F$42),S_1_fy),-S_1_fy))-(IF(($R8+$S8*'Geometry'!$G$42+$T8*'Geometry'!$F$42)&gt;0,IF(($R8+$S8*'Geometry'!$G$42+$T8*'Geometry'!$F$42)&lt;=C_eco,C_alpha*C_fck*(1-(1-($R8+$S8*'Geometry'!$G$42+$T8*'Geometry'!$F$42)/C_eco)^C_n),C_alpha*C_fck),0)))*'Geometry'!$H$42+((MAX(MIN(S_1_Es*($R8+$S8*'Geometry'!$G$43+$T8*'Geometry'!$F$43),S_1_fy),-S_1_fy))-(IF(($R8+$S8*'Geometry'!$G$43+$T8*'Geometry'!$F$43)&gt;0,IF(($R8+$S8*'Geometry'!$G$43+$T8*'Geometry'!$F$43)&lt;=C_eco,C_alpha*C_fck*(1-(1-($R8+$S8*'Geometry'!$G$43+$T8*'Geometry'!$F$43)/C_eco)^C_n),C_alpha*C_fck),0)))*'Geometry'!$H$43+((MAX(MIN(S_1_Es*($R8+$S8*'Geometry'!$G$44+$T8*'Geometry'!$F$44),S_1_fy),-S_1_fy))-(IF(($R8+$S8*'Geometry'!$G$44+$T8*'Geometry'!$F$44)&gt;0,IF(($R8+$S8*'Geometry'!$G$44+$T8*'Geometry'!$F$44)&lt;=C_eco,C_alpha*C_fck*(1-(1-($R8+$S8*'Geometry'!$G$44+$T8*'Geometry'!$F$44)/C_eco)^C_n),C_alpha*C_fck),0)))*'Geometry'!$H$44+((MAX(MIN(S_1_Es*($R8+$S8*'Geometry'!$G$45+$T8*'Geometry'!$F$45),S_1_fy),-S_1_fy))-(IF(($R8+$S8*'Geometry'!$G$45+$T8*'Geometry'!$F$45)&gt;0,IF(($R8+$S8*'Geometry'!$G$45+$T8*'Geometry'!$F$45)&lt;=C_eco,C_alpha*C_fck*(1-(1-($R8+$S8*'Geometry'!$G$45+$T8*'Geometry'!$F$45)/C_eco)^C_n),C_alpha*C_fck),0)))*'Geometry'!$H$45+((MAX(MIN(S_1_Es*($R8+$S8*'Geometry'!$G$46+$T8*'Geometry'!$F$46),S_1_fy),-S_1_fy))-(IF(($R8+$S8*'Geometry'!$G$46+$T8*'Geometry'!$F$46)&gt;0,IF(($R8+$S8*'Geometry'!$G$46+$T8*'Geometry'!$F$46)&lt;=C_eco,C_alpha*C_fck*(1-(1-($R8+$S8*'Geometry'!$G$46+$T8*'Geometry'!$F$46)/C_eco)^C_n),C_alpha*C_fck),0)))*'Geometry'!$H$46+((MAX(MIN(S_1_Es*($R8+$S8*'Geometry'!$G$47+$T8*'Geometry'!$F$47),S_1_fy),-S_1_fy))-(IF(($R8+$S8*'Geometry'!$G$47+$T8*'Geometry'!$F$47)&gt;0,IF(($R8+$S8*'Geometry'!$G$47+$T8*'Geometry'!$F$47)&lt;=C_eco,C_alpha*C_fck*(1-(1-($R8+$S8*'Geometry'!$G$47+$T8*'Geometry'!$F$47)/C_eco)^C_n),C_alpha*C_fck),0)))*'Geometry'!$H$47+((MAX(MIN(S_1_Es*($R8+$S8*'Geometry'!$G$48+$T8*'Geometry'!$F$48),S_1_fy),-S_1_fy))-(IF(($R8+$S8*'Geometry'!$G$48+$T8*'Geometry'!$F$48)&gt;0,IF(($R8+$S8*'Geometry'!$G$48+$T8*'Geometry'!$F$48)&lt;=C_eco,C_alpha*C_fck*(1-(1-($R8+$S8*'Geometry'!$G$48+$T8*'Geometry'!$F$48)/C_eco)^C_n),C_alpha*C_fck),0)))*'Geometry'!$H$48+((MAX(MIN(S_1_Es*($R8+$S8*'Geometry'!$G$49+$T8*'Geometry'!$F$49),S_1_fy),-S_1_fy))-(IF(($R8+$S8*'Geometry'!$G$49+$T8*'Geometry'!$F$49)&gt;0,IF(($R8+$S8*'Geometry'!$G$49+$T8*'Geometry'!$F$49)&lt;=C_eco,C_alpha*C_fck*(1-(1-($R8+$S8*'Geometry'!$G$49+$T8*'Geometry'!$F$49)/C_eco)^C_n),C_alpha*C_fck),0)))*'Geometry'!$H$49+((MAX(MIN(S_1_Es*($R8+$S8*'Geometry'!$G$50+$T8*'Geometry'!$F$50),S_1_fy),-S_1_fy))-(IF(($R8+$S8*'Geometry'!$G$50+$T8*'Geometry'!$F$50)&gt;0,IF(($R8+$S8*'Geometry'!$G$50+$T8*'Geometry'!$F$50)&lt;=C_eco,C_alpha*C_fck*(1-(1-($R8+$S8*'Geometry'!$G$50+$T8*'Geometry'!$F$50)/C_eco)^C_n),C_alpha*C_fck),0)))*'Geometry'!$H$50+((MAX(MIN(S_1_Es*($R8+$S8*'Geometry'!$G$51+$T8*'Geometry'!$F$51),S_1_fy),-S_1_fy))-(IF(($R8+$S8*'Geometry'!$G$51+$T8*'Geometry'!$F$51)&gt;0,IF(($R8+$S8*'Geometry'!$G$51+$T8*'Geometry'!$F$51)&lt;=C_eco,C_alpha*C_fck*(1-(1-($R8+$S8*'Geometry'!$G$51+$T8*'Geometry'!$F$51)/C_eco)^C_n),C_alpha*C_fck),0)))*'Geometry'!$H$51+((MAX(MIN(S_1_Es*($R8+$S8*'Geometry'!$G$52+$T8*'Geometry'!$F$52),S_1_fy),-S_1_fy))-(IF(($R8+$S8*'Geometry'!$G$52+$T8*'Geometry'!$F$52)&gt;0,IF(($R8+$S8*'Geometry'!$G$52+$T8*'Geometry'!$F$52)&lt;=C_eco,C_alpha*C_fck*(1-(1-($R8+$S8*'Geometry'!$G$52+$T8*'Geometry'!$F$52)/C_eco)^C_n),C_alpha*C_fck),0)))*'Geometry'!$H$52+((MAX(MIN(S_1_Es*($R8+$S8*'Geometry'!$G$53+$T8*'Geometry'!$F$53),S_1_fy),-S_1_fy))-(IF(($R8+$S8*'Geometry'!$G$53+$T8*'Geometry'!$F$53)&gt;0,IF(($R8+$S8*'Geometry'!$G$53+$T8*'Geometry'!$F$53)&lt;=C_eco,C_alpha*C_fck*(1-(1-($R8+$S8*'Geometry'!$G$53+$T8*'Geometry'!$F$53)/C_eco)^C_n),C_alpha*C_fck),0)))*'Geometry'!$H$53+((MAX(MIN(S_1_Es*($R8+$S8*'Geometry'!$G$54+$T8*'Geometry'!$F$54),S_1_fy),-S_1_fy))-(IF(($R8+$S8*'Geometry'!$G$54+$T8*'Geometry'!$F$54)&gt;0,IF(($R8+$S8*'Geometry'!$G$54+$T8*'Geometry'!$F$54)&lt;=C_eco,C_alpha*C_fck*(1-(1-($R8+$S8*'Geometry'!$G$54+$T8*'Geometry'!$F$54)/C_eco)^C_n),C_alpha*C_fck),0)))*'Geometry'!$H$54+((MAX(MIN(S_1_Es*($R8+$S8*'Geometry'!$G$55+$T8*'Geometry'!$F$55),S_1_fy),-S_1_fy))-(IF(($R8+$S8*'Geometry'!$G$55+$T8*'Geometry'!$F$55)&gt;0,IF(($R8+$S8*'Geometry'!$G$55+$T8*'Geometry'!$F$55)&lt;=C_eco,C_alpha*C_fck*(1-(1-($R8+$S8*'Geometry'!$G$55+$T8*'Geometry'!$F$55)/C_eco)^C_n),C_alpha*C_fck),0)))*'Geometry'!$H$55+((MAX(MIN(S_1_Es*($R8+$S8*'Geometry'!$G$56+$T8*'Geometry'!$F$56),S_1_fy),-S_1_fy))-(IF(($R8+$S8*'Geometry'!$G$56+$T8*'Geometry'!$F$56)&gt;0,IF(($R8+$S8*'Geometry'!$G$56+$T8*'Geometry'!$F$56)&lt;=C_eco,C_alpha*C_fck*(1-(1-($R8+$S8*'Geometry'!$G$56+$T8*'Geometry'!$F$56)/C_eco)^C_n),C_alpha*C_fck),0)))*'Geometry'!$H$56+((MAX(MIN(S_1_Es*($R8+$S8*'Geometry'!$G$57+$T8*'Geometry'!$F$57),S_1_fy),-S_1_fy))-(IF(($R8+$S8*'Geometry'!$G$57+$T8*'Geometry'!$F$57)&gt;0,IF(($R8+$S8*'Geometry'!$G$57+$T8*'Geometry'!$F$57)&lt;=C_eco,C_alpha*C_fck*(1-(1-($R8+$S8*'Geometry'!$G$57+$T8*'Geometry'!$F$57)/C_eco)^C_n),C_alpha*C_fck),0)))*'Geometry'!$H$57)/1000</f>
        <v>5421.433875929292</v>
      </c>
      <c r="Y8" s="10">
        <f>(((MAX(MIN(S_1_Es*($R8+$S8*'Geometry'!$G$40+$T8*'Geometry'!$F$40),S_1_fy),-S_1_fy))-(IF(($R8+$S8*'Geometry'!$G$40+$T8*'Geometry'!$F$40)&gt;0,IF(($R8+$S8*'Geometry'!$G$40+$T8*'Geometry'!$F$40)&lt;=C_eco,C_alpha*C_fck*(1-(1-($R8+$S8*'Geometry'!$G$40+$T8*'Geometry'!$F$40)/C_eco)^C_n),C_alpha*C_fck),0)))*'Geometry'!$H$40*'Geometry'!$G$40+((MAX(MIN(S_1_Es*($R8+$S8*'Geometry'!$G$41+$T8*'Geometry'!$F$41),S_1_fy),-S_1_fy))-(IF(($R8+$S8*'Geometry'!$G$41+$T8*'Geometry'!$F$41)&gt;0,IF(($R8+$S8*'Geometry'!$G$41+$T8*'Geometry'!$F$41)&lt;=C_eco,C_alpha*C_fck*(1-(1-($R8+$S8*'Geometry'!$G$41+$T8*'Geometry'!$F$41)/C_eco)^C_n),C_alpha*C_fck),0)))*'Geometry'!$H$41*'Geometry'!$G$41+((MAX(MIN(S_1_Es*($R8+$S8*'Geometry'!$G$42+$T8*'Geometry'!$F$42),S_1_fy),-S_1_fy))-(IF(($R8+$S8*'Geometry'!$G$42+$T8*'Geometry'!$F$42)&gt;0,IF(($R8+$S8*'Geometry'!$G$42+$T8*'Geometry'!$F$42)&lt;=C_eco,C_alpha*C_fck*(1-(1-($R8+$S8*'Geometry'!$G$42+$T8*'Geometry'!$F$42)/C_eco)^C_n),C_alpha*C_fck),0)))*'Geometry'!$H$42*'Geometry'!$G$42+((MAX(MIN(S_1_Es*($R8+$S8*'Geometry'!$G$43+$T8*'Geometry'!$F$43),S_1_fy),-S_1_fy))-(IF(($R8+$S8*'Geometry'!$G$43+$T8*'Geometry'!$F$43)&gt;0,IF(($R8+$S8*'Geometry'!$G$43+$T8*'Geometry'!$F$43)&lt;=C_eco,C_alpha*C_fck*(1-(1-($R8+$S8*'Geometry'!$G$43+$T8*'Geometry'!$F$43)/C_eco)^C_n),C_alpha*C_fck),0)))*'Geometry'!$H$43*'Geometry'!$G$43+((MAX(MIN(S_1_Es*($R8+$S8*'Geometry'!$G$44+$T8*'Geometry'!$F$44),S_1_fy),-S_1_fy))-(IF(($R8+$S8*'Geometry'!$G$44+$T8*'Geometry'!$F$44)&gt;0,IF(($R8+$S8*'Geometry'!$G$44+$T8*'Geometry'!$F$44)&lt;=C_eco,C_alpha*C_fck*(1-(1-($R8+$S8*'Geometry'!$G$44+$T8*'Geometry'!$F$44)/C_eco)^C_n),C_alpha*C_fck),0)))*'Geometry'!$H$44*'Geometry'!$G$44+((MAX(MIN(S_1_Es*($R8+$S8*'Geometry'!$G$45+$T8*'Geometry'!$F$45),S_1_fy),-S_1_fy))-(IF(($R8+$S8*'Geometry'!$G$45+$T8*'Geometry'!$F$45)&gt;0,IF(($R8+$S8*'Geometry'!$G$45+$T8*'Geometry'!$F$45)&lt;=C_eco,C_alpha*C_fck*(1-(1-($R8+$S8*'Geometry'!$G$45+$T8*'Geometry'!$F$45)/C_eco)^C_n),C_alpha*C_fck),0)))*'Geometry'!$H$45*'Geometry'!$G$45+((MAX(MIN(S_1_Es*($R8+$S8*'Geometry'!$G$46+$T8*'Geometry'!$F$46),S_1_fy),-S_1_fy))-(IF(($R8+$S8*'Geometry'!$G$46+$T8*'Geometry'!$F$46)&gt;0,IF(($R8+$S8*'Geometry'!$G$46+$T8*'Geometry'!$F$46)&lt;=C_eco,C_alpha*C_fck*(1-(1-($R8+$S8*'Geometry'!$G$46+$T8*'Geometry'!$F$46)/C_eco)^C_n),C_alpha*C_fck),0)))*'Geometry'!$H$46*'Geometry'!$G$46+((MAX(MIN(S_1_Es*($R8+$S8*'Geometry'!$G$47+$T8*'Geometry'!$F$47),S_1_fy),-S_1_fy))-(IF(($R8+$S8*'Geometry'!$G$47+$T8*'Geometry'!$F$47)&gt;0,IF(($R8+$S8*'Geometry'!$G$47+$T8*'Geometry'!$F$47)&lt;=C_eco,C_alpha*C_fck*(1-(1-($R8+$S8*'Geometry'!$G$47+$T8*'Geometry'!$F$47)/C_eco)^C_n),C_alpha*C_fck),0)))*'Geometry'!$H$47*'Geometry'!$G$47+((MAX(MIN(S_1_Es*($R8+$S8*'Geometry'!$G$48+$T8*'Geometry'!$F$48),S_1_fy),-S_1_fy))-(IF(($R8+$S8*'Geometry'!$G$48+$T8*'Geometry'!$F$48)&gt;0,IF(($R8+$S8*'Geometry'!$G$48+$T8*'Geometry'!$F$48)&lt;=C_eco,C_alpha*C_fck*(1-(1-($R8+$S8*'Geometry'!$G$48+$T8*'Geometry'!$F$48)/C_eco)^C_n),C_alpha*C_fck),0)))*'Geometry'!$H$48*'Geometry'!$G$48+((MAX(MIN(S_1_Es*($R8+$S8*'Geometry'!$G$49+$T8*'Geometry'!$F$49),S_1_fy),-S_1_fy))-(IF(($R8+$S8*'Geometry'!$G$49+$T8*'Geometry'!$F$49)&gt;0,IF(($R8+$S8*'Geometry'!$G$49+$T8*'Geometry'!$F$49)&lt;=C_eco,C_alpha*C_fck*(1-(1-($R8+$S8*'Geometry'!$G$49+$T8*'Geometry'!$F$49)/C_eco)^C_n),C_alpha*C_fck),0)))*'Geometry'!$H$49*'Geometry'!$G$49+((MAX(MIN(S_1_Es*($R8+$S8*'Geometry'!$G$50+$T8*'Geometry'!$F$50),S_1_fy),-S_1_fy))-(IF(($R8+$S8*'Geometry'!$G$50+$T8*'Geometry'!$F$50)&gt;0,IF(($R8+$S8*'Geometry'!$G$50+$T8*'Geometry'!$F$50)&lt;=C_eco,C_alpha*C_fck*(1-(1-($R8+$S8*'Geometry'!$G$50+$T8*'Geometry'!$F$50)/C_eco)^C_n),C_alpha*C_fck),0)))*'Geometry'!$H$50*'Geometry'!$G$50+((MAX(MIN(S_1_Es*($R8+$S8*'Geometry'!$G$51+$T8*'Geometry'!$F$51),S_1_fy),-S_1_fy))-(IF(($R8+$S8*'Geometry'!$G$51+$T8*'Geometry'!$F$51)&gt;0,IF(($R8+$S8*'Geometry'!$G$51+$T8*'Geometry'!$F$51)&lt;=C_eco,C_alpha*C_fck*(1-(1-($R8+$S8*'Geometry'!$G$51+$T8*'Geometry'!$F$51)/C_eco)^C_n),C_alpha*C_fck),0)))*'Geometry'!$H$51*'Geometry'!$G$51+((MAX(MIN(S_1_Es*($R8+$S8*'Geometry'!$G$52+$T8*'Geometry'!$F$52),S_1_fy),-S_1_fy))-(IF(($R8+$S8*'Geometry'!$G$52+$T8*'Geometry'!$F$52)&gt;0,IF(($R8+$S8*'Geometry'!$G$52+$T8*'Geometry'!$F$52)&lt;=C_eco,C_alpha*C_fck*(1-(1-($R8+$S8*'Geometry'!$G$52+$T8*'Geometry'!$F$52)/C_eco)^C_n),C_alpha*C_fck),0)))*'Geometry'!$H$52*'Geometry'!$G$52+((MAX(MIN(S_1_Es*($R8+$S8*'Geometry'!$G$53+$T8*'Geometry'!$F$53),S_1_fy),-S_1_fy))-(IF(($R8+$S8*'Geometry'!$G$53+$T8*'Geometry'!$F$53)&gt;0,IF(($R8+$S8*'Geometry'!$G$53+$T8*'Geometry'!$F$53)&lt;=C_eco,C_alpha*C_fck*(1-(1-($R8+$S8*'Geometry'!$G$53+$T8*'Geometry'!$F$53)/C_eco)^C_n),C_alpha*C_fck),0)))*'Geometry'!$H$53*'Geometry'!$G$53+((MAX(MIN(S_1_Es*($R8+$S8*'Geometry'!$G$54+$T8*'Geometry'!$F$54),S_1_fy),-S_1_fy))-(IF(($R8+$S8*'Geometry'!$G$54+$T8*'Geometry'!$F$54)&gt;0,IF(($R8+$S8*'Geometry'!$G$54+$T8*'Geometry'!$F$54)&lt;=C_eco,C_alpha*C_fck*(1-(1-($R8+$S8*'Geometry'!$G$54+$T8*'Geometry'!$F$54)/C_eco)^C_n),C_alpha*C_fck),0)))*'Geometry'!$H$54*'Geometry'!$G$54+((MAX(MIN(S_1_Es*($R8+$S8*'Geometry'!$G$55+$T8*'Geometry'!$F$55),S_1_fy),-S_1_fy))-(IF(($R8+$S8*'Geometry'!$G$55+$T8*'Geometry'!$F$55)&gt;0,IF(($R8+$S8*'Geometry'!$G$55+$T8*'Geometry'!$F$55)&lt;=C_eco,C_alpha*C_fck*(1-(1-($R8+$S8*'Geometry'!$G$55+$T8*'Geometry'!$F$55)/C_eco)^C_n),C_alpha*C_fck),0)))*'Geometry'!$H$55*'Geometry'!$G$55+((MAX(MIN(S_1_Es*($R8+$S8*'Geometry'!$G$56+$T8*'Geometry'!$F$56),S_1_fy),-S_1_fy))-(IF(($R8+$S8*'Geometry'!$G$56+$T8*'Geometry'!$F$56)&gt;0,IF(($R8+$S8*'Geometry'!$G$56+$T8*'Geometry'!$F$56)&lt;=C_eco,C_alpha*C_fck*(1-(1-($R8+$S8*'Geometry'!$G$56+$T8*'Geometry'!$F$56)/C_eco)^C_n),C_alpha*C_fck),0)))*'Geometry'!$H$56*'Geometry'!$G$56+((MAX(MIN(S_1_Es*($R8+$S8*'Geometry'!$G$57+$T8*'Geometry'!$F$57),S_1_fy),-S_1_fy))-(IF(($R8+$S8*'Geometry'!$G$57+$T8*'Geometry'!$F$57)&gt;0,IF(($R8+$S8*'Geometry'!$G$57+$T8*'Geometry'!$F$57)&lt;=C_eco,C_alpha*C_fck*(1-(1-($R8+$S8*'Geometry'!$G$57+$T8*'Geometry'!$F$57)/C_eco)^C_n),C_alpha*C_fck),0)))*'Geometry'!$H$57*'Geometry'!$G$57)/1000000</f>
        <v>0</v>
      </c>
      <c r="Z8" s="10">
        <f>(((MAX(MIN(S_1_Es*($R8+$S8*'Geometry'!$G$40+$T8*'Geometry'!$F$40),S_1_fy),-S_1_fy))-(IF(($R8+$S8*'Geometry'!$G$40+$T8*'Geometry'!$F$40)&gt;0,IF(($R8+$S8*'Geometry'!$G$40+$T8*'Geometry'!$F$40)&lt;=C_eco,C_alpha*C_fck*(1-(1-($R8+$S8*'Geometry'!$G$40+$T8*'Geometry'!$F$40)/C_eco)^C_n),C_alpha*C_fck),0)))*'Geometry'!$H$40*'Geometry'!$F$40+((MAX(MIN(S_1_Es*($R8+$S8*'Geometry'!$G$41+$T8*'Geometry'!$F$41),S_1_fy),-S_1_fy))-(IF(($R8+$S8*'Geometry'!$G$41+$T8*'Geometry'!$F$41)&gt;0,IF(($R8+$S8*'Geometry'!$G$41+$T8*'Geometry'!$F$41)&lt;=C_eco,C_alpha*C_fck*(1-(1-($R8+$S8*'Geometry'!$G$41+$T8*'Geometry'!$F$41)/C_eco)^C_n),C_alpha*C_fck),0)))*'Geometry'!$H$41*'Geometry'!$F$41+((MAX(MIN(S_1_Es*($R8+$S8*'Geometry'!$G$42+$T8*'Geometry'!$F$42),S_1_fy),-S_1_fy))-(IF(($R8+$S8*'Geometry'!$G$42+$T8*'Geometry'!$F$42)&gt;0,IF(($R8+$S8*'Geometry'!$G$42+$T8*'Geometry'!$F$42)&lt;=C_eco,C_alpha*C_fck*(1-(1-($R8+$S8*'Geometry'!$G$42+$T8*'Geometry'!$F$42)/C_eco)^C_n),C_alpha*C_fck),0)))*'Geometry'!$H$42*'Geometry'!$F$42+((MAX(MIN(S_1_Es*($R8+$S8*'Geometry'!$G$43+$T8*'Geometry'!$F$43),S_1_fy),-S_1_fy))-(IF(($R8+$S8*'Geometry'!$G$43+$T8*'Geometry'!$F$43)&gt;0,IF(($R8+$S8*'Geometry'!$G$43+$T8*'Geometry'!$F$43)&lt;=C_eco,C_alpha*C_fck*(1-(1-($R8+$S8*'Geometry'!$G$43+$T8*'Geometry'!$F$43)/C_eco)^C_n),C_alpha*C_fck),0)))*'Geometry'!$H$43*'Geometry'!$F$43+((MAX(MIN(S_1_Es*($R8+$S8*'Geometry'!$G$44+$T8*'Geometry'!$F$44),S_1_fy),-S_1_fy))-(IF(($R8+$S8*'Geometry'!$G$44+$T8*'Geometry'!$F$44)&gt;0,IF(($R8+$S8*'Geometry'!$G$44+$T8*'Geometry'!$F$44)&lt;=C_eco,C_alpha*C_fck*(1-(1-($R8+$S8*'Geometry'!$G$44+$T8*'Geometry'!$F$44)/C_eco)^C_n),C_alpha*C_fck),0)))*'Geometry'!$H$44*'Geometry'!$F$44+((MAX(MIN(S_1_Es*($R8+$S8*'Geometry'!$G$45+$T8*'Geometry'!$F$45),S_1_fy),-S_1_fy))-(IF(($R8+$S8*'Geometry'!$G$45+$T8*'Geometry'!$F$45)&gt;0,IF(($R8+$S8*'Geometry'!$G$45+$T8*'Geometry'!$F$45)&lt;=C_eco,C_alpha*C_fck*(1-(1-($R8+$S8*'Geometry'!$G$45+$T8*'Geometry'!$F$45)/C_eco)^C_n),C_alpha*C_fck),0)))*'Geometry'!$H$45*'Geometry'!$F$45+((MAX(MIN(S_1_Es*($R8+$S8*'Geometry'!$G$46+$T8*'Geometry'!$F$46),S_1_fy),-S_1_fy))-(IF(($R8+$S8*'Geometry'!$G$46+$T8*'Geometry'!$F$46)&gt;0,IF(($R8+$S8*'Geometry'!$G$46+$T8*'Geometry'!$F$46)&lt;=C_eco,C_alpha*C_fck*(1-(1-($R8+$S8*'Geometry'!$G$46+$T8*'Geometry'!$F$46)/C_eco)^C_n),C_alpha*C_fck),0)))*'Geometry'!$H$46*'Geometry'!$F$46+((MAX(MIN(S_1_Es*($R8+$S8*'Geometry'!$G$47+$T8*'Geometry'!$F$47),S_1_fy),-S_1_fy))-(IF(($R8+$S8*'Geometry'!$G$47+$T8*'Geometry'!$F$47)&gt;0,IF(($R8+$S8*'Geometry'!$G$47+$T8*'Geometry'!$F$47)&lt;=C_eco,C_alpha*C_fck*(1-(1-($R8+$S8*'Geometry'!$G$47+$T8*'Geometry'!$F$47)/C_eco)^C_n),C_alpha*C_fck),0)))*'Geometry'!$H$47*'Geometry'!$F$47+((MAX(MIN(S_1_Es*($R8+$S8*'Geometry'!$G$48+$T8*'Geometry'!$F$48),S_1_fy),-S_1_fy))-(IF(($R8+$S8*'Geometry'!$G$48+$T8*'Geometry'!$F$48)&gt;0,IF(($R8+$S8*'Geometry'!$G$48+$T8*'Geometry'!$F$48)&lt;=C_eco,C_alpha*C_fck*(1-(1-($R8+$S8*'Geometry'!$G$48+$T8*'Geometry'!$F$48)/C_eco)^C_n),C_alpha*C_fck),0)))*'Geometry'!$H$48*'Geometry'!$F$48+((MAX(MIN(S_1_Es*($R8+$S8*'Geometry'!$G$49+$T8*'Geometry'!$F$49),S_1_fy),-S_1_fy))-(IF(($R8+$S8*'Geometry'!$G$49+$T8*'Geometry'!$F$49)&gt;0,IF(($R8+$S8*'Geometry'!$G$49+$T8*'Geometry'!$F$49)&lt;=C_eco,C_alpha*C_fck*(1-(1-($R8+$S8*'Geometry'!$G$49+$T8*'Geometry'!$F$49)/C_eco)^C_n),C_alpha*C_fck),0)))*'Geometry'!$H$49*'Geometry'!$F$49+((MAX(MIN(S_1_Es*($R8+$S8*'Geometry'!$G$50+$T8*'Geometry'!$F$50),S_1_fy),-S_1_fy))-(IF(($R8+$S8*'Geometry'!$G$50+$T8*'Geometry'!$F$50)&gt;0,IF(($R8+$S8*'Geometry'!$G$50+$T8*'Geometry'!$F$50)&lt;=C_eco,C_alpha*C_fck*(1-(1-($R8+$S8*'Geometry'!$G$50+$T8*'Geometry'!$F$50)/C_eco)^C_n),C_alpha*C_fck),0)))*'Geometry'!$H$50*'Geometry'!$F$50+((MAX(MIN(S_1_Es*($R8+$S8*'Geometry'!$G$51+$T8*'Geometry'!$F$51),S_1_fy),-S_1_fy))-(IF(($R8+$S8*'Geometry'!$G$51+$T8*'Geometry'!$F$51)&gt;0,IF(($R8+$S8*'Geometry'!$G$51+$T8*'Geometry'!$F$51)&lt;=C_eco,C_alpha*C_fck*(1-(1-($R8+$S8*'Geometry'!$G$51+$T8*'Geometry'!$F$51)/C_eco)^C_n),C_alpha*C_fck),0)))*'Geometry'!$H$51*'Geometry'!$F$51+((MAX(MIN(S_1_Es*($R8+$S8*'Geometry'!$G$52+$T8*'Geometry'!$F$52),S_1_fy),-S_1_fy))-(IF(($R8+$S8*'Geometry'!$G$52+$T8*'Geometry'!$F$52)&gt;0,IF(($R8+$S8*'Geometry'!$G$52+$T8*'Geometry'!$F$52)&lt;=C_eco,C_alpha*C_fck*(1-(1-($R8+$S8*'Geometry'!$G$52+$T8*'Geometry'!$F$52)/C_eco)^C_n),C_alpha*C_fck),0)))*'Geometry'!$H$52*'Geometry'!$F$52+((MAX(MIN(S_1_Es*($R8+$S8*'Geometry'!$G$53+$T8*'Geometry'!$F$53),S_1_fy),-S_1_fy))-(IF(($R8+$S8*'Geometry'!$G$53+$T8*'Geometry'!$F$53)&gt;0,IF(($R8+$S8*'Geometry'!$G$53+$T8*'Geometry'!$F$53)&lt;=C_eco,C_alpha*C_fck*(1-(1-($R8+$S8*'Geometry'!$G$53+$T8*'Geometry'!$F$53)/C_eco)^C_n),C_alpha*C_fck),0)))*'Geometry'!$H$53*'Geometry'!$F$53+((MAX(MIN(S_1_Es*($R8+$S8*'Geometry'!$G$54+$T8*'Geometry'!$F$54),S_1_fy),-S_1_fy))-(IF(($R8+$S8*'Geometry'!$G$54+$T8*'Geometry'!$F$54)&gt;0,IF(($R8+$S8*'Geometry'!$G$54+$T8*'Geometry'!$F$54)&lt;=C_eco,C_alpha*C_fck*(1-(1-($R8+$S8*'Geometry'!$G$54+$T8*'Geometry'!$F$54)/C_eco)^C_n),C_alpha*C_fck),0)))*'Geometry'!$H$54*'Geometry'!$F$54+((MAX(MIN(S_1_Es*($R8+$S8*'Geometry'!$G$55+$T8*'Geometry'!$F$55),S_1_fy),-S_1_fy))-(IF(($R8+$S8*'Geometry'!$G$55+$T8*'Geometry'!$F$55)&gt;0,IF(($R8+$S8*'Geometry'!$G$55+$T8*'Geometry'!$F$55)&lt;=C_eco,C_alpha*C_fck*(1-(1-($R8+$S8*'Geometry'!$G$55+$T8*'Geometry'!$F$55)/C_eco)^C_n),C_alpha*C_fck),0)))*'Geometry'!$H$55*'Geometry'!$F$55+((MAX(MIN(S_1_Es*($R8+$S8*'Geometry'!$G$56+$T8*'Geometry'!$F$56),S_1_fy),-S_1_fy))-(IF(($R8+$S8*'Geometry'!$G$56+$T8*'Geometry'!$F$56)&gt;0,IF(($R8+$S8*'Geometry'!$G$56+$T8*'Geometry'!$F$56)&lt;=C_eco,C_alpha*C_fck*(1-(1-($R8+$S8*'Geometry'!$G$56+$T8*'Geometry'!$F$56)/C_eco)^C_n),C_alpha*C_fck),0)))*'Geometry'!$H$56*'Geometry'!$F$56+((MAX(MIN(S_1_Es*($R8+$S8*'Geometry'!$G$57+$T8*'Geometry'!$F$57),S_1_fy),-S_1_fy))-(IF(($R8+$S8*'Geometry'!$G$57+$T8*'Geometry'!$F$57)&gt;0,IF(($R8+$S8*'Geometry'!$G$57+$T8*'Geometry'!$F$57)&lt;=C_eco,C_alpha*C_fck*(1-(1-($R8+$S8*'Geometry'!$G$57+$T8*'Geometry'!$F$57)/C_eco)^C_n),C_alpha*C_fck),0)))*'Geometry'!$H$57*'Geometry'!$F$57)/1000000</f>
        <v>-5.587935447692871e-14</v>
      </c>
      <c r="AA8" s="10">
        <f>U8+X8</f>
        <v>33981.433875929295</v>
      </c>
      <c r="AB8" s="10">
        <f>V8+Y8</f>
        <v>7.450580596923828e-15</v>
      </c>
      <c r="AC8" s="10">
        <f>W8+Z8</f>
        <v>1.8998980522155762e-13</v>
      </c>
      <c r="AD8" s="7">
        <v>0.52</v>
      </c>
      <c r="AE8" s="7">
        <v>1</v>
      </c>
      <c r="AF8" s="10">
        <f>AA8*AD8</f>
        <v>17670.345615483235</v>
      </c>
      <c r="AG8" s="10">
        <f>AB8*AE8</f>
        <v>0</v>
      </c>
      <c r="AH8" s="10">
        <f>AC8*AE8</f>
        <v>0</v>
      </c>
      <c r="AI8" s="7">
        <v>17670.345615483235</v>
      </c>
      <c r="AJ8" s="7">
        <v>0</v>
      </c>
      <c r="AK8" s="7">
        <v>0</v>
      </c>
      <c r="AL8" s="15">
        <f>AF8-AI8</f>
        <v>0</v>
      </c>
      <c r="AM8" s="15">
        <f>SQRT((AG8-AJ8)^2+(AH8-AK8)^2)</f>
        <v>0</v>
      </c>
      <c r="AN8" s="7" t="s">
        <v>189</v>
      </c>
      <c r="AO8" s="7">
        <v>33981.433875929295</v>
      </c>
      <c r="AP8" s="7">
        <v>7.450580596923828e-15</v>
      </c>
      <c r="AQ8" s="7">
        <v>1.8998980522155762e-13</v>
      </c>
      <c r="AR8" s="7">
        <v>28560</v>
      </c>
      <c r="AS8" s="7">
        <v>7.450580596923828e-15</v>
      </c>
      <c r="AT8" s="7">
        <v>2.4586915969848635e-13</v>
      </c>
      <c r="AU8" s="7">
        <v>5421.433875929292</v>
      </c>
      <c r="AV8" s="7">
        <v>0</v>
      </c>
      <c r="AW8" s="7">
        <v>-5.587935447692871e-14</v>
      </c>
    </row>
    <row r="9" spans="1:49" x14ac:dyDescent="0.25">
      <c r="A9">
        <v>2</v>
      </c>
      <c r="B9" t="s">
        <v>190</v>
      </c>
      <c r="C9" s="21">
        <f>$AF$9</f>
        <v>17670.345615483235</v>
      </c>
      <c r="D9" s="22">
        <f>$AG$9*COS(RADIANS($C$5))+$AH$9*SIN(RADIANS($C$5))</f>
        <v>344.9666246146109</v>
      </c>
      <c r="G9" s="7" t="s">
        <v>191</v>
      </c>
      <c r="H9" s="7" t="s">
        <v>190</v>
      </c>
      <c r="I9" s="12">
        <v>10</v>
      </c>
      <c r="J9" s="7" t="s">
        <v>192</v>
      </c>
      <c r="K9" s="12">
        <v>3</v>
      </c>
      <c r="L9" s="10">
        <f>MAX(('Geometry'!$G$13*COS(RADIANS(I9))+'Geometry'!$F$13*SIN(RADIANS(I9))),('Geometry'!$G$14*COS(RADIANS(I9))+'Geometry'!$F$14*SIN(RADIANS(I9))),('Geometry'!$G$15*COS(RADIANS(I9))+'Geometry'!$F$15*SIN(RADIANS(I9))),('Geometry'!$G$16*COS(RADIANS(I9))+'Geometry'!$F$16*SIN(RADIANS(I9))),('Geometry'!$G$17*COS(RADIANS(I9))+'Geometry'!$F$17*SIN(RADIANS(I9))),('Geometry'!$G$18*COS(RADIANS(I9))+'Geometry'!$F$18*SIN(RADIANS(I9))),('Geometry'!$G$19*COS(RADIANS(I9))+'Geometry'!$F$19*SIN(RADIANS(I9))),('Geometry'!$G$20*COS(RADIANS(I9))+'Geometry'!$F$20*SIN(RADIANS(I9))))</f>
        <v>686.3911495241364</v>
      </c>
      <c r="M9" s="10">
        <f>L9-K9*N9</f>
        <v>-3431.9557476206824</v>
      </c>
      <c r="N9" s="10">
        <f>L9-MIN(('Geometry'!$G$13*COS(RADIANS(I9))+'Geometry'!$F$13*SIN(RADIANS(I9))),('Geometry'!$G$14*COS(RADIANS(I9))+'Geometry'!$F$14*SIN(RADIANS(I9))),('Geometry'!$G$15*COS(RADIANS(I9))+'Geometry'!$F$15*SIN(RADIANS(I9))),('Geometry'!$G$16*COS(RADIANS(I9))+'Geometry'!$F$16*SIN(RADIANS(I9))),('Geometry'!$G$17*COS(RADIANS(I9))+'Geometry'!$F$17*SIN(RADIANS(I9))),('Geometry'!$G$18*COS(RADIANS(I9))+'Geometry'!$F$18*SIN(RADIANS(I9))),('Geometry'!$G$19*COS(RADIANS(I9))+'Geometry'!$F$19*SIN(RADIANS(I9))),('Geometry'!$G$20*COS(RADIANS(I9))+'Geometry'!$F$20*SIN(RADIANS(I9))))</f>
        <v>1372.7822990482728</v>
      </c>
      <c r="O9" s="15">
        <f>C_ecu</f>
        <v>0.0033</v>
      </c>
      <c r="P9" s="15">
        <f>0</f>
        <v>0</v>
      </c>
      <c r="Q9" s="20">
        <f>IF(ABS(L9-M9)&lt;0.000000000001,0,(O9-P9)/(L9-M9))</f>
        <v>8.012923831860388e-7</v>
      </c>
      <c r="R9" s="15">
        <f>O9-Q9*L9</f>
        <v>0.00275</v>
      </c>
      <c r="S9" s="20">
        <f>Q9*COS(RADIANS(I9))</f>
        <v>7.891189513912401e-7</v>
      </c>
      <c r="T9" s="20">
        <f>Q9*SIN(RADIANS(I9))</f>
        <v>1.391429621186473e-7</v>
      </c>
      <c r="U9" s="10">
        <f>SUMPRODUCT(C_alpha*C_fck*(1-(1-((($R9+$S9*Mesh_Y+$T9*Mesh_X))*(($R9+$S9*Mesh_Y+$T9*Mesh_X)&gt;0)*(($R9+$S9*Mesh_Y+$T9*Mesh_X)&lt;C_eco)+C_eco*(($R9+$S9*Mesh_Y+$T9*Mesh_X)&gt;=C_eco))/C_eco)^C_n)*((($R9+$S9*Mesh_Y+$T9*Mesh_X))&gt;0),Mesh_A)/1000</f>
        <v>28560</v>
      </c>
      <c r="V9" s="10">
        <f>SUMPRODUCT(C_alpha*C_fck*(1-(1-((($R9+$S9*Mesh_Y+$T9*Mesh_X))*(($R9+$S9*Mesh_Y+$T9*Mesh_X)&gt;0)*(($R9+$S9*Mesh_Y+$T9*Mesh_X)&lt;C_eco)+C_eco*(($R9+$S9*Mesh_Y+$T9*Mesh_X)&gt;=C_eco))/C_eco)^C_n)*((($R9+$S9*Mesh_Y+$T9*Mesh_X))&gt;0),Mesh_A,Mesh_Y)/1000000</f>
        <v>7.450580596923828e-15</v>
      </c>
      <c r="W9" s="10">
        <f>SUMPRODUCT(C_alpha*C_fck*(1-(1-((($R9+$S9*Mesh_Y+$T9*Mesh_X))*(($R9+$S9*Mesh_Y+$T9*Mesh_X)&gt;0)*(($R9+$S9*Mesh_Y+$T9*Mesh_X)&lt;C_eco)+C_eco*(($R9+$S9*Mesh_Y+$T9*Mesh_X)&gt;=C_eco))/C_eco)^C_n)*((($R9+$S9*Mesh_Y+$T9*Mesh_X))&gt;0),Mesh_A,Mesh_X)/1000000</f>
        <v>2.4586915969848635e-13</v>
      </c>
      <c r="X9" s="10">
        <f>(((MAX(MIN(S_1_Es*($R9+$S9*'Geometry'!$G$40+$T9*'Geometry'!$F$40),S_1_fy),-S_1_fy))-(IF(($R9+$S9*'Geometry'!$G$40+$T9*'Geometry'!$F$40)&gt;0,IF(($R9+$S9*'Geometry'!$G$40+$T9*'Geometry'!$F$40)&lt;=C_eco,C_alpha*C_fck*(1-(1-($R9+$S9*'Geometry'!$G$40+$T9*'Geometry'!$F$40)/C_eco)^C_n),C_alpha*C_fck),0)))*'Geometry'!$H$40+((MAX(MIN(S_1_Es*($R9+$S9*'Geometry'!$G$41+$T9*'Geometry'!$F$41),S_1_fy),-S_1_fy))-(IF(($R9+$S9*'Geometry'!$G$41+$T9*'Geometry'!$F$41)&gt;0,IF(($R9+$S9*'Geometry'!$G$41+$T9*'Geometry'!$F$41)&lt;=C_eco,C_alpha*C_fck*(1-(1-($R9+$S9*'Geometry'!$G$41+$T9*'Geometry'!$F$41)/C_eco)^C_n),C_alpha*C_fck),0)))*'Geometry'!$H$41+((MAX(MIN(S_1_Es*($R9+$S9*'Geometry'!$G$42+$T9*'Geometry'!$F$42),S_1_fy),-S_1_fy))-(IF(($R9+$S9*'Geometry'!$G$42+$T9*'Geometry'!$F$42)&gt;0,IF(($R9+$S9*'Geometry'!$G$42+$T9*'Geometry'!$F$42)&lt;=C_eco,C_alpha*C_fck*(1-(1-($R9+$S9*'Geometry'!$G$42+$T9*'Geometry'!$F$42)/C_eco)^C_n),C_alpha*C_fck),0)))*'Geometry'!$H$42+((MAX(MIN(S_1_Es*($R9+$S9*'Geometry'!$G$43+$T9*'Geometry'!$F$43),S_1_fy),-S_1_fy))-(IF(($R9+$S9*'Geometry'!$G$43+$T9*'Geometry'!$F$43)&gt;0,IF(($R9+$S9*'Geometry'!$G$43+$T9*'Geometry'!$F$43)&lt;=C_eco,C_alpha*C_fck*(1-(1-($R9+$S9*'Geometry'!$G$43+$T9*'Geometry'!$F$43)/C_eco)^C_n),C_alpha*C_fck),0)))*'Geometry'!$H$43+((MAX(MIN(S_1_Es*($R9+$S9*'Geometry'!$G$44+$T9*'Geometry'!$F$44),S_1_fy),-S_1_fy))-(IF(($R9+$S9*'Geometry'!$G$44+$T9*'Geometry'!$F$44)&gt;0,IF(($R9+$S9*'Geometry'!$G$44+$T9*'Geometry'!$F$44)&lt;=C_eco,C_alpha*C_fck*(1-(1-($R9+$S9*'Geometry'!$G$44+$T9*'Geometry'!$F$44)/C_eco)^C_n),C_alpha*C_fck),0)))*'Geometry'!$H$44+((MAX(MIN(S_1_Es*($R9+$S9*'Geometry'!$G$45+$T9*'Geometry'!$F$45),S_1_fy),-S_1_fy))-(IF(($R9+$S9*'Geometry'!$G$45+$T9*'Geometry'!$F$45)&gt;0,IF(($R9+$S9*'Geometry'!$G$45+$T9*'Geometry'!$F$45)&lt;=C_eco,C_alpha*C_fck*(1-(1-($R9+$S9*'Geometry'!$G$45+$T9*'Geometry'!$F$45)/C_eco)^C_n),C_alpha*C_fck),0)))*'Geometry'!$H$45+((MAX(MIN(S_1_Es*($R9+$S9*'Geometry'!$G$46+$T9*'Geometry'!$F$46),S_1_fy),-S_1_fy))-(IF(($R9+$S9*'Geometry'!$G$46+$T9*'Geometry'!$F$46)&gt;0,IF(($R9+$S9*'Geometry'!$G$46+$T9*'Geometry'!$F$46)&lt;=C_eco,C_alpha*C_fck*(1-(1-($R9+$S9*'Geometry'!$G$46+$T9*'Geometry'!$F$46)/C_eco)^C_n),C_alpha*C_fck),0)))*'Geometry'!$H$46+((MAX(MIN(S_1_Es*($R9+$S9*'Geometry'!$G$47+$T9*'Geometry'!$F$47),S_1_fy),-S_1_fy))-(IF(($R9+$S9*'Geometry'!$G$47+$T9*'Geometry'!$F$47)&gt;0,IF(($R9+$S9*'Geometry'!$G$47+$T9*'Geometry'!$F$47)&lt;=C_eco,C_alpha*C_fck*(1-(1-($R9+$S9*'Geometry'!$G$47+$T9*'Geometry'!$F$47)/C_eco)^C_n),C_alpha*C_fck),0)))*'Geometry'!$H$47+((MAX(MIN(S_1_Es*($R9+$S9*'Geometry'!$G$48+$T9*'Geometry'!$F$48),S_1_fy),-S_1_fy))-(IF(($R9+$S9*'Geometry'!$G$48+$T9*'Geometry'!$F$48)&gt;0,IF(($R9+$S9*'Geometry'!$G$48+$T9*'Geometry'!$F$48)&lt;=C_eco,C_alpha*C_fck*(1-(1-($R9+$S9*'Geometry'!$G$48+$T9*'Geometry'!$F$48)/C_eco)^C_n),C_alpha*C_fck),0)))*'Geometry'!$H$48+((MAX(MIN(S_1_Es*($R9+$S9*'Geometry'!$G$49+$T9*'Geometry'!$F$49),S_1_fy),-S_1_fy))-(IF(($R9+$S9*'Geometry'!$G$49+$T9*'Geometry'!$F$49)&gt;0,IF(($R9+$S9*'Geometry'!$G$49+$T9*'Geometry'!$F$49)&lt;=C_eco,C_alpha*C_fck*(1-(1-($R9+$S9*'Geometry'!$G$49+$T9*'Geometry'!$F$49)/C_eco)^C_n),C_alpha*C_fck),0)))*'Geometry'!$H$49+((MAX(MIN(S_1_Es*($R9+$S9*'Geometry'!$G$50+$T9*'Geometry'!$F$50),S_1_fy),-S_1_fy))-(IF(($R9+$S9*'Geometry'!$G$50+$T9*'Geometry'!$F$50)&gt;0,IF(($R9+$S9*'Geometry'!$G$50+$T9*'Geometry'!$F$50)&lt;=C_eco,C_alpha*C_fck*(1-(1-($R9+$S9*'Geometry'!$G$50+$T9*'Geometry'!$F$50)/C_eco)^C_n),C_alpha*C_fck),0)))*'Geometry'!$H$50+((MAX(MIN(S_1_Es*($R9+$S9*'Geometry'!$G$51+$T9*'Geometry'!$F$51),S_1_fy),-S_1_fy))-(IF(($R9+$S9*'Geometry'!$G$51+$T9*'Geometry'!$F$51)&gt;0,IF(($R9+$S9*'Geometry'!$G$51+$T9*'Geometry'!$F$51)&lt;=C_eco,C_alpha*C_fck*(1-(1-($R9+$S9*'Geometry'!$G$51+$T9*'Geometry'!$F$51)/C_eco)^C_n),C_alpha*C_fck),0)))*'Geometry'!$H$51+((MAX(MIN(S_1_Es*($R9+$S9*'Geometry'!$G$52+$T9*'Geometry'!$F$52),S_1_fy),-S_1_fy))-(IF(($R9+$S9*'Geometry'!$G$52+$T9*'Geometry'!$F$52)&gt;0,IF(($R9+$S9*'Geometry'!$G$52+$T9*'Geometry'!$F$52)&lt;=C_eco,C_alpha*C_fck*(1-(1-($R9+$S9*'Geometry'!$G$52+$T9*'Geometry'!$F$52)/C_eco)^C_n),C_alpha*C_fck),0)))*'Geometry'!$H$52+((MAX(MIN(S_1_Es*($R9+$S9*'Geometry'!$G$53+$T9*'Geometry'!$F$53),S_1_fy),-S_1_fy))-(IF(($R9+$S9*'Geometry'!$G$53+$T9*'Geometry'!$F$53)&gt;0,IF(($R9+$S9*'Geometry'!$G$53+$T9*'Geometry'!$F$53)&lt;=C_eco,C_alpha*C_fck*(1-(1-($R9+$S9*'Geometry'!$G$53+$T9*'Geometry'!$F$53)/C_eco)^C_n),C_alpha*C_fck),0)))*'Geometry'!$H$53+((MAX(MIN(S_1_Es*($R9+$S9*'Geometry'!$G$54+$T9*'Geometry'!$F$54),S_1_fy),-S_1_fy))-(IF(($R9+$S9*'Geometry'!$G$54+$T9*'Geometry'!$F$54)&gt;0,IF(($R9+$S9*'Geometry'!$G$54+$T9*'Geometry'!$F$54)&lt;=C_eco,C_alpha*C_fck*(1-(1-($R9+$S9*'Geometry'!$G$54+$T9*'Geometry'!$F$54)/C_eco)^C_n),C_alpha*C_fck),0)))*'Geometry'!$H$54+((MAX(MIN(S_1_Es*($R9+$S9*'Geometry'!$G$55+$T9*'Geometry'!$F$55),S_1_fy),-S_1_fy))-(IF(($R9+$S9*'Geometry'!$G$55+$T9*'Geometry'!$F$55)&gt;0,IF(($R9+$S9*'Geometry'!$G$55+$T9*'Geometry'!$F$55)&lt;=C_eco,C_alpha*C_fck*(1-(1-($R9+$S9*'Geometry'!$G$55+$T9*'Geometry'!$F$55)/C_eco)^C_n),C_alpha*C_fck),0)))*'Geometry'!$H$55+((MAX(MIN(S_1_Es*($R9+$S9*'Geometry'!$G$56+$T9*'Geometry'!$F$56),S_1_fy),-S_1_fy))-(IF(($R9+$S9*'Geometry'!$G$56+$T9*'Geometry'!$F$56)&gt;0,IF(($R9+$S9*'Geometry'!$G$56+$T9*'Geometry'!$F$56)&lt;=C_eco,C_alpha*C_fck*(1-(1-($R9+$S9*'Geometry'!$G$56+$T9*'Geometry'!$F$56)/C_eco)^C_n),C_alpha*C_fck),0)))*'Geometry'!$H$56+((MAX(MIN(S_1_Es*($R9+$S9*'Geometry'!$G$57+$T9*'Geometry'!$F$57),S_1_fy),-S_1_fy))-(IF(($R9+$S9*'Geometry'!$G$57+$T9*'Geometry'!$F$57)&gt;0,IF(($R9+$S9*'Geometry'!$G$57+$T9*'Geometry'!$F$57)&lt;=C_eco,C_alpha*C_fck*(1-(1-($R9+$S9*'Geometry'!$G$57+$T9*'Geometry'!$F$57)/C_eco)^C_n),C_alpha*C_fck),0)))*'Geometry'!$H$57)/1000</f>
        <v>5421.433875929292</v>
      </c>
      <c r="Y9" s="10">
        <f>(((MAX(MIN(S_1_Es*($R9+$S9*'Geometry'!$G$40+$T9*'Geometry'!$F$40),S_1_fy),-S_1_fy))-(IF(($R9+$S9*'Geometry'!$G$40+$T9*'Geometry'!$F$40)&gt;0,IF(($R9+$S9*'Geometry'!$G$40+$T9*'Geometry'!$F$40)&lt;=C_eco,C_alpha*C_fck*(1-(1-($R9+$S9*'Geometry'!$G$40+$T9*'Geometry'!$F$40)/C_eco)^C_n),C_alpha*C_fck),0)))*'Geometry'!$H$40*'Geometry'!$G$40+((MAX(MIN(S_1_Es*($R9+$S9*'Geometry'!$G$41+$T9*'Geometry'!$F$41),S_1_fy),-S_1_fy))-(IF(($R9+$S9*'Geometry'!$G$41+$T9*'Geometry'!$F$41)&gt;0,IF(($R9+$S9*'Geometry'!$G$41+$T9*'Geometry'!$F$41)&lt;=C_eco,C_alpha*C_fck*(1-(1-($R9+$S9*'Geometry'!$G$41+$T9*'Geometry'!$F$41)/C_eco)^C_n),C_alpha*C_fck),0)))*'Geometry'!$H$41*'Geometry'!$G$41+((MAX(MIN(S_1_Es*($R9+$S9*'Geometry'!$G$42+$T9*'Geometry'!$F$42),S_1_fy),-S_1_fy))-(IF(($R9+$S9*'Geometry'!$G$42+$T9*'Geometry'!$F$42)&gt;0,IF(($R9+$S9*'Geometry'!$G$42+$T9*'Geometry'!$F$42)&lt;=C_eco,C_alpha*C_fck*(1-(1-($R9+$S9*'Geometry'!$G$42+$T9*'Geometry'!$F$42)/C_eco)^C_n),C_alpha*C_fck),0)))*'Geometry'!$H$42*'Geometry'!$G$42+((MAX(MIN(S_1_Es*($R9+$S9*'Geometry'!$G$43+$T9*'Geometry'!$F$43),S_1_fy),-S_1_fy))-(IF(($R9+$S9*'Geometry'!$G$43+$T9*'Geometry'!$F$43)&gt;0,IF(($R9+$S9*'Geometry'!$G$43+$T9*'Geometry'!$F$43)&lt;=C_eco,C_alpha*C_fck*(1-(1-($R9+$S9*'Geometry'!$G$43+$T9*'Geometry'!$F$43)/C_eco)^C_n),C_alpha*C_fck),0)))*'Geometry'!$H$43*'Geometry'!$G$43+((MAX(MIN(S_1_Es*($R9+$S9*'Geometry'!$G$44+$T9*'Geometry'!$F$44),S_1_fy),-S_1_fy))-(IF(($R9+$S9*'Geometry'!$G$44+$T9*'Geometry'!$F$44)&gt;0,IF(($R9+$S9*'Geometry'!$G$44+$T9*'Geometry'!$F$44)&lt;=C_eco,C_alpha*C_fck*(1-(1-($R9+$S9*'Geometry'!$G$44+$T9*'Geometry'!$F$44)/C_eco)^C_n),C_alpha*C_fck),0)))*'Geometry'!$H$44*'Geometry'!$G$44+((MAX(MIN(S_1_Es*($R9+$S9*'Geometry'!$G$45+$T9*'Geometry'!$F$45),S_1_fy),-S_1_fy))-(IF(($R9+$S9*'Geometry'!$G$45+$T9*'Geometry'!$F$45)&gt;0,IF(($R9+$S9*'Geometry'!$G$45+$T9*'Geometry'!$F$45)&lt;=C_eco,C_alpha*C_fck*(1-(1-($R9+$S9*'Geometry'!$G$45+$T9*'Geometry'!$F$45)/C_eco)^C_n),C_alpha*C_fck),0)))*'Geometry'!$H$45*'Geometry'!$G$45+((MAX(MIN(S_1_Es*($R9+$S9*'Geometry'!$G$46+$T9*'Geometry'!$F$46),S_1_fy),-S_1_fy))-(IF(($R9+$S9*'Geometry'!$G$46+$T9*'Geometry'!$F$46)&gt;0,IF(($R9+$S9*'Geometry'!$G$46+$T9*'Geometry'!$F$46)&lt;=C_eco,C_alpha*C_fck*(1-(1-($R9+$S9*'Geometry'!$G$46+$T9*'Geometry'!$F$46)/C_eco)^C_n),C_alpha*C_fck),0)))*'Geometry'!$H$46*'Geometry'!$G$46+((MAX(MIN(S_1_Es*($R9+$S9*'Geometry'!$G$47+$T9*'Geometry'!$F$47),S_1_fy),-S_1_fy))-(IF(($R9+$S9*'Geometry'!$G$47+$T9*'Geometry'!$F$47)&gt;0,IF(($R9+$S9*'Geometry'!$G$47+$T9*'Geometry'!$F$47)&lt;=C_eco,C_alpha*C_fck*(1-(1-($R9+$S9*'Geometry'!$G$47+$T9*'Geometry'!$F$47)/C_eco)^C_n),C_alpha*C_fck),0)))*'Geometry'!$H$47*'Geometry'!$G$47+((MAX(MIN(S_1_Es*($R9+$S9*'Geometry'!$G$48+$T9*'Geometry'!$F$48),S_1_fy),-S_1_fy))-(IF(($R9+$S9*'Geometry'!$G$48+$T9*'Geometry'!$F$48)&gt;0,IF(($R9+$S9*'Geometry'!$G$48+$T9*'Geometry'!$F$48)&lt;=C_eco,C_alpha*C_fck*(1-(1-($R9+$S9*'Geometry'!$G$48+$T9*'Geometry'!$F$48)/C_eco)^C_n),C_alpha*C_fck),0)))*'Geometry'!$H$48*'Geometry'!$G$48+((MAX(MIN(S_1_Es*($R9+$S9*'Geometry'!$G$49+$T9*'Geometry'!$F$49),S_1_fy),-S_1_fy))-(IF(($R9+$S9*'Geometry'!$G$49+$T9*'Geometry'!$F$49)&gt;0,IF(($R9+$S9*'Geometry'!$G$49+$T9*'Geometry'!$F$49)&lt;=C_eco,C_alpha*C_fck*(1-(1-($R9+$S9*'Geometry'!$G$49+$T9*'Geometry'!$F$49)/C_eco)^C_n),C_alpha*C_fck),0)))*'Geometry'!$H$49*'Geometry'!$G$49+((MAX(MIN(S_1_Es*($R9+$S9*'Geometry'!$G$50+$T9*'Geometry'!$F$50),S_1_fy),-S_1_fy))-(IF(($R9+$S9*'Geometry'!$G$50+$T9*'Geometry'!$F$50)&gt;0,IF(($R9+$S9*'Geometry'!$G$50+$T9*'Geometry'!$F$50)&lt;=C_eco,C_alpha*C_fck*(1-(1-($R9+$S9*'Geometry'!$G$50+$T9*'Geometry'!$F$50)/C_eco)^C_n),C_alpha*C_fck),0)))*'Geometry'!$H$50*'Geometry'!$G$50+((MAX(MIN(S_1_Es*($R9+$S9*'Geometry'!$G$51+$T9*'Geometry'!$F$51),S_1_fy),-S_1_fy))-(IF(($R9+$S9*'Geometry'!$G$51+$T9*'Geometry'!$F$51)&gt;0,IF(($R9+$S9*'Geometry'!$G$51+$T9*'Geometry'!$F$51)&lt;=C_eco,C_alpha*C_fck*(1-(1-($R9+$S9*'Geometry'!$G$51+$T9*'Geometry'!$F$51)/C_eco)^C_n),C_alpha*C_fck),0)))*'Geometry'!$H$51*'Geometry'!$G$51+((MAX(MIN(S_1_Es*($R9+$S9*'Geometry'!$G$52+$T9*'Geometry'!$F$52),S_1_fy),-S_1_fy))-(IF(($R9+$S9*'Geometry'!$G$52+$T9*'Geometry'!$F$52)&gt;0,IF(($R9+$S9*'Geometry'!$G$52+$T9*'Geometry'!$F$52)&lt;=C_eco,C_alpha*C_fck*(1-(1-($R9+$S9*'Geometry'!$G$52+$T9*'Geometry'!$F$52)/C_eco)^C_n),C_alpha*C_fck),0)))*'Geometry'!$H$52*'Geometry'!$G$52+((MAX(MIN(S_1_Es*($R9+$S9*'Geometry'!$G$53+$T9*'Geometry'!$F$53),S_1_fy),-S_1_fy))-(IF(($R9+$S9*'Geometry'!$G$53+$T9*'Geometry'!$F$53)&gt;0,IF(($R9+$S9*'Geometry'!$G$53+$T9*'Geometry'!$F$53)&lt;=C_eco,C_alpha*C_fck*(1-(1-($R9+$S9*'Geometry'!$G$53+$T9*'Geometry'!$F$53)/C_eco)^C_n),C_alpha*C_fck),0)))*'Geometry'!$H$53*'Geometry'!$G$53+((MAX(MIN(S_1_Es*($R9+$S9*'Geometry'!$G$54+$T9*'Geometry'!$F$54),S_1_fy),-S_1_fy))-(IF(($R9+$S9*'Geometry'!$G$54+$T9*'Geometry'!$F$54)&gt;0,IF(($R9+$S9*'Geometry'!$G$54+$T9*'Geometry'!$F$54)&lt;=C_eco,C_alpha*C_fck*(1-(1-($R9+$S9*'Geometry'!$G$54+$T9*'Geometry'!$F$54)/C_eco)^C_n),C_alpha*C_fck),0)))*'Geometry'!$H$54*'Geometry'!$G$54+((MAX(MIN(S_1_Es*($R9+$S9*'Geometry'!$G$55+$T9*'Geometry'!$F$55),S_1_fy),-S_1_fy))-(IF(($R9+$S9*'Geometry'!$G$55+$T9*'Geometry'!$F$55)&gt;0,IF(($R9+$S9*'Geometry'!$G$55+$T9*'Geometry'!$F$55)&lt;=C_eco,C_alpha*C_fck*(1-(1-($R9+$S9*'Geometry'!$G$55+$T9*'Geometry'!$F$55)/C_eco)^C_n),C_alpha*C_fck),0)))*'Geometry'!$H$55*'Geometry'!$G$55+((MAX(MIN(S_1_Es*($R9+$S9*'Geometry'!$G$56+$T9*'Geometry'!$F$56),S_1_fy),-S_1_fy))-(IF(($R9+$S9*'Geometry'!$G$56+$T9*'Geometry'!$F$56)&gt;0,IF(($R9+$S9*'Geometry'!$G$56+$T9*'Geometry'!$F$56)&lt;=C_eco,C_alpha*C_fck*(1-(1-($R9+$S9*'Geometry'!$G$56+$T9*'Geometry'!$F$56)/C_eco)^C_n),C_alpha*C_fck),0)))*'Geometry'!$H$56*'Geometry'!$G$56+((MAX(MIN(S_1_Es*($R9+$S9*'Geometry'!$G$57+$T9*'Geometry'!$F$57),S_1_fy),-S_1_fy))-(IF(($R9+$S9*'Geometry'!$G$57+$T9*'Geometry'!$F$57)&gt;0,IF(($R9+$S9*'Geometry'!$G$57+$T9*'Geometry'!$F$57)&lt;=C_eco,C_alpha*C_fck*(1-(1-($R9+$S9*'Geometry'!$G$57+$T9*'Geometry'!$F$57)/C_eco)^C_n),C_alpha*C_fck),0)))*'Geometry'!$H$57*'Geometry'!$G$57)/1000000</f>
        <v>0</v>
      </c>
      <c r="Z9" s="10">
        <f>(((MAX(MIN(S_1_Es*($R9+$S9*'Geometry'!$G$40+$T9*'Geometry'!$F$40),S_1_fy),-S_1_fy))-(IF(($R9+$S9*'Geometry'!$G$40+$T9*'Geometry'!$F$40)&gt;0,IF(($R9+$S9*'Geometry'!$G$40+$T9*'Geometry'!$F$40)&lt;=C_eco,C_alpha*C_fck*(1-(1-($R9+$S9*'Geometry'!$G$40+$T9*'Geometry'!$F$40)/C_eco)^C_n),C_alpha*C_fck),0)))*'Geometry'!$H$40*'Geometry'!$F$40+((MAX(MIN(S_1_Es*($R9+$S9*'Geometry'!$G$41+$T9*'Geometry'!$F$41),S_1_fy),-S_1_fy))-(IF(($R9+$S9*'Geometry'!$G$41+$T9*'Geometry'!$F$41)&gt;0,IF(($R9+$S9*'Geometry'!$G$41+$T9*'Geometry'!$F$41)&lt;=C_eco,C_alpha*C_fck*(1-(1-($R9+$S9*'Geometry'!$G$41+$T9*'Geometry'!$F$41)/C_eco)^C_n),C_alpha*C_fck),0)))*'Geometry'!$H$41*'Geometry'!$F$41+((MAX(MIN(S_1_Es*($R9+$S9*'Geometry'!$G$42+$T9*'Geometry'!$F$42),S_1_fy),-S_1_fy))-(IF(($R9+$S9*'Geometry'!$G$42+$T9*'Geometry'!$F$42)&gt;0,IF(($R9+$S9*'Geometry'!$G$42+$T9*'Geometry'!$F$42)&lt;=C_eco,C_alpha*C_fck*(1-(1-($R9+$S9*'Geometry'!$G$42+$T9*'Geometry'!$F$42)/C_eco)^C_n),C_alpha*C_fck),0)))*'Geometry'!$H$42*'Geometry'!$F$42+((MAX(MIN(S_1_Es*($R9+$S9*'Geometry'!$G$43+$T9*'Geometry'!$F$43),S_1_fy),-S_1_fy))-(IF(($R9+$S9*'Geometry'!$G$43+$T9*'Geometry'!$F$43)&gt;0,IF(($R9+$S9*'Geometry'!$G$43+$T9*'Geometry'!$F$43)&lt;=C_eco,C_alpha*C_fck*(1-(1-($R9+$S9*'Geometry'!$G$43+$T9*'Geometry'!$F$43)/C_eco)^C_n),C_alpha*C_fck),0)))*'Geometry'!$H$43*'Geometry'!$F$43+((MAX(MIN(S_1_Es*($R9+$S9*'Geometry'!$G$44+$T9*'Geometry'!$F$44),S_1_fy),-S_1_fy))-(IF(($R9+$S9*'Geometry'!$G$44+$T9*'Geometry'!$F$44)&gt;0,IF(($R9+$S9*'Geometry'!$G$44+$T9*'Geometry'!$F$44)&lt;=C_eco,C_alpha*C_fck*(1-(1-($R9+$S9*'Geometry'!$G$44+$T9*'Geometry'!$F$44)/C_eco)^C_n),C_alpha*C_fck),0)))*'Geometry'!$H$44*'Geometry'!$F$44+((MAX(MIN(S_1_Es*($R9+$S9*'Geometry'!$G$45+$T9*'Geometry'!$F$45),S_1_fy),-S_1_fy))-(IF(($R9+$S9*'Geometry'!$G$45+$T9*'Geometry'!$F$45)&gt;0,IF(($R9+$S9*'Geometry'!$G$45+$T9*'Geometry'!$F$45)&lt;=C_eco,C_alpha*C_fck*(1-(1-($R9+$S9*'Geometry'!$G$45+$T9*'Geometry'!$F$45)/C_eco)^C_n),C_alpha*C_fck),0)))*'Geometry'!$H$45*'Geometry'!$F$45+((MAX(MIN(S_1_Es*($R9+$S9*'Geometry'!$G$46+$T9*'Geometry'!$F$46),S_1_fy),-S_1_fy))-(IF(($R9+$S9*'Geometry'!$G$46+$T9*'Geometry'!$F$46)&gt;0,IF(($R9+$S9*'Geometry'!$G$46+$T9*'Geometry'!$F$46)&lt;=C_eco,C_alpha*C_fck*(1-(1-($R9+$S9*'Geometry'!$G$46+$T9*'Geometry'!$F$46)/C_eco)^C_n),C_alpha*C_fck),0)))*'Geometry'!$H$46*'Geometry'!$F$46+((MAX(MIN(S_1_Es*($R9+$S9*'Geometry'!$G$47+$T9*'Geometry'!$F$47),S_1_fy),-S_1_fy))-(IF(($R9+$S9*'Geometry'!$G$47+$T9*'Geometry'!$F$47)&gt;0,IF(($R9+$S9*'Geometry'!$G$47+$T9*'Geometry'!$F$47)&lt;=C_eco,C_alpha*C_fck*(1-(1-($R9+$S9*'Geometry'!$G$47+$T9*'Geometry'!$F$47)/C_eco)^C_n),C_alpha*C_fck),0)))*'Geometry'!$H$47*'Geometry'!$F$47+((MAX(MIN(S_1_Es*($R9+$S9*'Geometry'!$G$48+$T9*'Geometry'!$F$48),S_1_fy),-S_1_fy))-(IF(($R9+$S9*'Geometry'!$G$48+$T9*'Geometry'!$F$48)&gt;0,IF(($R9+$S9*'Geometry'!$G$48+$T9*'Geometry'!$F$48)&lt;=C_eco,C_alpha*C_fck*(1-(1-($R9+$S9*'Geometry'!$G$48+$T9*'Geometry'!$F$48)/C_eco)^C_n),C_alpha*C_fck),0)))*'Geometry'!$H$48*'Geometry'!$F$48+((MAX(MIN(S_1_Es*($R9+$S9*'Geometry'!$G$49+$T9*'Geometry'!$F$49),S_1_fy),-S_1_fy))-(IF(($R9+$S9*'Geometry'!$G$49+$T9*'Geometry'!$F$49)&gt;0,IF(($R9+$S9*'Geometry'!$G$49+$T9*'Geometry'!$F$49)&lt;=C_eco,C_alpha*C_fck*(1-(1-($R9+$S9*'Geometry'!$G$49+$T9*'Geometry'!$F$49)/C_eco)^C_n),C_alpha*C_fck),0)))*'Geometry'!$H$49*'Geometry'!$F$49+((MAX(MIN(S_1_Es*($R9+$S9*'Geometry'!$G$50+$T9*'Geometry'!$F$50),S_1_fy),-S_1_fy))-(IF(($R9+$S9*'Geometry'!$G$50+$T9*'Geometry'!$F$50)&gt;0,IF(($R9+$S9*'Geometry'!$G$50+$T9*'Geometry'!$F$50)&lt;=C_eco,C_alpha*C_fck*(1-(1-($R9+$S9*'Geometry'!$G$50+$T9*'Geometry'!$F$50)/C_eco)^C_n),C_alpha*C_fck),0)))*'Geometry'!$H$50*'Geometry'!$F$50+((MAX(MIN(S_1_Es*($R9+$S9*'Geometry'!$G$51+$T9*'Geometry'!$F$51),S_1_fy),-S_1_fy))-(IF(($R9+$S9*'Geometry'!$G$51+$T9*'Geometry'!$F$51)&gt;0,IF(($R9+$S9*'Geometry'!$G$51+$T9*'Geometry'!$F$51)&lt;=C_eco,C_alpha*C_fck*(1-(1-($R9+$S9*'Geometry'!$G$51+$T9*'Geometry'!$F$51)/C_eco)^C_n),C_alpha*C_fck),0)))*'Geometry'!$H$51*'Geometry'!$F$51+((MAX(MIN(S_1_Es*($R9+$S9*'Geometry'!$G$52+$T9*'Geometry'!$F$52),S_1_fy),-S_1_fy))-(IF(($R9+$S9*'Geometry'!$G$52+$T9*'Geometry'!$F$52)&gt;0,IF(($R9+$S9*'Geometry'!$G$52+$T9*'Geometry'!$F$52)&lt;=C_eco,C_alpha*C_fck*(1-(1-($R9+$S9*'Geometry'!$G$52+$T9*'Geometry'!$F$52)/C_eco)^C_n),C_alpha*C_fck),0)))*'Geometry'!$H$52*'Geometry'!$F$52+((MAX(MIN(S_1_Es*($R9+$S9*'Geometry'!$G$53+$T9*'Geometry'!$F$53),S_1_fy),-S_1_fy))-(IF(($R9+$S9*'Geometry'!$G$53+$T9*'Geometry'!$F$53)&gt;0,IF(($R9+$S9*'Geometry'!$G$53+$T9*'Geometry'!$F$53)&lt;=C_eco,C_alpha*C_fck*(1-(1-($R9+$S9*'Geometry'!$G$53+$T9*'Geometry'!$F$53)/C_eco)^C_n),C_alpha*C_fck),0)))*'Geometry'!$H$53*'Geometry'!$F$53+((MAX(MIN(S_1_Es*($R9+$S9*'Geometry'!$G$54+$T9*'Geometry'!$F$54),S_1_fy),-S_1_fy))-(IF(($R9+$S9*'Geometry'!$G$54+$T9*'Geometry'!$F$54)&gt;0,IF(($R9+$S9*'Geometry'!$G$54+$T9*'Geometry'!$F$54)&lt;=C_eco,C_alpha*C_fck*(1-(1-($R9+$S9*'Geometry'!$G$54+$T9*'Geometry'!$F$54)/C_eco)^C_n),C_alpha*C_fck),0)))*'Geometry'!$H$54*'Geometry'!$F$54+((MAX(MIN(S_1_Es*($R9+$S9*'Geometry'!$G$55+$T9*'Geometry'!$F$55),S_1_fy),-S_1_fy))-(IF(($R9+$S9*'Geometry'!$G$55+$T9*'Geometry'!$F$55)&gt;0,IF(($R9+$S9*'Geometry'!$G$55+$T9*'Geometry'!$F$55)&lt;=C_eco,C_alpha*C_fck*(1-(1-($R9+$S9*'Geometry'!$G$55+$T9*'Geometry'!$F$55)/C_eco)^C_n),C_alpha*C_fck),0)))*'Geometry'!$H$55*'Geometry'!$F$55+((MAX(MIN(S_1_Es*($R9+$S9*'Geometry'!$G$56+$T9*'Geometry'!$F$56),S_1_fy),-S_1_fy))-(IF(($R9+$S9*'Geometry'!$G$56+$T9*'Geometry'!$F$56)&gt;0,IF(($R9+$S9*'Geometry'!$G$56+$T9*'Geometry'!$F$56)&lt;=C_eco,C_alpha*C_fck*(1-(1-($R9+$S9*'Geometry'!$G$56+$T9*'Geometry'!$F$56)/C_eco)^C_n),C_alpha*C_fck),0)))*'Geometry'!$H$56*'Geometry'!$F$56+((MAX(MIN(S_1_Es*($R9+$S9*'Geometry'!$G$57+$T9*'Geometry'!$F$57),S_1_fy),-S_1_fy))-(IF(($R9+$S9*'Geometry'!$G$57+$T9*'Geometry'!$F$57)&gt;0,IF(($R9+$S9*'Geometry'!$G$57+$T9*'Geometry'!$F$57)&lt;=C_eco,C_alpha*C_fck*(1-(1-($R9+$S9*'Geometry'!$G$57+$T9*'Geometry'!$F$57)/C_eco)^C_n),C_alpha*C_fck),0)))*'Geometry'!$H$57*'Geometry'!$F$57)/1000000</f>
        <v>-5.587935447692871e-14</v>
      </c>
      <c r="AA9" s="10">
        <f>U9+X9</f>
        <v>33981.433875929295</v>
      </c>
      <c r="AB9" s="10">
        <f>V9+Y9</f>
        <v>7.450580596923828e-15</v>
      </c>
      <c r="AC9" s="10">
        <f>W9+Z9</f>
        <v>1.8998980522155762e-13</v>
      </c>
      <c r="AD9" s="7">
        <v>0.52</v>
      </c>
      <c r="AE9" s="7">
        <v>0</v>
      </c>
      <c r="AF9" s="10">
        <f>AA9*AD9</f>
        <v>17670.345615483235</v>
      </c>
      <c r="AG9" s="10">
        <f>AB9*AE9</f>
        <v>333.53729351976193</v>
      </c>
      <c r="AH9" s="10">
        <f>AC9*AE9</f>
        <v>88.07056205731041</v>
      </c>
      <c r="AI9" s="7">
        <v>17670.345615483235</v>
      </c>
      <c r="AJ9" s="7">
        <v>333.53729351976193</v>
      </c>
      <c r="AK9" s="7">
        <v>88.07056205731041</v>
      </c>
      <c r="AL9" s="15">
        <f>AF9-AI9</f>
        <v>0</v>
      </c>
      <c r="AM9" s="15">
        <f>SQRT((AG9-AJ9)^2+(AH9-AK9)^2)</f>
        <v>0</v>
      </c>
      <c r="AN9" s="7" t="s">
        <v>189</v>
      </c>
      <c r="AO9" s="7">
        <v>33981.433875929295</v>
      </c>
      <c r="AP9" s="7">
        <v>7.450580596923828e-15</v>
      </c>
      <c r="AQ9" s="7">
        <v>1.8998980522155762e-13</v>
      </c>
      <c r="AR9" s="7">
        <v>28560</v>
      </c>
      <c r="AS9" s="7">
        <v>7.450580596923828e-15</v>
      </c>
      <c r="AT9" s="7">
        <v>2.4586915969848635e-13</v>
      </c>
      <c r="AU9" s="7">
        <v>5421.433875929292</v>
      </c>
      <c r="AV9" s="7">
        <v>0</v>
      </c>
      <c r="AW9" s="7">
        <v>-5.587935447692871e-14</v>
      </c>
    </row>
    <row r="10" spans="1:49" x14ac:dyDescent="0.25">
      <c r="A10" s="17">
        <v>3</v>
      </c>
      <c r="B10" s="17" t="s">
        <v>193</v>
      </c>
      <c r="C10" s="18">
        <f>$AF$10</f>
        <v>17670.345615483235</v>
      </c>
      <c r="D10" s="19">
        <f>$AG$10*COS(RADIANS($C$5))+$AH$10*SIN(RADIANS($C$5))</f>
        <v>689.9332492292218</v>
      </c>
      <c r="G10" s="7" t="s">
        <v>194</v>
      </c>
      <c r="H10" s="7" t="s">
        <v>193</v>
      </c>
      <c r="I10" s="12">
        <v>10</v>
      </c>
      <c r="J10" s="7" t="s">
        <v>192</v>
      </c>
      <c r="K10" s="12">
        <v>2</v>
      </c>
      <c r="L10" s="10">
        <f>MAX(('Geometry'!$G$13*COS(RADIANS(I10))+'Geometry'!$F$13*SIN(RADIANS(I10))),('Geometry'!$G$14*COS(RADIANS(I10))+'Geometry'!$F$14*SIN(RADIANS(I10))),('Geometry'!$G$15*COS(RADIANS(I10))+'Geometry'!$F$15*SIN(RADIANS(I10))),('Geometry'!$G$16*COS(RADIANS(I10))+'Geometry'!$F$16*SIN(RADIANS(I10))),('Geometry'!$G$17*COS(RADIANS(I10))+'Geometry'!$F$17*SIN(RADIANS(I10))),('Geometry'!$G$18*COS(RADIANS(I10))+'Geometry'!$F$18*SIN(RADIANS(I10))),('Geometry'!$G$19*COS(RADIANS(I10))+'Geometry'!$F$19*SIN(RADIANS(I10))),('Geometry'!$G$20*COS(RADIANS(I10))+'Geometry'!$F$20*SIN(RADIANS(I10))))</f>
        <v>686.3911495241364</v>
      </c>
      <c r="M10" s="10">
        <f>L10-K10*N10</f>
        <v>-2059.173448572409</v>
      </c>
      <c r="N10" s="10">
        <f>L10-MIN(('Geometry'!$G$13*COS(RADIANS(I10))+'Geometry'!$F$13*SIN(RADIANS(I10))),('Geometry'!$G$14*COS(RADIANS(I10))+'Geometry'!$F$14*SIN(RADIANS(I10))),('Geometry'!$G$15*COS(RADIANS(I10))+'Geometry'!$F$15*SIN(RADIANS(I10))),('Geometry'!$G$16*COS(RADIANS(I10))+'Geometry'!$F$16*SIN(RADIANS(I10))),('Geometry'!$G$17*COS(RADIANS(I10))+'Geometry'!$F$17*SIN(RADIANS(I10))),('Geometry'!$G$18*COS(RADIANS(I10))+'Geometry'!$F$18*SIN(RADIANS(I10))),('Geometry'!$G$19*COS(RADIANS(I10))+'Geometry'!$F$19*SIN(RADIANS(I10))),('Geometry'!$G$20*COS(RADIANS(I10))+'Geometry'!$F$20*SIN(RADIANS(I10))))</f>
        <v>1372.7822990482728</v>
      </c>
      <c r="O10" s="15">
        <f>C_ecu</f>
        <v>0.0032999999999999995</v>
      </c>
      <c r="P10" s="15">
        <f>0</f>
        <v>0</v>
      </c>
      <c r="Q10" s="20">
        <f>IF(ABS(L10-M10)&lt;0.000000000001,0,(O10-P10)/(L10-M10))</f>
        <v>0.0000012019385747790582</v>
      </c>
      <c r="R10" s="15">
        <f>O10-Q10*L10</f>
        <v>0.0024749999999999998</v>
      </c>
      <c r="S10" s="20">
        <f>Q10*COS(RADIANS(I10))</f>
        <v>0.0000011836784270868602</v>
      </c>
      <c r="T10" s="20">
        <f>Q10*SIN(RADIANS(I10))</f>
        <v>2.0871444317797096e-7</v>
      </c>
      <c r="U10" s="10">
        <f>SUMPRODUCT(C_alpha*C_fck*(1-(1-((($R10+$S10*Mesh_Y+$T10*Mesh_X))*(($R10+$S10*Mesh_Y+$T10*Mesh_X)&gt;0)*(($R10+$S10*Mesh_Y+$T10*Mesh_X)&lt;C_eco)+C_eco*(($R10+$S10*Mesh_Y+$T10*Mesh_X)&gt;=C_eco))/C_eco)^C_n)*((($R10+$S10*Mesh_Y+$T10*Mesh_X))&gt;0),Mesh_A)/1000</f>
        <v>28521.667833004558</v>
      </c>
      <c r="V10" s="10">
        <f>SUMPRODUCT(C_alpha*C_fck*(1-(1-((($R10+$S10*Mesh_Y+$T10*Mesh_X))*(($R10+$S10*Mesh_Y+$T10*Mesh_X)&gt;0)*(($R10+$S10*Mesh_Y+$T10*Mesh_X)&lt;C_eco)+C_eco*(($R10+$S10*Mesh_Y+$T10*Mesh_X)&gt;=C_eco))/C_eco)^C_n)*((($R10+$S10*Mesh_Y+$T10*Mesh_X))&gt;0),Mesh_A,Mesh_Y)/1000000</f>
        <v>20.3016776322652</v>
      </c>
      <c r="W10" s="10">
        <f>SUMPRODUCT(C_alpha*C_fck*(1-(1-((($R10+$S10*Mesh_Y+$T10*Mesh_X))*(($R10+$S10*Mesh_Y+$T10*Mesh_X)&gt;0)*(($R10+$S10*Mesh_Y+$T10*Mesh_X)&lt;C_eco)+C_eco*(($R10+$S10*Mesh_Y+$T10*Mesh_X)&gt;=C_eco))/C_eco)^C_n)*((($R10+$S10*Mesh_Y+$T10*Mesh_X))&gt;0),Mesh_A,Mesh_X)/1000000</f>
        <v>11.203189883164175</v>
      </c>
      <c r="X10" s="10">
        <f>(((MAX(MIN(S_1_Es*($R10+$S10*'Geometry'!$G$40+$T10*'Geometry'!$F$40),S_1_fy),-S_1_fy))-(IF(($R10+$S10*'Geometry'!$G$40+$T10*'Geometry'!$F$40)&gt;0,IF(($R10+$S10*'Geometry'!$G$40+$T10*'Geometry'!$F$40)&lt;=C_eco,C_alpha*C_fck*(1-(1-($R10+$S10*'Geometry'!$G$40+$T10*'Geometry'!$F$40)/C_eco)^C_n),C_alpha*C_fck),0)))*'Geometry'!$H$40+((MAX(MIN(S_1_Es*($R10+$S10*'Geometry'!$G$41+$T10*'Geometry'!$F$41),S_1_fy),-S_1_fy))-(IF(($R10+$S10*'Geometry'!$G$41+$T10*'Geometry'!$F$41)&gt;0,IF(($R10+$S10*'Geometry'!$G$41+$T10*'Geometry'!$F$41)&lt;=C_eco,C_alpha*C_fck*(1-(1-($R10+$S10*'Geometry'!$G$41+$T10*'Geometry'!$F$41)/C_eco)^C_n),C_alpha*C_fck),0)))*'Geometry'!$H$41+((MAX(MIN(S_1_Es*($R10+$S10*'Geometry'!$G$42+$T10*'Geometry'!$F$42),S_1_fy),-S_1_fy))-(IF(($R10+$S10*'Geometry'!$G$42+$T10*'Geometry'!$F$42)&gt;0,IF(($R10+$S10*'Geometry'!$G$42+$T10*'Geometry'!$F$42)&lt;=C_eco,C_alpha*C_fck*(1-(1-($R10+$S10*'Geometry'!$G$42+$T10*'Geometry'!$F$42)/C_eco)^C_n),C_alpha*C_fck),0)))*'Geometry'!$H$42+((MAX(MIN(S_1_Es*($R10+$S10*'Geometry'!$G$43+$T10*'Geometry'!$F$43),S_1_fy),-S_1_fy))-(IF(($R10+$S10*'Geometry'!$G$43+$T10*'Geometry'!$F$43)&gt;0,IF(($R10+$S10*'Geometry'!$G$43+$T10*'Geometry'!$F$43)&lt;=C_eco,C_alpha*C_fck*(1-(1-($R10+$S10*'Geometry'!$G$43+$T10*'Geometry'!$F$43)/C_eco)^C_n),C_alpha*C_fck),0)))*'Geometry'!$H$43+((MAX(MIN(S_1_Es*($R10+$S10*'Geometry'!$G$44+$T10*'Geometry'!$F$44),S_1_fy),-S_1_fy))-(IF(($R10+$S10*'Geometry'!$G$44+$T10*'Geometry'!$F$44)&gt;0,IF(($R10+$S10*'Geometry'!$G$44+$T10*'Geometry'!$F$44)&lt;=C_eco,C_alpha*C_fck*(1-(1-($R10+$S10*'Geometry'!$G$44+$T10*'Geometry'!$F$44)/C_eco)^C_n),C_alpha*C_fck),0)))*'Geometry'!$H$44+((MAX(MIN(S_1_Es*($R10+$S10*'Geometry'!$G$45+$T10*'Geometry'!$F$45),S_1_fy),-S_1_fy))-(IF(($R10+$S10*'Geometry'!$G$45+$T10*'Geometry'!$F$45)&gt;0,IF(($R10+$S10*'Geometry'!$G$45+$T10*'Geometry'!$F$45)&lt;=C_eco,C_alpha*C_fck*(1-(1-($R10+$S10*'Geometry'!$G$45+$T10*'Geometry'!$F$45)/C_eco)^C_n),C_alpha*C_fck),0)))*'Geometry'!$H$45+((MAX(MIN(S_1_Es*($R10+$S10*'Geometry'!$G$46+$T10*'Geometry'!$F$46),S_1_fy),-S_1_fy))-(IF(($R10+$S10*'Geometry'!$G$46+$T10*'Geometry'!$F$46)&gt;0,IF(($R10+$S10*'Geometry'!$G$46+$T10*'Geometry'!$F$46)&lt;=C_eco,C_alpha*C_fck*(1-(1-($R10+$S10*'Geometry'!$G$46+$T10*'Geometry'!$F$46)/C_eco)^C_n),C_alpha*C_fck),0)))*'Geometry'!$H$46+((MAX(MIN(S_1_Es*($R10+$S10*'Geometry'!$G$47+$T10*'Geometry'!$F$47),S_1_fy),-S_1_fy))-(IF(($R10+$S10*'Geometry'!$G$47+$T10*'Geometry'!$F$47)&gt;0,IF(($R10+$S10*'Geometry'!$G$47+$T10*'Geometry'!$F$47)&lt;=C_eco,C_alpha*C_fck*(1-(1-($R10+$S10*'Geometry'!$G$47+$T10*'Geometry'!$F$47)/C_eco)^C_n),C_alpha*C_fck),0)))*'Geometry'!$H$47+((MAX(MIN(S_1_Es*($R10+$S10*'Geometry'!$G$48+$T10*'Geometry'!$F$48),S_1_fy),-S_1_fy))-(IF(($R10+$S10*'Geometry'!$G$48+$T10*'Geometry'!$F$48)&gt;0,IF(($R10+$S10*'Geometry'!$G$48+$T10*'Geometry'!$F$48)&lt;=C_eco,C_alpha*C_fck*(1-(1-($R10+$S10*'Geometry'!$G$48+$T10*'Geometry'!$F$48)/C_eco)^C_n),C_alpha*C_fck),0)))*'Geometry'!$H$48+((MAX(MIN(S_1_Es*($R10+$S10*'Geometry'!$G$49+$T10*'Geometry'!$F$49),S_1_fy),-S_1_fy))-(IF(($R10+$S10*'Geometry'!$G$49+$T10*'Geometry'!$F$49)&gt;0,IF(($R10+$S10*'Geometry'!$G$49+$T10*'Geometry'!$F$49)&lt;=C_eco,C_alpha*C_fck*(1-(1-($R10+$S10*'Geometry'!$G$49+$T10*'Geometry'!$F$49)/C_eco)^C_n),C_alpha*C_fck),0)))*'Geometry'!$H$49+((MAX(MIN(S_1_Es*($R10+$S10*'Geometry'!$G$50+$T10*'Geometry'!$F$50),S_1_fy),-S_1_fy))-(IF(($R10+$S10*'Geometry'!$G$50+$T10*'Geometry'!$F$50)&gt;0,IF(($R10+$S10*'Geometry'!$G$50+$T10*'Geometry'!$F$50)&lt;=C_eco,C_alpha*C_fck*(1-(1-($R10+$S10*'Geometry'!$G$50+$T10*'Geometry'!$F$50)/C_eco)^C_n),C_alpha*C_fck),0)))*'Geometry'!$H$50+((MAX(MIN(S_1_Es*($R10+$S10*'Geometry'!$G$51+$T10*'Geometry'!$F$51),S_1_fy),-S_1_fy))-(IF(($R10+$S10*'Geometry'!$G$51+$T10*'Geometry'!$F$51)&gt;0,IF(($R10+$S10*'Geometry'!$G$51+$T10*'Geometry'!$F$51)&lt;=C_eco,C_alpha*C_fck*(1-(1-($R10+$S10*'Geometry'!$G$51+$T10*'Geometry'!$F$51)/C_eco)^C_n),C_alpha*C_fck),0)))*'Geometry'!$H$51+((MAX(MIN(S_1_Es*($R10+$S10*'Geometry'!$G$52+$T10*'Geometry'!$F$52),S_1_fy),-S_1_fy))-(IF(($R10+$S10*'Geometry'!$G$52+$T10*'Geometry'!$F$52)&gt;0,IF(($R10+$S10*'Geometry'!$G$52+$T10*'Geometry'!$F$52)&lt;=C_eco,C_alpha*C_fck*(1-(1-($R10+$S10*'Geometry'!$G$52+$T10*'Geometry'!$F$52)/C_eco)^C_n),C_alpha*C_fck),0)))*'Geometry'!$H$52+((MAX(MIN(S_1_Es*($R10+$S10*'Geometry'!$G$53+$T10*'Geometry'!$F$53),S_1_fy),-S_1_fy))-(IF(($R10+$S10*'Geometry'!$G$53+$T10*'Geometry'!$F$53)&gt;0,IF(($R10+$S10*'Geometry'!$G$53+$T10*'Geometry'!$F$53)&lt;=C_eco,C_alpha*C_fck*(1-(1-($R10+$S10*'Geometry'!$G$53+$T10*'Geometry'!$F$53)/C_eco)^C_n),C_alpha*C_fck),0)))*'Geometry'!$H$53+((MAX(MIN(S_1_Es*($R10+$S10*'Geometry'!$G$54+$T10*'Geometry'!$F$54),S_1_fy),-S_1_fy))-(IF(($R10+$S10*'Geometry'!$G$54+$T10*'Geometry'!$F$54)&gt;0,IF(($R10+$S10*'Geometry'!$G$54+$T10*'Geometry'!$F$54)&lt;=C_eco,C_alpha*C_fck*(1-(1-($R10+$S10*'Geometry'!$G$54+$T10*'Geometry'!$F$54)/C_eco)^C_n),C_alpha*C_fck),0)))*'Geometry'!$H$54+((MAX(MIN(S_1_Es*($R10+$S10*'Geometry'!$G$55+$T10*'Geometry'!$F$55),S_1_fy),-S_1_fy))-(IF(($R10+$S10*'Geometry'!$G$55+$T10*'Geometry'!$F$55)&gt;0,IF(($R10+$S10*'Geometry'!$G$55+$T10*'Geometry'!$F$55)&lt;=C_eco,C_alpha*C_fck*(1-(1-($R10+$S10*'Geometry'!$G$55+$T10*'Geometry'!$F$55)/C_eco)^C_n),C_alpha*C_fck),0)))*'Geometry'!$H$55+((MAX(MIN(S_1_Es*($R10+$S10*'Geometry'!$G$56+$T10*'Geometry'!$F$56),S_1_fy),-S_1_fy))-(IF(($R10+$S10*'Geometry'!$G$56+$T10*'Geometry'!$F$56)&gt;0,IF(($R10+$S10*'Geometry'!$G$56+$T10*'Geometry'!$F$56)&lt;=C_eco,C_alpha*C_fck*(1-(1-($R10+$S10*'Geometry'!$G$56+$T10*'Geometry'!$F$56)/C_eco)^C_n),C_alpha*C_fck),0)))*'Geometry'!$H$56+((MAX(MIN(S_1_Es*($R10+$S10*'Geometry'!$G$57+$T10*'Geometry'!$F$57),S_1_fy),-S_1_fy))-(IF(($R10+$S10*'Geometry'!$G$57+$T10*'Geometry'!$F$57)&gt;0,IF(($R10+$S10*'Geometry'!$G$57+$T10*'Geometry'!$F$57)&lt;=C_eco,C_alpha*C_fck*(1-(1-($R10+$S10*'Geometry'!$G$57+$T10*'Geometry'!$F$57)/C_eco)^C_n),C_alpha*C_fck),0)))*'Geometry'!$H$57)/1000</f>
        <v>5296.050507266124</v>
      </c>
      <c r="Y10" s="10">
        <f>(((MAX(MIN(S_1_Es*($R10+$S10*'Geometry'!$G$40+$T10*'Geometry'!$F$40),S_1_fy),-S_1_fy))-(IF(($R10+$S10*'Geometry'!$G$40+$T10*'Geometry'!$F$40)&gt;0,IF(($R10+$S10*'Geometry'!$G$40+$T10*'Geometry'!$F$40)&lt;=C_eco,C_alpha*C_fck*(1-(1-($R10+$S10*'Geometry'!$G$40+$T10*'Geometry'!$F$40)/C_eco)^C_n),C_alpha*C_fck),0)))*'Geometry'!$H$40*'Geometry'!$G$40+((MAX(MIN(S_1_Es*($R10+$S10*'Geometry'!$G$41+$T10*'Geometry'!$F$41),S_1_fy),-S_1_fy))-(IF(($R10+$S10*'Geometry'!$G$41+$T10*'Geometry'!$F$41)&gt;0,IF(($R10+$S10*'Geometry'!$G$41+$T10*'Geometry'!$F$41)&lt;=C_eco,C_alpha*C_fck*(1-(1-($R10+$S10*'Geometry'!$G$41+$T10*'Geometry'!$F$41)/C_eco)^C_n),C_alpha*C_fck),0)))*'Geometry'!$H$41*'Geometry'!$G$41+((MAX(MIN(S_1_Es*($R10+$S10*'Geometry'!$G$42+$T10*'Geometry'!$F$42),S_1_fy),-S_1_fy))-(IF(($R10+$S10*'Geometry'!$G$42+$T10*'Geometry'!$F$42)&gt;0,IF(($R10+$S10*'Geometry'!$G$42+$T10*'Geometry'!$F$42)&lt;=C_eco,C_alpha*C_fck*(1-(1-($R10+$S10*'Geometry'!$G$42+$T10*'Geometry'!$F$42)/C_eco)^C_n),C_alpha*C_fck),0)))*'Geometry'!$H$42*'Geometry'!$G$42+((MAX(MIN(S_1_Es*($R10+$S10*'Geometry'!$G$43+$T10*'Geometry'!$F$43),S_1_fy),-S_1_fy))-(IF(($R10+$S10*'Geometry'!$G$43+$T10*'Geometry'!$F$43)&gt;0,IF(($R10+$S10*'Geometry'!$G$43+$T10*'Geometry'!$F$43)&lt;=C_eco,C_alpha*C_fck*(1-(1-($R10+$S10*'Geometry'!$G$43+$T10*'Geometry'!$F$43)/C_eco)^C_n),C_alpha*C_fck),0)))*'Geometry'!$H$43*'Geometry'!$G$43+((MAX(MIN(S_1_Es*($R10+$S10*'Geometry'!$G$44+$T10*'Geometry'!$F$44),S_1_fy),-S_1_fy))-(IF(($R10+$S10*'Geometry'!$G$44+$T10*'Geometry'!$F$44)&gt;0,IF(($R10+$S10*'Geometry'!$G$44+$T10*'Geometry'!$F$44)&lt;=C_eco,C_alpha*C_fck*(1-(1-($R10+$S10*'Geometry'!$G$44+$T10*'Geometry'!$F$44)/C_eco)^C_n),C_alpha*C_fck),0)))*'Geometry'!$H$44*'Geometry'!$G$44+((MAX(MIN(S_1_Es*($R10+$S10*'Geometry'!$G$45+$T10*'Geometry'!$F$45),S_1_fy),-S_1_fy))-(IF(($R10+$S10*'Geometry'!$G$45+$T10*'Geometry'!$F$45)&gt;0,IF(($R10+$S10*'Geometry'!$G$45+$T10*'Geometry'!$F$45)&lt;=C_eco,C_alpha*C_fck*(1-(1-($R10+$S10*'Geometry'!$G$45+$T10*'Geometry'!$F$45)/C_eco)^C_n),C_alpha*C_fck),0)))*'Geometry'!$H$45*'Geometry'!$G$45+((MAX(MIN(S_1_Es*($R10+$S10*'Geometry'!$G$46+$T10*'Geometry'!$F$46),S_1_fy),-S_1_fy))-(IF(($R10+$S10*'Geometry'!$G$46+$T10*'Geometry'!$F$46)&gt;0,IF(($R10+$S10*'Geometry'!$G$46+$T10*'Geometry'!$F$46)&lt;=C_eco,C_alpha*C_fck*(1-(1-($R10+$S10*'Geometry'!$G$46+$T10*'Geometry'!$F$46)/C_eco)^C_n),C_alpha*C_fck),0)))*'Geometry'!$H$46*'Geometry'!$G$46+((MAX(MIN(S_1_Es*($R10+$S10*'Geometry'!$G$47+$T10*'Geometry'!$F$47),S_1_fy),-S_1_fy))-(IF(($R10+$S10*'Geometry'!$G$47+$T10*'Geometry'!$F$47)&gt;0,IF(($R10+$S10*'Geometry'!$G$47+$T10*'Geometry'!$F$47)&lt;=C_eco,C_alpha*C_fck*(1-(1-($R10+$S10*'Geometry'!$G$47+$T10*'Geometry'!$F$47)/C_eco)^C_n),C_alpha*C_fck),0)))*'Geometry'!$H$47*'Geometry'!$G$47+((MAX(MIN(S_1_Es*($R10+$S10*'Geometry'!$G$48+$T10*'Geometry'!$F$48),S_1_fy),-S_1_fy))-(IF(($R10+$S10*'Geometry'!$G$48+$T10*'Geometry'!$F$48)&gt;0,IF(($R10+$S10*'Geometry'!$G$48+$T10*'Geometry'!$F$48)&lt;=C_eco,C_alpha*C_fck*(1-(1-($R10+$S10*'Geometry'!$G$48+$T10*'Geometry'!$F$48)/C_eco)^C_n),C_alpha*C_fck),0)))*'Geometry'!$H$48*'Geometry'!$G$48+((MAX(MIN(S_1_Es*($R10+$S10*'Geometry'!$G$49+$T10*'Geometry'!$F$49),S_1_fy),-S_1_fy))-(IF(($R10+$S10*'Geometry'!$G$49+$T10*'Geometry'!$F$49)&gt;0,IF(($R10+$S10*'Geometry'!$G$49+$T10*'Geometry'!$F$49)&lt;=C_eco,C_alpha*C_fck*(1-(1-($R10+$S10*'Geometry'!$G$49+$T10*'Geometry'!$F$49)/C_eco)^C_n),C_alpha*C_fck),0)))*'Geometry'!$H$49*'Geometry'!$G$49+((MAX(MIN(S_1_Es*($R10+$S10*'Geometry'!$G$50+$T10*'Geometry'!$F$50),S_1_fy),-S_1_fy))-(IF(($R10+$S10*'Geometry'!$G$50+$T10*'Geometry'!$F$50)&gt;0,IF(($R10+$S10*'Geometry'!$G$50+$T10*'Geometry'!$F$50)&lt;=C_eco,C_alpha*C_fck*(1-(1-($R10+$S10*'Geometry'!$G$50+$T10*'Geometry'!$F$50)/C_eco)^C_n),C_alpha*C_fck),0)))*'Geometry'!$H$50*'Geometry'!$G$50+((MAX(MIN(S_1_Es*($R10+$S10*'Geometry'!$G$51+$T10*'Geometry'!$F$51),S_1_fy),-S_1_fy))-(IF(($R10+$S10*'Geometry'!$G$51+$T10*'Geometry'!$F$51)&gt;0,IF(($R10+$S10*'Geometry'!$G$51+$T10*'Geometry'!$F$51)&lt;=C_eco,C_alpha*C_fck*(1-(1-($R10+$S10*'Geometry'!$G$51+$T10*'Geometry'!$F$51)/C_eco)^C_n),C_alpha*C_fck),0)))*'Geometry'!$H$51*'Geometry'!$G$51+((MAX(MIN(S_1_Es*($R10+$S10*'Geometry'!$G$52+$T10*'Geometry'!$F$52),S_1_fy),-S_1_fy))-(IF(($R10+$S10*'Geometry'!$G$52+$T10*'Geometry'!$F$52)&gt;0,IF(($R10+$S10*'Geometry'!$G$52+$T10*'Geometry'!$F$52)&lt;=C_eco,C_alpha*C_fck*(1-(1-($R10+$S10*'Geometry'!$G$52+$T10*'Geometry'!$F$52)/C_eco)^C_n),C_alpha*C_fck),0)))*'Geometry'!$H$52*'Geometry'!$G$52+((MAX(MIN(S_1_Es*($R10+$S10*'Geometry'!$G$53+$T10*'Geometry'!$F$53),S_1_fy),-S_1_fy))-(IF(($R10+$S10*'Geometry'!$G$53+$T10*'Geometry'!$F$53)&gt;0,IF(($R10+$S10*'Geometry'!$G$53+$T10*'Geometry'!$F$53)&lt;=C_eco,C_alpha*C_fck*(1-(1-($R10+$S10*'Geometry'!$G$53+$T10*'Geometry'!$F$53)/C_eco)^C_n),C_alpha*C_fck),0)))*'Geometry'!$H$53*'Geometry'!$G$53+((MAX(MIN(S_1_Es*($R10+$S10*'Geometry'!$G$54+$T10*'Geometry'!$F$54),S_1_fy),-S_1_fy))-(IF(($R10+$S10*'Geometry'!$G$54+$T10*'Geometry'!$F$54)&gt;0,IF(($R10+$S10*'Geometry'!$G$54+$T10*'Geometry'!$F$54)&lt;=C_eco,C_alpha*C_fck*(1-(1-($R10+$S10*'Geometry'!$G$54+$T10*'Geometry'!$F$54)/C_eco)^C_n),C_alpha*C_fck),0)))*'Geometry'!$H$54*'Geometry'!$G$54+((MAX(MIN(S_1_Es*($R10+$S10*'Geometry'!$G$55+$T10*'Geometry'!$F$55),S_1_fy),-S_1_fy))-(IF(($R10+$S10*'Geometry'!$G$55+$T10*'Geometry'!$F$55)&gt;0,IF(($R10+$S10*'Geometry'!$G$55+$T10*'Geometry'!$F$55)&lt;=C_eco,C_alpha*C_fck*(1-(1-($R10+$S10*'Geometry'!$G$55+$T10*'Geometry'!$F$55)/C_eco)^C_n),C_alpha*C_fck),0)))*'Geometry'!$H$55*'Geometry'!$G$55+((MAX(MIN(S_1_Es*($R10+$S10*'Geometry'!$G$56+$T10*'Geometry'!$F$56),S_1_fy),-S_1_fy))-(IF(($R10+$S10*'Geometry'!$G$56+$T10*'Geometry'!$F$56)&gt;0,IF(($R10+$S10*'Geometry'!$G$56+$T10*'Geometry'!$F$56)&lt;=C_eco,C_alpha*C_fck*(1-(1-($R10+$S10*'Geometry'!$G$56+$T10*'Geometry'!$F$56)/C_eco)^C_n),C_alpha*C_fck),0)))*'Geometry'!$H$56*'Geometry'!$G$56+((MAX(MIN(S_1_Es*($R10+$S10*'Geometry'!$G$57+$T10*'Geometry'!$F$57),S_1_fy),-S_1_fy))-(IF(($R10+$S10*'Geometry'!$G$57+$T10*'Geometry'!$F$57)&gt;0,IF(($R10+$S10*'Geometry'!$G$57+$T10*'Geometry'!$F$57)&lt;=C_eco,C_alpha*C_fck*(1-(1-($R10+$S10*'Geometry'!$G$57+$T10*'Geometry'!$F$57)/C_eco)^C_n),C_alpha*C_fck),0)))*'Geometry'!$H$57*'Geometry'!$G$57)/1000000</f>
        <v>65.63877317396017</v>
      </c>
      <c r="Z10" s="10">
        <f>(((MAX(MIN(S_1_Es*($R10+$S10*'Geometry'!$G$40+$T10*'Geometry'!$F$40),S_1_fy),-S_1_fy))-(IF(($R10+$S10*'Geometry'!$G$40+$T10*'Geometry'!$F$40)&gt;0,IF(($R10+$S10*'Geometry'!$G$40+$T10*'Geometry'!$F$40)&lt;=C_eco,C_alpha*C_fck*(1-(1-($R10+$S10*'Geometry'!$G$40+$T10*'Geometry'!$F$40)/C_eco)^C_n),C_alpha*C_fck),0)))*'Geometry'!$H$40*'Geometry'!$F$40+((MAX(MIN(S_1_Es*($R10+$S10*'Geometry'!$G$41+$T10*'Geometry'!$F$41),S_1_fy),-S_1_fy))-(IF(($R10+$S10*'Geometry'!$G$41+$T10*'Geometry'!$F$41)&gt;0,IF(($R10+$S10*'Geometry'!$G$41+$T10*'Geometry'!$F$41)&lt;=C_eco,C_alpha*C_fck*(1-(1-($R10+$S10*'Geometry'!$G$41+$T10*'Geometry'!$F$41)/C_eco)^C_n),C_alpha*C_fck),0)))*'Geometry'!$H$41*'Geometry'!$F$41+((MAX(MIN(S_1_Es*($R10+$S10*'Geometry'!$G$42+$T10*'Geometry'!$F$42),S_1_fy),-S_1_fy))-(IF(($R10+$S10*'Geometry'!$G$42+$T10*'Geometry'!$F$42)&gt;0,IF(($R10+$S10*'Geometry'!$G$42+$T10*'Geometry'!$F$42)&lt;=C_eco,C_alpha*C_fck*(1-(1-($R10+$S10*'Geometry'!$G$42+$T10*'Geometry'!$F$42)/C_eco)^C_n),C_alpha*C_fck),0)))*'Geometry'!$H$42*'Geometry'!$F$42+((MAX(MIN(S_1_Es*($R10+$S10*'Geometry'!$G$43+$T10*'Geometry'!$F$43),S_1_fy),-S_1_fy))-(IF(($R10+$S10*'Geometry'!$G$43+$T10*'Geometry'!$F$43)&gt;0,IF(($R10+$S10*'Geometry'!$G$43+$T10*'Geometry'!$F$43)&lt;=C_eco,C_alpha*C_fck*(1-(1-($R10+$S10*'Geometry'!$G$43+$T10*'Geometry'!$F$43)/C_eco)^C_n),C_alpha*C_fck),0)))*'Geometry'!$H$43*'Geometry'!$F$43+((MAX(MIN(S_1_Es*($R10+$S10*'Geometry'!$G$44+$T10*'Geometry'!$F$44),S_1_fy),-S_1_fy))-(IF(($R10+$S10*'Geometry'!$G$44+$T10*'Geometry'!$F$44)&gt;0,IF(($R10+$S10*'Geometry'!$G$44+$T10*'Geometry'!$F$44)&lt;=C_eco,C_alpha*C_fck*(1-(1-($R10+$S10*'Geometry'!$G$44+$T10*'Geometry'!$F$44)/C_eco)^C_n),C_alpha*C_fck),0)))*'Geometry'!$H$44*'Geometry'!$F$44+((MAX(MIN(S_1_Es*($R10+$S10*'Geometry'!$G$45+$T10*'Geometry'!$F$45),S_1_fy),-S_1_fy))-(IF(($R10+$S10*'Geometry'!$G$45+$T10*'Geometry'!$F$45)&gt;0,IF(($R10+$S10*'Geometry'!$G$45+$T10*'Geometry'!$F$45)&lt;=C_eco,C_alpha*C_fck*(1-(1-($R10+$S10*'Geometry'!$G$45+$T10*'Geometry'!$F$45)/C_eco)^C_n),C_alpha*C_fck),0)))*'Geometry'!$H$45*'Geometry'!$F$45+((MAX(MIN(S_1_Es*($R10+$S10*'Geometry'!$G$46+$T10*'Geometry'!$F$46),S_1_fy),-S_1_fy))-(IF(($R10+$S10*'Geometry'!$G$46+$T10*'Geometry'!$F$46)&gt;0,IF(($R10+$S10*'Geometry'!$G$46+$T10*'Geometry'!$F$46)&lt;=C_eco,C_alpha*C_fck*(1-(1-($R10+$S10*'Geometry'!$G$46+$T10*'Geometry'!$F$46)/C_eco)^C_n),C_alpha*C_fck),0)))*'Geometry'!$H$46*'Geometry'!$F$46+((MAX(MIN(S_1_Es*($R10+$S10*'Geometry'!$G$47+$T10*'Geometry'!$F$47),S_1_fy),-S_1_fy))-(IF(($R10+$S10*'Geometry'!$G$47+$T10*'Geometry'!$F$47)&gt;0,IF(($R10+$S10*'Geometry'!$G$47+$T10*'Geometry'!$F$47)&lt;=C_eco,C_alpha*C_fck*(1-(1-($R10+$S10*'Geometry'!$G$47+$T10*'Geometry'!$F$47)/C_eco)^C_n),C_alpha*C_fck),0)))*'Geometry'!$H$47*'Geometry'!$F$47+((MAX(MIN(S_1_Es*($R10+$S10*'Geometry'!$G$48+$T10*'Geometry'!$F$48),S_1_fy),-S_1_fy))-(IF(($R10+$S10*'Geometry'!$G$48+$T10*'Geometry'!$F$48)&gt;0,IF(($R10+$S10*'Geometry'!$G$48+$T10*'Geometry'!$F$48)&lt;=C_eco,C_alpha*C_fck*(1-(1-($R10+$S10*'Geometry'!$G$48+$T10*'Geometry'!$F$48)/C_eco)^C_n),C_alpha*C_fck),0)))*'Geometry'!$H$48*'Geometry'!$F$48+((MAX(MIN(S_1_Es*($R10+$S10*'Geometry'!$G$49+$T10*'Geometry'!$F$49),S_1_fy),-S_1_fy))-(IF(($R10+$S10*'Geometry'!$G$49+$T10*'Geometry'!$F$49)&gt;0,IF(($R10+$S10*'Geometry'!$G$49+$T10*'Geometry'!$F$49)&lt;=C_eco,C_alpha*C_fck*(1-(1-($R10+$S10*'Geometry'!$G$49+$T10*'Geometry'!$F$49)/C_eco)^C_n),C_alpha*C_fck),0)))*'Geometry'!$H$49*'Geometry'!$F$49+((MAX(MIN(S_1_Es*($R10+$S10*'Geometry'!$G$50+$T10*'Geometry'!$F$50),S_1_fy),-S_1_fy))-(IF(($R10+$S10*'Geometry'!$G$50+$T10*'Geometry'!$F$50)&gt;0,IF(($R10+$S10*'Geometry'!$G$50+$T10*'Geometry'!$F$50)&lt;=C_eco,C_alpha*C_fck*(1-(1-($R10+$S10*'Geometry'!$G$50+$T10*'Geometry'!$F$50)/C_eco)^C_n),C_alpha*C_fck),0)))*'Geometry'!$H$50*'Geometry'!$F$50+((MAX(MIN(S_1_Es*($R10+$S10*'Geometry'!$G$51+$T10*'Geometry'!$F$51),S_1_fy),-S_1_fy))-(IF(($R10+$S10*'Geometry'!$G$51+$T10*'Geometry'!$F$51)&gt;0,IF(($R10+$S10*'Geometry'!$G$51+$T10*'Geometry'!$F$51)&lt;=C_eco,C_alpha*C_fck*(1-(1-($R10+$S10*'Geometry'!$G$51+$T10*'Geometry'!$F$51)/C_eco)^C_n),C_alpha*C_fck),0)))*'Geometry'!$H$51*'Geometry'!$F$51+((MAX(MIN(S_1_Es*($R10+$S10*'Geometry'!$G$52+$T10*'Geometry'!$F$52),S_1_fy),-S_1_fy))-(IF(($R10+$S10*'Geometry'!$G$52+$T10*'Geometry'!$F$52)&gt;0,IF(($R10+$S10*'Geometry'!$G$52+$T10*'Geometry'!$F$52)&lt;=C_eco,C_alpha*C_fck*(1-(1-($R10+$S10*'Geometry'!$G$52+$T10*'Geometry'!$F$52)/C_eco)^C_n),C_alpha*C_fck),0)))*'Geometry'!$H$52*'Geometry'!$F$52+((MAX(MIN(S_1_Es*($R10+$S10*'Geometry'!$G$53+$T10*'Geometry'!$F$53),S_1_fy),-S_1_fy))-(IF(($R10+$S10*'Geometry'!$G$53+$T10*'Geometry'!$F$53)&gt;0,IF(($R10+$S10*'Geometry'!$G$53+$T10*'Geometry'!$F$53)&lt;=C_eco,C_alpha*C_fck*(1-(1-($R10+$S10*'Geometry'!$G$53+$T10*'Geometry'!$F$53)/C_eco)^C_n),C_alpha*C_fck),0)))*'Geometry'!$H$53*'Geometry'!$F$53+((MAX(MIN(S_1_Es*($R10+$S10*'Geometry'!$G$54+$T10*'Geometry'!$F$54),S_1_fy),-S_1_fy))-(IF(($R10+$S10*'Geometry'!$G$54+$T10*'Geometry'!$F$54)&gt;0,IF(($R10+$S10*'Geometry'!$G$54+$T10*'Geometry'!$F$54)&lt;=C_eco,C_alpha*C_fck*(1-(1-($R10+$S10*'Geometry'!$G$54+$T10*'Geometry'!$F$54)/C_eco)^C_n),C_alpha*C_fck),0)))*'Geometry'!$H$54*'Geometry'!$F$54+((MAX(MIN(S_1_Es*($R10+$S10*'Geometry'!$G$55+$T10*'Geometry'!$F$55),S_1_fy),-S_1_fy))-(IF(($R10+$S10*'Geometry'!$G$55+$T10*'Geometry'!$F$55)&gt;0,IF(($R10+$S10*'Geometry'!$G$55+$T10*'Geometry'!$F$55)&lt;=C_eco,C_alpha*C_fck*(1-(1-($R10+$S10*'Geometry'!$G$55+$T10*'Geometry'!$F$55)/C_eco)^C_n),C_alpha*C_fck),0)))*'Geometry'!$H$55*'Geometry'!$F$55+((MAX(MIN(S_1_Es*($R10+$S10*'Geometry'!$G$56+$T10*'Geometry'!$F$56),S_1_fy),-S_1_fy))-(IF(($R10+$S10*'Geometry'!$G$56+$T10*'Geometry'!$F$56)&gt;0,IF(($R10+$S10*'Geometry'!$G$56+$T10*'Geometry'!$F$56)&lt;=C_eco,C_alpha*C_fck*(1-(1-($R10+$S10*'Geometry'!$G$56+$T10*'Geometry'!$F$56)/C_eco)^C_n),C_alpha*C_fck),0)))*'Geometry'!$H$56*'Geometry'!$F$56+((MAX(MIN(S_1_Es*($R10+$S10*'Geometry'!$G$57+$T10*'Geometry'!$F$57),S_1_fy),-S_1_fy))-(IF(($R10+$S10*'Geometry'!$G$57+$T10*'Geometry'!$F$57)&gt;0,IF(($R10+$S10*'Geometry'!$G$57+$T10*'Geometry'!$F$57)&lt;=C_eco,C_alpha*C_fck*(1-(1-($R10+$S10*'Geometry'!$G$57+$T10*'Geometry'!$F$57)/C_eco)^C_n),C_alpha*C_fck),0)))*'Geometry'!$H$57*'Geometry'!$F$57)/1000000</f>
        <v>15.70605375270799</v>
      </c>
      <c r="AA10" s="10">
        <f>U10+X10</f>
        <v>33817.71834027068</v>
      </c>
      <c r="AB10" s="10">
        <f>V10+Y10</f>
        <v>85.94045080622537</v>
      </c>
      <c r="AC10" s="10">
        <f>W10+Z10</f>
        <v>26.909243635872166</v>
      </c>
      <c r="AD10" s="7">
        <v>0.5225173809091994</v>
      </c>
      <c r="AE10" s="7">
        <v>7.653455210070551</v>
      </c>
      <c r="AF10" s="10">
        <f>AA10*AD10</f>
        <v>17670.345615483235</v>
      </c>
      <c r="AG10" s="10">
        <f>AB10*AE10</f>
        <v>667.0745870395239</v>
      </c>
      <c r="AH10" s="10">
        <f>AC10*AE10</f>
        <v>176.14112411462082</v>
      </c>
      <c r="AI10" s="7">
        <v>17670.345615483235</v>
      </c>
      <c r="AJ10" s="7">
        <v>667.0745870395239</v>
      </c>
      <c r="AK10" s="7">
        <v>176.14112411462082</v>
      </c>
      <c r="AL10" s="15">
        <f>AF10-AI10</f>
        <v>0</v>
      </c>
      <c r="AM10" s="15">
        <f>SQRT((AG10-AJ10)^2+(AH10-AK10)^2)</f>
        <v>0</v>
      </c>
      <c r="AN10" s="7" t="s">
        <v>189</v>
      </c>
      <c r="AO10" s="7">
        <v>33817.71834027068</v>
      </c>
      <c r="AP10" s="7">
        <v>85.94045080622537</v>
      </c>
      <c r="AQ10" s="7">
        <v>26.909243635872166</v>
      </c>
      <c r="AR10" s="7">
        <v>28521.667833004558</v>
      </c>
      <c r="AS10" s="7">
        <v>20.3016776322652</v>
      </c>
      <c r="AT10" s="7">
        <v>11.203189883164175</v>
      </c>
      <c r="AU10" s="7">
        <v>5296.050507266124</v>
      </c>
      <c r="AV10" s="7">
        <v>65.63877317396017</v>
      </c>
      <c r="AW10" s="7">
        <v>15.70605375270799</v>
      </c>
    </row>
    <row r="11" spans="1:49" x14ac:dyDescent="0.25">
      <c r="A11">
        <v>4</v>
      </c>
      <c r="B11" t="s">
        <v>195</v>
      </c>
      <c r="C11" s="21">
        <f>$AF$11</f>
        <v>17670.345615483235</v>
      </c>
      <c r="D11" s="22">
        <f>$AG$11*COS(RADIANS($C$5))+$AH$11*SIN(RADIANS($C$5))</f>
        <v>1034.899873843833</v>
      </c>
      <c r="G11" s="7" t="s">
        <v>196</v>
      </c>
      <c r="H11" s="7" t="s">
        <v>195</v>
      </c>
      <c r="I11" s="12">
        <v>10</v>
      </c>
      <c r="J11" s="7" t="s">
        <v>192</v>
      </c>
      <c r="K11" s="12">
        <v>1.5</v>
      </c>
      <c r="L11" s="10">
        <f>MAX(('Geometry'!$G$13*COS(RADIANS(I11))+'Geometry'!$F$13*SIN(RADIANS(I11))),('Geometry'!$G$14*COS(RADIANS(I11))+'Geometry'!$F$14*SIN(RADIANS(I11))),('Geometry'!$G$15*COS(RADIANS(I11))+'Geometry'!$F$15*SIN(RADIANS(I11))),('Geometry'!$G$16*COS(RADIANS(I11))+'Geometry'!$F$16*SIN(RADIANS(I11))),('Geometry'!$G$17*COS(RADIANS(I11))+'Geometry'!$F$17*SIN(RADIANS(I11))),('Geometry'!$G$18*COS(RADIANS(I11))+'Geometry'!$F$18*SIN(RADIANS(I11))),('Geometry'!$G$19*COS(RADIANS(I11))+'Geometry'!$F$19*SIN(RADIANS(I11))),('Geometry'!$G$20*COS(RADIANS(I11))+'Geometry'!$F$20*SIN(RADIANS(I11))))</f>
        <v>686.3911495241364</v>
      </c>
      <c r="M11" s="10">
        <f>L11-K11*N11</f>
        <v>-1372.7822990482728</v>
      </c>
      <c r="N11" s="10">
        <f>L11-MIN(('Geometry'!$G$13*COS(RADIANS(I11))+'Geometry'!$F$13*SIN(RADIANS(I11))),('Geometry'!$G$14*COS(RADIANS(I11))+'Geometry'!$F$14*SIN(RADIANS(I11))),('Geometry'!$G$15*COS(RADIANS(I11))+'Geometry'!$F$15*SIN(RADIANS(I11))),('Geometry'!$G$16*COS(RADIANS(I11))+'Geometry'!$F$16*SIN(RADIANS(I11))),('Geometry'!$G$17*COS(RADIANS(I11))+'Geometry'!$F$17*SIN(RADIANS(I11))),('Geometry'!$G$18*COS(RADIANS(I11))+'Geometry'!$F$18*SIN(RADIANS(I11))),('Geometry'!$G$19*COS(RADIANS(I11))+'Geometry'!$F$19*SIN(RADIANS(I11))),('Geometry'!$G$20*COS(RADIANS(I11))+'Geometry'!$F$20*SIN(RADIANS(I11))))</f>
        <v>1372.7822990482728</v>
      </c>
      <c r="O11" s="15">
        <f>C_ecu</f>
        <v>0.0032999999999999995</v>
      </c>
      <c r="P11" s="15">
        <f>0</f>
        <v>0</v>
      </c>
      <c r="Q11" s="20">
        <f>IF(ABS(L11-M11)&lt;0.000000000001,0,(O11-P11)/(L11-M11))</f>
        <v>0.0000016025847663720776</v>
      </c>
      <c r="R11" s="15">
        <f>O11-Q11*L11</f>
        <v>0.0021999999999999997</v>
      </c>
      <c r="S11" s="20">
        <f>Q11*COS(RADIANS(I11))</f>
        <v>0.0000015782379027824802</v>
      </c>
      <c r="T11" s="20">
        <f>Q11*SIN(RADIANS(I11))</f>
        <v>2.782859242372946e-7</v>
      </c>
      <c r="U11" s="10">
        <f>SUMPRODUCT(C_alpha*C_fck*(1-(1-((($R11+$S11*Mesh_Y+$T11*Mesh_X))*(($R11+$S11*Mesh_Y+$T11*Mesh_X)&gt;0)*(($R11+$S11*Mesh_Y+$T11*Mesh_X)&lt;C_eco)+C_eco*(($R11+$S11*Mesh_Y+$T11*Mesh_X)&gt;=C_eco))/C_eco)^C_n)*((($R11+$S11*Mesh_Y+$T11*Mesh_X))&gt;0),Mesh_A)/1000</f>
        <v>27849.460985511538</v>
      </c>
      <c r="V11" s="10">
        <f>SUMPRODUCT(C_alpha*C_fck*(1-(1-((($R11+$S11*Mesh_Y+$T11*Mesh_X))*(($R11+$S11*Mesh_Y+$T11*Mesh_X)&gt;0)*(($R11+$S11*Mesh_Y+$T11*Mesh_X)&lt;C_eco)+C_eco*(($R11+$S11*Mesh_Y+$T11*Mesh_X)&gt;=C_eco))/C_eco)^C_n)*((($R11+$S11*Mesh_Y+$T11*Mesh_X))&gt;0),Mesh_A,Mesh_Y)/1000000</f>
        <v>341.27672713480126</v>
      </c>
      <c r="W11" s="10">
        <f>SUMPRODUCT(C_alpha*C_fck*(1-(1-((($R11+$S11*Mesh_Y+$T11*Mesh_X))*(($R11+$S11*Mesh_Y+$T11*Mesh_X)&gt;0)*(($R11+$S11*Mesh_Y+$T11*Mesh_X)&lt;C_eco)+C_eco*(($R11+$S11*Mesh_Y+$T11*Mesh_X)&gt;=C_eco))/C_eco)^C_n)*((($R11+$S11*Mesh_Y+$T11*Mesh_X))&gt;0),Mesh_A,Mesh_X)/1000000</f>
        <v>117.49461251621936</v>
      </c>
      <c r="X11" s="10">
        <f>(((MAX(MIN(S_1_Es*($R11+$S11*'Geometry'!$G$40+$T11*'Geometry'!$F$40),S_1_fy),-S_1_fy))-(IF(($R11+$S11*'Geometry'!$G$40+$T11*'Geometry'!$F$40)&gt;0,IF(($R11+$S11*'Geometry'!$G$40+$T11*'Geometry'!$F$40)&lt;=C_eco,C_alpha*C_fck*(1-(1-($R11+$S11*'Geometry'!$G$40+$T11*'Geometry'!$F$40)/C_eco)^C_n),C_alpha*C_fck),0)))*'Geometry'!$H$40+((MAX(MIN(S_1_Es*($R11+$S11*'Geometry'!$G$41+$T11*'Geometry'!$F$41),S_1_fy),-S_1_fy))-(IF(($R11+$S11*'Geometry'!$G$41+$T11*'Geometry'!$F$41)&gt;0,IF(($R11+$S11*'Geometry'!$G$41+$T11*'Geometry'!$F$41)&lt;=C_eco,C_alpha*C_fck*(1-(1-($R11+$S11*'Geometry'!$G$41+$T11*'Geometry'!$F$41)/C_eco)^C_n),C_alpha*C_fck),0)))*'Geometry'!$H$41+((MAX(MIN(S_1_Es*($R11+$S11*'Geometry'!$G$42+$T11*'Geometry'!$F$42),S_1_fy),-S_1_fy))-(IF(($R11+$S11*'Geometry'!$G$42+$T11*'Geometry'!$F$42)&gt;0,IF(($R11+$S11*'Geometry'!$G$42+$T11*'Geometry'!$F$42)&lt;=C_eco,C_alpha*C_fck*(1-(1-($R11+$S11*'Geometry'!$G$42+$T11*'Geometry'!$F$42)/C_eco)^C_n),C_alpha*C_fck),0)))*'Geometry'!$H$42+((MAX(MIN(S_1_Es*($R11+$S11*'Geometry'!$G$43+$T11*'Geometry'!$F$43),S_1_fy),-S_1_fy))-(IF(($R11+$S11*'Geometry'!$G$43+$T11*'Geometry'!$F$43)&gt;0,IF(($R11+$S11*'Geometry'!$G$43+$T11*'Geometry'!$F$43)&lt;=C_eco,C_alpha*C_fck*(1-(1-($R11+$S11*'Geometry'!$G$43+$T11*'Geometry'!$F$43)/C_eco)^C_n),C_alpha*C_fck),0)))*'Geometry'!$H$43+((MAX(MIN(S_1_Es*($R11+$S11*'Geometry'!$G$44+$T11*'Geometry'!$F$44),S_1_fy),-S_1_fy))-(IF(($R11+$S11*'Geometry'!$G$44+$T11*'Geometry'!$F$44)&gt;0,IF(($R11+$S11*'Geometry'!$G$44+$T11*'Geometry'!$F$44)&lt;=C_eco,C_alpha*C_fck*(1-(1-($R11+$S11*'Geometry'!$G$44+$T11*'Geometry'!$F$44)/C_eco)^C_n),C_alpha*C_fck),0)))*'Geometry'!$H$44+((MAX(MIN(S_1_Es*($R11+$S11*'Geometry'!$G$45+$T11*'Geometry'!$F$45),S_1_fy),-S_1_fy))-(IF(($R11+$S11*'Geometry'!$G$45+$T11*'Geometry'!$F$45)&gt;0,IF(($R11+$S11*'Geometry'!$G$45+$T11*'Geometry'!$F$45)&lt;=C_eco,C_alpha*C_fck*(1-(1-($R11+$S11*'Geometry'!$G$45+$T11*'Geometry'!$F$45)/C_eco)^C_n),C_alpha*C_fck),0)))*'Geometry'!$H$45+((MAX(MIN(S_1_Es*($R11+$S11*'Geometry'!$G$46+$T11*'Geometry'!$F$46),S_1_fy),-S_1_fy))-(IF(($R11+$S11*'Geometry'!$G$46+$T11*'Geometry'!$F$46)&gt;0,IF(($R11+$S11*'Geometry'!$G$46+$T11*'Geometry'!$F$46)&lt;=C_eco,C_alpha*C_fck*(1-(1-($R11+$S11*'Geometry'!$G$46+$T11*'Geometry'!$F$46)/C_eco)^C_n),C_alpha*C_fck),0)))*'Geometry'!$H$46+((MAX(MIN(S_1_Es*($R11+$S11*'Geometry'!$G$47+$T11*'Geometry'!$F$47),S_1_fy),-S_1_fy))-(IF(($R11+$S11*'Geometry'!$G$47+$T11*'Geometry'!$F$47)&gt;0,IF(($R11+$S11*'Geometry'!$G$47+$T11*'Geometry'!$F$47)&lt;=C_eco,C_alpha*C_fck*(1-(1-($R11+$S11*'Geometry'!$G$47+$T11*'Geometry'!$F$47)/C_eco)^C_n),C_alpha*C_fck),0)))*'Geometry'!$H$47+((MAX(MIN(S_1_Es*($R11+$S11*'Geometry'!$G$48+$T11*'Geometry'!$F$48),S_1_fy),-S_1_fy))-(IF(($R11+$S11*'Geometry'!$G$48+$T11*'Geometry'!$F$48)&gt;0,IF(($R11+$S11*'Geometry'!$G$48+$T11*'Geometry'!$F$48)&lt;=C_eco,C_alpha*C_fck*(1-(1-($R11+$S11*'Geometry'!$G$48+$T11*'Geometry'!$F$48)/C_eco)^C_n),C_alpha*C_fck),0)))*'Geometry'!$H$48+((MAX(MIN(S_1_Es*($R11+$S11*'Geometry'!$G$49+$T11*'Geometry'!$F$49),S_1_fy),-S_1_fy))-(IF(($R11+$S11*'Geometry'!$G$49+$T11*'Geometry'!$F$49)&gt;0,IF(($R11+$S11*'Geometry'!$G$49+$T11*'Geometry'!$F$49)&lt;=C_eco,C_alpha*C_fck*(1-(1-($R11+$S11*'Geometry'!$G$49+$T11*'Geometry'!$F$49)/C_eco)^C_n),C_alpha*C_fck),0)))*'Geometry'!$H$49+((MAX(MIN(S_1_Es*($R11+$S11*'Geometry'!$G$50+$T11*'Geometry'!$F$50),S_1_fy),-S_1_fy))-(IF(($R11+$S11*'Geometry'!$G$50+$T11*'Geometry'!$F$50)&gt;0,IF(($R11+$S11*'Geometry'!$G$50+$T11*'Geometry'!$F$50)&lt;=C_eco,C_alpha*C_fck*(1-(1-($R11+$S11*'Geometry'!$G$50+$T11*'Geometry'!$F$50)/C_eco)^C_n),C_alpha*C_fck),0)))*'Geometry'!$H$50+((MAX(MIN(S_1_Es*($R11+$S11*'Geometry'!$G$51+$T11*'Geometry'!$F$51),S_1_fy),-S_1_fy))-(IF(($R11+$S11*'Geometry'!$G$51+$T11*'Geometry'!$F$51)&gt;0,IF(($R11+$S11*'Geometry'!$G$51+$T11*'Geometry'!$F$51)&lt;=C_eco,C_alpha*C_fck*(1-(1-($R11+$S11*'Geometry'!$G$51+$T11*'Geometry'!$F$51)/C_eco)^C_n),C_alpha*C_fck),0)))*'Geometry'!$H$51+((MAX(MIN(S_1_Es*($R11+$S11*'Geometry'!$G$52+$T11*'Geometry'!$F$52),S_1_fy),-S_1_fy))-(IF(($R11+$S11*'Geometry'!$G$52+$T11*'Geometry'!$F$52)&gt;0,IF(($R11+$S11*'Geometry'!$G$52+$T11*'Geometry'!$F$52)&lt;=C_eco,C_alpha*C_fck*(1-(1-($R11+$S11*'Geometry'!$G$52+$T11*'Geometry'!$F$52)/C_eco)^C_n),C_alpha*C_fck),0)))*'Geometry'!$H$52+((MAX(MIN(S_1_Es*($R11+$S11*'Geometry'!$G$53+$T11*'Geometry'!$F$53),S_1_fy),-S_1_fy))-(IF(($R11+$S11*'Geometry'!$G$53+$T11*'Geometry'!$F$53)&gt;0,IF(($R11+$S11*'Geometry'!$G$53+$T11*'Geometry'!$F$53)&lt;=C_eco,C_alpha*C_fck*(1-(1-($R11+$S11*'Geometry'!$G$53+$T11*'Geometry'!$F$53)/C_eco)^C_n),C_alpha*C_fck),0)))*'Geometry'!$H$53+((MAX(MIN(S_1_Es*($R11+$S11*'Geometry'!$G$54+$T11*'Geometry'!$F$54),S_1_fy),-S_1_fy))-(IF(($R11+$S11*'Geometry'!$G$54+$T11*'Geometry'!$F$54)&gt;0,IF(($R11+$S11*'Geometry'!$G$54+$T11*'Geometry'!$F$54)&lt;=C_eco,C_alpha*C_fck*(1-(1-($R11+$S11*'Geometry'!$G$54+$T11*'Geometry'!$F$54)/C_eco)^C_n),C_alpha*C_fck),0)))*'Geometry'!$H$54+((MAX(MIN(S_1_Es*($R11+$S11*'Geometry'!$G$55+$T11*'Geometry'!$F$55),S_1_fy),-S_1_fy))-(IF(($R11+$S11*'Geometry'!$G$55+$T11*'Geometry'!$F$55)&gt;0,IF(($R11+$S11*'Geometry'!$G$55+$T11*'Geometry'!$F$55)&lt;=C_eco,C_alpha*C_fck*(1-(1-($R11+$S11*'Geometry'!$G$55+$T11*'Geometry'!$F$55)/C_eco)^C_n),C_alpha*C_fck),0)))*'Geometry'!$H$55+((MAX(MIN(S_1_Es*($R11+$S11*'Geometry'!$G$56+$T11*'Geometry'!$F$56),S_1_fy),-S_1_fy))-(IF(($R11+$S11*'Geometry'!$G$56+$T11*'Geometry'!$F$56)&gt;0,IF(($R11+$S11*'Geometry'!$G$56+$T11*'Geometry'!$F$56)&lt;=C_eco,C_alpha*C_fck*(1-(1-($R11+$S11*'Geometry'!$G$56+$T11*'Geometry'!$F$56)/C_eco)^C_n),C_alpha*C_fck),0)))*'Geometry'!$H$56+((MAX(MIN(S_1_Es*($R11+$S11*'Geometry'!$G$57+$T11*'Geometry'!$F$57),S_1_fy),-S_1_fy))-(IF(($R11+$S11*'Geometry'!$G$57+$T11*'Geometry'!$F$57)&gt;0,IF(($R11+$S11*'Geometry'!$G$57+$T11*'Geometry'!$F$57)&lt;=C_eco,C_alpha*C_fck*(1-(1-($R11+$S11*'Geometry'!$G$57+$T11*'Geometry'!$F$57)/C_eco)^C_n),C_alpha*C_fck),0)))*'Geometry'!$H$57)/1000</f>
        <v>4809.716130039405</v>
      </c>
      <c r="Y11" s="10">
        <f>(((MAX(MIN(S_1_Es*($R11+$S11*'Geometry'!$G$40+$T11*'Geometry'!$F$40),S_1_fy),-S_1_fy))-(IF(($R11+$S11*'Geometry'!$G$40+$T11*'Geometry'!$F$40)&gt;0,IF(($R11+$S11*'Geometry'!$G$40+$T11*'Geometry'!$F$40)&lt;=C_eco,C_alpha*C_fck*(1-(1-($R11+$S11*'Geometry'!$G$40+$T11*'Geometry'!$F$40)/C_eco)^C_n),C_alpha*C_fck),0)))*'Geometry'!$H$40*'Geometry'!$G$40+((MAX(MIN(S_1_Es*($R11+$S11*'Geometry'!$G$41+$T11*'Geometry'!$F$41),S_1_fy),-S_1_fy))-(IF(($R11+$S11*'Geometry'!$G$41+$T11*'Geometry'!$F$41)&gt;0,IF(($R11+$S11*'Geometry'!$G$41+$T11*'Geometry'!$F$41)&lt;=C_eco,C_alpha*C_fck*(1-(1-($R11+$S11*'Geometry'!$G$41+$T11*'Geometry'!$F$41)/C_eco)^C_n),C_alpha*C_fck),0)))*'Geometry'!$H$41*'Geometry'!$G$41+((MAX(MIN(S_1_Es*($R11+$S11*'Geometry'!$G$42+$T11*'Geometry'!$F$42),S_1_fy),-S_1_fy))-(IF(($R11+$S11*'Geometry'!$G$42+$T11*'Geometry'!$F$42)&gt;0,IF(($R11+$S11*'Geometry'!$G$42+$T11*'Geometry'!$F$42)&lt;=C_eco,C_alpha*C_fck*(1-(1-($R11+$S11*'Geometry'!$G$42+$T11*'Geometry'!$F$42)/C_eco)^C_n),C_alpha*C_fck),0)))*'Geometry'!$H$42*'Geometry'!$G$42+((MAX(MIN(S_1_Es*($R11+$S11*'Geometry'!$G$43+$T11*'Geometry'!$F$43),S_1_fy),-S_1_fy))-(IF(($R11+$S11*'Geometry'!$G$43+$T11*'Geometry'!$F$43)&gt;0,IF(($R11+$S11*'Geometry'!$G$43+$T11*'Geometry'!$F$43)&lt;=C_eco,C_alpha*C_fck*(1-(1-($R11+$S11*'Geometry'!$G$43+$T11*'Geometry'!$F$43)/C_eco)^C_n),C_alpha*C_fck),0)))*'Geometry'!$H$43*'Geometry'!$G$43+((MAX(MIN(S_1_Es*($R11+$S11*'Geometry'!$G$44+$T11*'Geometry'!$F$44),S_1_fy),-S_1_fy))-(IF(($R11+$S11*'Geometry'!$G$44+$T11*'Geometry'!$F$44)&gt;0,IF(($R11+$S11*'Geometry'!$G$44+$T11*'Geometry'!$F$44)&lt;=C_eco,C_alpha*C_fck*(1-(1-($R11+$S11*'Geometry'!$G$44+$T11*'Geometry'!$F$44)/C_eco)^C_n),C_alpha*C_fck),0)))*'Geometry'!$H$44*'Geometry'!$G$44+((MAX(MIN(S_1_Es*($R11+$S11*'Geometry'!$G$45+$T11*'Geometry'!$F$45),S_1_fy),-S_1_fy))-(IF(($R11+$S11*'Geometry'!$G$45+$T11*'Geometry'!$F$45)&gt;0,IF(($R11+$S11*'Geometry'!$G$45+$T11*'Geometry'!$F$45)&lt;=C_eco,C_alpha*C_fck*(1-(1-($R11+$S11*'Geometry'!$G$45+$T11*'Geometry'!$F$45)/C_eco)^C_n),C_alpha*C_fck),0)))*'Geometry'!$H$45*'Geometry'!$G$45+((MAX(MIN(S_1_Es*($R11+$S11*'Geometry'!$G$46+$T11*'Geometry'!$F$46),S_1_fy),-S_1_fy))-(IF(($R11+$S11*'Geometry'!$G$46+$T11*'Geometry'!$F$46)&gt;0,IF(($R11+$S11*'Geometry'!$G$46+$T11*'Geometry'!$F$46)&lt;=C_eco,C_alpha*C_fck*(1-(1-($R11+$S11*'Geometry'!$G$46+$T11*'Geometry'!$F$46)/C_eco)^C_n),C_alpha*C_fck),0)))*'Geometry'!$H$46*'Geometry'!$G$46+((MAX(MIN(S_1_Es*($R11+$S11*'Geometry'!$G$47+$T11*'Geometry'!$F$47),S_1_fy),-S_1_fy))-(IF(($R11+$S11*'Geometry'!$G$47+$T11*'Geometry'!$F$47)&gt;0,IF(($R11+$S11*'Geometry'!$G$47+$T11*'Geometry'!$F$47)&lt;=C_eco,C_alpha*C_fck*(1-(1-($R11+$S11*'Geometry'!$G$47+$T11*'Geometry'!$F$47)/C_eco)^C_n),C_alpha*C_fck),0)))*'Geometry'!$H$47*'Geometry'!$G$47+((MAX(MIN(S_1_Es*($R11+$S11*'Geometry'!$G$48+$T11*'Geometry'!$F$48),S_1_fy),-S_1_fy))-(IF(($R11+$S11*'Geometry'!$G$48+$T11*'Geometry'!$F$48)&gt;0,IF(($R11+$S11*'Geometry'!$G$48+$T11*'Geometry'!$F$48)&lt;=C_eco,C_alpha*C_fck*(1-(1-($R11+$S11*'Geometry'!$G$48+$T11*'Geometry'!$F$48)/C_eco)^C_n),C_alpha*C_fck),0)))*'Geometry'!$H$48*'Geometry'!$G$48+((MAX(MIN(S_1_Es*($R11+$S11*'Geometry'!$G$49+$T11*'Geometry'!$F$49),S_1_fy),-S_1_fy))-(IF(($R11+$S11*'Geometry'!$G$49+$T11*'Geometry'!$F$49)&gt;0,IF(($R11+$S11*'Geometry'!$G$49+$T11*'Geometry'!$F$49)&lt;=C_eco,C_alpha*C_fck*(1-(1-($R11+$S11*'Geometry'!$G$49+$T11*'Geometry'!$F$49)/C_eco)^C_n),C_alpha*C_fck),0)))*'Geometry'!$H$49*'Geometry'!$G$49+((MAX(MIN(S_1_Es*($R11+$S11*'Geometry'!$G$50+$T11*'Geometry'!$F$50),S_1_fy),-S_1_fy))-(IF(($R11+$S11*'Geometry'!$G$50+$T11*'Geometry'!$F$50)&gt;0,IF(($R11+$S11*'Geometry'!$G$50+$T11*'Geometry'!$F$50)&lt;=C_eco,C_alpha*C_fck*(1-(1-($R11+$S11*'Geometry'!$G$50+$T11*'Geometry'!$F$50)/C_eco)^C_n),C_alpha*C_fck),0)))*'Geometry'!$H$50*'Geometry'!$G$50+((MAX(MIN(S_1_Es*($R11+$S11*'Geometry'!$G$51+$T11*'Geometry'!$F$51),S_1_fy),-S_1_fy))-(IF(($R11+$S11*'Geometry'!$G$51+$T11*'Geometry'!$F$51)&gt;0,IF(($R11+$S11*'Geometry'!$G$51+$T11*'Geometry'!$F$51)&lt;=C_eco,C_alpha*C_fck*(1-(1-($R11+$S11*'Geometry'!$G$51+$T11*'Geometry'!$F$51)/C_eco)^C_n),C_alpha*C_fck),0)))*'Geometry'!$H$51*'Geometry'!$G$51+((MAX(MIN(S_1_Es*($R11+$S11*'Geometry'!$G$52+$T11*'Geometry'!$F$52),S_1_fy),-S_1_fy))-(IF(($R11+$S11*'Geometry'!$G$52+$T11*'Geometry'!$F$52)&gt;0,IF(($R11+$S11*'Geometry'!$G$52+$T11*'Geometry'!$F$52)&lt;=C_eco,C_alpha*C_fck*(1-(1-($R11+$S11*'Geometry'!$G$52+$T11*'Geometry'!$F$52)/C_eco)^C_n),C_alpha*C_fck),0)))*'Geometry'!$H$52*'Geometry'!$G$52+((MAX(MIN(S_1_Es*($R11+$S11*'Geometry'!$G$53+$T11*'Geometry'!$F$53),S_1_fy),-S_1_fy))-(IF(($R11+$S11*'Geometry'!$G$53+$T11*'Geometry'!$F$53)&gt;0,IF(($R11+$S11*'Geometry'!$G$53+$T11*'Geometry'!$F$53)&lt;=C_eco,C_alpha*C_fck*(1-(1-($R11+$S11*'Geometry'!$G$53+$T11*'Geometry'!$F$53)/C_eco)^C_n),C_alpha*C_fck),0)))*'Geometry'!$H$53*'Geometry'!$G$53+((MAX(MIN(S_1_Es*($R11+$S11*'Geometry'!$G$54+$T11*'Geometry'!$F$54),S_1_fy),-S_1_fy))-(IF(($R11+$S11*'Geometry'!$G$54+$T11*'Geometry'!$F$54)&gt;0,IF(($R11+$S11*'Geometry'!$G$54+$T11*'Geometry'!$F$54)&lt;=C_eco,C_alpha*C_fck*(1-(1-($R11+$S11*'Geometry'!$G$54+$T11*'Geometry'!$F$54)/C_eco)^C_n),C_alpha*C_fck),0)))*'Geometry'!$H$54*'Geometry'!$G$54+((MAX(MIN(S_1_Es*($R11+$S11*'Geometry'!$G$55+$T11*'Geometry'!$F$55),S_1_fy),-S_1_fy))-(IF(($R11+$S11*'Geometry'!$G$55+$T11*'Geometry'!$F$55)&gt;0,IF(($R11+$S11*'Geometry'!$G$55+$T11*'Geometry'!$F$55)&lt;=C_eco,C_alpha*C_fck*(1-(1-($R11+$S11*'Geometry'!$G$55+$T11*'Geometry'!$F$55)/C_eco)^C_n),C_alpha*C_fck),0)))*'Geometry'!$H$55*'Geometry'!$G$55+((MAX(MIN(S_1_Es*($R11+$S11*'Geometry'!$G$56+$T11*'Geometry'!$F$56),S_1_fy),-S_1_fy))-(IF(($R11+$S11*'Geometry'!$G$56+$T11*'Geometry'!$F$56)&gt;0,IF(($R11+$S11*'Geometry'!$G$56+$T11*'Geometry'!$F$56)&lt;=C_eco,C_alpha*C_fck*(1-(1-($R11+$S11*'Geometry'!$G$56+$T11*'Geometry'!$F$56)/C_eco)^C_n),C_alpha*C_fck),0)))*'Geometry'!$H$56*'Geometry'!$G$56+((MAX(MIN(S_1_Es*($R11+$S11*'Geometry'!$G$57+$T11*'Geometry'!$F$57),S_1_fy),-S_1_fy))-(IF(($R11+$S11*'Geometry'!$G$57+$T11*'Geometry'!$F$57)&gt;0,IF(($R11+$S11*'Geometry'!$G$57+$T11*'Geometry'!$F$57)&lt;=C_eco,C_alpha*C_fck*(1-(1-($R11+$S11*'Geometry'!$G$57+$T11*'Geometry'!$F$57)/C_eco)^C_n),C_alpha*C_fck),0)))*'Geometry'!$H$57*'Geometry'!$G$57)/1000000</f>
        <v>294.11323047355154</v>
      </c>
      <c r="Z11" s="10">
        <f>(((MAX(MIN(S_1_Es*($R11+$S11*'Geometry'!$G$40+$T11*'Geometry'!$F$40),S_1_fy),-S_1_fy))-(IF(($R11+$S11*'Geometry'!$G$40+$T11*'Geometry'!$F$40)&gt;0,IF(($R11+$S11*'Geometry'!$G$40+$T11*'Geometry'!$F$40)&lt;=C_eco,C_alpha*C_fck*(1-(1-($R11+$S11*'Geometry'!$G$40+$T11*'Geometry'!$F$40)/C_eco)^C_n),C_alpha*C_fck),0)))*'Geometry'!$H$40*'Geometry'!$F$40+((MAX(MIN(S_1_Es*($R11+$S11*'Geometry'!$G$41+$T11*'Geometry'!$F$41),S_1_fy),-S_1_fy))-(IF(($R11+$S11*'Geometry'!$G$41+$T11*'Geometry'!$F$41)&gt;0,IF(($R11+$S11*'Geometry'!$G$41+$T11*'Geometry'!$F$41)&lt;=C_eco,C_alpha*C_fck*(1-(1-($R11+$S11*'Geometry'!$G$41+$T11*'Geometry'!$F$41)/C_eco)^C_n),C_alpha*C_fck),0)))*'Geometry'!$H$41*'Geometry'!$F$41+((MAX(MIN(S_1_Es*($R11+$S11*'Geometry'!$G$42+$T11*'Geometry'!$F$42),S_1_fy),-S_1_fy))-(IF(($R11+$S11*'Geometry'!$G$42+$T11*'Geometry'!$F$42)&gt;0,IF(($R11+$S11*'Geometry'!$G$42+$T11*'Geometry'!$F$42)&lt;=C_eco,C_alpha*C_fck*(1-(1-($R11+$S11*'Geometry'!$G$42+$T11*'Geometry'!$F$42)/C_eco)^C_n),C_alpha*C_fck),0)))*'Geometry'!$H$42*'Geometry'!$F$42+((MAX(MIN(S_1_Es*($R11+$S11*'Geometry'!$G$43+$T11*'Geometry'!$F$43),S_1_fy),-S_1_fy))-(IF(($R11+$S11*'Geometry'!$G$43+$T11*'Geometry'!$F$43)&gt;0,IF(($R11+$S11*'Geometry'!$G$43+$T11*'Geometry'!$F$43)&lt;=C_eco,C_alpha*C_fck*(1-(1-($R11+$S11*'Geometry'!$G$43+$T11*'Geometry'!$F$43)/C_eco)^C_n),C_alpha*C_fck),0)))*'Geometry'!$H$43*'Geometry'!$F$43+((MAX(MIN(S_1_Es*($R11+$S11*'Geometry'!$G$44+$T11*'Geometry'!$F$44),S_1_fy),-S_1_fy))-(IF(($R11+$S11*'Geometry'!$G$44+$T11*'Geometry'!$F$44)&gt;0,IF(($R11+$S11*'Geometry'!$G$44+$T11*'Geometry'!$F$44)&lt;=C_eco,C_alpha*C_fck*(1-(1-($R11+$S11*'Geometry'!$G$44+$T11*'Geometry'!$F$44)/C_eco)^C_n),C_alpha*C_fck),0)))*'Geometry'!$H$44*'Geometry'!$F$44+((MAX(MIN(S_1_Es*($R11+$S11*'Geometry'!$G$45+$T11*'Geometry'!$F$45),S_1_fy),-S_1_fy))-(IF(($R11+$S11*'Geometry'!$G$45+$T11*'Geometry'!$F$45)&gt;0,IF(($R11+$S11*'Geometry'!$G$45+$T11*'Geometry'!$F$45)&lt;=C_eco,C_alpha*C_fck*(1-(1-($R11+$S11*'Geometry'!$G$45+$T11*'Geometry'!$F$45)/C_eco)^C_n),C_alpha*C_fck),0)))*'Geometry'!$H$45*'Geometry'!$F$45+((MAX(MIN(S_1_Es*($R11+$S11*'Geometry'!$G$46+$T11*'Geometry'!$F$46),S_1_fy),-S_1_fy))-(IF(($R11+$S11*'Geometry'!$G$46+$T11*'Geometry'!$F$46)&gt;0,IF(($R11+$S11*'Geometry'!$G$46+$T11*'Geometry'!$F$46)&lt;=C_eco,C_alpha*C_fck*(1-(1-($R11+$S11*'Geometry'!$G$46+$T11*'Geometry'!$F$46)/C_eco)^C_n),C_alpha*C_fck),0)))*'Geometry'!$H$46*'Geometry'!$F$46+((MAX(MIN(S_1_Es*($R11+$S11*'Geometry'!$G$47+$T11*'Geometry'!$F$47),S_1_fy),-S_1_fy))-(IF(($R11+$S11*'Geometry'!$G$47+$T11*'Geometry'!$F$47)&gt;0,IF(($R11+$S11*'Geometry'!$G$47+$T11*'Geometry'!$F$47)&lt;=C_eco,C_alpha*C_fck*(1-(1-($R11+$S11*'Geometry'!$G$47+$T11*'Geometry'!$F$47)/C_eco)^C_n),C_alpha*C_fck),0)))*'Geometry'!$H$47*'Geometry'!$F$47+((MAX(MIN(S_1_Es*($R11+$S11*'Geometry'!$G$48+$T11*'Geometry'!$F$48),S_1_fy),-S_1_fy))-(IF(($R11+$S11*'Geometry'!$G$48+$T11*'Geometry'!$F$48)&gt;0,IF(($R11+$S11*'Geometry'!$G$48+$T11*'Geometry'!$F$48)&lt;=C_eco,C_alpha*C_fck*(1-(1-($R11+$S11*'Geometry'!$G$48+$T11*'Geometry'!$F$48)/C_eco)^C_n),C_alpha*C_fck),0)))*'Geometry'!$H$48*'Geometry'!$F$48+((MAX(MIN(S_1_Es*($R11+$S11*'Geometry'!$G$49+$T11*'Geometry'!$F$49),S_1_fy),-S_1_fy))-(IF(($R11+$S11*'Geometry'!$G$49+$T11*'Geometry'!$F$49)&gt;0,IF(($R11+$S11*'Geometry'!$G$49+$T11*'Geometry'!$F$49)&lt;=C_eco,C_alpha*C_fck*(1-(1-($R11+$S11*'Geometry'!$G$49+$T11*'Geometry'!$F$49)/C_eco)^C_n),C_alpha*C_fck),0)))*'Geometry'!$H$49*'Geometry'!$F$49+((MAX(MIN(S_1_Es*($R11+$S11*'Geometry'!$G$50+$T11*'Geometry'!$F$50),S_1_fy),-S_1_fy))-(IF(($R11+$S11*'Geometry'!$G$50+$T11*'Geometry'!$F$50)&gt;0,IF(($R11+$S11*'Geometry'!$G$50+$T11*'Geometry'!$F$50)&lt;=C_eco,C_alpha*C_fck*(1-(1-($R11+$S11*'Geometry'!$G$50+$T11*'Geometry'!$F$50)/C_eco)^C_n),C_alpha*C_fck),0)))*'Geometry'!$H$50*'Geometry'!$F$50+((MAX(MIN(S_1_Es*($R11+$S11*'Geometry'!$G$51+$T11*'Geometry'!$F$51),S_1_fy),-S_1_fy))-(IF(($R11+$S11*'Geometry'!$G$51+$T11*'Geometry'!$F$51)&gt;0,IF(($R11+$S11*'Geometry'!$G$51+$T11*'Geometry'!$F$51)&lt;=C_eco,C_alpha*C_fck*(1-(1-($R11+$S11*'Geometry'!$G$51+$T11*'Geometry'!$F$51)/C_eco)^C_n),C_alpha*C_fck),0)))*'Geometry'!$H$51*'Geometry'!$F$51+((MAX(MIN(S_1_Es*($R11+$S11*'Geometry'!$G$52+$T11*'Geometry'!$F$52),S_1_fy),-S_1_fy))-(IF(($R11+$S11*'Geometry'!$G$52+$T11*'Geometry'!$F$52)&gt;0,IF(($R11+$S11*'Geometry'!$G$52+$T11*'Geometry'!$F$52)&lt;=C_eco,C_alpha*C_fck*(1-(1-($R11+$S11*'Geometry'!$G$52+$T11*'Geometry'!$F$52)/C_eco)^C_n),C_alpha*C_fck),0)))*'Geometry'!$H$52*'Geometry'!$F$52+((MAX(MIN(S_1_Es*($R11+$S11*'Geometry'!$G$53+$T11*'Geometry'!$F$53),S_1_fy),-S_1_fy))-(IF(($R11+$S11*'Geometry'!$G$53+$T11*'Geometry'!$F$53)&gt;0,IF(($R11+$S11*'Geometry'!$G$53+$T11*'Geometry'!$F$53)&lt;=C_eco,C_alpha*C_fck*(1-(1-($R11+$S11*'Geometry'!$G$53+$T11*'Geometry'!$F$53)/C_eco)^C_n),C_alpha*C_fck),0)))*'Geometry'!$H$53*'Geometry'!$F$53+((MAX(MIN(S_1_Es*($R11+$S11*'Geometry'!$G$54+$T11*'Geometry'!$F$54),S_1_fy),-S_1_fy))-(IF(($R11+$S11*'Geometry'!$G$54+$T11*'Geometry'!$F$54)&gt;0,IF(($R11+$S11*'Geometry'!$G$54+$T11*'Geometry'!$F$54)&lt;=C_eco,C_alpha*C_fck*(1-(1-($R11+$S11*'Geometry'!$G$54+$T11*'Geometry'!$F$54)/C_eco)^C_n),C_alpha*C_fck),0)))*'Geometry'!$H$54*'Geometry'!$F$54+((MAX(MIN(S_1_Es*($R11+$S11*'Geometry'!$G$55+$T11*'Geometry'!$F$55),S_1_fy),-S_1_fy))-(IF(($R11+$S11*'Geometry'!$G$55+$T11*'Geometry'!$F$55)&gt;0,IF(($R11+$S11*'Geometry'!$G$55+$T11*'Geometry'!$F$55)&lt;=C_eco,C_alpha*C_fck*(1-(1-($R11+$S11*'Geometry'!$G$55+$T11*'Geometry'!$F$55)/C_eco)^C_n),C_alpha*C_fck),0)))*'Geometry'!$H$55*'Geometry'!$F$55+((MAX(MIN(S_1_Es*($R11+$S11*'Geometry'!$G$56+$T11*'Geometry'!$F$56),S_1_fy),-S_1_fy))-(IF(($R11+$S11*'Geometry'!$G$56+$T11*'Geometry'!$F$56)&gt;0,IF(($R11+$S11*'Geometry'!$G$56+$T11*'Geometry'!$F$56)&lt;=C_eco,C_alpha*C_fck*(1-(1-($R11+$S11*'Geometry'!$G$56+$T11*'Geometry'!$F$56)/C_eco)^C_n),C_alpha*C_fck),0)))*'Geometry'!$H$56*'Geometry'!$F$56+((MAX(MIN(S_1_Es*($R11+$S11*'Geometry'!$G$57+$T11*'Geometry'!$F$57),S_1_fy),-S_1_fy))-(IF(($R11+$S11*'Geometry'!$G$57+$T11*'Geometry'!$F$57)&gt;0,IF(($R11+$S11*'Geometry'!$G$57+$T11*'Geometry'!$F$57)&lt;=C_eco,C_alpha*C_fck*(1-(1-($R11+$S11*'Geometry'!$G$57+$T11*'Geometry'!$F$57)/C_eco)^C_n),C_alpha*C_fck),0)))*'Geometry'!$H$57*'Geometry'!$F$57)/1000000</f>
        <v>73.86223024762437</v>
      </c>
      <c r="AA11" s="10">
        <f>U11+X11</f>
        <v>32659.17711555094</v>
      </c>
      <c r="AB11" s="10">
        <f>V11+Y11</f>
        <v>635.3899576083528</v>
      </c>
      <c r="AC11" s="10">
        <f>W11+Z11</f>
        <v>191.3568427638437</v>
      </c>
      <c r="AD11" s="7">
        <v>0.5410529957005362</v>
      </c>
      <c r="AE11" s="7">
        <v>1.5586610844850914</v>
      </c>
      <c r="AF11" s="10">
        <f>AA11*AD11</f>
        <v>17670.345615483235</v>
      </c>
      <c r="AG11" s="10">
        <f>AB11*AE11</f>
        <v>1000.6118805592857</v>
      </c>
      <c r="AH11" s="10">
        <f>AC11*AE11</f>
        <v>264.21168617193126</v>
      </c>
      <c r="AI11" s="7">
        <v>17670.345615483235</v>
      </c>
      <c r="AJ11" s="7">
        <v>1000.6118805592857</v>
      </c>
      <c r="AK11" s="7">
        <v>264.21168617193126</v>
      </c>
      <c r="AL11" s="15">
        <f>AF11-AI11</f>
        <v>0</v>
      </c>
      <c r="AM11" s="15">
        <f>SQRT((AG11-AJ11)^2+(AH11-AK11)^2)</f>
        <v>0</v>
      </c>
      <c r="AN11" s="7" t="s">
        <v>189</v>
      </c>
      <c r="AO11" s="7">
        <v>32659.17711555094</v>
      </c>
      <c r="AP11" s="7">
        <v>635.3899576083528</v>
      </c>
      <c r="AQ11" s="7">
        <v>191.3568427638437</v>
      </c>
      <c r="AR11" s="7">
        <v>27849.460985511538</v>
      </c>
      <c r="AS11" s="7">
        <v>341.27672713480126</v>
      </c>
      <c r="AT11" s="7">
        <v>117.49461251621936</v>
      </c>
      <c r="AU11" s="7">
        <v>4809.716130039405</v>
      </c>
      <c r="AV11" s="7">
        <v>294.11323047355154</v>
      </c>
      <c r="AW11" s="7">
        <v>73.86223024762437</v>
      </c>
    </row>
    <row r="12" spans="1:49" x14ac:dyDescent="0.25">
      <c r="A12" s="17">
        <v>5</v>
      </c>
      <c r="B12" s="17" t="s">
        <v>197</v>
      </c>
      <c r="C12" s="18">
        <f>$AF$12</f>
        <v>17670.345615483235</v>
      </c>
      <c r="D12" s="19">
        <f>$AG$12*COS(RADIANS($C$5))+$AH$12*SIN(RADIANS($C$5))</f>
        <v>1379.8664984584436</v>
      </c>
      <c r="G12" s="7" t="s">
        <v>198</v>
      </c>
      <c r="H12" s="7" t="s">
        <v>197</v>
      </c>
      <c r="I12" s="12">
        <v>10</v>
      </c>
      <c r="J12" s="7" t="s">
        <v>192</v>
      </c>
      <c r="K12" s="12">
        <v>1.2000000000000002</v>
      </c>
      <c r="L12" s="10">
        <f>MAX(('Geometry'!$G$13*COS(RADIANS(I12))+'Geometry'!$F$13*SIN(RADIANS(I12))),('Geometry'!$G$14*COS(RADIANS(I12))+'Geometry'!$F$14*SIN(RADIANS(I12))),('Geometry'!$G$15*COS(RADIANS(I12))+'Geometry'!$F$15*SIN(RADIANS(I12))),('Geometry'!$G$16*COS(RADIANS(I12))+'Geometry'!$F$16*SIN(RADIANS(I12))),('Geometry'!$G$17*COS(RADIANS(I12))+'Geometry'!$F$17*SIN(RADIANS(I12))),('Geometry'!$G$18*COS(RADIANS(I12))+'Geometry'!$F$18*SIN(RADIANS(I12))),('Geometry'!$G$19*COS(RADIANS(I12))+'Geometry'!$F$19*SIN(RADIANS(I12))),('Geometry'!$G$20*COS(RADIANS(I12))+'Geometry'!$F$20*SIN(RADIANS(I12))))</f>
        <v>686.3911495241364</v>
      </c>
      <c r="M12" s="10">
        <f>L12-K12*N12</f>
        <v>-960.9476093337912</v>
      </c>
      <c r="N12" s="10">
        <f>L12-MIN(('Geometry'!$G$13*COS(RADIANS(I12))+'Geometry'!$F$13*SIN(RADIANS(I12))),('Geometry'!$G$14*COS(RADIANS(I12))+'Geometry'!$F$14*SIN(RADIANS(I12))),('Geometry'!$G$15*COS(RADIANS(I12))+'Geometry'!$F$15*SIN(RADIANS(I12))),('Geometry'!$G$16*COS(RADIANS(I12))+'Geometry'!$F$16*SIN(RADIANS(I12))),('Geometry'!$G$17*COS(RADIANS(I12))+'Geometry'!$F$17*SIN(RADIANS(I12))),('Geometry'!$G$18*COS(RADIANS(I12))+'Geometry'!$F$18*SIN(RADIANS(I12))),('Geometry'!$G$19*COS(RADIANS(I12))+'Geometry'!$F$19*SIN(RADIANS(I12))),('Geometry'!$G$20*COS(RADIANS(I12))+'Geometry'!$F$20*SIN(RADIANS(I12))))</f>
        <v>1372.7822990482728</v>
      </c>
      <c r="O12" s="15">
        <f>C_ecu</f>
        <v>0.0033</v>
      </c>
      <c r="P12" s="15">
        <f>0</f>
        <v>0</v>
      </c>
      <c r="Q12" s="20">
        <f>IF(ABS(L12-M12)&lt;0.000000000001,0,(O12-P12)/(L12-M12))</f>
        <v>0.0000020032309579650967</v>
      </c>
      <c r="R12" s="15">
        <f>O12-Q12*L12</f>
        <v>0.001925</v>
      </c>
      <c r="S12" s="20">
        <f>Q12*COS(RADIANS(I12))</f>
        <v>0.0000019727973784781</v>
      </c>
      <c r="T12" s="20">
        <f>Q12*SIN(RADIANS(I12))</f>
        <v>3.4785740529661824e-7</v>
      </c>
      <c r="U12" s="10">
        <f>SUMPRODUCT(C_alpha*C_fck*(1-(1-((($R12+$S12*Mesh_Y+$T12*Mesh_X))*(($R12+$S12*Mesh_Y+$T12*Mesh_X)&gt;0)*(($R12+$S12*Mesh_Y+$T12*Mesh_X)&lt;C_eco)+C_eco*(($R12+$S12*Mesh_Y+$T12*Mesh_X)&gt;=C_eco))/C_eco)^C_n)*((($R12+$S12*Mesh_Y+$T12*Mesh_X))&gt;0),Mesh_A)/1000</f>
        <v>26049.236195750684</v>
      </c>
      <c r="V12" s="10">
        <f>SUMPRODUCT(C_alpha*C_fck*(1-(1-((($R12+$S12*Mesh_Y+$T12*Mesh_X))*(($R12+$S12*Mesh_Y+$T12*Mesh_X)&gt;0)*(($R12+$S12*Mesh_Y+$T12*Mesh_X)&lt;C_eco)+C_eco*(($R12+$S12*Mesh_Y+$T12*Mesh_X)&gt;=C_eco))/C_eco)^C_n)*((($R12+$S12*Mesh_Y+$T12*Mesh_X))&gt;0),Mesh_A,Mesh_Y)/1000000</f>
        <v>1136.6744713210326</v>
      </c>
      <c r="W12" s="10">
        <f>SUMPRODUCT(C_alpha*C_fck*(1-(1-((($R12+$S12*Mesh_Y+$T12*Mesh_X))*(($R12+$S12*Mesh_Y+$T12*Mesh_X)&gt;0)*(($R12+$S12*Mesh_Y+$T12*Mesh_X)&lt;C_eco)+C_eco*(($R12+$S12*Mesh_Y+$T12*Mesh_X)&gt;=C_eco))/C_eco)^C_n)*((($R12+$S12*Mesh_Y+$T12*Mesh_X))&gt;0),Mesh_A,Mesh_X)/1000000</f>
        <v>330.42199464452545</v>
      </c>
      <c r="X12" s="10">
        <f>(((MAX(MIN(S_1_Es*($R12+$S12*'Geometry'!$G$40+$T12*'Geometry'!$F$40),S_1_fy),-S_1_fy))-(IF(($R12+$S12*'Geometry'!$G$40+$T12*'Geometry'!$F$40)&gt;0,IF(($R12+$S12*'Geometry'!$G$40+$T12*'Geometry'!$F$40)&lt;=C_eco,C_alpha*C_fck*(1-(1-($R12+$S12*'Geometry'!$G$40+$T12*'Geometry'!$F$40)/C_eco)^C_n),C_alpha*C_fck),0)))*'Geometry'!$H$40+((MAX(MIN(S_1_Es*($R12+$S12*'Geometry'!$G$41+$T12*'Geometry'!$F$41),S_1_fy),-S_1_fy))-(IF(($R12+$S12*'Geometry'!$G$41+$T12*'Geometry'!$F$41)&gt;0,IF(($R12+$S12*'Geometry'!$G$41+$T12*'Geometry'!$F$41)&lt;=C_eco,C_alpha*C_fck*(1-(1-($R12+$S12*'Geometry'!$G$41+$T12*'Geometry'!$F$41)/C_eco)^C_n),C_alpha*C_fck),0)))*'Geometry'!$H$41+((MAX(MIN(S_1_Es*($R12+$S12*'Geometry'!$G$42+$T12*'Geometry'!$F$42),S_1_fy),-S_1_fy))-(IF(($R12+$S12*'Geometry'!$G$42+$T12*'Geometry'!$F$42)&gt;0,IF(($R12+$S12*'Geometry'!$G$42+$T12*'Geometry'!$F$42)&lt;=C_eco,C_alpha*C_fck*(1-(1-($R12+$S12*'Geometry'!$G$42+$T12*'Geometry'!$F$42)/C_eco)^C_n),C_alpha*C_fck),0)))*'Geometry'!$H$42+((MAX(MIN(S_1_Es*($R12+$S12*'Geometry'!$G$43+$T12*'Geometry'!$F$43),S_1_fy),-S_1_fy))-(IF(($R12+$S12*'Geometry'!$G$43+$T12*'Geometry'!$F$43)&gt;0,IF(($R12+$S12*'Geometry'!$G$43+$T12*'Geometry'!$F$43)&lt;=C_eco,C_alpha*C_fck*(1-(1-($R12+$S12*'Geometry'!$G$43+$T12*'Geometry'!$F$43)/C_eco)^C_n),C_alpha*C_fck),0)))*'Geometry'!$H$43+((MAX(MIN(S_1_Es*($R12+$S12*'Geometry'!$G$44+$T12*'Geometry'!$F$44),S_1_fy),-S_1_fy))-(IF(($R12+$S12*'Geometry'!$G$44+$T12*'Geometry'!$F$44)&gt;0,IF(($R12+$S12*'Geometry'!$G$44+$T12*'Geometry'!$F$44)&lt;=C_eco,C_alpha*C_fck*(1-(1-($R12+$S12*'Geometry'!$G$44+$T12*'Geometry'!$F$44)/C_eco)^C_n),C_alpha*C_fck),0)))*'Geometry'!$H$44+((MAX(MIN(S_1_Es*($R12+$S12*'Geometry'!$G$45+$T12*'Geometry'!$F$45),S_1_fy),-S_1_fy))-(IF(($R12+$S12*'Geometry'!$G$45+$T12*'Geometry'!$F$45)&gt;0,IF(($R12+$S12*'Geometry'!$G$45+$T12*'Geometry'!$F$45)&lt;=C_eco,C_alpha*C_fck*(1-(1-($R12+$S12*'Geometry'!$G$45+$T12*'Geometry'!$F$45)/C_eco)^C_n),C_alpha*C_fck),0)))*'Geometry'!$H$45+((MAX(MIN(S_1_Es*($R12+$S12*'Geometry'!$G$46+$T12*'Geometry'!$F$46),S_1_fy),-S_1_fy))-(IF(($R12+$S12*'Geometry'!$G$46+$T12*'Geometry'!$F$46)&gt;0,IF(($R12+$S12*'Geometry'!$G$46+$T12*'Geometry'!$F$46)&lt;=C_eco,C_alpha*C_fck*(1-(1-($R12+$S12*'Geometry'!$G$46+$T12*'Geometry'!$F$46)/C_eco)^C_n),C_alpha*C_fck),0)))*'Geometry'!$H$46+((MAX(MIN(S_1_Es*($R12+$S12*'Geometry'!$G$47+$T12*'Geometry'!$F$47),S_1_fy),-S_1_fy))-(IF(($R12+$S12*'Geometry'!$G$47+$T12*'Geometry'!$F$47)&gt;0,IF(($R12+$S12*'Geometry'!$G$47+$T12*'Geometry'!$F$47)&lt;=C_eco,C_alpha*C_fck*(1-(1-($R12+$S12*'Geometry'!$G$47+$T12*'Geometry'!$F$47)/C_eco)^C_n),C_alpha*C_fck),0)))*'Geometry'!$H$47+((MAX(MIN(S_1_Es*($R12+$S12*'Geometry'!$G$48+$T12*'Geometry'!$F$48),S_1_fy),-S_1_fy))-(IF(($R12+$S12*'Geometry'!$G$48+$T12*'Geometry'!$F$48)&gt;0,IF(($R12+$S12*'Geometry'!$G$48+$T12*'Geometry'!$F$48)&lt;=C_eco,C_alpha*C_fck*(1-(1-($R12+$S12*'Geometry'!$G$48+$T12*'Geometry'!$F$48)/C_eco)^C_n),C_alpha*C_fck),0)))*'Geometry'!$H$48+((MAX(MIN(S_1_Es*($R12+$S12*'Geometry'!$G$49+$T12*'Geometry'!$F$49),S_1_fy),-S_1_fy))-(IF(($R12+$S12*'Geometry'!$G$49+$T12*'Geometry'!$F$49)&gt;0,IF(($R12+$S12*'Geometry'!$G$49+$T12*'Geometry'!$F$49)&lt;=C_eco,C_alpha*C_fck*(1-(1-($R12+$S12*'Geometry'!$G$49+$T12*'Geometry'!$F$49)/C_eco)^C_n),C_alpha*C_fck),0)))*'Geometry'!$H$49+((MAX(MIN(S_1_Es*($R12+$S12*'Geometry'!$G$50+$T12*'Geometry'!$F$50),S_1_fy),-S_1_fy))-(IF(($R12+$S12*'Geometry'!$G$50+$T12*'Geometry'!$F$50)&gt;0,IF(($R12+$S12*'Geometry'!$G$50+$T12*'Geometry'!$F$50)&lt;=C_eco,C_alpha*C_fck*(1-(1-($R12+$S12*'Geometry'!$G$50+$T12*'Geometry'!$F$50)/C_eco)^C_n),C_alpha*C_fck),0)))*'Geometry'!$H$50+((MAX(MIN(S_1_Es*($R12+$S12*'Geometry'!$G$51+$T12*'Geometry'!$F$51),S_1_fy),-S_1_fy))-(IF(($R12+$S12*'Geometry'!$G$51+$T12*'Geometry'!$F$51)&gt;0,IF(($R12+$S12*'Geometry'!$G$51+$T12*'Geometry'!$F$51)&lt;=C_eco,C_alpha*C_fck*(1-(1-($R12+$S12*'Geometry'!$G$51+$T12*'Geometry'!$F$51)/C_eco)^C_n),C_alpha*C_fck),0)))*'Geometry'!$H$51+((MAX(MIN(S_1_Es*($R12+$S12*'Geometry'!$G$52+$T12*'Geometry'!$F$52),S_1_fy),-S_1_fy))-(IF(($R12+$S12*'Geometry'!$G$52+$T12*'Geometry'!$F$52)&gt;0,IF(($R12+$S12*'Geometry'!$G$52+$T12*'Geometry'!$F$52)&lt;=C_eco,C_alpha*C_fck*(1-(1-($R12+$S12*'Geometry'!$G$52+$T12*'Geometry'!$F$52)/C_eco)^C_n),C_alpha*C_fck),0)))*'Geometry'!$H$52+((MAX(MIN(S_1_Es*($R12+$S12*'Geometry'!$G$53+$T12*'Geometry'!$F$53),S_1_fy),-S_1_fy))-(IF(($R12+$S12*'Geometry'!$G$53+$T12*'Geometry'!$F$53)&gt;0,IF(($R12+$S12*'Geometry'!$G$53+$T12*'Geometry'!$F$53)&lt;=C_eco,C_alpha*C_fck*(1-(1-($R12+$S12*'Geometry'!$G$53+$T12*'Geometry'!$F$53)/C_eco)^C_n),C_alpha*C_fck),0)))*'Geometry'!$H$53+((MAX(MIN(S_1_Es*($R12+$S12*'Geometry'!$G$54+$T12*'Geometry'!$F$54),S_1_fy),-S_1_fy))-(IF(($R12+$S12*'Geometry'!$G$54+$T12*'Geometry'!$F$54)&gt;0,IF(($R12+$S12*'Geometry'!$G$54+$T12*'Geometry'!$F$54)&lt;=C_eco,C_alpha*C_fck*(1-(1-($R12+$S12*'Geometry'!$G$54+$T12*'Geometry'!$F$54)/C_eco)^C_n),C_alpha*C_fck),0)))*'Geometry'!$H$54+((MAX(MIN(S_1_Es*($R12+$S12*'Geometry'!$G$55+$T12*'Geometry'!$F$55),S_1_fy),-S_1_fy))-(IF(($R12+$S12*'Geometry'!$G$55+$T12*'Geometry'!$F$55)&gt;0,IF(($R12+$S12*'Geometry'!$G$55+$T12*'Geometry'!$F$55)&lt;=C_eco,C_alpha*C_fck*(1-(1-($R12+$S12*'Geometry'!$G$55+$T12*'Geometry'!$F$55)/C_eco)^C_n),C_alpha*C_fck),0)))*'Geometry'!$H$55+((MAX(MIN(S_1_Es*($R12+$S12*'Geometry'!$G$56+$T12*'Geometry'!$F$56),S_1_fy),-S_1_fy))-(IF(($R12+$S12*'Geometry'!$G$56+$T12*'Geometry'!$F$56)&gt;0,IF(($R12+$S12*'Geometry'!$G$56+$T12*'Geometry'!$F$56)&lt;=C_eco,C_alpha*C_fck*(1-(1-($R12+$S12*'Geometry'!$G$56+$T12*'Geometry'!$F$56)/C_eco)^C_n),C_alpha*C_fck),0)))*'Geometry'!$H$56+((MAX(MIN(S_1_Es*($R12+$S12*'Geometry'!$G$57+$T12*'Geometry'!$F$57),S_1_fy),-S_1_fy))-(IF(($R12+$S12*'Geometry'!$G$57+$T12*'Geometry'!$F$57)&gt;0,IF(($R12+$S12*'Geometry'!$G$57+$T12*'Geometry'!$F$57)&lt;=C_eco,C_alpha*C_fck*(1-(1-($R12+$S12*'Geometry'!$G$57+$T12*'Geometry'!$F$57)/C_eco)^C_n),C_alpha*C_fck),0)))*'Geometry'!$H$57)/1000</f>
        <v>4238.6880246756145</v>
      </c>
      <c r="Y12" s="10">
        <f>(((MAX(MIN(S_1_Es*($R12+$S12*'Geometry'!$G$40+$T12*'Geometry'!$F$40),S_1_fy),-S_1_fy))-(IF(($R12+$S12*'Geometry'!$G$40+$T12*'Geometry'!$F$40)&gt;0,IF(($R12+$S12*'Geometry'!$G$40+$T12*'Geometry'!$F$40)&lt;=C_eco,C_alpha*C_fck*(1-(1-($R12+$S12*'Geometry'!$G$40+$T12*'Geometry'!$F$40)/C_eco)^C_n),C_alpha*C_fck),0)))*'Geometry'!$H$40*'Geometry'!$G$40+((MAX(MIN(S_1_Es*($R12+$S12*'Geometry'!$G$41+$T12*'Geometry'!$F$41),S_1_fy),-S_1_fy))-(IF(($R12+$S12*'Geometry'!$G$41+$T12*'Geometry'!$F$41)&gt;0,IF(($R12+$S12*'Geometry'!$G$41+$T12*'Geometry'!$F$41)&lt;=C_eco,C_alpha*C_fck*(1-(1-($R12+$S12*'Geometry'!$G$41+$T12*'Geometry'!$F$41)/C_eco)^C_n),C_alpha*C_fck),0)))*'Geometry'!$H$41*'Geometry'!$G$41+((MAX(MIN(S_1_Es*($R12+$S12*'Geometry'!$G$42+$T12*'Geometry'!$F$42),S_1_fy),-S_1_fy))-(IF(($R12+$S12*'Geometry'!$G$42+$T12*'Geometry'!$F$42)&gt;0,IF(($R12+$S12*'Geometry'!$G$42+$T12*'Geometry'!$F$42)&lt;=C_eco,C_alpha*C_fck*(1-(1-($R12+$S12*'Geometry'!$G$42+$T12*'Geometry'!$F$42)/C_eco)^C_n),C_alpha*C_fck),0)))*'Geometry'!$H$42*'Geometry'!$G$42+((MAX(MIN(S_1_Es*($R12+$S12*'Geometry'!$G$43+$T12*'Geometry'!$F$43),S_1_fy),-S_1_fy))-(IF(($R12+$S12*'Geometry'!$G$43+$T12*'Geometry'!$F$43)&gt;0,IF(($R12+$S12*'Geometry'!$G$43+$T12*'Geometry'!$F$43)&lt;=C_eco,C_alpha*C_fck*(1-(1-($R12+$S12*'Geometry'!$G$43+$T12*'Geometry'!$F$43)/C_eco)^C_n),C_alpha*C_fck),0)))*'Geometry'!$H$43*'Geometry'!$G$43+((MAX(MIN(S_1_Es*($R12+$S12*'Geometry'!$G$44+$T12*'Geometry'!$F$44),S_1_fy),-S_1_fy))-(IF(($R12+$S12*'Geometry'!$G$44+$T12*'Geometry'!$F$44)&gt;0,IF(($R12+$S12*'Geometry'!$G$44+$T12*'Geometry'!$F$44)&lt;=C_eco,C_alpha*C_fck*(1-(1-($R12+$S12*'Geometry'!$G$44+$T12*'Geometry'!$F$44)/C_eco)^C_n),C_alpha*C_fck),0)))*'Geometry'!$H$44*'Geometry'!$G$44+((MAX(MIN(S_1_Es*($R12+$S12*'Geometry'!$G$45+$T12*'Geometry'!$F$45),S_1_fy),-S_1_fy))-(IF(($R12+$S12*'Geometry'!$G$45+$T12*'Geometry'!$F$45)&gt;0,IF(($R12+$S12*'Geometry'!$G$45+$T12*'Geometry'!$F$45)&lt;=C_eco,C_alpha*C_fck*(1-(1-($R12+$S12*'Geometry'!$G$45+$T12*'Geometry'!$F$45)/C_eco)^C_n),C_alpha*C_fck),0)))*'Geometry'!$H$45*'Geometry'!$G$45+((MAX(MIN(S_1_Es*($R12+$S12*'Geometry'!$G$46+$T12*'Geometry'!$F$46),S_1_fy),-S_1_fy))-(IF(($R12+$S12*'Geometry'!$G$46+$T12*'Geometry'!$F$46)&gt;0,IF(($R12+$S12*'Geometry'!$G$46+$T12*'Geometry'!$F$46)&lt;=C_eco,C_alpha*C_fck*(1-(1-($R12+$S12*'Geometry'!$G$46+$T12*'Geometry'!$F$46)/C_eco)^C_n),C_alpha*C_fck),0)))*'Geometry'!$H$46*'Geometry'!$G$46+((MAX(MIN(S_1_Es*($R12+$S12*'Geometry'!$G$47+$T12*'Geometry'!$F$47),S_1_fy),-S_1_fy))-(IF(($R12+$S12*'Geometry'!$G$47+$T12*'Geometry'!$F$47)&gt;0,IF(($R12+$S12*'Geometry'!$G$47+$T12*'Geometry'!$F$47)&lt;=C_eco,C_alpha*C_fck*(1-(1-($R12+$S12*'Geometry'!$G$47+$T12*'Geometry'!$F$47)/C_eco)^C_n),C_alpha*C_fck),0)))*'Geometry'!$H$47*'Geometry'!$G$47+((MAX(MIN(S_1_Es*($R12+$S12*'Geometry'!$G$48+$T12*'Geometry'!$F$48),S_1_fy),-S_1_fy))-(IF(($R12+$S12*'Geometry'!$G$48+$T12*'Geometry'!$F$48)&gt;0,IF(($R12+$S12*'Geometry'!$G$48+$T12*'Geometry'!$F$48)&lt;=C_eco,C_alpha*C_fck*(1-(1-($R12+$S12*'Geometry'!$G$48+$T12*'Geometry'!$F$48)/C_eco)^C_n),C_alpha*C_fck),0)))*'Geometry'!$H$48*'Geometry'!$G$48+((MAX(MIN(S_1_Es*($R12+$S12*'Geometry'!$G$49+$T12*'Geometry'!$F$49),S_1_fy),-S_1_fy))-(IF(($R12+$S12*'Geometry'!$G$49+$T12*'Geometry'!$F$49)&gt;0,IF(($R12+$S12*'Geometry'!$G$49+$T12*'Geometry'!$F$49)&lt;=C_eco,C_alpha*C_fck*(1-(1-($R12+$S12*'Geometry'!$G$49+$T12*'Geometry'!$F$49)/C_eco)^C_n),C_alpha*C_fck),0)))*'Geometry'!$H$49*'Geometry'!$G$49+((MAX(MIN(S_1_Es*($R12+$S12*'Geometry'!$G$50+$T12*'Geometry'!$F$50),S_1_fy),-S_1_fy))-(IF(($R12+$S12*'Geometry'!$G$50+$T12*'Geometry'!$F$50)&gt;0,IF(($R12+$S12*'Geometry'!$G$50+$T12*'Geometry'!$F$50)&lt;=C_eco,C_alpha*C_fck*(1-(1-($R12+$S12*'Geometry'!$G$50+$T12*'Geometry'!$F$50)/C_eco)^C_n),C_alpha*C_fck),0)))*'Geometry'!$H$50*'Geometry'!$G$50+((MAX(MIN(S_1_Es*($R12+$S12*'Geometry'!$G$51+$T12*'Geometry'!$F$51),S_1_fy),-S_1_fy))-(IF(($R12+$S12*'Geometry'!$G$51+$T12*'Geometry'!$F$51)&gt;0,IF(($R12+$S12*'Geometry'!$G$51+$T12*'Geometry'!$F$51)&lt;=C_eco,C_alpha*C_fck*(1-(1-($R12+$S12*'Geometry'!$G$51+$T12*'Geometry'!$F$51)/C_eco)^C_n),C_alpha*C_fck),0)))*'Geometry'!$H$51*'Geometry'!$G$51+((MAX(MIN(S_1_Es*($R12+$S12*'Geometry'!$G$52+$T12*'Geometry'!$F$52),S_1_fy),-S_1_fy))-(IF(($R12+$S12*'Geometry'!$G$52+$T12*'Geometry'!$F$52)&gt;0,IF(($R12+$S12*'Geometry'!$G$52+$T12*'Geometry'!$F$52)&lt;=C_eco,C_alpha*C_fck*(1-(1-($R12+$S12*'Geometry'!$G$52+$T12*'Geometry'!$F$52)/C_eco)^C_n),C_alpha*C_fck),0)))*'Geometry'!$H$52*'Geometry'!$G$52+((MAX(MIN(S_1_Es*($R12+$S12*'Geometry'!$G$53+$T12*'Geometry'!$F$53),S_1_fy),-S_1_fy))-(IF(($R12+$S12*'Geometry'!$G$53+$T12*'Geometry'!$F$53)&gt;0,IF(($R12+$S12*'Geometry'!$G$53+$T12*'Geometry'!$F$53)&lt;=C_eco,C_alpha*C_fck*(1-(1-($R12+$S12*'Geometry'!$G$53+$T12*'Geometry'!$F$53)/C_eco)^C_n),C_alpha*C_fck),0)))*'Geometry'!$H$53*'Geometry'!$G$53+((MAX(MIN(S_1_Es*($R12+$S12*'Geometry'!$G$54+$T12*'Geometry'!$F$54),S_1_fy),-S_1_fy))-(IF(($R12+$S12*'Geometry'!$G$54+$T12*'Geometry'!$F$54)&gt;0,IF(($R12+$S12*'Geometry'!$G$54+$T12*'Geometry'!$F$54)&lt;=C_eco,C_alpha*C_fck*(1-(1-($R12+$S12*'Geometry'!$G$54+$T12*'Geometry'!$F$54)/C_eco)^C_n),C_alpha*C_fck),0)))*'Geometry'!$H$54*'Geometry'!$G$54+((MAX(MIN(S_1_Es*($R12+$S12*'Geometry'!$G$55+$T12*'Geometry'!$F$55),S_1_fy),-S_1_fy))-(IF(($R12+$S12*'Geometry'!$G$55+$T12*'Geometry'!$F$55)&gt;0,IF(($R12+$S12*'Geometry'!$G$55+$T12*'Geometry'!$F$55)&lt;=C_eco,C_alpha*C_fck*(1-(1-($R12+$S12*'Geometry'!$G$55+$T12*'Geometry'!$F$55)/C_eco)^C_n),C_alpha*C_fck),0)))*'Geometry'!$H$55*'Geometry'!$G$55+((MAX(MIN(S_1_Es*($R12+$S12*'Geometry'!$G$56+$T12*'Geometry'!$F$56),S_1_fy),-S_1_fy))-(IF(($R12+$S12*'Geometry'!$G$56+$T12*'Geometry'!$F$56)&gt;0,IF(($R12+$S12*'Geometry'!$G$56+$T12*'Geometry'!$F$56)&lt;=C_eco,C_alpha*C_fck*(1-(1-($R12+$S12*'Geometry'!$G$56+$T12*'Geometry'!$F$56)/C_eco)^C_n),C_alpha*C_fck),0)))*'Geometry'!$H$56*'Geometry'!$G$56+((MAX(MIN(S_1_Es*($R12+$S12*'Geometry'!$G$57+$T12*'Geometry'!$F$57),S_1_fy),-S_1_fy))-(IF(($R12+$S12*'Geometry'!$G$57+$T12*'Geometry'!$F$57)&gt;0,IF(($R12+$S12*'Geometry'!$G$57+$T12*'Geometry'!$F$57)&lt;=C_eco,C_alpha*C_fck*(1-(1-($R12+$S12*'Geometry'!$G$57+$T12*'Geometry'!$F$57)/C_eco)^C_n),C_alpha*C_fck),0)))*'Geometry'!$H$57*'Geometry'!$G$57)/1000000</f>
        <v>530.0683022318806</v>
      </c>
      <c r="Z12" s="10">
        <f>(((MAX(MIN(S_1_Es*($R12+$S12*'Geometry'!$G$40+$T12*'Geometry'!$F$40),S_1_fy),-S_1_fy))-(IF(($R12+$S12*'Geometry'!$G$40+$T12*'Geometry'!$F$40)&gt;0,IF(($R12+$S12*'Geometry'!$G$40+$T12*'Geometry'!$F$40)&lt;=C_eco,C_alpha*C_fck*(1-(1-($R12+$S12*'Geometry'!$G$40+$T12*'Geometry'!$F$40)/C_eco)^C_n),C_alpha*C_fck),0)))*'Geometry'!$H$40*'Geometry'!$F$40+((MAX(MIN(S_1_Es*($R12+$S12*'Geometry'!$G$41+$T12*'Geometry'!$F$41),S_1_fy),-S_1_fy))-(IF(($R12+$S12*'Geometry'!$G$41+$T12*'Geometry'!$F$41)&gt;0,IF(($R12+$S12*'Geometry'!$G$41+$T12*'Geometry'!$F$41)&lt;=C_eco,C_alpha*C_fck*(1-(1-($R12+$S12*'Geometry'!$G$41+$T12*'Geometry'!$F$41)/C_eco)^C_n),C_alpha*C_fck),0)))*'Geometry'!$H$41*'Geometry'!$F$41+((MAX(MIN(S_1_Es*($R12+$S12*'Geometry'!$G$42+$T12*'Geometry'!$F$42),S_1_fy),-S_1_fy))-(IF(($R12+$S12*'Geometry'!$G$42+$T12*'Geometry'!$F$42)&gt;0,IF(($R12+$S12*'Geometry'!$G$42+$T12*'Geometry'!$F$42)&lt;=C_eco,C_alpha*C_fck*(1-(1-($R12+$S12*'Geometry'!$G$42+$T12*'Geometry'!$F$42)/C_eco)^C_n),C_alpha*C_fck),0)))*'Geometry'!$H$42*'Geometry'!$F$42+((MAX(MIN(S_1_Es*($R12+$S12*'Geometry'!$G$43+$T12*'Geometry'!$F$43),S_1_fy),-S_1_fy))-(IF(($R12+$S12*'Geometry'!$G$43+$T12*'Geometry'!$F$43)&gt;0,IF(($R12+$S12*'Geometry'!$G$43+$T12*'Geometry'!$F$43)&lt;=C_eco,C_alpha*C_fck*(1-(1-($R12+$S12*'Geometry'!$G$43+$T12*'Geometry'!$F$43)/C_eco)^C_n),C_alpha*C_fck),0)))*'Geometry'!$H$43*'Geometry'!$F$43+((MAX(MIN(S_1_Es*($R12+$S12*'Geometry'!$G$44+$T12*'Geometry'!$F$44),S_1_fy),-S_1_fy))-(IF(($R12+$S12*'Geometry'!$G$44+$T12*'Geometry'!$F$44)&gt;0,IF(($R12+$S12*'Geometry'!$G$44+$T12*'Geometry'!$F$44)&lt;=C_eco,C_alpha*C_fck*(1-(1-($R12+$S12*'Geometry'!$G$44+$T12*'Geometry'!$F$44)/C_eco)^C_n),C_alpha*C_fck),0)))*'Geometry'!$H$44*'Geometry'!$F$44+((MAX(MIN(S_1_Es*($R12+$S12*'Geometry'!$G$45+$T12*'Geometry'!$F$45),S_1_fy),-S_1_fy))-(IF(($R12+$S12*'Geometry'!$G$45+$T12*'Geometry'!$F$45)&gt;0,IF(($R12+$S12*'Geometry'!$G$45+$T12*'Geometry'!$F$45)&lt;=C_eco,C_alpha*C_fck*(1-(1-($R12+$S12*'Geometry'!$G$45+$T12*'Geometry'!$F$45)/C_eco)^C_n),C_alpha*C_fck),0)))*'Geometry'!$H$45*'Geometry'!$F$45+((MAX(MIN(S_1_Es*($R12+$S12*'Geometry'!$G$46+$T12*'Geometry'!$F$46),S_1_fy),-S_1_fy))-(IF(($R12+$S12*'Geometry'!$G$46+$T12*'Geometry'!$F$46)&gt;0,IF(($R12+$S12*'Geometry'!$G$46+$T12*'Geometry'!$F$46)&lt;=C_eco,C_alpha*C_fck*(1-(1-($R12+$S12*'Geometry'!$G$46+$T12*'Geometry'!$F$46)/C_eco)^C_n),C_alpha*C_fck),0)))*'Geometry'!$H$46*'Geometry'!$F$46+((MAX(MIN(S_1_Es*($R12+$S12*'Geometry'!$G$47+$T12*'Geometry'!$F$47),S_1_fy),-S_1_fy))-(IF(($R12+$S12*'Geometry'!$G$47+$T12*'Geometry'!$F$47)&gt;0,IF(($R12+$S12*'Geometry'!$G$47+$T12*'Geometry'!$F$47)&lt;=C_eco,C_alpha*C_fck*(1-(1-($R12+$S12*'Geometry'!$G$47+$T12*'Geometry'!$F$47)/C_eco)^C_n),C_alpha*C_fck),0)))*'Geometry'!$H$47*'Geometry'!$F$47+((MAX(MIN(S_1_Es*($R12+$S12*'Geometry'!$G$48+$T12*'Geometry'!$F$48),S_1_fy),-S_1_fy))-(IF(($R12+$S12*'Geometry'!$G$48+$T12*'Geometry'!$F$48)&gt;0,IF(($R12+$S12*'Geometry'!$G$48+$T12*'Geometry'!$F$48)&lt;=C_eco,C_alpha*C_fck*(1-(1-($R12+$S12*'Geometry'!$G$48+$T12*'Geometry'!$F$48)/C_eco)^C_n),C_alpha*C_fck),0)))*'Geometry'!$H$48*'Geometry'!$F$48+((MAX(MIN(S_1_Es*($R12+$S12*'Geometry'!$G$49+$T12*'Geometry'!$F$49),S_1_fy),-S_1_fy))-(IF(($R12+$S12*'Geometry'!$G$49+$T12*'Geometry'!$F$49)&gt;0,IF(($R12+$S12*'Geometry'!$G$49+$T12*'Geometry'!$F$49)&lt;=C_eco,C_alpha*C_fck*(1-(1-($R12+$S12*'Geometry'!$G$49+$T12*'Geometry'!$F$49)/C_eco)^C_n),C_alpha*C_fck),0)))*'Geometry'!$H$49*'Geometry'!$F$49+((MAX(MIN(S_1_Es*($R12+$S12*'Geometry'!$G$50+$T12*'Geometry'!$F$50),S_1_fy),-S_1_fy))-(IF(($R12+$S12*'Geometry'!$G$50+$T12*'Geometry'!$F$50)&gt;0,IF(($R12+$S12*'Geometry'!$G$50+$T12*'Geometry'!$F$50)&lt;=C_eco,C_alpha*C_fck*(1-(1-($R12+$S12*'Geometry'!$G$50+$T12*'Geometry'!$F$50)/C_eco)^C_n),C_alpha*C_fck),0)))*'Geometry'!$H$50*'Geometry'!$F$50+((MAX(MIN(S_1_Es*($R12+$S12*'Geometry'!$G$51+$T12*'Geometry'!$F$51),S_1_fy),-S_1_fy))-(IF(($R12+$S12*'Geometry'!$G$51+$T12*'Geometry'!$F$51)&gt;0,IF(($R12+$S12*'Geometry'!$G$51+$T12*'Geometry'!$F$51)&lt;=C_eco,C_alpha*C_fck*(1-(1-($R12+$S12*'Geometry'!$G$51+$T12*'Geometry'!$F$51)/C_eco)^C_n),C_alpha*C_fck),0)))*'Geometry'!$H$51*'Geometry'!$F$51+((MAX(MIN(S_1_Es*($R12+$S12*'Geometry'!$G$52+$T12*'Geometry'!$F$52),S_1_fy),-S_1_fy))-(IF(($R12+$S12*'Geometry'!$G$52+$T12*'Geometry'!$F$52)&gt;0,IF(($R12+$S12*'Geometry'!$G$52+$T12*'Geometry'!$F$52)&lt;=C_eco,C_alpha*C_fck*(1-(1-($R12+$S12*'Geometry'!$G$52+$T12*'Geometry'!$F$52)/C_eco)^C_n),C_alpha*C_fck),0)))*'Geometry'!$H$52*'Geometry'!$F$52+((MAX(MIN(S_1_Es*($R12+$S12*'Geometry'!$G$53+$T12*'Geometry'!$F$53),S_1_fy),-S_1_fy))-(IF(($R12+$S12*'Geometry'!$G$53+$T12*'Geometry'!$F$53)&gt;0,IF(($R12+$S12*'Geometry'!$G$53+$T12*'Geometry'!$F$53)&lt;=C_eco,C_alpha*C_fck*(1-(1-($R12+$S12*'Geometry'!$G$53+$T12*'Geometry'!$F$53)/C_eco)^C_n),C_alpha*C_fck),0)))*'Geometry'!$H$53*'Geometry'!$F$53+((MAX(MIN(S_1_Es*($R12+$S12*'Geometry'!$G$54+$T12*'Geometry'!$F$54),S_1_fy),-S_1_fy))-(IF(($R12+$S12*'Geometry'!$G$54+$T12*'Geometry'!$F$54)&gt;0,IF(($R12+$S12*'Geometry'!$G$54+$T12*'Geometry'!$F$54)&lt;=C_eco,C_alpha*C_fck*(1-(1-($R12+$S12*'Geometry'!$G$54+$T12*'Geometry'!$F$54)/C_eco)^C_n),C_alpha*C_fck),0)))*'Geometry'!$H$54*'Geometry'!$F$54+((MAX(MIN(S_1_Es*($R12+$S12*'Geometry'!$G$55+$T12*'Geometry'!$F$55),S_1_fy),-S_1_fy))-(IF(($R12+$S12*'Geometry'!$G$55+$T12*'Geometry'!$F$55)&gt;0,IF(($R12+$S12*'Geometry'!$G$55+$T12*'Geometry'!$F$55)&lt;=C_eco,C_alpha*C_fck*(1-(1-($R12+$S12*'Geometry'!$G$55+$T12*'Geometry'!$F$55)/C_eco)^C_n),C_alpha*C_fck),0)))*'Geometry'!$H$55*'Geometry'!$F$55+((MAX(MIN(S_1_Es*($R12+$S12*'Geometry'!$G$56+$T12*'Geometry'!$F$56),S_1_fy),-S_1_fy))-(IF(($R12+$S12*'Geometry'!$G$56+$T12*'Geometry'!$F$56)&gt;0,IF(($R12+$S12*'Geometry'!$G$56+$T12*'Geometry'!$F$56)&lt;=C_eco,C_alpha*C_fck*(1-(1-($R12+$S12*'Geometry'!$G$56+$T12*'Geometry'!$F$56)/C_eco)^C_n),C_alpha*C_fck),0)))*'Geometry'!$H$56*'Geometry'!$F$56+((MAX(MIN(S_1_Es*($R12+$S12*'Geometry'!$G$57+$T12*'Geometry'!$F$57),S_1_fy),-S_1_fy))-(IF(($R12+$S12*'Geometry'!$G$57+$T12*'Geometry'!$F$57)&gt;0,IF(($R12+$S12*'Geometry'!$G$57+$T12*'Geometry'!$F$57)&lt;=C_eco,C_alpha*C_fck*(1-(1-($R12+$S12*'Geometry'!$G$57+$T12*'Geometry'!$F$57)/C_eco)^C_n),C_alpha*C_fck),0)))*'Geometry'!$H$57*'Geometry'!$F$57)/1000000</f>
        <v>133.62678469615787</v>
      </c>
      <c r="AA12" s="10">
        <f>U12+X12</f>
        <v>30287.9242204263</v>
      </c>
      <c r="AB12" s="10">
        <f>V12+Y12</f>
        <v>1666.7427735529131</v>
      </c>
      <c r="AC12" s="10">
        <f>W12+Z12</f>
        <v>464.0487793406833</v>
      </c>
      <c r="AD12" s="7">
        <v>0.5834122367344766</v>
      </c>
      <c r="AE12" s="7">
        <v>0.7974815858650167</v>
      </c>
      <c r="AF12" s="10">
        <f>AA12*AD12</f>
        <v>17670.345615483235</v>
      </c>
      <c r="AG12" s="10">
        <f>AB12*AE12</f>
        <v>1334.1491740790477</v>
      </c>
      <c r="AH12" s="10">
        <f>AC12*AE12</f>
        <v>352.28224822924165</v>
      </c>
      <c r="AI12" s="7">
        <v>17670.345615483235</v>
      </c>
      <c r="AJ12" s="7">
        <v>1334.1491740790477</v>
      </c>
      <c r="AK12" s="7">
        <v>352.28224822924165</v>
      </c>
      <c r="AL12" s="15">
        <f>AF12-AI12</f>
        <v>0</v>
      </c>
      <c r="AM12" s="15">
        <f>SQRT((AG12-AJ12)^2+(AH12-AK12)^2)</f>
        <v>0</v>
      </c>
      <c r="AN12" s="7" t="s">
        <v>189</v>
      </c>
      <c r="AO12" s="7">
        <v>30287.9242204263</v>
      </c>
      <c r="AP12" s="7">
        <v>1666.7427735529131</v>
      </c>
      <c r="AQ12" s="7">
        <v>464.0487793406833</v>
      </c>
      <c r="AR12" s="7">
        <v>26049.236195750684</v>
      </c>
      <c r="AS12" s="7">
        <v>1136.6744713210326</v>
      </c>
      <c r="AT12" s="7">
        <v>330.42199464452545</v>
      </c>
      <c r="AU12" s="7">
        <v>4238.6880246756145</v>
      </c>
      <c r="AV12" s="7">
        <v>530.0683022318806</v>
      </c>
      <c r="AW12" s="7">
        <v>133.62678469615787</v>
      </c>
    </row>
    <row r="13" spans="1:49" x14ac:dyDescent="0.25">
      <c r="A13">
        <v>6</v>
      </c>
      <c r="B13" t="s">
        <v>199</v>
      </c>
      <c r="C13" s="21">
        <f>$AF$13</f>
        <v>17670.345615483235</v>
      </c>
      <c r="D13" s="22">
        <f>$AG$13*COS(RADIANS($C$5))+$AH$13*SIN(RADIANS($C$5))</f>
        <v>1724.8331230730544</v>
      </c>
      <c r="G13" s="7" t="s">
        <v>200</v>
      </c>
      <c r="H13" s="7" t="s">
        <v>199</v>
      </c>
      <c r="I13" s="12">
        <v>10</v>
      </c>
      <c r="J13" s="7" t="s">
        <v>192</v>
      </c>
      <c r="K13" s="12">
        <v>1.1000000000000003</v>
      </c>
      <c r="L13" s="10">
        <f>MAX(('Geometry'!$G$13*COS(RADIANS(I13))+'Geometry'!$F$13*SIN(RADIANS(I13))),('Geometry'!$G$14*COS(RADIANS(I13))+'Geometry'!$F$14*SIN(RADIANS(I13))),('Geometry'!$G$15*COS(RADIANS(I13))+'Geometry'!$F$15*SIN(RADIANS(I13))),('Geometry'!$G$16*COS(RADIANS(I13))+'Geometry'!$F$16*SIN(RADIANS(I13))),('Geometry'!$G$17*COS(RADIANS(I13))+'Geometry'!$F$17*SIN(RADIANS(I13))),('Geometry'!$G$18*COS(RADIANS(I13))+'Geometry'!$F$18*SIN(RADIANS(I13))),('Geometry'!$G$19*COS(RADIANS(I13))+'Geometry'!$F$19*SIN(RADIANS(I13))),('Geometry'!$G$20*COS(RADIANS(I13))+'Geometry'!$F$20*SIN(RADIANS(I13))))</f>
        <v>686.3911495241364</v>
      </c>
      <c r="M13" s="10">
        <f>L13-K13*N13</f>
        <v>-823.669379428964</v>
      </c>
      <c r="N13" s="10">
        <f>L13-MIN(('Geometry'!$G$13*COS(RADIANS(I13))+'Geometry'!$F$13*SIN(RADIANS(I13))),('Geometry'!$G$14*COS(RADIANS(I13))+'Geometry'!$F$14*SIN(RADIANS(I13))),('Geometry'!$G$15*COS(RADIANS(I13))+'Geometry'!$F$15*SIN(RADIANS(I13))),('Geometry'!$G$16*COS(RADIANS(I13))+'Geometry'!$F$16*SIN(RADIANS(I13))),('Geometry'!$G$17*COS(RADIANS(I13))+'Geometry'!$F$17*SIN(RADIANS(I13))),('Geometry'!$G$18*COS(RADIANS(I13))+'Geometry'!$F$18*SIN(RADIANS(I13))),('Geometry'!$G$19*COS(RADIANS(I13))+'Geometry'!$F$19*SIN(RADIANS(I13))),('Geometry'!$G$20*COS(RADIANS(I13))+'Geometry'!$F$20*SIN(RADIANS(I13))))</f>
        <v>1372.7822990482728</v>
      </c>
      <c r="O13" s="15">
        <f>C_ecu</f>
        <v>0.0033</v>
      </c>
      <c r="P13" s="15">
        <f>0</f>
        <v>0</v>
      </c>
      <c r="Q13" s="20">
        <f>IF(ABS(L13-M13)&lt;0.000000000001,0,(O13-P13)/(L13-M13))</f>
        <v>0.000002185342863234651</v>
      </c>
      <c r="R13" s="15">
        <f>O13-Q13*L13</f>
        <v>0.0018000000000000002</v>
      </c>
      <c r="S13" s="20">
        <f>Q13*COS(RADIANS(I13))</f>
        <v>0.000002152142594703382</v>
      </c>
      <c r="T13" s="20">
        <f>Q13*SIN(RADIANS(I13))</f>
        <v>3.7948080577812895e-7</v>
      </c>
      <c r="U13" s="10">
        <f>SUMPRODUCT(C_alpha*C_fck*(1-(1-((($R13+$S13*Mesh_Y+$T13*Mesh_X))*(($R13+$S13*Mesh_Y+$T13*Mesh_X)&gt;0)*(($R13+$S13*Mesh_Y+$T13*Mesh_X)&lt;C_eco)+C_eco*(($R13+$S13*Mesh_Y+$T13*Mesh_X)&gt;=C_eco))/C_eco)^C_n)*((($R13+$S13*Mesh_Y+$T13*Mesh_X))&gt;0),Mesh_A)/1000</f>
        <v>24816.52313151211</v>
      </c>
      <c r="V13" s="10">
        <f>SUMPRODUCT(C_alpha*C_fck*(1-(1-((($R13+$S13*Mesh_Y+$T13*Mesh_X))*(($R13+$S13*Mesh_Y+$T13*Mesh_X)&gt;0)*(($R13+$S13*Mesh_Y+$T13*Mesh_X)&lt;C_eco)+C_eco*(($R13+$S13*Mesh_Y+$T13*Mesh_X)&gt;=C_eco))/C_eco)^C_n)*((($R13+$S13*Mesh_Y+$T13*Mesh_X))&gt;0),Mesh_A,Mesh_Y)/1000000</f>
        <v>1659.2643916051352</v>
      </c>
      <c r="W13" s="10">
        <f>SUMPRODUCT(C_alpha*C_fck*(1-(1-((($R13+$S13*Mesh_Y+$T13*Mesh_X))*(($R13+$S13*Mesh_Y+$T13*Mesh_X)&gt;0)*(($R13+$S13*Mesh_Y+$T13*Mesh_X)&lt;C_eco)+C_eco*(($R13+$S13*Mesh_Y+$T13*Mesh_X)&gt;=C_eco))/C_eco)^C_n)*((($R13+$S13*Mesh_Y+$T13*Mesh_X))&gt;0),Mesh_A,Mesh_X)/1000000</f>
        <v>462.29279479572347</v>
      </c>
      <c r="X13" s="10">
        <f>(((MAX(MIN(S_1_Es*($R13+$S13*'Geometry'!$G$40+$T13*'Geometry'!$F$40),S_1_fy),-S_1_fy))-(IF(($R13+$S13*'Geometry'!$G$40+$T13*'Geometry'!$F$40)&gt;0,IF(($R13+$S13*'Geometry'!$G$40+$T13*'Geometry'!$F$40)&lt;=C_eco,C_alpha*C_fck*(1-(1-($R13+$S13*'Geometry'!$G$40+$T13*'Geometry'!$F$40)/C_eco)^C_n),C_alpha*C_fck),0)))*'Geometry'!$H$40+((MAX(MIN(S_1_Es*($R13+$S13*'Geometry'!$G$41+$T13*'Geometry'!$F$41),S_1_fy),-S_1_fy))-(IF(($R13+$S13*'Geometry'!$G$41+$T13*'Geometry'!$F$41)&gt;0,IF(($R13+$S13*'Geometry'!$G$41+$T13*'Geometry'!$F$41)&lt;=C_eco,C_alpha*C_fck*(1-(1-($R13+$S13*'Geometry'!$G$41+$T13*'Geometry'!$F$41)/C_eco)^C_n),C_alpha*C_fck),0)))*'Geometry'!$H$41+((MAX(MIN(S_1_Es*($R13+$S13*'Geometry'!$G$42+$T13*'Geometry'!$F$42),S_1_fy),-S_1_fy))-(IF(($R13+$S13*'Geometry'!$G$42+$T13*'Geometry'!$F$42)&gt;0,IF(($R13+$S13*'Geometry'!$G$42+$T13*'Geometry'!$F$42)&lt;=C_eco,C_alpha*C_fck*(1-(1-($R13+$S13*'Geometry'!$G$42+$T13*'Geometry'!$F$42)/C_eco)^C_n),C_alpha*C_fck),0)))*'Geometry'!$H$42+((MAX(MIN(S_1_Es*($R13+$S13*'Geometry'!$G$43+$T13*'Geometry'!$F$43),S_1_fy),-S_1_fy))-(IF(($R13+$S13*'Geometry'!$G$43+$T13*'Geometry'!$F$43)&gt;0,IF(($R13+$S13*'Geometry'!$G$43+$T13*'Geometry'!$F$43)&lt;=C_eco,C_alpha*C_fck*(1-(1-($R13+$S13*'Geometry'!$G$43+$T13*'Geometry'!$F$43)/C_eco)^C_n),C_alpha*C_fck),0)))*'Geometry'!$H$43+((MAX(MIN(S_1_Es*($R13+$S13*'Geometry'!$G$44+$T13*'Geometry'!$F$44),S_1_fy),-S_1_fy))-(IF(($R13+$S13*'Geometry'!$G$44+$T13*'Geometry'!$F$44)&gt;0,IF(($R13+$S13*'Geometry'!$G$44+$T13*'Geometry'!$F$44)&lt;=C_eco,C_alpha*C_fck*(1-(1-($R13+$S13*'Geometry'!$G$44+$T13*'Geometry'!$F$44)/C_eco)^C_n),C_alpha*C_fck),0)))*'Geometry'!$H$44+((MAX(MIN(S_1_Es*($R13+$S13*'Geometry'!$G$45+$T13*'Geometry'!$F$45),S_1_fy),-S_1_fy))-(IF(($R13+$S13*'Geometry'!$G$45+$T13*'Geometry'!$F$45)&gt;0,IF(($R13+$S13*'Geometry'!$G$45+$T13*'Geometry'!$F$45)&lt;=C_eco,C_alpha*C_fck*(1-(1-($R13+$S13*'Geometry'!$G$45+$T13*'Geometry'!$F$45)/C_eco)^C_n),C_alpha*C_fck),0)))*'Geometry'!$H$45+((MAX(MIN(S_1_Es*($R13+$S13*'Geometry'!$G$46+$T13*'Geometry'!$F$46),S_1_fy),-S_1_fy))-(IF(($R13+$S13*'Geometry'!$G$46+$T13*'Geometry'!$F$46)&gt;0,IF(($R13+$S13*'Geometry'!$G$46+$T13*'Geometry'!$F$46)&lt;=C_eco,C_alpha*C_fck*(1-(1-($R13+$S13*'Geometry'!$G$46+$T13*'Geometry'!$F$46)/C_eco)^C_n),C_alpha*C_fck),0)))*'Geometry'!$H$46+((MAX(MIN(S_1_Es*($R13+$S13*'Geometry'!$G$47+$T13*'Geometry'!$F$47),S_1_fy),-S_1_fy))-(IF(($R13+$S13*'Geometry'!$G$47+$T13*'Geometry'!$F$47)&gt;0,IF(($R13+$S13*'Geometry'!$G$47+$T13*'Geometry'!$F$47)&lt;=C_eco,C_alpha*C_fck*(1-(1-($R13+$S13*'Geometry'!$G$47+$T13*'Geometry'!$F$47)/C_eco)^C_n),C_alpha*C_fck),0)))*'Geometry'!$H$47+((MAX(MIN(S_1_Es*($R13+$S13*'Geometry'!$G$48+$T13*'Geometry'!$F$48),S_1_fy),-S_1_fy))-(IF(($R13+$S13*'Geometry'!$G$48+$T13*'Geometry'!$F$48)&gt;0,IF(($R13+$S13*'Geometry'!$G$48+$T13*'Geometry'!$F$48)&lt;=C_eco,C_alpha*C_fck*(1-(1-($R13+$S13*'Geometry'!$G$48+$T13*'Geometry'!$F$48)/C_eco)^C_n),C_alpha*C_fck),0)))*'Geometry'!$H$48+((MAX(MIN(S_1_Es*($R13+$S13*'Geometry'!$G$49+$T13*'Geometry'!$F$49),S_1_fy),-S_1_fy))-(IF(($R13+$S13*'Geometry'!$G$49+$T13*'Geometry'!$F$49)&gt;0,IF(($R13+$S13*'Geometry'!$G$49+$T13*'Geometry'!$F$49)&lt;=C_eco,C_alpha*C_fck*(1-(1-($R13+$S13*'Geometry'!$G$49+$T13*'Geometry'!$F$49)/C_eco)^C_n),C_alpha*C_fck),0)))*'Geometry'!$H$49+((MAX(MIN(S_1_Es*($R13+$S13*'Geometry'!$G$50+$T13*'Geometry'!$F$50),S_1_fy),-S_1_fy))-(IF(($R13+$S13*'Geometry'!$G$50+$T13*'Geometry'!$F$50)&gt;0,IF(($R13+$S13*'Geometry'!$G$50+$T13*'Geometry'!$F$50)&lt;=C_eco,C_alpha*C_fck*(1-(1-($R13+$S13*'Geometry'!$G$50+$T13*'Geometry'!$F$50)/C_eco)^C_n),C_alpha*C_fck),0)))*'Geometry'!$H$50+((MAX(MIN(S_1_Es*($R13+$S13*'Geometry'!$G$51+$T13*'Geometry'!$F$51),S_1_fy),-S_1_fy))-(IF(($R13+$S13*'Geometry'!$G$51+$T13*'Geometry'!$F$51)&gt;0,IF(($R13+$S13*'Geometry'!$G$51+$T13*'Geometry'!$F$51)&lt;=C_eco,C_alpha*C_fck*(1-(1-($R13+$S13*'Geometry'!$G$51+$T13*'Geometry'!$F$51)/C_eco)^C_n),C_alpha*C_fck),0)))*'Geometry'!$H$51+((MAX(MIN(S_1_Es*($R13+$S13*'Geometry'!$G$52+$T13*'Geometry'!$F$52),S_1_fy),-S_1_fy))-(IF(($R13+$S13*'Geometry'!$G$52+$T13*'Geometry'!$F$52)&gt;0,IF(($R13+$S13*'Geometry'!$G$52+$T13*'Geometry'!$F$52)&lt;=C_eco,C_alpha*C_fck*(1-(1-($R13+$S13*'Geometry'!$G$52+$T13*'Geometry'!$F$52)/C_eco)^C_n),C_alpha*C_fck),0)))*'Geometry'!$H$52+((MAX(MIN(S_1_Es*($R13+$S13*'Geometry'!$G$53+$T13*'Geometry'!$F$53),S_1_fy),-S_1_fy))-(IF(($R13+$S13*'Geometry'!$G$53+$T13*'Geometry'!$F$53)&gt;0,IF(($R13+$S13*'Geometry'!$G$53+$T13*'Geometry'!$F$53)&lt;=C_eco,C_alpha*C_fck*(1-(1-($R13+$S13*'Geometry'!$G$53+$T13*'Geometry'!$F$53)/C_eco)^C_n),C_alpha*C_fck),0)))*'Geometry'!$H$53+((MAX(MIN(S_1_Es*($R13+$S13*'Geometry'!$G$54+$T13*'Geometry'!$F$54),S_1_fy),-S_1_fy))-(IF(($R13+$S13*'Geometry'!$G$54+$T13*'Geometry'!$F$54)&gt;0,IF(($R13+$S13*'Geometry'!$G$54+$T13*'Geometry'!$F$54)&lt;=C_eco,C_alpha*C_fck*(1-(1-($R13+$S13*'Geometry'!$G$54+$T13*'Geometry'!$F$54)/C_eco)^C_n),C_alpha*C_fck),0)))*'Geometry'!$H$54+((MAX(MIN(S_1_Es*($R13+$S13*'Geometry'!$G$55+$T13*'Geometry'!$F$55),S_1_fy),-S_1_fy))-(IF(($R13+$S13*'Geometry'!$G$55+$T13*'Geometry'!$F$55)&gt;0,IF(($R13+$S13*'Geometry'!$G$55+$T13*'Geometry'!$F$55)&lt;=C_eco,C_alpha*C_fck*(1-(1-($R13+$S13*'Geometry'!$G$55+$T13*'Geometry'!$F$55)/C_eco)^C_n),C_alpha*C_fck),0)))*'Geometry'!$H$55+((MAX(MIN(S_1_Es*($R13+$S13*'Geometry'!$G$56+$T13*'Geometry'!$F$56),S_1_fy),-S_1_fy))-(IF(($R13+$S13*'Geometry'!$G$56+$T13*'Geometry'!$F$56)&gt;0,IF(($R13+$S13*'Geometry'!$G$56+$T13*'Geometry'!$F$56)&lt;=C_eco,C_alpha*C_fck*(1-(1-($R13+$S13*'Geometry'!$G$56+$T13*'Geometry'!$F$56)/C_eco)^C_n),C_alpha*C_fck),0)))*'Geometry'!$H$56+((MAX(MIN(S_1_Es*($R13+$S13*'Geometry'!$G$57+$T13*'Geometry'!$F$57),S_1_fy),-S_1_fy))-(IF(($R13+$S13*'Geometry'!$G$57+$T13*'Geometry'!$F$57)&gt;0,IF(($R13+$S13*'Geometry'!$G$57+$T13*'Geometry'!$F$57)&lt;=C_eco,C_alpha*C_fck*(1-(1-($R13+$S13*'Geometry'!$G$57+$T13*'Geometry'!$F$57)/C_eco)^C_n),C_alpha*C_fck),0)))*'Geometry'!$H$57)/1000</f>
        <v>3955.6932707002143</v>
      </c>
      <c r="Y13" s="10">
        <f>(((MAX(MIN(S_1_Es*($R13+$S13*'Geometry'!$G$40+$T13*'Geometry'!$F$40),S_1_fy),-S_1_fy))-(IF(($R13+$S13*'Geometry'!$G$40+$T13*'Geometry'!$F$40)&gt;0,IF(($R13+$S13*'Geometry'!$G$40+$T13*'Geometry'!$F$40)&lt;=C_eco,C_alpha*C_fck*(1-(1-($R13+$S13*'Geometry'!$G$40+$T13*'Geometry'!$F$40)/C_eco)^C_n),C_alpha*C_fck),0)))*'Geometry'!$H$40*'Geometry'!$G$40+((MAX(MIN(S_1_Es*($R13+$S13*'Geometry'!$G$41+$T13*'Geometry'!$F$41),S_1_fy),-S_1_fy))-(IF(($R13+$S13*'Geometry'!$G$41+$T13*'Geometry'!$F$41)&gt;0,IF(($R13+$S13*'Geometry'!$G$41+$T13*'Geometry'!$F$41)&lt;=C_eco,C_alpha*C_fck*(1-(1-($R13+$S13*'Geometry'!$G$41+$T13*'Geometry'!$F$41)/C_eco)^C_n),C_alpha*C_fck),0)))*'Geometry'!$H$41*'Geometry'!$G$41+((MAX(MIN(S_1_Es*($R13+$S13*'Geometry'!$G$42+$T13*'Geometry'!$F$42),S_1_fy),-S_1_fy))-(IF(($R13+$S13*'Geometry'!$G$42+$T13*'Geometry'!$F$42)&gt;0,IF(($R13+$S13*'Geometry'!$G$42+$T13*'Geometry'!$F$42)&lt;=C_eco,C_alpha*C_fck*(1-(1-($R13+$S13*'Geometry'!$G$42+$T13*'Geometry'!$F$42)/C_eco)^C_n),C_alpha*C_fck),0)))*'Geometry'!$H$42*'Geometry'!$G$42+((MAX(MIN(S_1_Es*($R13+$S13*'Geometry'!$G$43+$T13*'Geometry'!$F$43),S_1_fy),-S_1_fy))-(IF(($R13+$S13*'Geometry'!$G$43+$T13*'Geometry'!$F$43)&gt;0,IF(($R13+$S13*'Geometry'!$G$43+$T13*'Geometry'!$F$43)&lt;=C_eco,C_alpha*C_fck*(1-(1-($R13+$S13*'Geometry'!$G$43+$T13*'Geometry'!$F$43)/C_eco)^C_n),C_alpha*C_fck),0)))*'Geometry'!$H$43*'Geometry'!$G$43+((MAX(MIN(S_1_Es*($R13+$S13*'Geometry'!$G$44+$T13*'Geometry'!$F$44),S_1_fy),-S_1_fy))-(IF(($R13+$S13*'Geometry'!$G$44+$T13*'Geometry'!$F$44)&gt;0,IF(($R13+$S13*'Geometry'!$G$44+$T13*'Geometry'!$F$44)&lt;=C_eco,C_alpha*C_fck*(1-(1-($R13+$S13*'Geometry'!$G$44+$T13*'Geometry'!$F$44)/C_eco)^C_n),C_alpha*C_fck),0)))*'Geometry'!$H$44*'Geometry'!$G$44+((MAX(MIN(S_1_Es*($R13+$S13*'Geometry'!$G$45+$T13*'Geometry'!$F$45),S_1_fy),-S_1_fy))-(IF(($R13+$S13*'Geometry'!$G$45+$T13*'Geometry'!$F$45)&gt;0,IF(($R13+$S13*'Geometry'!$G$45+$T13*'Geometry'!$F$45)&lt;=C_eco,C_alpha*C_fck*(1-(1-($R13+$S13*'Geometry'!$G$45+$T13*'Geometry'!$F$45)/C_eco)^C_n),C_alpha*C_fck),0)))*'Geometry'!$H$45*'Geometry'!$G$45+((MAX(MIN(S_1_Es*($R13+$S13*'Geometry'!$G$46+$T13*'Geometry'!$F$46),S_1_fy),-S_1_fy))-(IF(($R13+$S13*'Geometry'!$G$46+$T13*'Geometry'!$F$46)&gt;0,IF(($R13+$S13*'Geometry'!$G$46+$T13*'Geometry'!$F$46)&lt;=C_eco,C_alpha*C_fck*(1-(1-($R13+$S13*'Geometry'!$G$46+$T13*'Geometry'!$F$46)/C_eco)^C_n),C_alpha*C_fck),0)))*'Geometry'!$H$46*'Geometry'!$G$46+((MAX(MIN(S_1_Es*($R13+$S13*'Geometry'!$G$47+$T13*'Geometry'!$F$47),S_1_fy),-S_1_fy))-(IF(($R13+$S13*'Geometry'!$G$47+$T13*'Geometry'!$F$47)&gt;0,IF(($R13+$S13*'Geometry'!$G$47+$T13*'Geometry'!$F$47)&lt;=C_eco,C_alpha*C_fck*(1-(1-($R13+$S13*'Geometry'!$G$47+$T13*'Geometry'!$F$47)/C_eco)^C_n),C_alpha*C_fck),0)))*'Geometry'!$H$47*'Geometry'!$G$47+((MAX(MIN(S_1_Es*($R13+$S13*'Geometry'!$G$48+$T13*'Geometry'!$F$48),S_1_fy),-S_1_fy))-(IF(($R13+$S13*'Geometry'!$G$48+$T13*'Geometry'!$F$48)&gt;0,IF(($R13+$S13*'Geometry'!$G$48+$T13*'Geometry'!$F$48)&lt;=C_eco,C_alpha*C_fck*(1-(1-($R13+$S13*'Geometry'!$G$48+$T13*'Geometry'!$F$48)/C_eco)^C_n),C_alpha*C_fck),0)))*'Geometry'!$H$48*'Geometry'!$G$48+((MAX(MIN(S_1_Es*($R13+$S13*'Geometry'!$G$49+$T13*'Geometry'!$F$49),S_1_fy),-S_1_fy))-(IF(($R13+$S13*'Geometry'!$G$49+$T13*'Geometry'!$F$49)&gt;0,IF(($R13+$S13*'Geometry'!$G$49+$T13*'Geometry'!$F$49)&lt;=C_eco,C_alpha*C_fck*(1-(1-($R13+$S13*'Geometry'!$G$49+$T13*'Geometry'!$F$49)/C_eco)^C_n),C_alpha*C_fck),0)))*'Geometry'!$H$49*'Geometry'!$G$49+((MAX(MIN(S_1_Es*($R13+$S13*'Geometry'!$G$50+$T13*'Geometry'!$F$50),S_1_fy),-S_1_fy))-(IF(($R13+$S13*'Geometry'!$G$50+$T13*'Geometry'!$F$50)&gt;0,IF(($R13+$S13*'Geometry'!$G$50+$T13*'Geometry'!$F$50)&lt;=C_eco,C_alpha*C_fck*(1-(1-($R13+$S13*'Geometry'!$G$50+$T13*'Geometry'!$F$50)/C_eco)^C_n),C_alpha*C_fck),0)))*'Geometry'!$H$50*'Geometry'!$G$50+((MAX(MIN(S_1_Es*($R13+$S13*'Geometry'!$G$51+$T13*'Geometry'!$F$51),S_1_fy),-S_1_fy))-(IF(($R13+$S13*'Geometry'!$G$51+$T13*'Geometry'!$F$51)&gt;0,IF(($R13+$S13*'Geometry'!$G$51+$T13*'Geometry'!$F$51)&lt;=C_eco,C_alpha*C_fck*(1-(1-($R13+$S13*'Geometry'!$G$51+$T13*'Geometry'!$F$51)/C_eco)^C_n),C_alpha*C_fck),0)))*'Geometry'!$H$51*'Geometry'!$G$51+((MAX(MIN(S_1_Es*($R13+$S13*'Geometry'!$G$52+$T13*'Geometry'!$F$52),S_1_fy),-S_1_fy))-(IF(($R13+$S13*'Geometry'!$G$52+$T13*'Geometry'!$F$52)&gt;0,IF(($R13+$S13*'Geometry'!$G$52+$T13*'Geometry'!$F$52)&lt;=C_eco,C_alpha*C_fck*(1-(1-($R13+$S13*'Geometry'!$G$52+$T13*'Geometry'!$F$52)/C_eco)^C_n),C_alpha*C_fck),0)))*'Geometry'!$H$52*'Geometry'!$G$52+((MAX(MIN(S_1_Es*($R13+$S13*'Geometry'!$G$53+$T13*'Geometry'!$F$53),S_1_fy),-S_1_fy))-(IF(($R13+$S13*'Geometry'!$G$53+$T13*'Geometry'!$F$53)&gt;0,IF(($R13+$S13*'Geometry'!$G$53+$T13*'Geometry'!$F$53)&lt;=C_eco,C_alpha*C_fck*(1-(1-($R13+$S13*'Geometry'!$G$53+$T13*'Geometry'!$F$53)/C_eco)^C_n),C_alpha*C_fck),0)))*'Geometry'!$H$53*'Geometry'!$G$53+((MAX(MIN(S_1_Es*($R13+$S13*'Geometry'!$G$54+$T13*'Geometry'!$F$54),S_1_fy),-S_1_fy))-(IF(($R13+$S13*'Geometry'!$G$54+$T13*'Geometry'!$F$54)&gt;0,IF(($R13+$S13*'Geometry'!$G$54+$T13*'Geometry'!$F$54)&lt;=C_eco,C_alpha*C_fck*(1-(1-($R13+$S13*'Geometry'!$G$54+$T13*'Geometry'!$F$54)/C_eco)^C_n),C_alpha*C_fck),0)))*'Geometry'!$H$54*'Geometry'!$G$54+((MAX(MIN(S_1_Es*($R13+$S13*'Geometry'!$G$55+$T13*'Geometry'!$F$55),S_1_fy),-S_1_fy))-(IF(($R13+$S13*'Geometry'!$G$55+$T13*'Geometry'!$F$55)&gt;0,IF(($R13+$S13*'Geometry'!$G$55+$T13*'Geometry'!$F$55)&lt;=C_eco,C_alpha*C_fck*(1-(1-($R13+$S13*'Geometry'!$G$55+$T13*'Geometry'!$F$55)/C_eco)^C_n),C_alpha*C_fck),0)))*'Geometry'!$H$55*'Geometry'!$G$55+((MAX(MIN(S_1_Es*($R13+$S13*'Geometry'!$G$56+$T13*'Geometry'!$F$56),S_1_fy),-S_1_fy))-(IF(($R13+$S13*'Geometry'!$G$56+$T13*'Geometry'!$F$56)&gt;0,IF(($R13+$S13*'Geometry'!$G$56+$T13*'Geometry'!$F$56)&lt;=C_eco,C_alpha*C_fck*(1-(1-($R13+$S13*'Geometry'!$G$56+$T13*'Geometry'!$F$56)/C_eco)^C_n),C_alpha*C_fck),0)))*'Geometry'!$H$56*'Geometry'!$G$56+((MAX(MIN(S_1_Es*($R13+$S13*'Geometry'!$G$57+$T13*'Geometry'!$F$57),S_1_fy),-S_1_fy))-(IF(($R13+$S13*'Geometry'!$G$57+$T13*'Geometry'!$F$57)&gt;0,IF(($R13+$S13*'Geometry'!$G$57+$T13*'Geometry'!$F$57)&lt;=C_eco,C_alpha*C_fck*(1-(1-($R13+$S13*'Geometry'!$G$57+$T13*'Geometry'!$F$57)/C_eco)^C_n),C_alpha*C_fck),0)))*'Geometry'!$H$57*'Geometry'!$G$57)/1000000</f>
        <v>635.3162555742574</v>
      </c>
      <c r="Z13" s="10">
        <f>(((MAX(MIN(S_1_Es*($R13+$S13*'Geometry'!$G$40+$T13*'Geometry'!$F$40),S_1_fy),-S_1_fy))-(IF(($R13+$S13*'Geometry'!$G$40+$T13*'Geometry'!$F$40)&gt;0,IF(($R13+$S13*'Geometry'!$G$40+$T13*'Geometry'!$F$40)&lt;=C_eco,C_alpha*C_fck*(1-(1-($R13+$S13*'Geometry'!$G$40+$T13*'Geometry'!$F$40)/C_eco)^C_n),C_alpha*C_fck),0)))*'Geometry'!$H$40*'Geometry'!$F$40+((MAX(MIN(S_1_Es*($R13+$S13*'Geometry'!$G$41+$T13*'Geometry'!$F$41),S_1_fy),-S_1_fy))-(IF(($R13+$S13*'Geometry'!$G$41+$T13*'Geometry'!$F$41)&gt;0,IF(($R13+$S13*'Geometry'!$G$41+$T13*'Geometry'!$F$41)&lt;=C_eco,C_alpha*C_fck*(1-(1-($R13+$S13*'Geometry'!$G$41+$T13*'Geometry'!$F$41)/C_eco)^C_n),C_alpha*C_fck),0)))*'Geometry'!$H$41*'Geometry'!$F$41+((MAX(MIN(S_1_Es*($R13+$S13*'Geometry'!$G$42+$T13*'Geometry'!$F$42),S_1_fy),-S_1_fy))-(IF(($R13+$S13*'Geometry'!$G$42+$T13*'Geometry'!$F$42)&gt;0,IF(($R13+$S13*'Geometry'!$G$42+$T13*'Geometry'!$F$42)&lt;=C_eco,C_alpha*C_fck*(1-(1-($R13+$S13*'Geometry'!$G$42+$T13*'Geometry'!$F$42)/C_eco)^C_n),C_alpha*C_fck),0)))*'Geometry'!$H$42*'Geometry'!$F$42+((MAX(MIN(S_1_Es*($R13+$S13*'Geometry'!$G$43+$T13*'Geometry'!$F$43),S_1_fy),-S_1_fy))-(IF(($R13+$S13*'Geometry'!$G$43+$T13*'Geometry'!$F$43)&gt;0,IF(($R13+$S13*'Geometry'!$G$43+$T13*'Geometry'!$F$43)&lt;=C_eco,C_alpha*C_fck*(1-(1-($R13+$S13*'Geometry'!$G$43+$T13*'Geometry'!$F$43)/C_eco)^C_n),C_alpha*C_fck),0)))*'Geometry'!$H$43*'Geometry'!$F$43+((MAX(MIN(S_1_Es*($R13+$S13*'Geometry'!$G$44+$T13*'Geometry'!$F$44),S_1_fy),-S_1_fy))-(IF(($R13+$S13*'Geometry'!$G$44+$T13*'Geometry'!$F$44)&gt;0,IF(($R13+$S13*'Geometry'!$G$44+$T13*'Geometry'!$F$44)&lt;=C_eco,C_alpha*C_fck*(1-(1-($R13+$S13*'Geometry'!$G$44+$T13*'Geometry'!$F$44)/C_eco)^C_n),C_alpha*C_fck),0)))*'Geometry'!$H$44*'Geometry'!$F$44+((MAX(MIN(S_1_Es*($R13+$S13*'Geometry'!$G$45+$T13*'Geometry'!$F$45),S_1_fy),-S_1_fy))-(IF(($R13+$S13*'Geometry'!$G$45+$T13*'Geometry'!$F$45)&gt;0,IF(($R13+$S13*'Geometry'!$G$45+$T13*'Geometry'!$F$45)&lt;=C_eco,C_alpha*C_fck*(1-(1-($R13+$S13*'Geometry'!$G$45+$T13*'Geometry'!$F$45)/C_eco)^C_n),C_alpha*C_fck),0)))*'Geometry'!$H$45*'Geometry'!$F$45+((MAX(MIN(S_1_Es*($R13+$S13*'Geometry'!$G$46+$T13*'Geometry'!$F$46),S_1_fy),-S_1_fy))-(IF(($R13+$S13*'Geometry'!$G$46+$T13*'Geometry'!$F$46)&gt;0,IF(($R13+$S13*'Geometry'!$G$46+$T13*'Geometry'!$F$46)&lt;=C_eco,C_alpha*C_fck*(1-(1-($R13+$S13*'Geometry'!$G$46+$T13*'Geometry'!$F$46)/C_eco)^C_n),C_alpha*C_fck),0)))*'Geometry'!$H$46*'Geometry'!$F$46+((MAX(MIN(S_1_Es*($R13+$S13*'Geometry'!$G$47+$T13*'Geometry'!$F$47),S_1_fy),-S_1_fy))-(IF(($R13+$S13*'Geometry'!$G$47+$T13*'Geometry'!$F$47)&gt;0,IF(($R13+$S13*'Geometry'!$G$47+$T13*'Geometry'!$F$47)&lt;=C_eco,C_alpha*C_fck*(1-(1-($R13+$S13*'Geometry'!$G$47+$T13*'Geometry'!$F$47)/C_eco)^C_n),C_alpha*C_fck),0)))*'Geometry'!$H$47*'Geometry'!$F$47+((MAX(MIN(S_1_Es*($R13+$S13*'Geometry'!$G$48+$T13*'Geometry'!$F$48),S_1_fy),-S_1_fy))-(IF(($R13+$S13*'Geometry'!$G$48+$T13*'Geometry'!$F$48)&gt;0,IF(($R13+$S13*'Geometry'!$G$48+$T13*'Geometry'!$F$48)&lt;=C_eco,C_alpha*C_fck*(1-(1-($R13+$S13*'Geometry'!$G$48+$T13*'Geometry'!$F$48)/C_eco)^C_n),C_alpha*C_fck),0)))*'Geometry'!$H$48*'Geometry'!$F$48+((MAX(MIN(S_1_Es*($R13+$S13*'Geometry'!$G$49+$T13*'Geometry'!$F$49),S_1_fy),-S_1_fy))-(IF(($R13+$S13*'Geometry'!$G$49+$T13*'Geometry'!$F$49)&gt;0,IF(($R13+$S13*'Geometry'!$G$49+$T13*'Geometry'!$F$49)&lt;=C_eco,C_alpha*C_fck*(1-(1-($R13+$S13*'Geometry'!$G$49+$T13*'Geometry'!$F$49)/C_eco)^C_n),C_alpha*C_fck),0)))*'Geometry'!$H$49*'Geometry'!$F$49+((MAX(MIN(S_1_Es*($R13+$S13*'Geometry'!$G$50+$T13*'Geometry'!$F$50),S_1_fy),-S_1_fy))-(IF(($R13+$S13*'Geometry'!$G$50+$T13*'Geometry'!$F$50)&gt;0,IF(($R13+$S13*'Geometry'!$G$50+$T13*'Geometry'!$F$50)&lt;=C_eco,C_alpha*C_fck*(1-(1-($R13+$S13*'Geometry'!$G$50+$T13*'Geometry'!$F$50)/C_eco)^C_n),C_alpha*C_fck),0)))*'Geometry'!$H$50*'Geometry'!$F$50+((MAX(MIN(S_1_Es*($R13+$S13*'Geometry'!$G$51+$T13*'Geometry'!$F$51),S_1_fy),-S_1_fy))-(IF(($R13+$S13*'Geometry'!$G$51+$T13*'Geometry'!$F$51)&gt;0,IF(($R13+$S13*'Geometry'!$G$51+$T13*'Geometry'!$F$51)&lt;=C_eco,C_alpha*C_fck*(1-(1-($R13+$S13*'Geometry'!$G$51+$T13*'Geometry'!$F$51)/C_eco)^C_n),C_alpha*C_fck),0)))*'Geometry'!$H$51*'Geometry'!$F$51+((MAX(MIN(S_1_Es*($R13+$S13*'Geometry'!$G$52+$T13*'Geometry'!$F$52),S_1_fy),-S_1_fy))-(IF(($R13+$S13*'Geometry'!$G$52+$T13*'Geometry'!$F$52)&gt;0,IF(($R13+$S13*'Geometry'!$G$52+$T13*'Geometry'!$F$52)&lt;=C_eco,C_alpha*C_fck*(1-(1-($R13+$S13*'Geometry'!$G$52+$T13*'Geometry'!$F$52)/C_eco)^C_n),C_alpha*C_fck),0)))*'Geometry'!$H$52*'Geometry'!$F$52+((MAX(MIN(S_1_Es*($R13+$S13*'Geometry'!$G$53+$T13*'Geometry'!$F$53),S_1_fy),-S_1_fy))-(IF(($R13+$S13*'Geometry'!$G$53+$T13*'Geometry'!$F$53)&gt;0,IF(($R13+$S13*'Geometry'!$G$53+$T13*'Geometry'!$F$53)&lt;=C_eco,C_alpha*C_fck*(1-(1-($R13+$S13*'Geometry'!$G$53+$T13*'Geometry'!$F$53)/C_eco)^C_n),C_alpha*C_fck),0)))*'Geometry'!$H$53*'Geometry'!$F$53+((MAX(MIN(S_1_Es*($R13+$S13*'Geometry'!$G$54+$T13*'Geometry'!$F$54),S_1_fy),-S_1_fy))-(IF(($R13+$S13*'Geometry'!$G$54+$T13*'Geometry'!$F$54)&gt;0,IF(($R13+$S13*'Geometry'!$G$54+$T13*'Geometry'!$F$54)&lt;=C_eco,C_alpha*C_fck*(1-(1-($R13+$S13*'Geometry'!$G$54+$T13*'Geometry'!$F$54)/C_eco)^C_n),C_alpha*C_fck),0)))*'Geometry'!$H$54*'Geometry'!$F$54+((MAX(MIN(S_1_Es*($R13+$S13*'Geometry'!$G$55+$T13*'Geometry'!$F$55),S_1_fy),-S_1_fy))-(IF(($R13+$S13*'Geometry'!$G$55+$T13*'Geometry'!$F$55)&gt;0,IF(($R13+$S13*'Geometry'!$G$55+$T13*'Geometry'!$F$55)&lt;=C_eco,C_alpha*C_fck*(1-(1-($R13+$S13*'Geometry'!$G$55+$T13*'Geometry'!$F$55)/C_eco)^C_n),C_alpha*C_fck),0)))*'Geometry'!$H$55*'Geometry'!$F$55+((MAX(MIN(S_1_Es*($R13+$S13*'Geometry'!$G$56+$T13*'Geometry'!$F$56),S_1_fy),-S_1_fy))-(IF(($R13+$S13*'Geometry'!$G$56+$T13*'Geometry'!$F$56)&gt;0,IF(($R13+$S13*'Geometry'!$G$56+$T13*'Geometry'!$F$56)&lt;=C_eco,C_alpha*C_fck*(1-(1-($R13+$S13*'Geometry'!$G$56+$T13*'Geometry'!$F$56)/C_eco)^C_n),C_alpha*C_fck),0)))*'Geometry'!$H$56*'Geometry'!$F$56+((MAX(MIN(S_1_Es*($R13+$S13*'Geometry'!$G$57+$T13*'Geometry'!$F$57),S_1_fy),-S_1_fy))-(IF(($R13+$S13*'Geometry'!$G$57+$T13*'Geometry'!$F$57)&gt;0,IF(($R13+$S13*'Geometry'!$G$57+$T13*'Geometry'!$F$57)&lt;=C_eco,C_alpha*C_fck*(1-(1-($R13+$S13*'Geometry'!$G$57+$T13*'Geometry'!$F$57)/C_eco)^C_n),C_alpha*C_fck),0)))*'Geometry'!$H$57*'Geometry'!$F$57)/1000000</f>
        <v>157.044869114086</v>
      </c>
      <c r="AA13" s="10">
        <f>U13+X13</f>
        <v>28772.21640221232</v>
      </c>
      <c r="AB13" s="10">
        <f>V13+Y13</f>
        <v>2294.5806471793926</v>
      </c>
      <c r="AC13" s="10">
        <f>W13+Z13</f>
        <v>619.3376639098095</v>
      </c>
      <c r="AD13" s="7">
        <v>0.6141461390553334</v>
      </c>
      <c r="AE13" s="7">
        <v>0.725721504183532</v>
      </c>
      <c r="AF13" s="10">
        <f>AA13*AD13</f>
        <v>17670.345615483235</v>
      </c>
      <c r="AG13" s="10">
        <f>AB13*AE13</f>
        <v>1667.6864675988093</v>
      </c>
      <c r="AH13" s="10">
        <f>AC13*AE13</f>
        <v>440.3528102865521</v>
      </c>
      <c r="AI13" s="7">
        <v>17670.345615483235</v>
      </c>
      <c r="AJ13" s="7">
        <v>1667.6864675988093</v>
      </c>
      <c r="AK13" s="7">
        <v>440.3528102865521</v>
      </c>
      <c r="AL13" s="15">
        <f>AF13-AI13</f>
        <v>0</v>
      </c>
      <c r="AM13" s="15">
        <f>SQRT((AG13-AJ13)^2+(AH13-AK13)^2)</f>
        <v>0</v>
      </c>
      <c r="AN13" s="7" t="s">
        <v>189</v>
      </c>
      <c r="AO13" s="7">
        <v>28772.21640221232</v>
      </c>
      <c r="AP13" s="7">
        <v>2294.5806471793926</v>
      </c>
      <c r="AQ13" s="7">
        <v>619.3376639098095</v>
      </c>
      <c r="AR13" s="7">
        <v>24816.52313151211</v>
      </c>
      <c r="AS13" s="7">
        <v>1659.2643916051352</v>
      </c>
      <c r="AT13" s="7">
        <v>462.29279479572347</v>
      </c>
      <c r="AU13" s="7">
        <v>3955.6932707002143</v>
      </c>
      <c r="AV13" s="7">
        <v>635.3162555742574</v>
      </c>
      <c r="AW13" s="7">
        <v>157.044869114086</v>
      </c>
    </row>
    <row r="14" spans="1:49" x14ac:dyDescent="0.25">
      <c r="A14" s="17">
        <v>7</v>
      </c>
      <c r="B14" s="17" t="s">
        <v>201</v>
      </c>
      <c r="C14" s="18">
        <f>$AF$14</f>
        <v>17291.797049055138</v>
      </c>
      <c r="D14" s="19">
        <f>$AG$14*COS(RADIANS($C$5))+$AH$14*SIN(RADIANS($C$5))</f>
        <v>2135.8456762860255</v>
      </c>
      <c r="G14" s="7" t="s">
        <v>202</v>
      </c>
      <c r="H14" s="7" t="s">
        <v>201</v>
      </c>
      <c r="I14" s="12">
        <v>10</v>
      </c>
      <c r="J14" s="7" t="s">
        <v>192</v>
      </c>
      <c r="K14" s="12">
        <v>1</v>
      </c>
      <c r="L14" s="10">
        <f>MAX(('Geometry'!$G$13*COS(RADIANS(I14))+'Geometry'!$F$13*SIN(RADIANS(I14))),('Geometry'!$G$14*COS(RADIANS(I14))+'Geometry'!$F$14*SIN(RADIANS(I14))),('Geometry'!$G$15*COS(RADIANS(I14))+'Geometry'!$F$15*SIN(RADIANS(I14))),('Geometry'!$G$16*COS(RADIANS(I14))+'Geometry'!$F$16*SIN(RADIANS(I14))),('Geometry'!$G$17*COS(RADIANS(I14))+'Geometry'!$F$17*SIN(RADIANS(I14))),('Geometry'!$G$18*COS(RADIANS(I14))+'Geometry'!$F$18*SIN(RADIANS(I14))),('Geometry'!$G$19*COS(RADIANS(I14))+'Geometry'!$F$19*SIN(RADIANS(I14))),('Geometry'!$G$20*COS(RADIANS(I14))+'Geometry'!$F$20*SIN(RADIANS(I14))))</f>
        <v>686.3911495241364</v>
      </c>
      <c r="M14" s="10">
        <f>L14-K14*N14</f>
        <v>-686.3911495241365</v>
      </c>
      <c r="N14" s="10">
        <f>L14-MIN(('Geometry'!$G$13*COS(RADIANS(I14))+'Geometry'!$F$13*SIN(RADIANS(I14))),('Geometry'!$G$14*COS(RADIANS(I14))+'Geometry'!$F$14*SIN(RADIANS(I14))),('Geometry'!$G$15*COS(RADIANS(I14))+'Geometry'!$F$15*SIN(RADIANS(I14))),('Geometry'!$G$16*COS(RADIANS(I14))+'Geometry'!$F$16*SIN(RADIANS(I14))),('Geometry'!$G$17*COS(RADIANS(I14))+'Geometry'!$F$17*SIN(RADIANS(I14))),('Geometry'!$G$18*COS(RADIANS(I14))+'Geometry'!$F$18*SIN(RADIANS(I14))),('Geometry'!$G$19*COS(RADIANS(I14))+'Geometry'!$F$19*SIN(RADIANS(I14))),('Geometry'!$G$20*COS(RADIANS(I14))+'Geometry'!$F$20*SIN(RADIANS(I14))))</f>
        <v>1372.7822990482728</v>
      </c>
      <c r="O14" s="15">
        <f>C_ecu</f>
        <v>0.0033</v>
      </c>
      <c r="P14" s="15">
        <f>0</f>
        <v>0</v>
      </c>
      <c r="Q14" s="20">
        <f>IF(ABS(L14-M14)&lt;0.000000000001,0,(O14-P14)/(L14-M14))</f>
        <v>0.0000024038771495581163</v>
      </c>
      <c r="R14" s="15">
        <f>O14-Q14*L14</f>
        <v>0.00165</v>
      </c>
      <c r="S14" s="20">
        <f>Q14*COS(RADIANS(I14))</f>
        <v>0.0000023673568541737205</v>
      </c>
      <c r="T14" s="20">
        <f>Q14*SIN(RADIANS(I14))</f>
        <v>4.174288863559419e-7</v>
      </c>
      <c r="U14" s="10">
        <f>SUMPRODUCT(C_alpha*C_fck*(1-(1-((($R14+$S14*Mesh_Y+$T14*Mesh_X))*(($R14+$S14*Mesh_Y+$T14*Mesh_X)&gt;0)*(($R14+$S14*Mesh_Y+$T14*Mesh_X)&lt;C_eco)+C_eco*(($R14+$S14*Mesh_Y+$T14*Mesh_X)&gt;=C_eco))/C_eco)^C_n)*((($R14+$S14*Mesh_Y+$T14*Mesh_X))&gt;0),Mesh_A)/1000</f>
        <v>22981.71521959605</v>
      </c>
      <c r="V14" s="10">
        <f>SUMPRODUCT(C_alpha*C_fck*(1-(1-((($R14+$S14*Mesh_Y+$T14*Mesh_X))*(($R14+$S14*Mesh_Y+$T14*Mesh_X)&gt;0)*(($R14+$S14*Mesh_Y+$T14*Mesh_X)&lt;C_eco)+C_eco*(($R14+$S14*Mesh_Y+$T14*Mesh_X)&gt;=C_eco))/C_eco)^C_n)*((($R14+$S14*Mesh_Y+$T14*Mesh_X))&gt;0),Mesh_A,Mesh_Y)/1000000</f>
        <v>2418.707373779298</v>
      </c>
      <c r="W14" s="10">
        <f>SUMPRODUCT(C_alpha*C_fck*(1-(1-((($R14+$S14*Mesh_Y+$T14*Mesh_X))*(($R14+$S14*Mesh_Y+$T14*Mesh_X)&gt;0)*(($R14+$S14*Mesh_Y+$T14*Mesh_X)&lt;C_eco)+C_eco*(($R14+$S14*Mesh_Y+$T14*Mesh_X)&gt;=C_eco))/C_eco)^C_n)*((($R14+$S14*Mesh_Y+$T14*Mesh_X))&gt;0),Mesh_A,Mesh_X)/1000000</f>
        <v>649.6250925463144</v>
      </c>
      <c r="X14" s="10">
        <f>(((MAX(MIN(S_1_Es*($R14+$S14*'Geometry'!$G$40+$T14*'Geometry'!$F$40),S_1_fy),-S_1_fy))-(IF(($R14+$S14*'Geometry'!$G$40+$T14*'Geometry'!$F$40)&gt;0,IF(($R14+$S14*'Geometry'!$G$40+$T14*'Geometry'!$F$40)&lt;=C_eco,C_alpha*C_fck*(1-(1-($R14+$S14*'Geometry'!$G$40+$T14*'Geometry'!$F$40)/C_eco)^C_n),C_alpha*C_fck),0)))*'Geometry'!$H$40+((MAX(MIN(S_1_Es*($R14+$S14*'Geometry'!$G$41+$T14*'Geometry'!$F$41),S_1_fy),-S_1_fy))-(IF(($R14+$S14*'Geometry'!$G$41+$T14*'Geometry'!$F$41)&gt;0,IF(($R14+$S14*'Geometry'!$G$41+$T14*'Geometry'!$F$41)&lt;=C_eco,C_alpha*C_fck*(1-(1-($R14+$S14*'Geometry'!$G$41+$T14*'Geometry'!$F$41)/C_eco)^C_n),C_alpha*C_fck),0)))*'Geometry'!$H$41+((MAX(MIN(S_1_Es*($R14+$S14*'Geometry'!$G$42+$T14*'Geometry'!$F$42),S_1_fy),-S_1_fy))-(IF(($R14+$S14*'Geometry'!$G$42+$T14*'Geometry'!$F$42)&gt;0,IF(($R14+$S14*'Geometry'!$G$42+$T14*'Geometry'!$F$42)&lt;=C_eco,C_alpha*C_fck*(1-(1-($R14+$S14*'Geometry'!$G$42+$T14*'Geometry'!$F$42)/C_eco)^C_n),C_alpha*C_fck),0)))*'Geometry'!$H$42+((MAX(MIN(S_1_Es*($R14+$S14*'Geometry'!$G$43+$T14*'Geometry'!$F$43),S_1_fy),-S_1_fy))-(IF(($R14+$S14*'Geometry'!$G$43+$T14*'Geometry'!$F$43)&gt;0,IF(($R14+$S14*'Geometry'!$G$43+$T14*'Geometry'!$F$43)&lt;=C_eco,C_alpha*C_fck*(1-(1-($R14+$S14*'Geometry'!$G$43+$T14*'Geometry'!$F$43)/C_eco)^C_n),C_alpha*C_fck),0)))*'Geometry'!$H$43+((MAX(MIN(S_1_Es*($R14+$S14*'Geometry'!$G$44+$T14*'Geometry'!$F$44),S_1_fy),-S_1_fy))-(IF(($R14+$S14*'Geometry'!$G$44+$T14*'Geometry'!$F$44)&gt;0,IF(($R14+$S14*'Geometry'!$G$44+$T14*'Geometry'!$F$44)&lt;=C_eco,C_alpha*C_fck*(1-(1-($R14+$S14*'Geometry'!$G$44+$T14*'Geometry'!$F$44)/C_eco)^C_n),C_alpha*C_fck),0)))*'Geometry'!$H$44+((MAX(MIN(S_1_Es*($R14+$S14*'Geometry'!$G$45+$T14*'Geometry'!$F$45),S_1_fy),-S_1_fy))-(IF(($R14+$S14*'Geometry'!$G$45+$T14*'Geometry'!$F$45)&gt;0,IF(($R14+$S14*'Geometry'!$G$45+$T14*'Geometry'!$F$45)&lt;=C_eco,C_alpha*C_fck*(1-(1-($R14+$S14*'Geometry'!$G$45+$T14*'Geometry'!$F$45)/C_eco)^C_n),C_alpha*C_fck),0)))*'Geometry'!$H$45+((MAX(MIN(S_1_Es*($R14+$S14*'Geometry'!$G$46+$T14*'Geometry'!$F$46),S_1_fy),-S_1_fy))-(IF(($R14+$S14*'Geometry'!$G$46+$T14*'Geometry'!$F$46)&gt;0,IF(($R14+$S14*'Geometry'!$G$46+$T14*'Geometry'!$F$46)&lt;=C_eco,C_alpha*C_fck*(1-(1-($R14+$S14*'Geometry'!$G$46+$T14*'Geometry'!$F$46)/C_eco)^C_n),C_alpha*C_fck),0)))*'Geometry'!$H$46+((MAX(MIN(S_1_Es*($R14+$S14*'Geometry'!$G$47+$T14*'Geometry'!$F$47),S_1_fy),-S_1_fy))-(IF(($R14+$S14*'Geometry'!$G$47+$T14*'Geometry'!$F$47)&gt;0,IF(($R14+$S14*'Geometry'!$G$47+$T14*'Geometry'!$F$47)&lt;=C_eco,C_alpha*C_fck*(1-(1-($R14+$S14*'Geometry'!$G$47+$T14*'Geometry'!$F$47)/C_eco)^C_n),C_alpha*C_fck),0)))*'Geometry'!$H$47+((MAX(MIN(S_1_Es*($R14+$S14*'Geometry'!$G$48+$T14*'Geometry'!$F$48),S_1_fy),-S_1_fy))-(IF(($R14+$S14*'Geometry'!$G$48+$T14*'Geometry'!$F$48)&gt;0,IF(($R14+$S14*'Geometry'!$G$48+$T14*'Geometry'!$F$48)&lt;=C_eco,C_alpha*C_fck*(1-(1-($R14+$S14*'Geometry'!$G$48+$T14*'Geometry'!$F$48)/C_eco)^C_n),C_alpha*C_fck),0)))*'Geometry'!$H$48+((MAX(MIN(S_1_Es*($R14+$S14*'Geometry'!$G$49+$T14*'Geometry'!$F$49),S_1_fy),-S_1_fy))-(IF(($R14+$S14*'Geometry'!$G$49+$T14*'Geometry'!$F$49)&gt;0,IF(($R14+$S14*'Geometry'!$G$49+$T14*'Geometry'!$F$49)&lt;=C_eco,C_alpha*C_fck*(1-(1-($R14+$S14*'Geometry'!$G$49+$T14*'Geometry'!$F$49)/C_eco)^C_n),C_alpha*C_fck),0)))*'Geometry'!$H$49+((MAX(MIN(S_1_Es*($R14+$S14*'Geometry'!$G$50+$T14*'Geometry'!$F$50),S_1_fy),-S_1_fy))-(IF(($R14+$S14*'Geometry'!$G$50+$T14*'Geometry'!$F$50)&gt;0,IF(($R14+$S14*'Geometry'!$G$50+$T14*'Geometry'!$F$50)&lt;=C_eco,C_alpha*C_fck*(1-(1-($R14+$S14*'Geometry'!$G$50+$T14*'Geometry'!$F$50)/C_eco)^C_n),C_alpha*C_fck),0)))*'Geometry'!$H$50+((MAX(MIN(S_1_Es*($R14+$S14*'Geometry'!$G$51+$T14*'Geometry'!$F$51),S_1_fy),-S_1_fy))-(IF(($R14+$S14*'Geometry'!$G$51+$T14*'Geometry'!$F$51)&gt;0,IF(($R14+$S14*'Geometry'!$G$51+$T14*'Geometry'!$F$51)&lt;=C_eco,C_alpha*C_fck*(1-(1-($R14+$S14*'Geometry'!$G$51+$T14*'Geometry'!$F$51)/C_eco)^C_n),C_alpha*C_fck),0)))*'Geometry'!$H$51+((MAX(MIN(S_1_Es*($R14+$S14*'Geometry'!$G$52+$T14*'Geometry'!$F$52),S_1_fy),-S_1_fy))-(IF(($R14+$S14*'Geometry'!$G$52+$T14*'Geometry'!$F$52)&gt;0,IF(($R14+$S14*'Geometry'!$G$52+$T14*'Geometry'!$F$52)&lt;=C_eco,C_alpha*C_fck*(1-(1-($R14+$S14*'Geometry'!$G$52+$T14*'Geometry'!$F$52)/C_eco)^C_n),C_alpha*C_fck),0)))*'Geometry'!$H$52+((MAX(MIN(S_1_Es*($R14+$S14*'Geometry'!$G$53+$T14*'Geometry'!$F$53),S_1_fy),-S_1_fy))-(IF(($R14+$S14*'Geometry'!$G$53+$T14*'Geometry'!$F$53)&gt;0,IF(($R14+$S14*'Geometry'!$G$53+$T14*'Geometry'!$F$53)&lt;=C_eco,C_alpha*C_fck*(1-(1-($R14+$S14*'Geometry'!$G$53+$T14*'Geometry'!$F$53)/C_eco)^C_n),C_alpha*C_fck),0)))*'Geometry'!$H$53+((MAX(MIN(S_1_Es*($R14+$S14*'Geometry'!$G$54+$T14*'Geometry'!$F$54),S_1_fy),-S_1_fy))-(IF(($R14+$S14*'Geometry'!$G$54+$T14*'Geometry'!$F$54)&gt;0,IF(($R14+$S14*'Geometry'!$G$54+$T14*'Geometry'!$F$54)&lt;=C_eco,C_alpha*C_fck*(1-(1-($R14+$S14*'Geometry'!$G$54+$T14*'Geometry'!$F$54)/C_eco)^C_n),C_alpha*C_fck),0)))*'Geometry'!$H$54+((MAX(MIN(S_1_Es*($R14+$S14*'Geometry'!$G$55+$T14*'Geometry'!$F$55),S_1_fy),-S_1_fy))-(IF(($R14+$S14*'Geometry'!$G$55+$T14*'Geometry'!$F$55)&gt;0,IF(($R14+$S14*'Geometry'!$G$55+$T14*'Geometry'!$F$55)&lt;=C_eco,C_alpha*C_fck*(1-(1-($R14+$S14*'Geometry'!$G$55+$T14*'Geometry'!$F$55)/C_eco)^C_n),C_alpha*C_fck),0)))*'Geometry'!$H$55+((MAX(MIN(S_1_Es*($R14+$S14*'Geometry'!$G$56+$T14*'Geometry'!$F$56),S_1_fy),-S_1_fy))-(IF(($R14+$S14*'Geometry'!$G$56+$T14*'Geometry'!$F$56)&gt;0,IF(($R14+$S14*'Geometry'!$G$56+$T14*'Geometry'!$F$56)&lt;=C_eco,C_alpha*C_fck*(1-(1-($R14+$S14*'Geometry'!$G$56+$T14*'Geometry'!$F$56)/C_eco)^C_n),C_alpha*C_fck),0)))*'Geometry'!$H$56+((MAX(MIN(S_1_Es*($R14+$S14*'Geometry'!$G$57+$T14*'Geometry'!$F$57),S_1_fy),-S_1_fy))-(IF(($R14+$S14*'Geometry'!$G$57+$T14*'Geometry'!$F$57)&gt;0,IF(($R14+$S14*'Geometry'!$G$57+$T14*'Geometry'!$F$57)&lt;=C_eco,C_alpha*C_fck*(1-(1-($R14+$S14*'Geometry'!$G$57+$T14*'Geometry'!$F$57)/C_eco)^C_n),C_alpha*C_fck),0)))*'Geometry'!$H$57)/1000</f>
        <v>3621.049471258009</v>
      </c>
      <c r="Y14" s="10">
        <f>(((MAX(MIN(S_1_Es*($R14+$S14*'Geometry'!$G$40+$T14*'Geometry'!$F$40),S_1_fy),-S_1_fy))-(IF(($R14+$S14*'Geometry'!$G$40+$T14*'Geometry'!$F$40)&gt;0,IF(($R14+$S14*'Geometry'!$G$40+$T14*'Geometry'!$F$40)&lt;=C_eco,C_alpha*C_fck*(1-(1-($R14+$S14*'Geometry'!$G$40+$T14*'Geometry'!$F$40)/C_eco)^C_n),C_alpha*C_fck),0)))*'Geometry'!$H$40*'Geometry'!$G$40+((MAX(MIN(S_1_Es*($R14+$S14*'Geometry'!$G$41+$T14*'Geometry'!$F$41),S_1_fy),-S_1_fy))-(IF(($R14+$S14*'Geometry'!$G$41+$T14*'Geometry'!$F$41)&gt;0,IF(($R14+$S14*'Geometry'!$G$41+$T14*'Geometry'!$F$41)&lt;=C_eco,C_alpha*C_fck*(1-(1-($R14+$S14*'Geometry'!$G$41+$T14*'Geometry'!$F$41)/C_eco)^C_n),C_alpha*C_fck),0)))*'Geometry'!$H$41*'Geometry'!$G$41+((MAX(MIN(S_1_Es*($R14+$S14*'Geometry'!$G$42+$T14*'Geometry'!$F$42),S_1_fy),-S_1_fy))-(IF(($R14+$S14*'Geometry'!$G$42+$T14*'Geometry'!$F$42)&gt;0,IF(($R14+$S14*'Geometry'!$G$42+$T14*'Geometry'!$F$42)&lt;=C_eco,C_alpha*C_fck*(1-(1-($R14+$S14*'Geometry'!$G$42+$T14*'Geometry'!$F$42)/C_eco)^C_n),C_alpha*C_fck),0)))*'Geometry'!$H$42*'Geometry'!$G$42+((MAX(MIN(S_1_Es*($R14+$S14*'Geometry'!$G$43+$T14*'Geometry'!$F$43),S_1_fy),-S_1_fy))-(IF(($R14+$S14*'Geometry'!$G$43+$T14*'Geometry'!$F$43)&gt;0,IF(($R14+$S14*'Geometry'!$G$43+$T14*'Geometry'!$F$43)&lt;=C_eco,C_alpha*C_fck*(1-(1-($R14+$S14*'Geometry'!$G$43+$T14*'Geometry'!$F$43)/C_eco)^C_n),C_alpha*C_fck),0)))*'Geometry'!$H$43*'Geometry'!$G$43+((MAX(MIN(S_1_Es*($R14+$S14*'Geometry'!$G$44+$T14*'Geometry'!$F$44),S_1_fy),-S_1_fy))-(IF(($R14+$S14*'Geometry'!$G$44+$T14*'Geometry'!$F$44)&gt;0,IF(($R14+$S14*'Geometry'!$G$44+$T14*'Geometry'!$F$44)&lt;=C_eco,C_alpha*C_fck*(1-(1-($R14+$S14*'Geometry'!$G$44+$T14*'Geometry'!$F$44)/C_eco)^C_n),C_alpha*C_fck),0)))*'Geometry'!$H$44*'Geometry'!$G$44+((MAX(MIN(S_1_Es*($R14+$S14*'Geometry'!$G$45+$T14*'Geometry'!$F$45),S_1_fy),-S_1_fy))-(IF(($R14+$S14*'Geometry'!$G$45+$T14*'Geometry'!$F$45)&gt;0,IF(($R14+$S14*'Geometry'!$G$45+$T14*'Geometry'!$F$45)&lt;=C_eco,C_alpha*C_fck*(1-(1-($R14+$S14*'Geometry'!$G$45+$T14*'Geometry'!$F$45)/C_eco)^C_n),C_alpha*C_fck),0)))*'Geometry'!$H$45*'Geometry'!$G$45+((MAX(MIN(S_1_Es*($R14+$S14*'Geometry'!$G$46+$T14*'Geometry'!$F$46),S_1_fy),-S_1_fy))-(IF(($R14+$S14*'Geometry'!$G$46+$T14*'Geometry'!$F$46)&gt;0,IF(($R14+$S14*'Geometry'!$G$46+$T14*'Geometry'!$F$46)&lt;=C_eco,C_alpha*C_fck*(1-(1-($R14+$S14*'Geometry'!$G$46+$T14*'Geometry'!$F$46)/C_eco)^C_n),C_alpha*C_fck),0)))*'Geometry'!$H$46*'Geometry'!$G$46+((MAX(MIN(S_1_Es*($R14+$S14*'Geometry'!$G$47+$T14*'Geometry'!$F$47),S_1_fy),-S_1_fy))-(IF(($R14+$S14*'Geometry'!$G$47+$T14*'Geometry'!$F$47)&gt;0,IF(($R14+$S14*'Geometry'!$G$47+$T14*'Geometry'!$F$47)&lt;=C_eco,C_alpha*C_fck*(1-(1-($R14+$S14*'Geometry'!$G$47+$T14*'Geometry'!$F$47)/C_eco)^C_n),C_alpha*C_fck),0)))*'Geometry'!$H$47*'Geometry'!$G$47+((MAX(MIN(S_1_Es*($R14+$S14*'Geometry'!$G$48+$T14*'Geometry'!$F$48),S_1_fy),-S_1_fy))-(IF(($R14+$S14*'Geometry'!$G$48+$T14*'Geometry'!$F$48)&gt;0,IF(($R14+$S14*'Geometry'!$G$48+$T14*'Geometry'!$F$48)&lt;=C_eco,C_alpha*C_fck*(1-(1-($R14+$S14*'Geometry'!$G$48+$T14*'Geometry'!$F$48)/C_eco)^C_n),C_alpha*C_fck),0)))*'Geometry'!$H$48*'Geometry'!$G$48+((MAX(MIN(S_1_Es*($R14+$S14*'Geometry'!$G$49+$T14*'Geometry'!$F$49),S_1_fy),-S_1_fy))-(IF(($R14+$S14*'Geometry'!$G$49+$T14*'Geometry'!$F$49)&gt;0,IF(($R14+$S14*'Geometry'!$G$49+$T14*'Geometry'!$F$49)&lt;=C_eco,C_alpha*C_fck*(1-(1-($R14+$S14*'Geometry'!$G$49+$T14*'Geometry'!$F$49)/C_eco)^C_n),C_alpha*C_fck),0)))*'Geometry'!$H$49*'Geometry'!$G$49+((MAX(MIN(S_1_Es*($R14+$S14*'Geometry'!$G$50+$T14*'Geometry'!$F$50),S_1_fy),-S_1_fy))-(IF(($R14+$S14*'Geometry'!$G$50+$T14*'Geometry'!$F$50)&gt;0,IF(($R14+$S14*'Geometry'!$G$50+$T14*'Geometry'!$F$50)&lt;=C_eco,C_alpha*C_fck*(1-(1-($R14+$S14*'Geometry'!$G$50+$T14*'Geometry'!$F$50)/C_eco)^C_n),C_alpha*C_fck),0)))*'Geometry'!$H$50*'Geometry'!$G$50+((MAX(MIN(S_1_Es*($R14+$S14*'Geometry'!$G$51+$T14*'Geometry'!$F$51),S_1_fy),-S_1_fy))-(IF(($R14+$S14*'Geometry'!$G$51+$T14*'Geometry'!$F$51)&gt;0,IF(($R14+$S14*'Geometry'!$G$51+$T14*'Geometry'!$F$51)&lt;=C_eco,C_alpha*C_fck*(1-(1-($R14+$S14*'Geometry'!$G$51+$T14*'Geometry'!$F$51)/C_eco)^C_n),C_alpha*C_fck),0)))*'Geometry'!$H$51*'Geometry'!$G$51+((MAX(MIN(S_1_Es*($R14+$S14*'Geometry'!$G$52+$T14*'Geometry'!$F$52),S_1_fy),-S_1_fy))-(IF(($R14+$S14*'Geometry'!$G$52+$T14*'Geometry'!$F$52)&gt;0,IF(($R14+$S14*'Geometry'!$G$52+$T14*'Geometry'!$F$52)&lt;=C_eco,C_alpha*C_fck*(1-(1-($R14+$S14*'Geometry'!$G$52+$T14*'Geometry'!$F$52)/C_eco)^C_n),C_alpha*C_fck),0)))*'Geometry'!$H$52*'Geometry'!$G$52+((MAX(MIN(S_1_Es*($R14+$S14*'Geometry'!$G$53+$T14*'Geometry'!$F$53),S_1_fy),-S_1_fy))-(IF(($R14+$S14*'Geometry'!$G$53+$T14*'Geometry'!$F$53)&gt;0,IF(($R14+$S14*'Geometry'!$G$53+$T14*'Geometry'!$F$53)&lt;=C_eco,C_alpha*C_fck*(1-(1-($R14+$S14*'Geometry'!$G$53+$T14*'Geometry'!$F$53)/C_eco)^C_n),C_alpha*C_fck),0)))*'Geometry'!$H$53*'Geometry'!$G$53+((MAX(MIN(S_1_Es*($R14+$S14*'Geometry'!$G$54+$T14*'Geometry'!$F$54),S_1_fy),-S_1_fy))-(IF(($R14+$S14*'Geometry'!$G$54+$T14*'Geometry'!$F$54)&gt;0,IF(($R14+$S14*'Geometry'!$G$54+$T14*'Geometry'!$F$54)&lt;=C_eco,C_alpha*C_fck*(1-(1-($R14+$S14*'Geometry'!$G$54+$T14*'Geometry'!$F$54)/C_eco)^C_n),C_alpha*C_fck),0)))*'Geometry'!$H$54*'Geometry'!$G$54+((MAX(MIN(S_1_Es*($R14+$S14*'Geometry'!$G$55+$T14*'Geometry'!$F$55),S_1_fy),-S_1_fy))-(IF(($R14+$S14*'Geometry'!$G$55+$T14*'Geometry'!$F$55)&gt;0,IF(($R14+$S14*'Geometry'!$G$55+$T14*'Geometry'!$F$55)&lt;=C_eco,C_alpha*C_fck*(1-(1-($R14+$S14*'Geometry'!$G$55+$T14*'Geometry'!$F$55)/C_eco)^C_n),C_alpha*C_fck),0)))*'Geometry'!$H$55*'Geometry'!$G$55+((MAX(MIN(S_1_Es*($R14+$S14*'Geometry'!$G$56+$T14*'Geometry'!$F$56),S_1_fy),-S_1_fy))-(IF(($R14+$S14*'Geometry'!$G$56+$T14*'Geometry'!$F$56)&gt;0,IF(($R14+$S14*'Geometry'!$G$56+$T14*'Geometry'!$F$56)&lt;=C_eco,C_alpha*C_fck*(1-(1-($R14+$S14*'Geometry'!$G$56+$T14*'Geometry'!$F$56)/C_eco)^C_n),C_alpha*C_fck),0)))*'Geometry'!$H$56*'Geometry'!$G$56+((MAX(MIN(S_1_Es*($R14+$S14*'Geometry'!$G$57+$T14*'Geometry'!$F$57),S_1_fy),-S_1_fy))-(IF(($R14+$S14*'Geometry'!$G$57+$T14*'Geometry'!$F$57)&gt;0,IF(($R14+$S14*'Geometry'!$G$57+$T14*'Geometry'!$F$57)&lt;=C_eco,C_alpha*C_fck*(1-(1-($R14+$S14*'Geometry'!$G$57+$T14*'Geometry'!$F$57)/C_eco)^C_n),C_alpha*C_fck),0)))*'Geometry'!$H$57*'Geometry'!$G$57)/1000000</f>
        <v>759.5764488262357</v>
      </c>
      <c r="Z14" s="10">
        <f>(((MAX(MIN(S_1_Es*($R14+$S14*'Geometry'!$G$40+$T14*'Geometry'!$F$40),S_1_fy),-S_1_fy))-(IF(($R14+$S14*'Geometry'!$G$40+$T14*'Geometry'!$F$40)&gt;0,IF(($R14+$S14*'Geometry'!$G$40+$T14*'Geometry'!$F$40)&lt;=C_eco,C_alpha*C_fck*(1-(1-($R14+$S14*'Geometry'!$G$40+$T14*'Geometry'!$F$40)/C_eco)^C_n),C_alpha*C_fck),0)))*'Geometry'!$H$40*'Geometry'!$F$40+((MAX(MIN(S_1_Es*($R14+$S14*'Geometry'!$G$41+$T14*'Geometry'!$F$41),S_1_fy),-S_1_fy))-(IF(($R14+$S14*'Geometry'!$G$41+$T14*'Geometry'!$F$41)&gt;0,IF(($R14+$S14*'Geometry'!$G$41+$T14*'Geometry'!$F$41)&lt;=C_eco,C_alpha*C_fck*(1-(1-($R14+$S14*'Geometry'!$G$41+$T14*'Geometry'!$F$41)/C_eco)^C_n),C_alpha*C_fck),0)))*'Geometry'!$H$41*'Geometry'!$F$41+((MAX(MIN(S_1_Es*($R14+$S14*'Geometry'!$G$42+$T14*'Geometry'!$F$42),S_1_fy),-S_1_fy))-(IF(($R14+$S14*'Geometry'!$G$42+$T14*'Geometry'!$F$42)&gt;0,IF(($R14+$S14*'Geometry'!$G$42+$T14*'Geometry'!$F$42)&lt;=C_eco,C_alpha*C_fck*(1-(1-($R14+$S14*'Geometry'!$G$42+$T14*'Geometry'!$F$42)/C_eco)^C_n),C_alpha*C_fck),0)))*'Geometry'!$H$42*'Geometry'!$F$42+((MAX(MIN(S_1_Es*($R14+$S14*'Geometry'!$G$43+$T14*'Geometry'!$F$43),S_1_fy),-S_1_fy))-(IF(($R14+$S14*'Geometry'!$G$43+$T14*'Geometry'!$F$43)&gt;0,IF(($R14+$S14*'Geometry'!$G$43+$T14*'Geometry'!$F$43)&lt;=C_eco,C_alpha*C_fck*(1-(1-($R14+$S14*'Geometry'!$G$43+$T14*'Geometry'!$F$43)/C_eco)^C_n),C_alpha*C_fck),0)))*'Geometry'!$H$43*'Geometry'!$F$43+((MAX(MIN(S_1_Es*($R14+$S14*'Geometry'!$G$44+$T14*'Geometry'!$F$44),S_1_fy),-S_1_fy))-(IF(($R14+$S14*'Geometry'!$G$44+$T14*'Geometry'!$F$44)&gt;0,IF(($R14+$S14*'Geometry'!$G$44+$T14*'Geometry'!$F$44)&lt;=C_eco,C_alpha*C_fck*(1-(1-($R14+$S14*'Geometry'!$G$44+$T14*'Geometry'!$F$44)/C_eco)^C_n),C_alpha*C_fck),0)))*'Geometry'!$H$44*'Geometry'!$F$44+((MAX(MIN(S_1_Es*($R14+$S14*'Geometry'!$G$45+$T14*'Geometry'!$F$45),S_1_fy),-S_1_fy))-(IF(($R14+$S14*'Geometry'!$G$45+$T14*'Geometry'!$F$45)&gt;0,IF(($R14+$S14*'Geometry'!$G$45+$T14*'Geometry'!$F$45)&lt;=C_eco,C_alpha*C_fck*(1-(1-($R14+$S14*'Geometry'!$G$45+$T14*'Geometry'!$F$45)/C_eco)^C_n),C_alpha*C_fck),0)))*'Geometry'!$H$45*'Geometry'!$F$45+((MAX(MIN(S_1_Es*($R14+$S14*'Geometry'!$G$46+$T14*'Geometry'!$F$46),S_1_fy),-S_1_fy))-(IF(($R14+$S14*'Geometry'!$G$46+$T14*'Geometry'!$F$46)&gt;0,IF(($R14+$S14*'Geometry'!$G$46+$T14*'Geometry'!$F$46)&lt;=C_eco,C_alpha*C_fck*(1-(1-($R14+$S14*'Geometry'!$G$46+$T14*'Geometry'!$F$46)/C_eco)^C_n),C_alpha*C_fck),0)))*'Geometry'!$H$46*'Geometry'!$F$46+((MAX(MIN(S_1_Es*($R14+$S14*'Geometry'!$G$47+$T14*'Geometry'!$F$47),S_1_fy),-S_1_fy))-(IF(($R14+$S14*'Geometry'!$G$47+$T14*'Geometry'!$F$47)&gt;0,IF(($R14+$S14*'Geometry'!$G$47+$T14*'Geometry'!$F$47)&lt;=C_eco,C_alpha*C_fck*(1-(1-($R14+$S14*'Geometry'!$G$47+$T14*'Geometry'!$F$47)/C_eco)^C_n),C_alpha*C_fck),0)))*'Geometry'!$H$47*'Geometry'!$F$47+((MAX(MIN(S_1_Es*($R14+$S14*'Geometry'!$G$48+$T14*'Geometry'!$F$48),S_1_fy),-S_1_fy))-(IF(($R14+$S14*'Geometry'!$G$48+$T14*'Geometry'!$F$48)&gt;0,IF(($R14+$S14*'Geometry'!$G$48+$T14*'Geometry'!$F$48)&lt;=C_eco,C_alpha*C_fck*(1-(1-($R14+$S14*'Geometry'!$G$48+$T14*'Geometry'!$F$48)/C_eco)^C_n),C_alpha*C_fck),0)))*'Geometry'!$H$48*'Geometry'!$F$48+((MAX(MIN(S_1_Es*($R14+$S14*'Geometry'!$G$49+$T14*'Geometry'!$F$49),S_1_fy),-S_1_fy))-(IF(($R14+$S14*'Geometry'!$G$49+$T14*'Geometry'!$F$49)&gt;0,IF(($R14+$S14*'Geometry'!$G$49+$T14*'Geometry'!$F$49)&lt;=C_eco,C_alpha*C_fck*(1-(1-($R14+$S14*'Geometry'!$G$49+$T14*'Geometry'!$F$49)/C_eco)^C_n),C_alpha*C_fck),0)))*'Geometry'!$H$49*'Geometry'!$F$49+((MAX(MIN(S_1_Es*($R14+$S14*'Geometry'!$G$50+$T14*'Geometry'!$F$50),S_1_fy),-S_1_fy))-(IF(($R14+$S14*'Geometry'!$G$50+$T14*'Geometry'!$F$50)&gt;0,IF(($R14+$S14*'Geometry'!$G$50+$T14*'Geometry'!$F$50)&lt;=C_eco,C_alpha*C_fck*(1-(1-($R14+$S14*'Geometry'!$G$50+$T14*'Geometry'!$F$50)/C_eco)^C_n),C_alpha*C_fck),0)))*'Geometry'!$H$50*'Geometry'!$F$50+((MAX(MIN(S_1_Es*($R14+$S14*'Geometry'!$G$51+$T14*'Geometry'!$F$51),S_1_fy),-S_1_fy))-(IF(($R14+$S14*'Geometry'!$G$51+$T14*'Geometry'!$F$51)&gt;0,IF(($R14+$S14*'Geometry'!$G$51+$T14*'Geometry'!$F$51)&lt;=C_eco,C_alpha*C_fck*(1-(1-($R14+$S14*'Geometry'!$G$51+$T14*'Geometry'!$F$51)/C_eco)^C_n),C_alpha*C_fck),0)))*'Geometry'!$H$51*'Geometry'!$F$51+((MAX(MIN(S_1_Es*($R14+$S14*'Geometry'!$G$52+$T14*'Geometry'!$F$52),S_1_fy),-S_1_fy))-(IF(($R14+$S14*'Geometry'!$G$52+$T14*'Geometry'!$F$52)&gt;0,IF(($R14+$S14*'Geometry'!$G$52+$T14*'Geometry'!$F$52)&lt;=C_eco,C_alpha*C_fck*(1-(1-($R14+$S14*'Geometry'!$G$52+$T14*'Geometry'!$F$52)/C_eco)^C_n),C_alpha*C_fck),0)))*'Geometry'!$H$52*'Geometry'!$F$52+((MAX(MIN(S_1_Es*($R14+$S14*'Geometry'!$G$53+$T14*'Geometry'!$F$53),S_1_fy),-S_1_fy))-(IF(($R14+$S14*'Geometry'!$G$53+$T14*'Geometry'!$F$53)&gt;0,IF(($R14+$S14*'Geometry'!$G$53+$T14*'Geometry'!$F$53)&lt;=C_eco,C_alpha*C_fck*(1-(1-($R14+$S14*'Geometry'!$G$53+$T14*'Geometry'!$F$53)/C_eco)^C_n),C_alpha*C_fck),0)))*'Geometry'!$H$53*'Geometry'!$F$53+((MAX(MIN(S_1_Es*($R14+$S14*'Geometry'!$G$54+$T14*'Geometry'!$F$54),S_1_fy),-S_1_fy))-(IF(($R14+$S14*'Geometry'!$G$54+$T14*'Geometry'!$F$54)&gt;0,IF(($R14+$S14*'Geometry'!$G$54+$T14*'Geometry'!$F$54)&lt;=C_eco,C_alpha*C_fck*(1-(1-($R14+$S14*'Geometry'!$G$54+$T14*'Geometry'!$F$54)/C_eco)^C_n),C_alpha*C_fck),0)))*'Geometry'!$H$54*'Geometry'!$F$54+((MAX(MIN(S_1_Es*($R14+$S14*'Geometry'!$G$55+$T14*'Geometry'!$F$55),S_1_fy),-S_1_fy))-(IF(($R14+$S14*'Geometry'!$G$55+$T14*'Geometry'!$F$55)&gt;0,IF(($R14+$S14*'Geometry'!$G$55+$T14*'Geometry'!$F$55)&lt;=C_eco,C_alpha*C_fck*(1-(1-($R14+$S14*'Geometry'!$G$55+$T14*'Geometry'!$F$55)/C_eco)^C_n),C_alpha*C_fck),0)))*'Geometry'!$H$55*'Geometry'!$F$55+((MAX(MIN(S_1_Es*($R14+$S14*'Geometry'!$G$56+$T14*'Geometry'!$F$56),S_1_fy),-S_1_fy))-(IF(($R14+$S14*'Geometry'!$G$56+$T14*'Geometry'!$F$56)&gt;0,IF(($R14+$S14*'Geometry'!$G$56+$T14*'Geometry'!$F$56)&lt;=C_eco,C_alpha*C_fck*(1-(1-($R14+$S14*'Geometry'!$G$56+$T14*'Geometry'!$F$56)/C_eco)^C_n),C_alpha*C_fck),0)))*'Geometry'!$H$56*'Geometry'!$F$56+((MAX(MIN(S_1_Es*($R14+$S14*'Geometry'!$G$57+$T14*'Geometry'!$F$57),S_1_fy),-S_1_fy))-(IF(($R14+$S14*'Geometry'!$G$57+$T14*'Geometry'!$F$57)&gt;0,IF(($R14+$S14*'Geometry'!$G$57+$T14*'Geometry'!$F$57)&lt;=C_eco,C_alpha*C_fck*(1-(1-($R14+$S14*'Geometry'!$G$57+$T14*'Geometry'!$F$57)/C_eco)^C_n),C_alpha*C_fck),0)))*'Geometry'!$H$57*'Geometry'!$F$57)/1000000</f>
        <v>184.66435256953147</v>
      </c>
      <c r="AA14" s="10">
        <f>U14+X14</f>
        <v>26602.76469085406</v>
      </c>
      <c r="AB14" s="10">
        <f>V14+Y14</f>
        <v>3178.2838226055337</v>
      </c>
      <c r="AC14" s="10">
        <f>W14+Z14</f>
        <v>834.2894451158458</v>
      </c>
      <c r="AD14" s="7">
        <v>0.65</v>
      </c>
      <c r="AE14" s="7">
        <v>0.65</v>
      </c>
      <c r="AF14" s="10">
        <f>AA14*AD14</f>
        <v>17291.797049055138</v>
      </c>
      <c r="AG14" s="10">
        <f>AB14*AE14</f>
        <v>2065.8844846935967</v>
      </c>
      <c r="AH14" s="10">
        <f>AC14*AE14</f>
        <v>542.2881393252998</v>
      </c>
      <c r="AI14" s="7">
        <v>17291.797049055138</v>
      </c>
      <c r="AJ14" s="7">
        <v>2065.8844846935967</v>
      </c>
      <c r="AK14" s="7">
        <v>542.2881393252998</v>
      </c>
      <c r="AL14" s="15">
        <f>AF14-AI14</f>
        <v>0</v>
      </c>
      <c r="AM14" s="15">
        <f>SQRT((AG14-AJ14)^2+(AH14-AK14)^2)</f>
        <v>0</v>
      </c>
      <c r="AN14" s="7" t="s">
        <v>189</v>
      </c>
      <c r="AO14" s="7">
        <v>26602.76469085406</v>
      </c>
      <c r="AP14" s="7">
        <v>3178.2838226055337</v>
      </c>
      <c r="AQ14" s="7">
        <v>834.2894451158458</v>
      </c>
      <c r="AR14" s="7">
        <v>22981.71521959605</v>
      </c>
      <c r="AS14" s="7">
        <v>2418.707373779298</v>
      </c>
      <c r="AT14" s="7">
        <v>649.6250925463144</v>
      </c>
      <c r="AU14" s="7">
        <v>3621.049471258009</v>
      </c>
      <c r="AV14" s="7">
        <v>759.5764488262357</v>
      </c>
      <c r="AW14" s="7">
        <v>184.66435256953147</v>
      </c>
    </row>
    <row r="15" spans="1:49" x14ac:dyDescent="0.25">
      <c r="A15">
        <v>8</v>
      </c>
      <c r="B15" t="s">
        <v>203</v>
      </c>
      <c r="C15" s="21">
        <f>$AF$15</f>
        <v>15995.024272414286</v>
      </c>
      <c r="D15" s="22">
        <f>$AG$15*COS(RADIANS($C$5))+$AH$15*SIN(RADIANS($C$5))</f>
        <v>2658.3030949228964</v>
      </c>
      <c r="G15" s="7" t="s">
        <v>204</v>
      </c>
      <c r="H15" s="7" t="s">
        <v>203</v>
      </c>
      <c r="I15" s="12">
        <v>10</v>
      </c>
      <c r="J15" s="7" t="s">
        <v>205</v>
      </c>
      <c r="K15" s="12">
        <v>0</v>
      </c>
      <c r="L15" s="10">
        <f>MAX(('Geometry'!$G$13*COS(RADIANS(I15))+'Geometry'!$F$13*SIN(RADIANS(I15))),('Geometry'!$G$14*COS(RADIANS(I15))+'Geometry'!$F$14*SIN(RADIANS(I15))),('Geometry'!$G$15*COS(RADIANS(I15))+'Geometry'!$F$15*SIN(RADIANS(I15))),('Geometry'!$G$16*COS(RADIANS(I15))+'Geometry'!$F$16*SIN(RADIANS(I15))),('Geometry'!$G$17*COS(RADIANS(I15))+'Geometry'!$F$17*SIN(RADIANS(I15))),('Geometry'!$G$18*COS(RADIANS(I15))+'Geometry'!$F$18*SIN(RADIANS(I15))),('Geometry'!$G$19*COS(RADIANS(I15))+'Geometry'!$F$19*SIN(RADIANS(I15))),('Geometry'!$G$20*COS(RADIANS(I15))+'Geometry'!$F$20*SIN(RADIANS(I15))))</f>
        <v>686.3911495241364</v>
      </c>
      <c r="M15" s="10">
        <f>MIN(('Geometry'!$G$40*COS(RADIANS(I15))+'Geometry'!$F$40*SIN(RADIANS(I15))),('Geometry'!$G$41*COS(RADIANS(I15))+'Geometry'!$F$41*SIN(RADIANS(I15))),('Geometry'!$G$42*COS(RADIANS(I15))+'Geometry'!$F$42*SIN(RADIANS(I15))),('Geometry'!$G$43*COS(RADIANS(I15))+'Geometry'!$F$43*SIN(RADIANS(I15))),('Geometry'!$G$44*COS(RADIANS(I15))+'Geometry'!$F$44*SIN(RADIANS(I15))),('Geometry'!$G$45*COS(RADIANS(I15))+'Geometry'!$F$45*SIN(RADIANS(I15))),('Geometry'!$G$46*COS(RADIANS(I15))+'Geometry'!$F$46*SIN(RADIANS(I15))),('Geometry'!$G$47*COS(RADIANS(I15))+'Geometry'!$F$47*SIN(RADIANS(I15))),('Geometry'!$G$48*COS(RADIANS(I15))+'Geometry'!$F$48*SIN(RADIANS(I15))),('Geometry'!$G$49*COS(RADIANS(I15))+'Geometry'!$F$49*SIN(RADIANS(I15))),('Geometry'!$G$50*COS(RADIANS(I15))+'Geometry'!$F$50*SIN(RADIANS(I15))),('Geometry'!$G$51*COS(RADIANS(I15))+'Geometry'!$F$51*SIN(RADIANS(I15))),('Geometry'!$G$52*COS(RADIANS(I15))+'Geometry'!$F$52*SIN(RADIANS(I15))),('Geometry'!$G$53*COS(RADIANS(I15))+'Geometry'!$F$53*SIN(RADIANS(I15))),('Geometry'!$G$54*COS(RADIANS(I15))+'Geometry'!$F$54*SIN(RADIANS(I15))),('Geometry'!$G$55*COS(RADIANS(I15))+'Geometry'!$F$55*SIN(RADIANS(I15))),('Geometry'!$G$56*COS(RADIANS(I15))+'Geometry'!$F$56*SIN(RADIANS(I15))),('Geometry'!$G$57*COS(RADIANS(I15))+'Geometry'!$F$57*SIN(RADIANS(I15))))</f>
        <v>-591.4073801632424</v>
      </c>
      <c r="N15" s="10">
        <f>L15-MIN(('Geometry'!$G$13*COS(RADIANS(I15))+'Geometry'!$F$13*SIN(RADIANS(I15))),('Geometry'!$G$14*COS(RADIANS(I15))+'Geometry'!$F$14*SIN(RADIANS(I15))),('Geometry'!$G$15*COS(RADIANS(I15))+'Geometry'!$F$15*SIN(RADIANS(I15))),('Geometry'!$G$16*COS(RADIANS(I15))+'Geometry'!$F$16*SIN(RADIANS(I15))),('Geometry'!$G$17*COS(RADIANS(I15))+'Geometry'!$F$17*SIN(RADIANS(I15))),('Geometry'!$G$18*COS(RADIANS(I15))+'Geometry'!$F$18*SIN(RADIANS(I15))),('Geometry'!$G$19*COS(RADIANS(I15))+'Geometry'!$F$19*SIN(RADIANS(I15))),('Geometry'!$G$20*COS(RADIANS(I15))+'Geometry'!$F$20*SIN(RADIANS(I15))))</f>
        <v>1372.7822990482728</v>
      </c>
      <c r="O15" s="15">
        <f>C_ecu</f>
        <v>0.0033</v>
      </c>
      <c r="P15" s="15">
        <f>-K15*S_1_fy/S_1_Es</f>
        <v>0</v>
      </c>
      <c r="Q15" s="20">
        <f>IF(ABS(L15-M15)&lt;0.000000000001,0,(O15-P15)/(L15-M15))</f>
        <v>0.0000025825667531542435</v>
      </c>
      <c r="R15" s="15">
        <f>O15-Q15*L15</f>
        <v>0.0015273490375796422</v>
      </c>
      <c r="S15" s="20">
        <f>Q15*COS(RADIANS(I15))</f>
        <v>0.0000025433317611778644</v>
      </c>
      <c r="T15" s="20">
        <f>Q15*SIN(RADIANS(I15))</f>
        <v>4.4845801038843545e-7</v>
      </c>
      <c r="U15" s="10">
        <f>SUMPRODUCT(C_alpha*C_fck*(1-(1-((($R15+$S15*Mesh_Y+$T15*Mesh_X))*(($R15+$S15*Mesh_Y+$T15*Mesh_X)&gt;0)*(($R15+$S15*Mesh_Y+$T15*Mesh_X)&lt;C_eco)+C_eco*(($R15+$S15*Mesh_Y+$T15*Mesh_X)&gt;=C_eco))/C_eco)^C_n)*((($R15+$S15*Mesh_Y+$T15*Mesh_X))&gt;0),Mesh_A)/1000</f>
        <v>21258.644347585992</v>
      </c>
      <c r="V15" s="10">
        <f>SUMPRODUCT(C_alpha*C_fck*(1-(1-((($R15+$S15*Mesh_Y+$T15*Mesh_X))*(($R15+$S15*Mesh_Y+$T15*Mesh_X)&gt;0)*(($R15+$S15*Mesh_Y+$T15*Mesh_X)&lt;C_eco)+C_eco*(($R15+$S15*Mesh_Y+$T15*Mesh_X)&gt;=C_eco))/C_eco)^C_n)*((($R15+$S15*Mesh_Y+$T15*Mesh_X))&gt;0),Mesh_A,Mesh_Y)/1000000</f>
        <v>3106.4051709474243</v>
      </c>
      <c r="W15" s="10">
        <f>SUMPRODUCT(C_alpha*C_fck*(1-(1-((($R15+$S15*Mesh_Y+$T15*Mesh_X))*(($R15+$S15*Mesh_Y+$T15*Mesh_X)&gt;0)*(($R15+$S15*Mesh_Y+$T15*Mesh_X)&lt;C_eco)+C_eco*(($R15+$S15*Mesh_Y+$T15*Mesh_X)&gt;=C_eco))/C_eco)^C_n)*((($R15+$S15*Mesh_Y+$T15*Mesh_X))&gt;0),Mesh_A,Mesh_X)/1000000</f>
        <v>794.4832155512286</v>
      </c>
      <c r="X15" s="10">
        <f>(((MAX(MIN(S_1_Es*($R15+$S15*'Geometry'!$G$40+$T15*'Geometry'!$F$40),S_1_fy),-S_1_fy))-(IF(($R15+$S15*'Geometry'!$G$40+$T15*'Geometry'!$F$40)&gt;0,IF(($R15+$S15*'Geometry'!$G$40+$T15*'Geometry'!$F$40)&lt;=C_eco,C_alpha*C_fck*(1-(1-($R15+$S15*'Geometry'!$G$40+$T15*'Geometry'!$F$40)/C_eco)^C_n),C_alpha*C_fck),0)))*'Geometry'!$H$40+((MAX(MIN(S_1_Es*($R15+$S15*'Geometry'!$G$41+$T15*'Geometry'!$F$41),S_1_fy),-S_1_fy))-(IF(($R15+$S15*'Geometry'!$G$41+$T15*'Geometry'!$F$41)&gt;0,IF(($R15+$S15*'Geometry'!$G$41+$T15*'Geometry'!$F$41)&lt;=C_eco,C_alpha*C_fck*(1-(1-($R15+$S15*'Geometry'!$G$41+$T15*'Geometry'!$F$41)/C_eco)^C_n),C_alpha*C_fck),0)))*'Geometry'!$H$41+((MAX(MIN(S_1_Es*($R15+$S15*'Geometry'!$G$42+$T15*'Geometry'!$F$42),S_1_fy),-S_1_fy))-(IF(($R15+$S15*'Geometry'!$G$42+$T15*'Geometry'!$F$42)&gt;0,IF(($R15+$S15*'Geometry'!$G$42+$T15*'Geometry'!$F$42)&lt;=C_eco,C_alpha*C_fck*(1-(1-($R15+$S15*'Geometry'!$G$42+$T15*'Geometry'!$F$42)/C_eco)^C_n),C_alpha*C_fck),0)))*'Geometry'!$H$42+((MAX(MIN(S_1_Es*($R15+$S15*'Geometry'!$G$43+$T15*'Geometry'!$F$43),S_1_fy),-S_1_fy))-(IF(($R15+$S15*'Geometry'!$G$43+$T15*'Geometry'!$F$43)&gt;0,IF(($R15+$S15*'Geometry'!$G$43+$T15*'Geometry'!$F$43)&lt;=C_eco,C_alpha*C_fck*(1-(1-($R15+$S15*'Geometry'!$G$43+$T15*'Geometry'!$F$43)/C_eco)^C_n),C_alpha*C_fck),0)))*'Geometry'!$H$43+((MAX(MIN(S_1_Es*($R15+$S15*'Geometry'!$G$44+$T15*'Geometry'!$F$44),S_1_fy),-S_1_fy))-(IF(($R15+$S15*'Geometry'!$G$44+$T15*'Geometry'!$F$44)&gt;0,IF(($R15+$S15*'Geometry'!$G$44+$T15*'Geometry'!$F$44)&lt;=C_eco,C_alpha*C_fck*(1-(1-($R15+$S15*'Geometry'!$G$44+$T15*'Geometry'!$F$44)/C_eco)^C_n),C_alpha*C_fck),0)))*'Geometry'!$H$44+((MAX(MIN(S_1_Es*($R15+$S15*'Geometry'!$G$45+$T15*'Geometry'!$F$45),S_1_fy),-S_1_fy))-(IF(($R15+$S15*'Geometry'!$G$45+$T15*'Geometry'!$F$45)&gt;0,IF(($R15+$S15*'Geometry'!$G$45+$T15*'Geometry'!$F$45)&lt;=C_eco,C_alpha*C_fck*(1-(1-($R15+$S15*'Geometry'!$G$45+$T15*'Geometry'!$F$45)/C_eco)^C_n),C_alpha*C_fck),0)))*'Geometry'!$H$45+((MAX(MIN(S_1_Es*($R15+$S15*'Geometry'!$G$46+$T15*'Geometry'!$F$46),S_1_fy),-S_1_fy))-(IF(($R15+$S15*'Geometry'!$G$46+$T15*'Geometry'!$F$46)&gt;0,IF(($R15+$S15*'Geometry'!$G$46+$T15*'Geometry'!$F$46)&lt;=C_eco,C_alpha*C_fck*(1-(1-($R15+$S15*'Geometry'!$G$46+$T15*'Geometry'!$F$46)/C_eco)^C_n),C_alpha*C_fck),0)))*'Geometry'!$H$46+((MAX(MIN(S_1_Es*($R15+$S15*'Geometry'!$G$47+$T15*'Geometry'!$F$47),S_1_fy),-S_1_fy))-(IF(($R15+$S15*'Geometry'!$G$47+$T15*'Geometry'!$F$47)&gt;0,IF(($R15+$S15*'Geometry'!$G$47+$T15*'Geometry'!$F$47)&lt;=C_eco,C_alpha*C_fck*(1-(1-($R15+$S15*'Geometry'!$G$47+$T15*'Geometry'!$F$47)/C_eco)^C_n),C_alpha*C_fck),0)))*'Geometry'!$H$47+((MAX(MIN(S_1_Es*($R15+$S15*'Geometry'!$G$48+$T15*'Geometry'!$F$48),S_1_fy),-S_1_fy))-(IF(($R15+$S15*'Geometry'!$G$48+$T15*'Geometry'!$F$48)&gt;0,IF(($R15+$S15*'Geometry'!$G$48+$T15*'Geometry'!$F$48)&lt;=C_eco,C_alpha*C_fck*(1-(1-($R15+$S15*'Geometry'!$G$48+$T15*'Geometry'!$F$48)/C_eco)^C_n),C_alpha*C_fck),0)))*'Geometry'!$H$48+((MAX(MIN(S_1_Es*($R15+$S15*'Geometry'!$G$49+$T15*'Geometry'!$F$49),S_1_fy),-S_1_fy))-(IF(($R15+$S15*'Geometry'!$G$49+$T15*'Geometry'!$F$49)&gt;0,IF(($R15+$S15*'Geometry'!$G$49+$T15*'Geometry'!$F$49)&lt;=C_eco,C_alpha*C_fck*(1-(1-($R15+$S15*'Geometry'!$G$49+$T15*'Geometry'!$F$49)/C_eco)^C_n),C_alpha*C_fck),0)))*'Geometry'!$H$49+((MAX(MIN(S_1_Es*($R15+$S15*'Geometry'!$G$50+$T15*'Geometry'!$F$50),S_1_fy),-S_1_fy))-(IF(($R15+$S15*'Geometry'!$G$50+$T15*'Geometry'!$F$50)&gt;0,IF(($R15+$S15*'Geometry'!$G$50+$T15*'Geometry'!$F$50)&lt;=C_eco,C_alpha*C_fck*(1-(1-($R15+$S15*'Geometry'!$G$50+$T15*'Geometry'!$F$50)/C_eco)^C_n),C_alpha*C_fck),0)))*'Geometry'!$H$50+((MAX(MIN(S_1_Es*($R15+$S15*'Geometry'!$G$51+$T15*'Geometry'!$F$51),S_1_fy),-S_1_fy))-(IF(($R15+$S15*'Geometry'!$G$51+$T15*'Geometry'!$F$51)&gt;0,IF(($R15+$S15*'Geometry'!$G$51+$T15*'Geometry'!$F$51)&lt;=C_eco,C_alpha*C_fck*(1-(1-($R15+$S15*'Geometry'!$G$51+$T15*'Geometry'!$F$51)/C_eco)^C_n),C_alpha*C_fck),0)))*'Geometry'!$H$51+((MAX(MIN(S_1_Es*($R15+$S15*'Geometry'!$G$52+$T15*'Geometry'!$F$52),S_1_fy),-S_1_fy))-(IF(($R15+$S15*'Geometry'!$G$52+$T15*'Geometry'!$F$52)&gt;0,IF(($R15+$S15*'Geometry'!$G$52+$T15*'Geometry'!$F$52)&lt;=C_eco,C_alpha*C_fck*(1-(1-($R15+$S15*'Geometry'!$G$52+$T15*'Geometry'!$F$52)/C_eco)^C_n),C_alpha*C_fck),0)))*'Geometry'!$H$52+((MAX(MIN(S_1_Es*($R15+$S15*'Geometry'!$G$53+$T15*'Geometry'!$F$53),S_1_fy),-S_1_fy))-(IF(($R15+$S15*'Geometry'!$G$53+$T15*'Geometry'!$F$53)&gt;0,IF(($R15+$S15*'Geometry'!$G$53+$T15*'Geometry'!$F$53)&lt;=C_eco,C_alpha*C_fck*(1-(1-($R15+$S15*'Geometry'!$G$53+$T15*'Geometry'!$F$53)/C_eco)^C_n),C_alpha*C_fck),0)))*'Geometry'!$H$53+((MAX(MIN(S_1_Es*($R15+$S15*'Geometry'!$G$54+$T15*'Geometry'!$F$54),S_1_fy),-S_1_fy))-(IF(($R15+$S15*'Geometry'!$G$54+$T15*'Geometry'!$F$54)&gt;0,IF(($R15+$S15*'Geometry'!$G$54+$T15*'Geometry'!$F$54)&lt;=C_eco,C_alpha*C_fck*(1-(1-($R15+$S15*'Geometry'!$G$54+$T15*'Geometry'!$F$54)/C_eco)^C_n),C_alpha*C_fck),0)))*'Geometry'!$H$54+((MAX(MIN(S_1_Es*($R15+$S15*'Geometry'!$G$55+$T15*'Geometry'!$F$55),S_1_fy),-S_1_fy))-(IF(($R15+$S15*'Geometry'!$G$55+$T15*'Geometry'!$F$55)&gt;0,IF(($R15+$S15*'Geometry'!$G$55+$T15*'Geometry'!$F$55)&lt;=C_eco,C_alpha*C_fck*(1-(1-($R15+$S15*'Geometry'!$G$55+$T15*'Geometry'!$F$55)/C_eco)^C_n),C_alpha*C_fck),0)))*'Geometry'!$H$55+((MAX(MIN(S_1_Es*($R15+$S15*'Geometry'!$G$56+$T15*'Geometry'!$F$56),S_1_fy),-S_1_fy))-(IF(($R15+$S15*'Geometry'!$G$56+$T15*'Geometry'!$F$56)&gt;0,IF(($R15+$S15*'Geometry'!$G$56+$T15*'Geometry'!$F$56)&lt;=C_eco,C_alpha*C_fck*(1-(1-($R15+$S15*'Geometry'!$G$56+$T15*'Geometry'!$F$56)/C_eco)^C_n),C_alpha*C_fck),0)))*'Geometry'!$H$56+((MAX(MIN(S_1_Es*($R15+$S15*'Geometry'!$G$57+$T15*'Geometry'!$F$57),S_1_fy),-S_1_fy))-(IF(($R15+$S15*'Geometry'!$G$57+$T15*'Geometry'!$F$57)&gt;0,IF(($R15+$S15*'Geometry'!$G$57+$T15*'Geometry'!$F$57)&lt;=C_eco,C_alpha*C_fck*(1-(1-($R15+$S15*'Geometry'!$G$57+$T15*'Geometry'!$F$57)/C_eco)^C_n),C_alpha*C_fck),0)))*'Geometry'!$H$57)/1000</f>
        <v>3349.0853022821407</v>
      </c>
      <c r="Y15" s="10">
        <f>(((MAX(MIN(S_1_Es*($R15+$S15*'Geometry'!$G$40+$T15*'Geometry'!$F$40),S_1_fy),-S_1_fy))-(IF(($R15+$S15*'Geometry'!$G$40+$T15*'Geometry'!$F$40)&gt;0,IF(($R15+$S15*'Geometry'!$G$40+$T15*'Geometry'!$F$40)&lt;=C_eco,C_alpha*C_fck*(1-(1-($R15+$S15*'Geometry'!$G$40+$T15*'Geometry'!$F$40)/C_eco)^C_n),C_alpha*C_fck),0)))*'Geometry'!$H$40*'Geometry'!$G$40+((MAX(MIN(S_1_Es*($R15+$S15*'Geometry'!$G$41+$T15*'Geometry'!$F$41),S_1_fy),-S_1_fy))-(IF(($R15+$S15*'Geometry'!$G$41+$T15*'Geometry'!$F$41)&gt;0,IF(($R15+$S15*'Geometry'!$G$41+$T15*'Geometry'!$F$41)&lt;=C_eco,C_alpha*C_fck*(1-(1-($R15+$S15*'Geometry'!$G$41+$T15*'Geometry'!$F$41)/C_eco)^C_n),C_alpha*C_fck),0)))*'Geometry'!$H$41*'Geometry'!$G$41+((MAX(MIN(S_1_Es*($R15+$S15*'Geometry'!$G$42+$T15*'Geometry'!$F$42),S_1_fy),-S_1_fy))-(IF(($R15+$S15*'Geometry'!$G$42+$T15*'Geometry'!$F$42)&gt;0,IF(($R15+$S15*'Geometry'!$G$42+$T15*'Geometry'!$F$42)&lt;=C_eco,C_alpha*C_fck*(1-(1-($R15+$S15*'Geometry'!$G$42+$T15*'Geometry'!$F$42)/C_eco)^C_n),C_alpha*C_fck),0)))*'Geometry'!$H$42*'Geometry'!$G$42+((MAX(MIN(S_1_Es*($R15+$S15*'Geometry'!$G$43+$T15*'Geometry'!$F$43),S_1_fy),-S_1_fy))-(IF(($R15+$S15*'Geometry'!$G$43+$T15*'Geometry'!$F$43)&gt;0,IF(($R15+$S15*'Geometry'!$G$43+$T15*'Geometry'!$F$43)&lt;=C_eco,C_alpha*C_fck*(1-(1-($R15+$S15*'Geometry'!$G$43+$T15*'Geometry'!$F$43)/C_eco)^C_n),C_alpha*C_fck),0)))*'Geometry'!$H$43*'Geometry'!$G$43+((MAX(MIN(S_1_Es*($R15+$S15*'Geometry'!$G$44+$T15*'Geometry'!$F$44),S_1_fy),-S_1_fy))-(IF(($R15+$S15*'Geometry'!$G$44+$T15*'Geometry'!$F$44)&gt;0,IF(($R15+$S15*'Geometry'!$G$44+$T15*'Geometry'!$F$44)&lt;=C_eco,C_alpha*C_fck*(1-(1-($R15+$S15*'Geometry'!$G$44+$T15*'Geometry'!$F$44)/C_eco)^C_n),C_alpha*C_fck),0)))*'Geometry'!$H$44*'Geometry'!$G$44+((MAX(MIN(S_1_Es*($R15+$S15*'Geometry'!$G$45+$T15*'Geometry'!$F$45),S_1_fy),-S_1_fy))-(IF(($R15+$S15*'Geometry'!$G$45+$T15*'Geometry'!$F$45)&gt;0,IF(($R15+$S15*'Geometry'!$G$45+$T15*'Geometry'!$F$45)&lt;=C_eco,C_alpha*C_fck*(1-(1-($R15+$S15*'Geometry'!$G$45+$T15*'Geometry'!$F$45)/C_eco)^C_n),C_alpha*C_fck),0)))*'Geometry'!$H$45*'Geometry'!$G$45+((MAX(MIN(S_1_Es*($R15+$S15*'Geometry'!$G$46+$T15*'Geometry'!$F$46),S_1_fy),-S_1_fy))-(IF(($R15+$S15*'Geometry'!$G$46+$T15*'Geometry'!$F$46)&gt;0,IF(($R15+$S15*'Geometry'!$G$46+$T15*'Geometry'!$F$46)&lt;=C_eco,C_alpha*C_fck*(1-(1-($R15+$S15*'Geometry'!$G$46+$T15*'Geometry'!$F$46)/C_eco)^C_n),C_alpha*C_fck),0)))*'Geometry'!$H$46*'Geometry'!$G$46+((MAX(MIN(S_1_Es*($R15+$S15*'Geometry'!$G$47+$T15*'Geometry'!$F$47),S_1_fy),-S_1_fy))-(IF(($R15+$S15*'Geometry'!$G$47+$T15*'Geometry'!$F$47)&gt;0,IF(($R15+$S15*'Geometry'!$G$47+$T15*'Geometry'!$F$47)&lt;=C_eco,C_alpha*C_fck*(1-(1-($R15+$S15*'Geometry'!$G$47+$T15*'Geometry'!$F$47)/C_eco)^C_n),C_alpha*C_fck),0)))*'Geometry'!$H$47*'Geometry'!$G$47+((MAX(MIN(S_1_Es*($R15+$S15*'Geometry'!$G$48+$T15*'Geometry'!$F$48),S_1_fy),-S_1_fy))-(IF(($R15+$S15*'Geometry'!$G$48+$T15*'Geometry'!$F$48)&gt;0,IF(($R15+$S15*'Geometry'!$G$48+$T15*'Geometry'!$F$48)&lt;=C_eco,C_alpha*C_fck*(1-(1-($R15+$S15*'Geometry'!$G$48+$T15*'Geometry'!$F$48)/C_eco)^C_n),C_alpha*C_fck),0)))*'Geometry'!$H$48*'Geometry'!$G$48+((MAX(MIN(S_1_Es*($R15+$S15*'Geometry'!$G$49+$T15*'Geometry'!$F$49),S_1_fy),-S_1_fy))-(IF(($R15+$S15*'Geometry'!$G$49+$T15*'Geometry'!$F$49)&gt;0,IF(($R15+$S15*'Geometry'!$G$49+$T15*'Geometry'!$F$49)&lt;=C_eco,C_alpha*C_fck*(1-(1-($R15+$S15*'Geometry'!$G$49+$T15*'Geometry'!$F$49)/C_eco)^C_n),C_alpha*C_fck),0)))*'Geometry'!$H$49*'Geometry'!$G$49+((MAX(MIN(S_1_Es*($R15+$S15*'Geometry'!$G$50+$T15*'Geometry'!$F$50),S_1_fy),-S_1_fy))-(IF(($R15+$S15*'Geometry'!$G$50+$T15*'Geometry'!$F$50)&gt;0,IF(($R15+$S15*'Geometry'!$G$50+$T15*'Geometry'!$F$50)&lt;=C_eco,C_alpha*C_fck*(1-(1-($R15+$S15*'Geometry'!$G$50+$T15*'Geometry'!$F$50)/C_eco)^C_n),C_alpha*C_fck),0)))*'Geometry'!$H$50*'Geometry'!$G$50+((MAX(MIN(S_1_Es*($R15+$S15*'Geometry'!$G$51+$T15*'Geometry'!$F$51),S_1_fy),-S_1_fy))-(IF(($R15+$S15*'Geometry'!$G$51+$T15*'Geometry'!$F$51)&gt;0,IF(($R15+$S15*'Geometry'!$G$51+$T15*'Geometry'!$F$51)&lt;=C_eco,C_alpha*C_fck*(1-(1-($R15+$S15*'Geometry'!$G$51+$T15*'Geometry'!$F$51)/C_eco)^C_n),C_alpha*C_fck),0)))*'Geometry'!$H$51*'Geometry'!$G$51+((MAX(MIN(S_1_Es*($R15+$S15*'Geometry'!$G$52+$T15*'Geometry'!$F$52),S_1_fy),-S_1_fy))-(IF(($R15+$S15*'Geometry'!$G$52+$T15*'Geometry'!$F$52)&gt;0,IF(($R15+$S15*'Geometry'!$G$52+$T15*'Geometry'!$F$52)&lt;=C_eco,C_alpha*C_fck*(1-(1-($R15+$S15*'Geometry'!$G$52+$T15*'Geometry'!$F$52)/C_eco)^C_n),C_alpha*C_fck),0)))*'Geometry'!$H$52*'Geometry'!$G$52+((MAX(MIN(S_1_Es*($R15+$S15*'Geometry'!$G$53+$T15*'Geometry'!$F$53),S_1_fy),-S_1_fy))-(IF(($R15+$S15*'Geometry'!$G$53+$T15*'Geometry'!$F$53)&gt;0,IF(($R15+$S15*'Geometry'!$G$53+$T15*'Geometry'!$F$53)&lt;=C_eco,C_alpha*C_fck*(1-(1-($R15+$S15*'Geometry'!$G$53+$T15*'Geometry'!$F$53)/C_eco)^C_n),C_alpha*C_fck),0)))*'Geometry'!$H$53*'Geometry'!$G$53+((MAX(MIN(S_1_Es*($R15+$S15*'Geometry'!$G$54+$T15*'Geometry'!$F$54),S_1_fy),-S_1_fy))-(IF(($R15+$S15*'Geometry'!$G$54+$T15*'Geometry'!$F$54)&gt;0,IF(($R15+$S15*'Geometry'!$G$54+$T15*'Geometry'!$F$54)&lt;=C_eco,C_alpha*C_fck*(1-(1-($R15+$S15*'Geometry'!$G$54+$T15*'Geometry'!$F$54)/C_eco)^C_n),C_alpha*C_fck),0)))*'Geometry'!$H$54*'Geometry'!$G$54+((MAX(MIN(S_1_Es*($R15+$S15*'Geometry'!$G$55+$T15*'Geometry'!$F$55),S_1_fy),-S_1_fy))-(IF(($R15+$S15*'Geometry'!$G$55+$T15*'Geometry'!$F$55)&gt;0,IF(($R15+$S15*'Geometry'!$G$55+$T15*'Geometry'!$F$55)&lt;=C_eco,C_alpha*C_fck*(1-(1-($R15+$S15*'Geometry'!$G$55+$T15*'Geometry'!$F$55)/C_eco)^C_n),C_alpha*C_fck),0)))*'Geometry'!$H$55*'Geometry'!$G$55+((MAX(MIN(S_1_Es*($R15+$S15*'Geometry'!$G$56+$T15*'Geometry'!$F$56),S_1_fy),-S_1_fy))-(IF(($R15+$S15*'Geometry'!$G$56+$T15*'Geometry'!$F$56)&gt;0,IF(($R15+$S15*'Geometry'!$G$56+$T15*'Geometry'!$F$56)&lt;=C_eco,C_alpha*C_fck*(1-(1-($R15+$S15*'Geometry'!$G$56+$T15*'Geometry'!$F$56)/C_eco)^C_n),C_alpha*C_fck),0)))*'Geometry'!$H$56*'Geometry'!$G$56+((MAX(MIN(S_1_Es*($R15+$S15*'Geometry'!$G$57+$T15*'Geometry'!$F$57),S_1_fy),-S_1_fy))-(IF(($R15+$S15*'Geometry'!$G$57+$T15*'Geometry'!$F$57)&gt;0,IF(($R15+$S15*'Geometry'!$G$57+$T15*'Geometry'!$F$57)&lt;=C_eco,C_alpha*C_fck*(1-(1-($R15+$S15*'Geometry'!$G$57+$T15*'Geometry'!$F$57)/C_eco)^C_n),C_alpha*C_fck),0)))*'Geometry'!$H$57*'Geometry'!$G$57)/1000000</f>
        <v>858.8246751320582</v>
      </c>
      <c r="Z15" s="10">
        <f>(((MAX(MIN(S_1_Es*($R15+$S15*'Geometry'!$G$40+$T15*'Geometry'!$F$40),S_1_fy),-S_1_fy))-(IF(($R15+$S15*'Geometry'!$G$40+$T15*'Geometry'!$F$40)&gt;0,IF(($R15+$S15*'Geometry'!$G$40+$T15*'Geometry'!$F$40)&lt;=C_eco,C_alpha*C_fck*(1-(1-($R15+$S15*'Geometry'!$G$40+$T15*'Geometry'!$F$40)/C_eco)^C_n),C_alpha*C_fck),0)))*'Geometry'!$H$40*'Geometry'!$F$40+((MAX(MIN(S_1_Es*($R15+$S15*'Geometry'!$G$41+$T15*'Geometry'!$F$41),S_1_fy),-S_1_fy))-(IF(($R15+$S15*'Geometry'!$G$41+$T15*'Geometry'!$F$41)&gt;0,IF(($R15+$S15*'Geometry'!$G$41+$T15*'Geometry'!$F$41)&lt;=C_eco,C_alpha*C_fck*(1-(1-($R15+$S15*'Geometry'!$G$41+$T15*'Geometry'!$F$41)/C_eco)^C_n),C_alpha*C_fck),0)))*'Geometry'!$H$41*'Geometry'!$F$41+((MAX(MIN(S_1_Es*($R15+$S15*'Geometry'!$G$42+$T15*'Geometry'!$F$42),S_1_fy),-S_1_fy))-(IF(($R15+$S15*'Geometry'!$G$42+$T15*'Geometry'!$F$42)&gt;0,IF(($R15+$S15*'Geometry'!$G$42+$T15*'Geometry'!$F$42)&lt;=C_eco,C_alpha*C_fck*(1-(1-($R15+$S15*'Geometry'!$G$42+$T15*'Geometry'!$F$42)/C_eco)^C_n),C_alpha*C_fck),0)))*'Geometry'!$H$42*'Geometry'!$F$42+((MAX(MIN(S_1_Es*($R15+$S15*'Geometry'!$G$43+$T15*'Geometry'!$F$43),S_1_fy),-S_1_fy))-(IF(($R15+$S15*'Geometry'!$G$43+$T15*'Geometry'!$F$43)&gt;0,IF(($R15+$S15*'Geometry'!$G$43+$T15*'Geometry'!$F$43)&lt;=C_eco,C_alpha*C_fck*(1-(1-($R15+$S15*'Geometry'!$G$43+$T15*'Geometry'!$F$43)/C_eco)^C_n),C_alpha*C_fck),0)))*'Geometry'!$H$43*'Geometry'!$F$43+((MAX(MIN(S_1_Es*($R15+$S15*'Geometry'!$G$44+$T15*'Geometry'!$F$44),S_1_fy),-S_1_fy))-(IF(($R15+$S15*'Geometry'!$G$44+$T15*'Geometry'!$F$44)&gt;0,IF(($R15+$S15*'Geometry'!$G$44+$T15*'Geometry'!$F$44)&lt;=C_eco,C_alpha*C_fck*(1-(1-($R15+$S15*'Geometry'!$G$44+$T15*'Geometry'!$F$44)/C_eco)^C_n),C_alpha*C_fck),0)))*'Geometry'!$H$44*'Geometry'!$F$44+((MAX(MIN(S_1_Es*($R15+$S15*'Geometry'!$G$45+$T15*'Geometry'!$F$45),S_1_fy),-S_1_fy))-(IF(($R15+$S15*'Geometry'!$G$45+$T15*'Geometry'!$F$45)&gt;0,IF(($R15+$S15*'Geometry'!$G$45+$T15*'Geometry'!$F$45)&lt;=C_eco,C_alpha*C_fck*(1-(1-($R15+$S15*'Geometry'!$G$45+$T15*'Geometry'!$F$45)/C_eco)^C_n),C_alpha*C_fck),0)))*'Geometry'!$H$45*'Geometry'!$F$45+((MAX(MIN(S_1_Es*($R15+$S15*'Geometry'!$G$46+$T15*'Geometry'!$F$46),S_1_fy),-S_1_fy))-(IF(($R15+$S15*'Geometry'!$G$46+$T15*'Geometry'!$F$46)&gt;0,IF(($R15+$S15*'Geometry'!$G$46+$T15*'Geometry'!$F$46)&lt;=C_eco,C_alpha*C_fck*(1-(1-($R15+$S15*'Geometry'!$G$46+$T15*'Geometry'!$F$46)/C_eco)^C_n),C_alpha*C_fck),0)))*'Geometry'!$H$46*'Geometry'!$F$46+((MAX(MIN(S_1_Es*($R15+$S15*'Geometry'!$G$47+$T15*'Geometry'!$F$47),S_1_fy),-S_1_fy))-(IF(($R15+$S15*'Geometry'!$G$47+$T15*'Geometry'!$F$47)&gt;0,IF(($R15+$S15*'Geometry'!$G$47+$T15*'Geometry'!$F$47)&lt;=C_eco,C_alpha*C_fck*(1-(1-($R15+$S15*'Geometry'!$G$47+$T15*'Geometry'!$F$47)/C_eco)^C_n),C_alpha*C_fck),0)))*'Geometry'!$H$47*'Geometry'!$F$47+((MAX(MIN(S_1_Es*($R15+$S15*'Geometry'!$G$48+$T15*'Geometry'!$F$48),S_1_fy),-S_1_fy))-(IF(($R15+$S15*'Geometry'!$G$48+$T15*'Geometry'!$F$48)&gt;0,IF(($R15+$S15*'Geometry'!$G$48+$T15*'Geometry'!$F$48)&lt;=C_eco,C_alpha*C_fck*(1-(1-($R15+$S15*'Geometry'!$G$48+$T15*'Geometry'!$F$48)/C_eco)^C_n),C_alpha*C_fck),0)))*'Geometry'!$H$48*'Geometry'!$F$48+((MAX(MIN(S_1_Es*($R15+$S15*'Geometry'!$G$49+$T15*'Geometry'!$F$49),S_1_fy),-S_1_fy))-(IF(($R15+$S15*'Geometry'!$G$49+$T15*'Geometry'!$F$49)&gt;0,IF(($R15+$S15*'Geometry'!$G$49+$T15*'Geometry'!$F$49)&lt;=C_eco,C_alpha*C_fck*(1-(1-($R15+$S15*'Geometry'!$G$49+$T15*'Geometry'!$F$49)/C_eco)^C_n),C_alpha*C_fck),0)))*'Geometry'!$H$49*'Geometry'!$F$49+((MAX(MIN(S_1_Es*($R15+$S15*'Geometry'!$G$50+$T15*'Geometry'!$F$50),S_1_fy),-S_1_fy))-(IF(($R15+$S15*'Geometry'!$G$50+$T15*'Geometry'!$F$50)&gt;0,IF(($R15+$S15*'Geometry'!$G$50+$T15*'Geometry'!$F$50)&lt;=C_eco,C_alpha*C_fck*(1-(1-($R15+$S15*'Geometry'!$G$50+$T15*'Geometry'!$F$50)/C_eco)^C_n),C_alpha*C_fck),0)))*'Geometry'!$H$50*'Geometry'!$F$50+((MAX(MIN(S_1_Es*($R15+$S15*'Geometry'!$G$51+$T15*'Geometry'!$F$51),S_1_fy),-S_1_fy))-(IF(($R15+$S15*'Geometry'!$G$51+$T15*'Geometry'!$F$51)&gt;0,IF(($R15+$S15*'Geometry'!$G$51+$T15*'Geometry'!$F$51)&lt;=C_eco,C_alpha*C_fck*(1-(1-($R15+$S15*'Geometry'!$G$51+$T15*'Geometry'!$F$51)/C_eco)^C_n),C_alpha*C_fck),0)))*'Geometry'!$H$51*'Geometry'!$F$51+((MAX(MIN(S_1_Es*($R15+$S15*'Geometry'!$G$52+$T15*'Geometry'!$F$52),S_1_fy),-S_1_fy))-(IF(($R15+$S15*'Geometry'!$G$52+$T15*'Geometry'!$F$52)&gt;0,IF(($R15+$S15*'Geometry'!$G$52+$T15*'Geometry'!$F$52)&lt;=C_eco,C_alpha*C_fck*(1-(1-($R15+$S15*'Geometry'!$G$52+$T15*'Geometry'!$F$52)/C_eco)^C_n),C_alpha*C_fck),0)))*'Geometry'!$H$52*'Geometry'!$F$52+((MAX(MIN(S_1_Es*($R15+$S15*'Geometry'!$G$53+$T15*'Geometry'!$F$53),S_1_fy),-S_1_fy))-(IF(($R15+$S15*'Geometry'!$G$53+$T15*'Geometry'!$F$53)&gt;0,IF(($R15+$S15*'Geometry'!$G$53+$T15*'Geometry'!$F$53)&lt;=C_eco,C_alpha*C_fck*(1-(1-($R15+$S15*'Geometry'!$G$53+$T15*'Geometry'!$F$53)/C_eco)^C_n),C_alpha*C_fck),0)))*'Geometry'!$H$53*'Geometry'!$F$53+((MAX(MIN(S_1_Es*($R15+$S15*'Geometry'!$G$54+$T15*'Geometry'!$F$54),S_1_fy),-S_1_fy))-(IF(($R15+$S15*'Geometry'!$G$54+$T15*'Geometry'!$F$54)&gt;0,IF(($R15+$S15*'Geometry'!$G$54+$T15*'Geometry'!$F$54)&lt;=C_eco,C_alpha*C_fck*(1-(1-($R15+$S15*'Geometry'!$G$54+$T15*'Geometry'!$F$54)/C_eco)^C_n),C_alpha*C_fck),0)))*'Geometry'!$H$54*'Geometry'!$F$54+((MAX(MIN(S_1_Es*($R15+$S15*'Geometry'!$G$55+$T15*'Geometry'!$F$55),S_1_fy),-S_1_fy))-(IF(($R15+$S15*'Geometry'!$G$55+$T15*'Geometry'!$F$55)&gt;0,IF(($R15+$S15*'Geometry'!$G$55+$T15*'Geometry'!$F$55)&lt;=C_eco,C_alpha*C_fck*(1-(1-($R15+$S15*'Geometry'!$G$55+$T15*'Geometry'!$F$55)/C_eco)^C_n),C_alpha*C_fck),0)))*'Geometry'!$H$55*'Geometry'!$F$55+((MAX(MIN(S_1_Es*($R15+$S15*'Geometry'!$G$56+$T15*'Geometry'!$F$56),S_1_fy),-S_1_fy))-(IF(($R15+$S15*'Geometry'!$G$56+$T15*'Geometry'!$F$56)&gt;0,IF(($R15+$S15*'Geometry'!$G$56+$T15*'Geometry'!$F$56)&lt;=C_eco,C_alpha*C_fck*(1-(1-($R15+$S15*'Geometry'!$G$56+$T15*'Geometry'!$F$56)/C_eco)^C_n),C_alpha*C_fck),0)))*'Geometry'!$H$56*'Geometry'!$F$56+((MAX(MIN(S_1_Es*($R15+$S15*'Geometry'!$G$57+$T15*'Geometry'!$F$57),S_1_fy),-S_1_fy))-(IF(($R15+$S15*'Geometry'!$G$57+$T15*'Geometry'!$F$57)&gt;0,IF(($R15+$S15*'Geometry'!$G$57+$T15*'Geometry'!$F$57)&lt;=C_eco,C_alpha*C_fck*(1-(1-($R15+$S15*'Geometry'!$G$57+$T15*'Geometry'!$F$57)/C_eco)^C_n),C_alpha*C_fck),0)))*'Geometry'!$H$57*'Geometry'!$F$57)/1000000</f>
        <v>208.4536182081537</v>
      </c>
      <c r="AA15" s="10">
        <f>U15+X15</f>
        <v>24607.72964986813</v>
      </c>
      <c r="AB15" s="10">
        <f>V15+Y15</f>
        <v>3965.2298460794827</v>
      </c>
      <c r="AC15" s="10">
        <f>W15+Z15</f>
        <v>1002.9368337593822</v>
      </c>
      <c r="AD15" s="7">
        <v>0.65</v>
      </c>
      <c r="AE15" s="7">
        <v>0.6499999999999999</v>
      </c>
      <c r="AF15" s="10">
        <f>AA15*AD15</f>
        <v>15995.024272414286</v>
      </c>
      <c r="AG15" s="10">
        <f>AB15*AE15</f>
        <v>2577.399399951664</v>
      </c>
      <c r="AH15" s="10">
        <f>AC15*AE15</f>
        <v>651.9089419435985</v>
      </c>
      <c r="AI15" s="7">
        <v>15995.024272414286</v>
      </c>
      <c r="AJ15" s="7">
        <v>2577.399399951664</v>
      </c>
      <c r="AK15" s="7">
        <v>651.9089419435985</v>
      </c>
      <c r="AL15" s="15">
        <f>AF15-AI15</f>
        <v>0</v>
      </c>
      <c r="AM15" s="15">
        <f>SQRT((AG15-AJ15)^2+(AH15-AK15)^2)</f>
        <v>0</v>
      </c>
      <c r="AN15" s="7" t="s">
        <v>189</v>
      </c>
      <c r="AO15" s="7">
        <v>24607.72964986813</v>
      </c>
      <c r="AP15" s="7">
        <v>3965.2298460794827</v>
      </c>
      <c r="AQ15" s="7">
        <v>1002.9368337593822</v>
      </c>
      <c r="AR15" s="7">
        <v>21258.644347585992</v>
      </c>
      <c r="AS15" s="7">
        <v>3106.4051709474243</v>
      </c>
      <c r="AT15" s="7">
        <v>794.4832155512286</v>
      </c>
      <c r="AU15" s="7">
        <v>3349.0853022821407</v>
      </c>
      <c r="AV15" s="7">
        <v>858.8246751320582</v>
      </c>
      <c r="AW15" s="7">
        <v>208.4536182081537</v>
      </c>
    </row>
    <row r="16" spans="1:49" x14ac:dyDescent="0.25">
      <c r="A16" s="17">
        <v>9</v>
      </c>
      <c r="B16" s="17" t="s">
        <v>206</v>
      </c>
      <c r="C16" s="18">
        <f>$AF$16</f>
        <v>13490.7397948163</v>
      </c>
      <c r="D16" s="19">
        <f>$AG$16*COS(RADIANS($C$5))+$AH$16*SIN(RADIANS($C$5))</f>
        <v>3476.5387685859328</v>
      </c>
      <c r="G16" s="7" t="s">
        <v>207</v>
      </c>
      <c r="H16" s="7" t="s">
        <v>206</v>
      </c>
      <c r="I16" s="12">
        <v>10</v>
      </c>
      <c r="J16" s="7" t="s">
        <v>205</v>
      </c>
      <c r="K16" s="12">
        <v>0.2499999999999999</v>
      </c>
      <c r="L16" s="10">
        <f>MAX(('Geometry'!$G$13*COS(RADIANS(I16))+'Geometry'!$F$13*SIN(RADIANS(I16))),('Geometry'!$G$14*COS(RADIANS(I16))+'Geometry'!$F$14*SIN(RADIANS(I16))),('Geometry'!$G$15*COS(RADIANS(I16))+'Geometry'!$F$15*SIN(RADIANS(I16))),('Geometry'!$G$16*COS(RADIANS(I16))+'Geometry'!$F$16*SIN(RADIANS(I16))),('Geometry'!$G$17*COS(RADIANS(I16))+'Geometry'!$F$17*SIN(RADIANS(I16))),('Geometry'!$G$18*COS(RADIANS(I16))+'Geometry'!$F$18*SIN(RADIANS(I16))),('Geometry'!$G$19*COS(RADIANS(I16))+'Geometry'!$F$19*SIN(RADIANS(I16))),('Geometry'!$G$20*COS(RADIANS(I16))+'Geometry'!$F$20*SIN(RADIANS(I16))))</f>
        <v>686.3911495241364</v>
      </c>
      <c r="M16" s="10">
        <f>MIN(('Geometry'!$G$40*COS(RADIANS(I16))+'Geometry'!$F$40*SIN(RADIANS(I16))),('Geometry'!$G$41*COS(RADIANS(I16))+'Geometry'!$F$41*SIN(RADIANS(I16))),('Geometry'!$G$42*COS(RADIANS(I16))+'Geometry'!$F$42*SIN(RADIANS(I16))),('Geometry'!$G$43*COS(RADIANS(I16))+'Geometry'!$F$43*SIN(RADIANS(I16))),('Geometry'!$G$44*COS(RADIANS(I16))+'Geometry'!$F$44*SIN(RADIANS(I16))),('Geometry'!$G$45*COS(RADIANS(I16))+'Geometry'!$F$45*SIN(RADIANS(I16))),('Geometry'!$G$46*COS(RADIANS(I16))+'Geometry'!$F$46*SIN(RADIANS(I16))),('Geometry'!$G$47*COS(RADIANS(I16))+'Geometry'!$F$47*SIN(RADIANS(I16))),('Geometry'!$G$48*COS(RADIANS(I16))+'Geometry'!$F$48*SIN(RADIANS(I16))),('Geometry'!$G$49*COS(RADIANS(I16))+'Geometry'!$F$49*SIN(RADIANS(I16))),('Geometry'!$G$50*COS(RADIANS(I16))+'Geometry'!$F$50*SIN(RADIANS(I16))),('Geometry'!$G$51*COS(RADIANS(I16))+'Geometry'!$F$51*SIN(RADIANS(I16))),('Geometry'!$G$52*COS(RADIANS(I16))+'Geometry'!$F$52*SIN(RADIANS(I16))),('Geometry'!$G$53*COS(RADIANS(I16))+'Geometry'!$F$53*SIN(RADIANS(I16))),('Geometry'!$G$54*COS(RADIANS(I16))+'Geometry'!$F$54*SIN(RADIANS(I16))),('Geometry'!$G$55*COS(RADIANS(I16))+'Geometry'!$F$55*SIN(RADIANS(I16))),('Geometry'!$G$56*COS(RADIANS(I16))+'Geometry'!$F$56*SIN(RADIANS(I16))),('Geometry'!$G$57*COS(RADIANS(I16))+'Geometry'!$F$57*SIN(RADIANS(I16))))</f>
        <v>-591.4073801632424</v>
      </c>
      <c r="N16" s="10">
        <f>L16-MIN(('Geometry'!$G$13*COS(RADIANS(I16))+'Geometry'!$F$13*SIN(RADIANS(I16))),('Geometry'!$G$14*COS(RADIANS(I16))+'Geometry'!$F$14*SIN(RADIANS(I16))),('Geometry'!$G$15*COS(RADIANS(I16))+'Geometry'!$F$15*SIN(RADIANS(I16))),('Geometry'!$G$16*COS(RADIANS(I16))+'Geometry'!$F$16*SIN(RADIANS(I16))),('Geometry'!$G$17*COS(RADIANS(I16))+'Geometry'!$F$17*SIN(RADIANS(I16))),('Geometry'!$G$18*COS(RADIANS(I16))+'Geometry'!$F$18*SIN(RADIANS(I16))),('Geometry'!$G$19*COS(RADIANS(I16))+'Geometry'!$F$19*SIN(RADIANS(I16))),('Geometry'!$G$20*COS(RADIANS(I16))+'Geometry'!$F$20*SIN(RADIANS(I16))))</f>
        <v>1372.7822990482728</v>
      </c>
      <c r="O16" s="15">
        <f>C_ecu</f>
        <v>0.0032999999999999995</v>
      </c>
      <c r="P16" s="15">
        <f>-K16*S_1_fy/S_1_Es</f>
        <v>-0.0004999999999999998</v>
      </c>
      <c r="Q16" s="20">
        <f>IF(ABS(L16-M16)&lt;0.000000000001,0,(O16-P16)/(L16-M16))</f>
        <v>0.000002973864746056401</v>
      </c>
      <c r="R16" s="15">
        <f>O16-Q16*L16</f>
        <v>0.0012587655584250425</v>
      </c>
      <c r="S16" s="20">
        <f>Q16*COS(RADIANS(I16))</f>
        <v>0.0000029286850583260253</v>
      </c>
      <c r="T16" s="20">
        <f>Q16*SIN(RADIANS(I16))</f>
        <v>5.164061937806227e-7</v>
      </c>
      <c r="U16" s="10">
        <f>SUMPRODUCT(C_alpha*C_fck*(1-(1-((($R16+$S16*Mesh_Y+$T16*Mesh_X))*(($R16+$S16*Mesh_Y+$T16*Mesh_X)&gt;0)*(($R16+$S16*Mesh_Y+$T16*Mesh_X)&lt;C_eco)+C_eco*(($R16+$S16*Mesh_Y+$T16*Mesh_X)&gt;=C_eco))/C_eco)^C_n)*((($R16+$S16*Mesh_Y+$T16*Mesh_X))&gt;0),Mesh_A)/1000</f>
        <v>18063.937643273384</v>
      </c>
      <c r="V16" s="10">
        <f>SUMPRODUCT(C_alpha*C_fck*(1-(1-((($R16+$S16*Mesh_Y+$T16*Mesh_X))*(($R16+$S16*Mesh_Y+$T16*Mesh_X)&gt;0)*(($R16+$S16*Mesh_Y+$T16*Mesh_X)&lt;C_eco)+C_eco*(($R16+$S16*Mesh_Y+$T16*Mesh_X)&gt;=C_eco))/C_eco)^C_n)*((($R16+$S16*Mesh_Y+$T16*Mesh_X))&gt;0),Mesh_A,Mesh_Y)/1000000</f>
        <v>4164.015324676636</v>
      </c>
      <c r="W16" s="10">
        <f>SUMPRODUCT(C_alpha*C_fck*(1-(1-((($R16+$S16*Mesh_Y+$T16*Mesh_X))*(($R16+$S16*Mesh_Y+$T16*Mesh_X)&gt;0)*(($R16+$S16*Mesh_Y+$T16*Mesh_X)&lt;C_eco)+C_eco*(($R16+$S16*Mesh_Y+$T16*Mesh_X)&gt;=C_eco))/C_eco)^C_n)*((($R16+$S16*Mesh_Y+$T16*Mesh_X))&gt;0),Mesh_A,Mesh_X)/1000000</f>
        <v>826.8629952820907</v>
      </c>
      <c r="X16" s="10">
        <f>(((MAX(MIN(S_1_Es*($R16+$S16*'Geometry'!$G$40+$T16*'Geometry'!$F$40),S_1_fy),-S_1_fy))-(IF(($R16+$S16*'Geometry'!$G$40+$T16*'Geometry'!$F$40)&gt;0,IF(($R16+$S16*'Geometry'!$G$40+$T16*'Geometry'!$F$40)&lt;=C_eco,C_alpha*C_fck*(1-(1-($R16+$S16*'Geometry'!$G$40+$T16*'Geometry'!$F$40)/C_eco)^C_n),C_alpha*C_fck),0)))*'Geometry'!$H$40+((MAX(MIN(S_1_Es*($R16+$S16*'Geometry'!$G$41+$T16*'Geometry'!$F$41),S_1_fy),-S_1_fy))-(IF(($R16+$S16*'Geometry'!$G$41+$T16*'Geometry'!$F$41)&gt;0,IF(($R16+$S16*'Geometry'!$G$41+$T16*'Geometry'!$F$41)&lt;=C_eco,C_alpha*C_fck*(1-(1-($R16+$S16*'Geometry'!$G$41+$T16*'Geometry'!$F$41)/C_eco)^C_n),C_alpha*C_fck),0)))*'Geometry'!$H$41+((MAX(MIN(S_1_Es*($R16+$S16*'Geometry'!$G$42+$T16*'Geometry'!$F$42),S_1_fy),-S_1_fy))-(IF(($R16+$S16*'Geometry'!$G$42+$T16*'Geometry'!$F$42)&gt;0,IF(($R16+$S16*'Geometry'!$G$42+$T16*'Geometry'!$F$42)&lt;=C_eco,C_alpha*C_fck*(1-(1-($R16+$S16*'Geometry'!$G$42+$T16*'Geometry'!$F$42)/C_eco)^C_n),C_alpha*C_fck),0)))*'Geometry'!$H$42+((MAX(MIN(S_1_Es*($R16+$S16*'Geometry'!$G$43+$T16*'Geometry'!$F$43),S_1_fy),-S_1_fy))-(IF(($R16+$S16*'Geometry'!$G$43+$T16*'Geometry'!$F$43)&gt;0,IF(($R16+$S16*'Geometry'!$G$43+$T16*'Geometry'!$F$43)&lt;=C_eco,C_alpha*C_fck*(1-(1-($R16+$S16*'Geometry'!$G$43+$T16*'Geometry'!$F$43)/C_eco)^C_n),C_alpha*C_fck),0)))*'Geometry'!$H$43+((MAX(MIN(S_1_Es*($R16+$S16*'Geometry'!$G$44+$T16*'Geometry'!$F$44),S_1_fy),-S_1_fy))-(IF(($R16+$S16*'Geometry'!$G$44+$T16*'Geometry'!$F$44)&gt;0,IF(($R16+$S16*'Geometry'!$G$44+$T16*'Geometry'!$F$44)&lt;=C_eco,C_alpha*C_fck*(1-(1-($R16+$S16*'Geometry'!$G$44+$T16*'Geometry'!$F$44)/C_eco)^C_n),C_alpha*C_fck),0)))*'Geometry'!$H$44+((MAX(MIN(S_1_Es*($R16+$S16*'Geometry'!$G$45+$T16*'Geometry'!$F$45),S_1_fy),-S_1_fy))-(IF(($R16+$S16*'Geometry'!$G$45+$T16*'Geometry'!$F$45)&gt;0,IF(($R16+$S16*'Geometry'!$G$45+$T16*'Geometry'!$F$45)&lt;=C_eco,C_alpha*C_fck*(1-(1-($R16+$S16*'Geometry'!$G$45+$T16*'Geometry'!$F$45)/C_eco)^C_n),C_alpha*C_fck),0)))*'Geometry'!$H$45+((MAX(MIN(S_1_Es*($R16+$S16*'Geometry'!$G$46+$T16*'Geometry'!$F$46),S_1_fy),-S_1_fy))-(IF(($R16+$S16*'Geometry'!$G$46+$T16*'Geometry'!$F$46)&gt;0,IF(($R16+$S16*'Geometry'!$G$46+$T16*'Geometry'!$F$46)&lt;=C_eco,C_alpha*C_fck*(1-(1-($R16+$S16*'Geometry'!$G$46+$T16*'Geometry'!$F$46)/C_eco)^C_n),C_alpha*C_fck),0)))*'Geometry'!$H$46+((MAX(MIN(S_1_Es*($R16+$S16*'Geometry'!$G$47+$T16*'Geometry'!$F$47),S_1_fy),-S_1_fy))-(IF(($R16+$S16*'Geometry'!$G$47+$T16*'Geometry'!$F$47)&gt;0,IF(($R16+$S16*'Geometry'!$G$47+$T16*'Geometry'!$F$47)&lt;=C_eco,C_alpha*C_fck*(1-(1-($R16+$S16*'Geometry'!$G$47+$T16*'Geometry'!$F$47)/C_eco)^C_n),C_alpha*C_fck),0)))*'Geometry'!$H$47+((MAX(MIN(S_1_Es*($R16+$S16*'Geometry'!$G$48+$T16*'Geometry'!$F$48),S_1_fy),-S_1_fy))-(IF(($R16+$S16*'Geometry'!$G$48+$T16*'Geometry'!$F$48)&gt;0,IF(($R16+$S16*'Geometry'!$G$48+$T16*'Geometry'!$F$48)&lt;=C_eco,C_alpha*C_fck*(1-(1-($R16+$S16*'Geometry'!$G$48+$T16*'Geometry'!$F$48)/C_eco)^C_n),C_alpha*C_fck),0)))*'Geometry'!$H$48+((MAX(MIN(S_1_Es*($R16+$S16*'Geometry'!$G$49+$T16*'Geometry'!$F$49),S_1_fy),-S_1_fy))-(IF(($R16+$S16*'Geometry'!$G$49+$T16*'Geometry'!$F$49)&gt;0,IF(($R16+$S16*'Geometry'!$G$49+$T16*'Geometry'!$F$49)&lt;=C_eco,C_alpha*C_fck*(1-(1-($R16+$S16*'Geometry'!$G$49+$T16*'Geometry'!$F$49)/C_eco)^C_n),C_alpha*C_fck),0)))*'Geometry'!$H$49+((MAX(MIN(S_1_Es*($R16+$S16*'Geometry'!$G$50+$T16*'Geometry'!$F$50),S_1_fy),-S_1_fy))-(IF(($R16+$S16*'Geometry'!$G$50+$T16*'Geometry'!$F$50)&gt;0,IF(($R16+$S16*'Geometry'!$G$50+$T16*'Geometry'!$F$50)&lt;=C_eco,C_alpha*C_fck*(1-(1-($R16+$S16*'Geometry'!$G$50+$T16*'Geometry'!$F$50)/C_eco)^C_n),C_alpha*C_fck),0)))*'Geometry'!$H$50+((MAX(MIN(S_1_Es*($R16+$S16*'Geometry'!$G$51+$T16*'Geometry'!$F$51),S_1_fy),-S_1_fy))-(IF(($R16+$S16*'Geometry'!$G$51+$T16*'Geometry'!$F$51)&gt;0,IF(($R16+$S16*'Geometry'!$G$51+$T16*'Geometry'!$F$51)&lt;=C_eco,C_alpha*C_fck*(1-(1-($R16+$S16*'Geometry'!$G$51+$T16*'Geometry'!$F$51)/C_eco)^C_n),C_alpha*C_fck),0)))*'Geometry'!$H$51+((MAX(MIN(S_1_Es*($R16+$S16*'Geometry'!$G$52+$T16*'Geometry'!$F$52),S_1_fy),-S_1_fy))-(IF(($R16+$S16*'Geometry'!$G$52+$T16*'Geometry'!$F$52)&gt;0,IF(($R16+$S16*'Geometry'!$G$52+$T16*'Geometry'!$F$52)&lt;=C_eco,C_alpha*C_fck*(1-(1-($R16+$S16*'Geometry'!$G$52+$T16*'Geometry'!$F$52)/C_eco)^C_n),C_alpha*C_fck),0)))*'Geometry'!$H$52+((MAX(MIN(S_1_Es*($R16+$S16*'Geometry'!$G$53+$T16*'Geometry'!$F$53),S_1_fy),-S_1_fy))-(IF(($R16+$S16*'Geometry'!$G$53+$T16*'Geometry'!$F$53)&gt;0,IF(($R16+$S16*'Geometry'!$G$53+$T16*'Geometry'!$F$53)&lt;=C_eco,C_alpha*C_fck*(1-(1-($R16+$S16*'Geometry'!$G$53+$T16*'Geometry'!$F$53)/C_eco)^C_n),C_alpha*C_fck),0)))*'Geometry'!$H$53+((MAX(MIN(S_1_Es*($R16+$S16*'Geometry'!$G$54+$T16*'Geometry'!$F$54),S_1_fy),-S_1_fy))-(IF(($R16+$S16*'Geometry'!$G$54+$T16*'Geometry'!$F$54)&gt;0,IF(($R16+$S16*'Geometry'!$G$54+$T16*'Geometry'!$F$54)&lt;=C_eco,C_alpha*C_fck*(1-(1-($R16+$S16*'Geometry'!$G$54+$T16*'Geometry'!$F$54)/C_eco)^C_n),C_alpha*C_fck),0)))*'Geometry'!$H$54+((MAX(MIN(S_1_Es*($R16+$S16*'Geometry'!$G$55+$T16*'Geometry'!$F$55),S_1_fy),-S_1_fy))-(IF(($R16+$S16*'Geometry'!$G$55+$T16*'Geometry'!$F$55)&gt;0,IF(($R16+$S16*'Geometry'!$G$55+$T16*'Geometry'!$F$55)&lt;=C_eco,C_alpha*C_fck*(1-(1-($R16+$S16*'Geometry'!$G$55+$T16*'Geometry'!$F$55)/C_eco)^C_n),C_alpha*C_fck),0)))*'Geometry'!$H$55+((MAX(MIN(S_1_Es*($R16+$S16*'Geometry'!$G$56+$T16*'Geometry'!$F$56),S_1_fy),-S_1_fy))-(IF(($R16+$S16*'Geometry'!$G$56+$T16*'Geometry'!$F$56)&gt;0,IF(($R16+$S16*'Geometry'!$G$56+$T16*'Geometry'!$F$56)&lt;=C_eco,C_alpha*C_fck*(1-(1-($R16+$S16*'Geometry'!$G$56+$T16*'Geometry'!$F$56)/C_eco)^C_n),C_alpha*C_fck),0)))*'Geometry'!$H$56+((MAX(MIN(S_1_Es*($R16+$S16*'Geometry'!$G$57+$T16*'Geometry'!$F$57),S_1_fy),-S_1_fy))-(IF(($R16+$S16*'Geometry'!$G$57+$T16*'Geometry'!$F$57)&gt;0,IF(($R16+$S16*'Geometry'!$G$57+$T16*'Geometry'!$F$57)&lt;=C_eco,C_alpha*C_fck*(1-(1-($R16+$S16*'Geometry'!$G$57+$T16*'Geometry'!$F$57)/C_eco)^C_n),C_alpha*C_fck),0)))*'Geometry'!$H$57)/1000</f>
        <v>2691.046656444001</v>
      </c>
      <c r="Y16" s="10">
        <f>(((MAX(MIN(S_1_Es*($R16+$S16*'Geometry'!$G$40+$T16*'Geometry'!$F$40),S_1_fy),-S_1_fy))-(IF(($R16+$S16*'Geometry'!$G$40+$T16*'Geometry'!$F$40)&gt;0,IF(($R16+$S16*'Geometry'!$G$40+$T16*'Geometry'!$F$40)&lt;=C_eco,C_alpha*C_fck*(1-(1-($R16+$S16*'Geometry'!$G$40+$T16*'Geometry'!$F$40)/C_eco)^C_n),C_alpha*C_fck),0)))*'Geometry'!$H$40*'Geometry'!$G$40+((MAX(MIN(S_1_Es*($R16+$S16*'Geometry'!$G$41+$T16*'Geometry'!$F$41),S_1_fy),-S_1_fy))-(IF(($R16+$S16*'Geometry'!$G$41+$T16*'Geometry'!$F$41)&gt;0,IF(($R16+$S16*'Geometry'!$G$41+$T16*'Geometry'!$F$41)&lt;=C_eco,C_alpha*C_fck*(1-(1-($R16+$S16*'Geometry'!$G$41+$T16*'Geometry'!$F$41)/C_eco)^C_n),C_alpha*C_fck),0)))*'Geometry'!$H$41*'Geometry'!$G$41+((MAX(MIN(S_1_Es*($R16+$S16*'Geometry'!$G$42+$T16*'Geometry'!$F$42),S_1_fy),-S_1_fy))-(IF(($R16+$S16*'Geometry'!$G$42+$T16*'Geometry'!$F$42)&gt;0,IF(($R16+$S16*'Geometry'!$G$42+$T16*'Geometry'!$F$42)&lt;=C_eco,C_alpha*C_fck*(1-(1-($R16+$S16*'Geometry'!$G$42+$T16*'Geometry'!$F$42)/C_eco)^C_n),C_alpha*C_fck),0)))*'Geometry'!$H$42*'Geometry'!$G$42+((MAX(MIN(S_1_Es*($R16+$S16*'Geometry'!$G$43+$T16*'Geometry'!$F$43),S_1_fy),-S_1_fy))-(IF(($R16+$S16*'Geometry'!$G$43+$T16*'Geometry'!$F$43)&gt;0,IF(($R16+$S16*'Geometry'!$G$43+$T16*'Geometry'!$F$43)&lt;=C_eco,C_alpha*C_fck*(1-(1-($R16+$S16*'Geometry'!$G$43+$T16*'Geometry'!$F$43)/C_eco)^C_n),C_alpha*C_fck),0)))*'Geometry'!$H$43*'Geometry'!$G$43+((MAX(MIN(S_1_Es*($R16+$S16*'Geometry'!$G$44+$T16*'Geometry'!$F$44),S_1_fy),-S_1_fy))-(IF(($R16+$S16*'Geometry'!$G$44+$T16*'Geometry'!$F$44)&gt;0,IF(($R16+$S16*'Geometry'!$G$44+$T16*'Geometry'!$F$44)&lt;=C_eco,C_alpha*C_fck*(1-(1-($R16+$S16*'Geometry'!$G$44+$T16*'Geometry'!$F$44)/C_eco)^C_n),C_alpha*C_fck),0)))*'Geometry'!$H$44*'Geometry'!$G$44+((MAX(MIN(S_1_Es*($R16+$S16*'Geometry'!$G$45+$T16*'Geometry'!$F$45),S_1_fy),-S_1_fy))-(IF(($R16+$S16*'Geometry'!$G$45+$T16*'Geometry'!$F$45)&gt;0,IF(($R16+$S16*'Geometry'!$G$45+$T16*'Geometry'!$F$45)&lt;=C_eco,C_alpha*C_fck*(1-(1-($R16+$S16*'Geometry'!$G$45+$T16*'Geometry'!$F$45)/C_eco)^C_n),C_alpha*C_fck),0)))*'Geometry'!$H$45*'Geometry'!$G$45+((MAX(MIN(S_1_Es*($R16+$S16*'Geometry'!$G$46+$T16*'Geometry'!$F$46),S_1_fy),-S_1_fy))-(IF(($R16+$S16*'Geometry'!$G$46+$T16*'Geometry'!$F$46)&gt;0,IF(($R16+$S16*'Geometry'!$G$46+$T16*'Geometry'!$F$46)&lt;=C_eco,C_alpha*C_fck*(1-(1-($R16+$S16*'Geometry'!$G$46+$T16*'Geometry'!$F$46)/C_eco)^C_n),C_alpha*C_fck),0)))*'Geometry'!$H$46*'Geometry'!$G$46+((MAX(MIN(S_1_Es*($R16+$S16*'Geometry'!$G$47+$T16*'Geometry'!$F$47),S_1_fy),-S_1_fy))-(IF(($R16+$S16*'Geometry'!$G$47+$T16*'Geometry'!$F$47)&gt;0,IF(($R16+$S16*'Geometry'!$G$47+$T16*'Geometry'!$F$47)&lt;=C_eco,C_alpha*C_fck*(1-(1-($R16+$S16*'Geometry'!$G$47+$T16*'Geometry'!$F$47)/C_eco)^C_n),C_alpha*C_fck),0)))*'Geometry'!$H$47*'Geometry'!$G$47+((MAX(MIN(S_1_Es*($R16+$S16*'Geometry'!$G$48+$T16*'Geometry'!$F$48),S_1_fy),-S_1_fy))-(IF(($R16+$S16*'Geometry'!$G$48+$T16*'Geometry'!$F$48)&gt;0,IF(($R16+$S16*'Geometry'!$G$48+$T16*'Geometry'!$F$48)&lt;=C_eco,C_alpha*C_fck*(1-(1-($R16+$S16*'Geometry'!$G$48+$T16*'Geometry'!$F$48)/C_eco)^C_n),C_alpha*C_fck),0)))*'Geometry'!$H$48*'Geometry'!$G$48+((MAX(MIN(S_1_Es*($R16+$S16*'Geometry'!$G$49+$T16*'Geometry'!$F$49),S_1_fy),-S_1_fy))-(IF(($R16+$S16*'Geometry'!$G$49+$T16*'Geometry'!$F$49)&gt;0,IF(($R16+$S16*'Geometry'!$G$49+$T16*'Geometry'!$F$49)&lt;=C_eco,C_alpha*C_fck*(1-(1-($R16+$S16*'Geometry'!$G$49+$T16*'Geometry'!$F$49)/C_eco)^C_n),C_alpha*C_fck),0)))*'Geometry'!$H$49*'Geometry'!$G$49+((MAX(MIN(S_1_Es*($R16+$S16*'Geometry'!$G$50+$T16*'Geometry'!$F$50),S_1_fy),-S_1_fy))-(IF(($R16+$S16*'Geometry'!$G$50+$T16*'Geometry'!$F$50)&gt;0,IF(($R16+$S16*'Geometry'!$G$50+$T16*'Geometry'!$F$50)&lt;=C_eco,C_alpha*C_fck*(1-(1-($R16+$S16*'Geometry'!$G$50+$T16*'Geometry'!$F$50)/C_eco)^C_n),C_alpha*C_fck),0)))*'Geometry'!$H$50*'Geometry'!$G$50+((MAX(MIN(S_1_Es*($R16+$S16*'Geometry'!$G$51+$T16*'Geometry'!$F$51),S_1_fy),-S_1_fy))-(IF(($R16+$S16*'Geometry'!$G$51+$T16*'Geometry'!$F$51)&gt;0,IF(($R16+$S16*'Geometry'!$G$51+$T16*'Geometry'!$F$51)&lt;=C_eco,C_alpha*C_fck*(1-(1-($R16+$S16*'Geometry'!$G$51+$T16*'Geometry'!$F$51)/C_eco)^C_n),C_alpha*C_fck),0)))*'Geometry'!$H$51*'Geometry'!$G$51+((MAX(MIN(S_1_Es*($R16+$S16*'Geometry'!$G$52+$T16*'Geometry'!$F$52),S_1_fy),-S_1_fy))-(IF(($R16+$S16*'Geometry'!$G$52+$T16*'Geometry'!$F$52)&gt;0,IF(($R16+$S16*'Geometry'!$G$52+$T16*'Geometry'!$F$52)&lt;=C_eco,C_alpha*C_fck*(1-(1-($R16+$S16*'Geometry'!$G$52+$T16*'Geometry'!$F$52)/C_eco)^C_n),C_alpha*C_fck),0)))*'Geometry'!$H$52*'Geometry'!$G$52+((MAX(MIN(S_1_Es*($R16+$S16*'Geometry'!$G$53+$T16*'Geometry'!$F$53),S_1_fy),-S_1_fy))-(IF(($R16+$S16*'Geometry'!$G$53+$T16*'Geometry'!$F$53)&gt;0,IF(($R16+$S16*'Geometry'!$G$53+$T16*'Geometry'!$F$53)&lt;=C_eco,C_alpha*C_fck*(1-(1-($R16+$S16*'Geometry'!$G$53+$T16*'Geometry'!$F$53)/C_eco)^C_n),C_alpha*C_fck),0)))*'Geometry'!$H$53*'Geometry'!$G$53+((MAX(MIN(S_1_Es*($R16+$S16*'Geometry'!$G$54+$T16*'Geometry'!$F$54),S_1_fy),-S_1_fy))-(IF(($R16+$S16*'Geometry'!$G$54+$T16*'Geometry'!$F$54)&gt;0,IF(($R16+$S16*'Geometry'!$G$54+$T16*'Geometry'!$F$54)&lt;=C_eco,C_alpha*C_fck*(1-(1-($R16+$S16*'Geometry'!$G$54+$T16*'Geometry'!$F$54)/C_eco)^C_n),C_alpha*C_fck),0)))*'Geometry'!$H$54*'Geometry'!$G$54+((MAX(MIN(S_1_Es*($R16+$S16*'Geometry'!$G$55+$T16*'Geometry'!$F$55),S_1_fy),-S_1_fy))-(IF(($R16+$S16*'Geometry'!$G$55+$T16*'Geometry'!$F$55)&gt;0,IF(($R16+$S16*'Geometry'!$G$55+$T16*'Geometry'!$F$55)&lt;=C_eco,C_alpha*C_fck*(1-(1-($R16+$S16*'Geometry'!$G$55+$T16*'Geometry'!$F$55)/C_eco)^C_n),C_alpha*C_fck),0)))*'Geometry'!$H$55*'Geometry'!$G$55+((MAX(MIN(S_1_Es*($R16+$S16*'Geometry'!$G$56+$T16*'Geometry'!$F$56),S_1_fy),-S_1_fy))-(IF(($R16+$S16*'Geometry'!$G$56+$T16*'Geometry'!$F$56)&gt;0,IF(($R16+$S16*'Geometry'!$G$56+$T16*'Geometry'!$F$56)&lt;=C_eco,C_alpha*C_fck*(1-(1-($R16+$S16*'Geometry'!$G$56+$T16*'Geometry'!$F$56)/C_eco)^C_n),C_alpha*C_fck),0)))*'Geometry'!$H$56*'Geometry'!$G$56+((MAX(MIN(S_1_Es*($R16+$S16*'Geometry'!$G$57+$T16*'Geometry'!$F$57),S_1_fy),-S_1_fy))-(IF(($R16+$S16*'Geometry'!$G$57+$T16*'Geometry'!$F$57)&gt;0,IF(($R16+$S16*'Geometry'!$G$57+$T16*'Geometry'!$F$57)&lt;=C_eco,C_alpha*C_fck*(1-(1-($R16+$S16*'Geometry'!$G$57+$T16*'Geometry'!$F$57)/C_eco)^C_n),C_alpha*C_fck),0)))*'Geometry'!$H$57*'Geometry'!$G$57)/1000000</f>
        <v>1078.8197595762756</v>
      </c>
      <c r="Z16" s="10">
        <f>(((MAX(MIN(S_1_Es*($R16+$S16*'Geometry'!$G$40+$T16*'Geometry'!$F$40),S_1_fy),-S_1_fy))-(IF(($R16+$S16*'Geometry'!$G$40+$T16*'Geometry'!$F$40)&gt;0,IF(($R16+$S16*'Geometry'!$G$40+$T16*'Geometry'!$F$40)&lt;=C_eco,C_alpha*C_fck*(1-(1-($R16+$S16*'Geometry'!$G$40+$T16*'Geometry'!$F$40)/C_eco)^C_n),C_alpha*C_fck),0)))*'Geometry'!$H$40*'Geometry'!$F$40+((MAX(MIN(S_1_Es*($R16+$S16*'Geometry'!$G$41+$T16*'Geometry'!$F$41),S_1_fy),-S_1_fy))-(IF(($R16+$S16*'Geometry'!$G$41+$T16*'Geometry'!$F$41)&gt;0,IF(($R16+$S16*'Geometry'!$G$41+$T16*'Geometry'!$F$41)&lt;=C_eco,C_alpha*C_fck*(1-(1-($R16+$S16*'Geometry'!$G$41+$T16*'Geometry'!$F$41)/C_eco)^C_n),C_alpha*C_fck),0)))*'Geometry'!$H$41*'Geometry'!$F$41+((MAX(MIN(S_1_Es*($R16+$S16*'Geometry'!$G$42+$T16*'Geometry'!$F$42),S_1_fy),-S_1_fy))-(IF(($R16+$S16*'Geometry'!$G$42+$T16*'Geometry'!$F$42)&gt;0,IF(($R16+$S16*'Geometry'!$G$42+$T16*'Geometry'!$F$42)&lt;=C_eco,C_alpha*C_fck*(1-(1-($R16+$S16*'Geometry'!$G$42+$T16*'Geometry'!$F$42)/C_eco)^C_n),C_alpha*C_fck),0)))*'Geometry'!$H$42*'Geometry'!$F$42+((MAX(MIN(S_1_Es*($R16+$S16*'Geometry'!$G$43+$T16*'Geometry'!$F$43),S_1_fy),-S_1_fy))-(IF(($R16+$S16*'Geometry'!$G$43+$T16*'Geometry'!$F$43)&gt;0,IF(($R16+$S16*'Geometry'!$G$43+$T16*'Geometry'!$F$43)&lt;=C_eco,C_alpha*C_fck*(1-(1-($R16+$S16*'Geometry'!$G$43+$T16*'Geometry'!$F$43)/C_eco)^C_n),C_alpha*C_fck),0)))*'Geometry'!$H$43*'Geometry'!$F$43+((MAX(MIN(S_1_Es*($R16+$S16*'Geometry'!$G$44+$T16*'Geometry'!$F$44),S_1_fy),-S_1_fy))-(IF(($R16+$S16*'Geometry'!$G$44+$T16*'Geometry'!$F$44)&gt;0,IF(($R16+$S16*'Geometry'!$G$44+$T16*'Geometry'!$F$44)&lt;=C_eco,C_alpha*C_fck*(1-(1-($R16+$S16*'Geometry'!$G$44+$T16*'Geometry'!$F$44)/C_eco)^C_n),C_alpha*C_fck),0)))*'Geometry'!$H$44*'Geometry'!$F$44+((MAX(MIN(S_1_Es*($R16+$S16*'Geometry'!$G$45+$T16*'Geometry'!$F$45),S_1_fy),-S_1_fy))-(IF(($R16+$S16*'Geometry'!$G$45+$T16*'Geometry'!$F$45)&gt;0,IF(($R16+$S16*'Geometry'!$G$45+$T16*'Geometry'!$F$45)&lt;=C_eco,C_alpha*C_fck*(1-(1-($R16+$S16*'Geometry'!$G$45+$T16*'Geometry'!$F$45)/C_eco)^C_n),C_alpha*C_fck),0)))*'Geometry'!$H$45*'Geometry'!$F$45+((MAX(MIN(S_1_Es*($R16+$S16*'Geometry'!$G$46+$T16*'Geometry'!$F$46),S_1_fy),-S_1_fy))-(IF(($R16+$S16*'Geometry'!$G$46+$T16*'Geometry'!$F$46)&gt;0,IF(($R16+$S16*'Geometry'!$G$46+$T16*'Geometry'!$F$46)&lt;=C_eco,C_alpha*C_fck*(1-(1-($R16+$S16*'Geometry'!$G$46+$T16*'Geometry'!$F$46)/C_eco)^C_n),C_alpha*C_fck),0)))*'Geometry'!$H$46*'Geometry'!$F$46+((MAX(MIN(S_1_Es*($R16+$S16*'Geometry'!$G$47+$T16*'Geometry'!$F$47),S_1_fy),-S_1_fy))-(IF(($R16+$S16*'Geometry'!$G$47+$T16*'Geometry'!$F$47)&gt;0,IF(($R16+$S16*'Geometry'!$G$47+$T16*'Geometry'!$F$47)&lt;=C_eco,C_alpha*C_fck*(1-(1-($R16+$S16*'Geometry'!$G$47+$T16*'Geometry'!$F$47)/C_eco)^C_n),C_alpha*C_fck),0)))*'Geometry'!$H$47*'Geometry'!$F$47+((MAX(MIN(S_1_Es*($R16+$S16*'Geometry'!$G$48+$T16*'Geometry'!$F$48),S_1_fy),-S_1_fy))-(IF(($R16+$S16*'Geometry'!$G$48+$T16*'Geometry'!$F$48)&gt;0,IF(($R16+$S16*'Geometry'!$G$48+$T16*'Geometry'!$F$48)&lt;=C_eco,C_alpha*C_fck*(1-(1-($R16+$S16*'Geometry'!$G$48+$T16*'Geometry'!$F$48)/C_eco)^C_n),C_alpha*C_fck),0)))*'Geometry'!$H$48*'Geometry'!$F$48+((MAX(MIN(S_1_Es*($R16+$S16*'Geometry'!$G$49+$T16*'Geometry'!$F$49),S_1_fy),-S_1_fy))-(IF(($R16+$S16*'Geometry'!$G$49+$T16*'Geometry'!$F$49)&gt;0,IF(($R16+$S16*'Geometry'!$G$49+$T16*'Geometry'!$F$49)&lt;=C_eco,C_alpha*C_fck*(1-(1-($R16+$S16*'Geometry'!$G$49+$T16*'Geometry'!$F$49)/C_eco)^C_n),C_alpha*C_fck),0)))*'Geometry'!$H$49*'Geometry'!$F$49+((MAX(MIN(S_1_Es*($R16+$S16*'Geometry'!$G$50+$T16*'Geometry'!$F$50),S_1_fy),-S_1_fy))-(IF(($R16+$S16*'Geometry'!$G$50+$T16*'Geometry'!$F$50)&gt;0,IF(($R16+$S16*'Geometry'!$G$50+$T16*'Geometry'!$F$50)&lt;=C_eco,C_alpha*C_fck*(1-(1-($R16+$S16*'Geometry'!$G$50+$T16*'Geometry'!$F$50)/C_eco)^C_n),C_alpha*C_fck),0)))*'Geometry'!$H$50*'Geometry'!$F$50+((MAX(MIN(S_1_Es*($R16+$S16*'Geometry'!$G$51+$T16*'Geometry'!$F$51),S_1_fy),-S_1_fy))-(IF(($R16+$S16*'Geometry'!$G$51+$T16*'Geometry'!$F$51)&gt;0,IF(($R16+$S16*'Geometry'!$G$51+$T16*'Geometry'!$F$51)&lt;=C_eco,C_alpha*C_fck*(1-(1-($R16+$S16*'Geometry'!$G$51+$T16*'Geometry'!$F$51)/C_eco)^C_n),C_alpha*C_fck),0)))*'Geometry'!$H$51*'Geometry'!$F$51+((MAX(MIN(S_1_Es*($R16+$S16*'Geometry'!$G$52+$T16*'Geometry'!$F$52),S_1_fy),-S_1_fy))-(IF(($R16+$S16*'Geometry'!$G$52+$T16*'Geometry'!$F$52)&gt;0,IF(($R16+$S16*'Geometry'!$G$52+$T16*'Geometry'!$F$52)&lt;=C_eco,C_alpha*C_fck*(1-(1-($R16+$S16*'Geometry'!$G$52+$T16*'Geometry'!$F$52)/C_eco)^C_n),C_alpha*C_fck),0)))*'Geometry'!$H$52*'Geometry'!$F$52+((MAX(MIN(S_1_Es*($R16+$S16*'Geometry'!$G$53+$T16*'Geometry'!$F$53),S_1_fy),-S_1_fy))-(IF(($R16+$S16*'Geometry'!$G$53+$T16*'Geometry'!$F$53)&gt;0,IF(($R16+$S16*'Geometry'!$G$53+$T16*'Geometry'!$F$53)&lt;=C_eco,C_alpha*C_fck*(1-(1-($R16+$S16*'Geometry'!$G$53+$T16*'Geometry'!$F$53)/C_eco)^C_n),C_alpha*C_fck),0)))*'Geometry'!$H$53*'Geometry'!$F$53+((MAX(MIN(S_1_Es*($R16+$S16*'Geometry'!$G$54+$T16*'Geometry'!$F$54),S_1_fy),-S_1_fy))-(IF(($R16+$S16*'Geometry'!$G$54+$T16*'Geometry'!$F$54)&gt;0,IF(($R16+$S16*'Geometry'!$G$54+$T16*'Geometry'!$F$54)&lt;=C_eco,C_alpha*C_fck*(1-(1-($R16+$S16*'Geometry'!$G$54+$T16*'Geometry'!$F$54)/C_eco)^C_n),C_alpha*C_fck),0)))*'Geometry'!$H$54*'Geometry'!$F$54+((MAX(MIN(S_1_Es*($R16+$S16*'Geometry'!$G$55+$T16*'Geometry'!$F$55),S_1_fy),-S_1_fy))-(IF(($R16+$S16*'Geometry'!$G$55+$T16*'Geometry'!$F$55)&gt;0,IF(($R16+$S16*'Geometry'!$G$55+$T16*'Geometry'!$F$55)&lt;=C_eco,C_alpha*C_fck*(1-(1-($R16+$S16*'Geometry'!$G$55+$T16*'Geometry'!$F$55)/C_eco)^C_n),C_alpha*C_fck),0)))*'Geometry'!$H$55*'Geometry'!$F$55+((MAX(MIN(S_1_Es*($R16+$S16*'Geometry'!$G$56+$T16*'Geometry'!$F$56),S_1_fy),-S_1_fy))-(IF(($R16+$S16*'Geometry'!$G$56+$T16*'Geometry'!$F$56)&gt;0,IF(($R16+$S16*'Geometry'!$G$56+$T16*'Geometry'!$F$56)&lt;=C_eco,C_alpha*C_fck*(1-(1-($R16+$S16*'Geometry'!$G$56+$T16*'Geometry'!$F$56)/C_eco)^C_n),C_alpha*C_fck),0)))*'Geometry'!$H$56*'Geometry'!$F$56+((MAX(MIN(S_1_Es*($R16+$S16*'Geometry'!$G$57+$T16*'Geometry'!$F$57),S_1_fy),-S_1_fy))-(IF(($R16+$S16*'Geometry'!$G$57+$T16*'Geometry'!$F$57)&gt;0,IF(($R16+$S16*'Geometry'!$G$57+$T16*'Geometry'!$F$57)&lt;=C_eco,C_alpha*C_fck*(1-(1-($R16+$S16*'Geometry'!$G$57+$T16*'Geometry'!$F$57)/C_eco)^C_n),C_alpha*C_fck),0)))*'Geometry'!$H$57*'Geometry'!$F$57)/1000000</f>
        <v>271.7090648727529</v>
      </c>
      <c r="AA16" s="10">
        <f>U16+X16</f>
        <v>20754.984299717384</v>
      </c>
      <c r="AB16" s="10">
        <f>V16+Y16</f>
        <v>5242.835084252912</v>
      </c>
      <c r="AC16" s="10">
        <f>W16+Z16</f>
        <v>1098.5720601548435</v>
      </c>
      <c r="AD16" s="7">
        <v>0.65</v>
      </c>
      <c r="AE16" s="7">
        <v>0.6499999999999999</v>
      </c>
      <c r="AF16" s="10">
        <f>AA16*AD16</f>
        <v>13490.7397948163</v>
      </c>
      <c r="AG16" s="10">
        <f>AB16*AE16</f>
        <v>3407.842804764393</v>
      </c>
      <c r="AH16" s="10">
        <f>AC16*AE16</f>
        <v>714.0718391006484</v>
      </c>
      <c r="AI16" s="7">
        <v>13490.7397948163</v>
      </c>
      <c r="AJ16" s="7">
        <v>3407.842804764393</v>
      </c>
      <c r="AK16" s="7">
        <v>714.0718391006484</v>
      </c>
      <c r="AL16" s="15">
        <f>AF16-AI16</f>
        <v>0</v>
      </c>
      <c r="AM16" s="15">
        <f>SQRT((AG16-AJ16)^2+(AH16-AK16)^2)</f>
        <v>0</v>
      </c>
      <c r="AN16" s="7" t="s">
        <v>189</v>
      </c>
      <c r="AO16" s="7">
        <v>20754.984299717384</v>
      </c>
      <c r="AP16" s="7">
        <v>5242.835084252912</v>
      </c>
      <c r="AQ16" s="7">
        <v>1098.5720601548435</v>
      </c>
      <c r="AR16" s="7">
        <v>18063.937643273384</v>
      </c>
      <c r="AS16" s="7">
        <v>4164.015324676636</v>
      </c>
      <c r="AT16" s="7">
        <v>826.8629952820907</v>
      </c>
      <c r="AU16" s="7">
        <v>2691.046656444001</v>
      </c>
      <c r="AV16" s="7">
        <v>1078.8197595762756</v>
      </c>
      <c r="AW16" s="7">
        <v>271.7090648727529</v>
      </c>
    </row>
    <row r="17" spans="1:49" x14ac:dyDescent="0.25">
      <c r="A17">
        <v>10</v>
      </c>
      <c r="B17" t="s">
        <v>208</v>
      </c>
      <c r="C17" s="21">
        <f>$AF$17</f>
        <v>12539.854794818024</v>
      </c>
      <c r="D17" s="22">
        <f>$AG$17*COS(RADIANS($C$5))+$AH$17*SIN(RADIANS($C$5))</f>
        <v>3704.7767128372343</v>
      </c>
      <c r="G17" s="7" t="s">
        <v>209</v>
      </c>
      <c r="H17" s="7" t="s">
        <v>208</v>
      </c>
      <c r="I17" s="12">
        <v>10</v>
      </c>
      <c r="J17" s="7" t="s">
        <v>205</v>
      </c>
      <c r="K17" s="12">
        <v>0.3749999999999999</v>
      </c>
      <c r="L17" s="10">
        <f>MAX(('Geometry'!$G$13*COS(RADIANS(I17))+'Geometry'!$F$13*SIN(RADIANS(I17))),('Geometry'!$G$14*COS(RADIANS(I17))+'Geometry'!$F$14*SIN(RADIANS(I17))),('Geometry'!$G$15*COS(RADIANS(I17))+'Geometry'!$F$15*SIN(RADIANS(I17))),('Geometry'!$G$16*COS(RADIANS(I17))+'Geometry'!$F$16*SIN(RADIANS(I17))),('Geometry'!$G$17*COS(RADIANS(I17))+'Geometry'!$F$17*SIN(RADIANS(I17))),('Geometry'!$G$18*COS(RADIANS(I17))+'Geometry'!$F$18*SIN(RADIANS(I17))),('Geometry'!$G$19*COS(RADIANS(I17))+'Geometry'!$F$19*SIN(RADIANS(I17))),('Geometry'!$G$20*COS(RADIANS(I17))+'Geometry'!$F$20*SIN(RADIANS(I17))))</f>
        <v>686.3911495241364</v>
      </c>
      <c r="M17" s="10">
        <f>MIN(('Geometry'!$G$40*COS(RADIANS(I17))+'Geometry'!$F$40*SIN(RADIANS(I17))),('Geometry'!$G$41*COS(RADIANS(I17))+'Geometry'!$F$41*SIN(RADIANS(I17))),('Geometry'!$G$42*COS(RADIANS(I17))+'Geometry'!$F$42*SIN(RADIANS(I17))),('Geometry'!$G$43*COS(RADIANS(I17))+'Geometry'!$F$43*SIN(RADIANS(I17))),('Geometry'!$G$44*COS(RADIANS(I17))+'Geometry'!$F$44*SIN(RADIANS(I17))),('Geometry'!$G$45*COS(RADIANS(I17))+'Geometry'!$F$45*SIN(RADIANS(I17))),('Geometry'!$G$46*COS(RADIANS(I17))+'Geometry'!$F$46*SIN(RADIANS(I17))),('Geometry'!$G$47*COS(RADIANS(I17))+'Geometry'!$F$47*SIN(RADIANS(I17))),('Geometry'!$G$48*COS(RADIANS(I17))+'Geometry'!$F$48*SIN(RADIANS(I17))),('Geometry'!$G$49*COS(RADIANS(I17))+'Geometry'!$F$49*SIN(RADIANS(I17))),('Geometry'!$G$50*COS(RADIANS(I17))+'Geometry'!$F$50*SIN(RADIANS(I17))),('Geometry'!$G$51*COS(RADIANS(I17))+'Geometry'!$F$51*SIN(RADIANS(I17))),('Geometry'!$G$52*COS(RADIANS(I17))+'Geometry'!$F$52*SIN(RADIANS(I17))),('Geometry'!$G$53*COS(RADIANS(I17))+'Geometry'!$F$53*SIN(RADIANS(I17))),('Geometry'!$G$54*COS(RADIANS(I17))+'Geometry'!$F$54*SIN(RADIANS(I17))),('Geometry'!$G$55*COS(RADIANS(I17))+'Geometry'!$F$55*SIN(RADIANS(I17))),('Geometry'!$G$56*COS(RADIANS(I17))+'Geometry'!$F$56*SIN(RADIANS(I17))),('Geometry'!$G$57*COS(RADIANS(I17))+'Geometry'!$F$57*SIN(RADIANS(I17))))</f>
        <v>-591.4073801632424</v>
      </c>
      <c r="N17" s="10">
        <f>L17-MIN(('Geometry'!$G$13*COS(RADIANS(I17))+'Geometry'!$F$13*SIN(RADIANS(I17))),('Geometry'!$G$14*COS(RADIANS(I17))+'Geometry'!$F$14*SIN(RADIANS(I17))),('Geometry'!$G$15*COS(RADIANS(I17))+'Geometry'!$F$15*SIN(RADIANS(I17))),('Geometry'!$G$16*COS(RADIANS(I17))+'Geometry'!$F$16*SIN(RADIANS(I17))),('Geometry'!$G$17*COS(RADIANS(I17))+'Geometry'!$F$17*SIN(RADIANS(I17))),('Geometry'!$G$18*COS(RADIANS(I17))+'Geometry'!$F$18*SIN(RADIANS(I17))),('Geometry'!$G$19*COS(RADIANS(I17))+'Geometry'!$F$19*SIN(RADIANS(I17))),('Geometry'!$G$20*COS(RADIANS(I17))+'Geometry'!$F$20*SIN(RADIANS(I17))))</f>
        <v>1372.7822990482728</v>
      </c>
      <c r="O17" s="15">
        <f>C_ecu</f>
        <v>0.0032999999999999995</v>
      </c>
      <c r="P17" s="15">
        <f>-K17*S_1_fy/S_1_Es</f>
        <v>-0.0007499999999999998</v>
      </c>
      <c r="Q17" s="20">
        <f>IF(ABS(L17-M17)&lt;0.000000000001,0,(O17-P17)/(L17-M17))</f>
        <v>0.0000031695137425074803</v>
      </c>
      <c r="R17" s="15">
        <f>O17-Q17*L17</f>
        <v>0.0011244738188477426</v>
      </c>
      <c r="S17" s="20">
        <f>Q17*COS(RADIANS(I17))</f>
        <v>0.000003121361706900106</v>
      </c>
      <c r="T17" s="20">
        <f>Q17*SIN(RADIANS(I17))</f>
        <v>5.503802854767163e-7</v>
      </c>
      <c r="U17" s="10">
        <f>SUMPRODUCT(C_alpha*C_fck*(1-(1-((($R17+$S17*Mesh_Y+$T17*Mesh_X))*(($R17+$S17*Mesh_Y+$T17*Mesh_X)&gt;0)*(($R17+$S17*Mesh_Y+$T17*Mesh_X)&lt;C_eco)+C_eco*(($R17+$S17*Mesh_Y+$T17*Mesh_X)&gt;=C_eco))/C_eco)^C_n)*((($R17+$S17*Mesh_Y+$T17*Mesh_X))&gt;0),Mesh_A)/1000</f>
        <v>16947.149037497446</v>
      </c>
      <c r="V17" s="10">
        <f>SUMPRODUCT(C_alpha*C_fck*(1-(1-((($R17+$S17*Mesh_Y+$T17*Mesh_X))*(($R17+$S17*Mesh_Y+$T17*Mesh_X)&gt;0)*(($R17+$S17*Mesh_Y+$T17*Mesh_X)&lt;C_eco)+C_eco*(($R17+$S17*Mesh_Y+$T17*Mesh_X)&gt;=C_eco))/C_eco)^C_n)*((($R17+$S17*Mesh_Y+$T17*Mesh_X))&gt;0),Mesh_A,Mesh_Y)/1000000</f>
        <v>4414.406433885008</v>
      </c>
      <c r="W17" s="10">
        <f>SUMPRODUCT(C_alpha*C_fck*(1-(1-((($R17+$S17*Mesh_Y+$T17*Mesh_X))*(($R17+$S17*Mesh_Y+$T17*Mesh_X)&gt;0)*(($R17+$S17*Mesh_Y+$T17*Mesh_X)&lt;C_eco)+C_eco*(($R17+$S17*Mesh_Y+$T17*Mesh_X)&gt;=C_eco))/C_eco)^C_n)*((($R17+$S17*Mesh_Y+$T17*Mesh_X))&gt;0),Mesh_A,Mesh_X)/1000000</f>
        <v>793.5885972172514</v>
      </c>
      <c r="X17" s="10">
        <f>(((MAX(MIN(S_1_Es*($R17+$S17*'Geometry'!$G$40+$T17*'Geometry'!$F$40),S_1_fy),-S_1_fy))-(IF(($R17+$S17*'Geometry'!$G$40+$T17*'Geometry'!$F$40)&gt;0,IF(($R17+$S17*'Geometry'!$G$40+$T17*'Geometry'!$F$40)&lt;=C_eco,C_alpha*C_fck*(1-(1-($R17+$S17*'Geometry'!$G$40+$T17*'Geometry'!$F$40)/C_eco)^C_n),C_alpha*C_fck),0)))*'Geometry'!$H$40+((MAX(MIN(S_1_Es*($R17+$S17*'Geometry'!$G$41+$T17*'Geometry'!$F$41),S_1_fy),-S_1_fy))-(IF(($R17+$S17*'Geometry'!$G$41+$T17*'Geometry'!$F$41)&gt;0,IF(($R17+$S17*'Geometry'!$G$41+$T17*'Geometry'!$F$41)&lt;=C_eco,C_alpha*C_fck*(1-(1-($R17+$S17*'Geometry'!$G$41+$T17*'Geometry'!$F$41)/C_eco)^C_n),C_alpha*C_fck),0)))*'Geometry'!$H$41+((MAX(MIN(S_1_Es*($R17+$S17*'Geometry'!$G$42+$T17*'Geometry'!$F$42),S_1_fy),-S_1_fy))-(IF(($R17+$S17*'Geometry'!$G$42+$T17*'Geometry'!$F$42)&gt;0,IF(($R17+$S17*'Geometry'!$G$42+$T17*'Geometry'!$F$42)&lt;=C_eco,C_alpha*C_fck*(1-(1-($R17+$S17*'Geometry'!$G$42+$T17*'Geometry'!$F$42)/C_eco)^C_n),C_alpha*C_fck),0)))*'Geometry'!$H$42+((MAX(MIN(S_1_Es*($R17+$S17*'Geometry'!$G$43+$T17*'Geometry'!$F$43),S_1_fy),-S_1_fy))-(IF(($R17+$S17*'Geometry'!$G$43+$T17*'Geometry'!$F$43)&gt;0,IF(($R17+$S17*'Geometry'!$G$43+$T17*'Geometry'!$F$43)&lt;=C_eco,C_alpha*C_fck*(1-(1-($R17+$S17*'Geometry'!$G$43+$T17*'Geometry'!$F$43)/C_eco)^C_n),C_alpha*C_fck),0)))*'Geometry'!$H$43+((MAX(MIN(S_1_Es*($R17+$S17*'Geometry'!$G$44+$T17*'Geometry'!$F$44),S_1_fy),-S_1_fy))-(IF(($R17+$S17*'Geometry'!$G$44+$T17*'Geometry'!$F$44)&gt;0,IF(($R17+$S17*'Geometry'!$G$44+$T17*'Geometry'!$F$44)&lt;=C_eco,C_alpha*C_fck*(1-(1-($R17+$S17*'Geometry'!$G$44+$T17*'Geometry'!$F$44)/C_eco)^C_n),C_alpha*C_fck),0)))*'Geometry'!$H$44+((MAX(MIN(S_1_Es*($R17+$S17*'Geometry'!$G$45+$T17*'Geometry'!$F$45),S_1_fy),-S_1_fy))-(IF(($R17+$S17*'Geometry'!$G$45+$T17*'Geometry'!$F$45)&gt;0,IF(($R17+$S17*'Geometry'!$G$45+$T17*'Geometry'!$F$45)&lt;=C_eco,C_alpha*C_fck*(1-(1-($R17+$S17*'Geometry'!$G$45+$T17*'Geometry'!$F$45)/C_eco)^C_n),C_alpha*C_fck),0)))*'Geometry'!$H$45+((MAX(MIN(S_1_Es*($R17+$S17*'Geometry'!$G$46+$T17*'Geometry'!$F$46),S_1_fy),-S_1_fy))-(IF(($R17+$S17*'Geometry'!$G$46+$T17*'Geometry'!$F$46)&gt;0,IF(($R17+$S17*'Geometry'!$G$46+$T17*'Geometry'!$F$46)&lt;=C_eco,C_alpha*C_fck*(1-(1-($R17+$S17*'Geometry'!$G$46+$T17*'Geometry'!$F$46)/C_eco)^C_n),C_alpha*C_fck),0)))*'Geometry'!$H$46+((MAX(MIN(S_1_Es*($R17+$S17*'Geometry'!$G$47+$T17*'Geometry'!$F$47),S_1_fy),-S_1_fy))-(IF(($R17+$S17*'Geometry'!$G$47+$T17*'Geometry'!$F$47)&gt;0,IF(($R17+$S17*'Geometry'!$G$47+$T17*'Geometry'!$F$47)&lt;=C_eco,C_alpha*C_fck*(1-(1-($R17+$S17*'Geometry'!$G$47+$T17*'Geometry'!$F$47)/C_eco)^C_n),C_alpha*C_fck),0)))*'Geometry'!$H$47+((MAX(MIN(S_1_Es*($R17+$S17*'Geometry'!$G$48+$T17*'Geometry'!$F$48),S_1_fy),-S_1_fy))-(IF(($R17+$S17*'Geometry'!$G$48+$T17*'Geometry'!$F$48)&gt;0,IF(($R17+$S17*'Geometry'!$G$48+$T17*'Geometry'!$F$48)&lt;=C_eco,C_alpha*C_fck*(1-(1-($R17+$S17*'Geometry'!$G$48+$T17*'Geometry'!$F$48)/C_eco)^C_n),C_alpha*C_fck),0)))*'Geometry'!$H$48+((MAX(MIN(S_1_Es*($R17+$S17*'Geometry'!$G$49+$T17*'Geometry'!$F$49),S_1_fy),-S_1_fy))-(IF(($R17+$S17*'Geometry'!$G$49+$T17*'Geometry'!$F$49)&gt;0,IF(($R17+$S17*'Geometry'!$G$49+$T17*'Geometry'!$F$49)&lt;=C_eco,C_alpha*C_fck*(1-(1-($R17+$S17*'Geometry'!$G$49+$T17*'Geometry'!$F$49)/C_eco)^C_n),C_alpha*C_fck),0)))*'Geometry'!$H$49+((MAX(MIN(S_1_Es*($R17+$S17*'Geometry'!$G$50+$T17*'Geometry'!$F$50),S_1_fy),-S_1_fy))-(IF(($R17+$S17*'Geometry'!$G$50+$T17*'Geometry'!$F$50)&gt;0,IF(($R17+$S17*'Geometry'!$G$50+$T17*'Geometry'!$F$50)&lt;=C_eco,C_alpha*C_fck*(1-(1-($R17+$S17*'Geometry'!$G$50+$T17*'Geometry'!$F$50)/C_eco)^C_n),C_alpha*C_fck),0)))*'Geometry'!$H$50+((MAX(MIN(S_1_Es*($R17+$S17*'Geometry'!$G$51+$T17*'Geometry'!$F$51),S_1_fy),-S_1_fy))-(IF(($R17+$S17*'Geometry'!$G$51+$T17*'Geometry'!$F$51)&gt;0,IF(($R17+$S17*'Geometry'!$G$51+$T17*'Geometry'!$F$51)&lt;=C_eco,C_alpha*C_fck*(1-(1-($R17+$S17*'Geometry'!$G$51+$T17*'Geometry'!$F$51)/C_eco)^C_n),C_alpha*C_fck),0)))*'Geometry'!$H$51+((MAX(MIN(S_1_Es*($R17+$S17*'Geometry'!$G$52+$T17*'Geometry'!$F$52),S_1_fy),-S_1_fy))-(IF(($R17+$S17*'Geometry'!$G$52+$T17*'Geometry'!$F$52)&gt;0,IF(($R17+$S17*'Geometry'!$G$52+$T17*'Geometry'!$F$52)&lt;=C_eco,C_alpha*C_fck*(1-(1-($R17+$S17*'Geometry'!$G$52+$T17*'Geometry'!$F$52)/C_eco)^C_n),C_alpha*C_fck),0)))*'Geometry'!$H$52+((MAX(MIN(S_1_Es*($R17+$S17*'Geometry'!$G$53+$T17*'Geometry'!$F$53),S_1_fy),-S_1_fy))-(IF(($R17+$S17*'Geometry'!$G$53+$T17*'Geometry'!$F$53)&gt;0,IF(($R17+$S17*'Geometry'!$G$53+$T17*'Geometry'!$F$53)&lt;=C_eco,C_alpha*C_fck*(1-(1-($R17+$S17*'Geometry'!$G$53+$T17*'Geometry'!$F$53)/C_eco)^C_n),C_alpha*C_fck),0)))*'Geometry'!$H$53+((MAX(MIN(S_1_Es*($R17+$S17*'Geometry'!$G$54+$T17*'Geometry'!$F$54),S_1_fy),-S_1_fy))-(IF(($R17+$S17*'Geometry'!$G$54+$T17*'Geometry'!$F$54)&gt;0,IF(($R17+$S17*'Geometry'!$G$54+$T17*'Geometry'!$F$54)&lt;=C_eco,C_alpha*C_fck*(1-(1-($R17+$S17*'Geometry'!$G$54+$T17*'Geometry'!$F$54)/C_eco)^C_n),C_alpha*C_fck),0)))*'Geometry'!$H$54+((MAX(MIN(S_1_Es*($R17+$S17*'Geometry'!$G$55+$T17*'Geometry'!$F$55),S_1_fy),-S_1_fy))-(IF(($R17+$S17*'Geometry'!$G$55+$T17*'Geometry'!$F$55)&gt;0,IF(($R17+$S17*'Geometry'!$G$55+$T17*'Geometry'!$F$55)&lt;=C_eco,C_alpha*C_fck*(1-(1-($R17+$S17*'Geometry'!$G$55+$T17*'Geometry'!$F$55)/C_eco)^C_n),C_alpha*C_fck),0)))*'Geometry'!$H$55+((MAX(MIN(S_1_Es*($R17+$S17*'Geometry'!$G$56+$T17*'Geometry'!$F$56),S_1_fy),-S_1_fy))-(IF(($R17+$S17*'Geometry'!$G$56+$T17*'Geometry'!$F$56)&gt;0,IF(($R17+$S17*'Geometry'!$G$56+$T17*'Geometry'!$F$56)&lt;=C_eco,C_alpha*C_fck*(1-(1-($R17+$S17*'Geometry'!$G$56+$T17*'Geometry'!$F$56)/C_eco)^C_n),C_alpha*C_fck),0)))*'Geometry'!$H$56+((MAX(MIN(S_1_Es*($R17+$S17*'Geometry'!$G$57+$T17*'Geometry'!$F$57),S_1_fy),-S_1_fy))-(IF(($R17+$S17*'Geometry'!$G$57+$T17*'Geometry'!$F$57)&gt;0,IF(($R17+$S17*'Geometry'!$G$57+$T17*'Geometry'!$F$57)&lt;=C_eco,C_alpha*C_fck*(1-(1-($R17+$S17*'Geometry'!$G$57+$T17*'Geometry'!$F$57)/C_eco)^C_n),C_alpha*C_fck),0)))*'Geometry'!$H$57)/1000</f>
        <v>2344.9352622225892</v>
      </c>
      <c r="Y17" s="10">
        <f>(((MAX(MIN(S_1_Es*($R17+$S17*'Geometry'!$G$40+$T17*'Geometry'!$F$40),S_1_fy),-S_1_fy))-(IF(($R17+$S17*'Geometry'!$G$40+$T17*'Geometry'!$F$40)&gt;0,IF(($R17+$S17*'Geometry'!$G$40+$T17*'Geometry'!$F$40)&lt;=C_eco,C_alpha*C_fck*(1-(1-($R17+$S17*'Geometry'!$G$40+$T17*'Geometry'!$F$40)/C_eco)^C_n),C_alpha*C_fck),0)))*'Geometry'!$H$40*'Geometry'!$G$40+((MAX(MIN(S_1_Es*($R17+$S17*'Geometry'!$G$41+$T17*'Geometry'!$F$41),S_1_fy),-S_1_fy))-(IF(($R17+$S17*'Geometry'!$G$41+$T17*'Geometry'!$F$41)&gt;0,IF(($R17+$S17*'Geometry'!$G$41+$T17*'Geometry'!$F$41)&lt;=C_eco,C_alpha*C_fck*(1-(1-($R17+$S17*'Geometry'!$G$41+$T17*'Geometry'!$F$41)/C_eco)^C_n),C_alpha*C_fck),0)))*'Geometry'!$H$41*'Geometry'!$G$41+((MAX(MIN(S_1_Es*($R17+$S17*'Geometry'!$G$42+$T17*'Geometry'!$F$42),S_1_fy),-S_1_fy))-(IF(($R17+$S17*'Geometry'!$G$42+$T17*'Geometry'!$F$42)&gt;0,IF(($R17+$S17*'Geometry'!$G$42+$T17*'Geometry'!$F$42)&lt;=C_eco,C_alpha*C_fck*(1-(1-($R17+$S17*'Geometry'!$G$42+$T17*'Geometry'!$F$42)/C_eco)^C_n),C_alpha*C_fck),0)))*'Geometry'!$H$42*'Geometry'!$G$42+((MAX(MIN(S_1_Es*($R17+$S17*'Geometry'!$G$43+$T17*'Geometry'!$F$43),S_1_fy),-S_1_fy))-(IF(($R17+$S17*'Geometry'!$G$43+$T17*'Geometry'!$F$43)&gt;0,IF(($R17+$S17*'Geometry'!$G$43+$T17*'Geometry'!$F$43)&lt;=C_eco,C_alpha*C_fck*(1-(1-($R17+$S17*'Geometry'!$G$43+$T17*'Geometry'!$F$43)/C_eco)^C_n),C_alpha*C_fck),0)))*'Geometry'!$H$43*'Geometry'!$G$43+((MAX(MIN(S_1_Es*($R17+$S17*'Geometry'!$G$44+$T17*'Geometry'!$F$44),S_1_fy),-S_1_fy))-(IF(($R17+$S17*'Geometry'!$G$44+$T17*'Geometry'!$F$44)&gt;0,IF(($R17+$S17*'Geometry'!$G$44+$T17*'Geometry'!$F$44)&lt;=C_eco,C_alpha*C_fck*(1-(1-($R17+$S17*'Geometry'!$G$44+$T17*'Geometry'!$F$44)/C_eco)^C_n),C_alpha*C_fck),0)))*'Geometry'!$H$44*'Geometry'!$G$44+((MAX(MIN(S_1_Es*($R17+$S17*'Geometry'!$G$45+$T17*'Geometry'!$F$45),S_1_fy),-S_1_fy))-(IF(($R17+$S17*'Geometry'!$G$45+$T17*'Geometry'!$F$45)&gt;0,IF(($R17+$S17*'Geometry'!$G$45+$T17*'Geometry'!$F$45)&lt;=C_eco,C_alpha*C_fck*(1-(1-($R17+$S17*'Geometry'!$G$45+$T17*'Geometry'!$F$45)/C_eco)^C_n),C_alpha*C_fck),0)))*'Geometry'!$H$45*'Geometry'!$G$45+((MAX(MIN(S_1_Es*($R17+$S17*'Geometry'!$G$46+$T17*'Geometry'!$F$46),S_1_fy),-S_1_fy))-(IF(($R17+$S17*'Geometry'!$G$46+$T17*'Geometry'!$F$46)&gt;0,IF(($R17+$S17*'Geometry'!$G$46+$T17*'Geometry'!$F$46)&lt;=C_eco,C_alpha*C_fck*(1-(1-($R17+$S17*'Geometry'!$G$46+$T17*'Geometry'!$F$46)/C_eco)^C_n),C_alpha*C_fck),0)))*'Geometry'!$H$46*'Geometry'!$G$46+((MAX(MIN(S_1_Es*($R17+$S17*'Geometry'!$G$47+$T17*'Geometry'!$F$47),S_1_fy),-S_1_fy))-(IF(($R17+$S17*'Geometry'!$G$47+$T17*'Geometry'!$F$47)&gt;0,IF(($R17+$S17*'Geometry'!$G$47+$T17*'Geometry'!$F$47)&lt;=C_eco,C_alpha*C_fck*(1-(1-($R17+$S17*'Geometry'!$G$47+$T17*'Geometry'!$F$47)/C_eco)^C_n),C_alpha*C_fck),0)))*'Geometry'!$H$47*'Geometry'!$G$47+((MAX(MIN(S_1_Es*($R17+$S17*'Geometry'!$G$48+$T17*'Geometry'!$F$48),S_1_fy),-S_1_fy))-(IF(($R17+$S17*'Geometry'!$G$48+$T17*'Geometry'!$F$48)&gt;0,IF(($R17+$S17*'Geometry'!$G$48+$T17*'Geometry'!$F$48)&lt;=C_eco,C_alpha*C_fck*(1-(1-($R17+$S17*'Geometry'!$G$48+$T17*'Geometry'!$F$48)/C_eco)^C_n),C_alpha*C_fck),0)))*'Geometry'!$H$48*'Geometry'!$G$48+((MAX(MIN(S_1_Es*($R17+$S17*'Geometry'!$G$49+$T17*'Geometry'!$F$49),S_1_fy),-S_1_fy))-(IF(($R17+$S17*'Geometry'!$G$49+$T17*'Geometry'!$F$49)&gt;0,IF(($R17+$S17*'Geometry'!$G$49+$T17*'Geometry'!$F$49)&lt;=C_eco,C_alpha*C_fck*(1-(1-($R17+$S17*'Geometry'!$G$49+$T17*'Geometry'!$F$49)/C_eco)^C_n),C_alpha*C_fck),0)))*'Geometry'!$H$49*'Geometry'!$G$49+((MAX(MIN(S_1_Es*($R17+$S17*'Geometry'!$G$50+$T17*'Geometry'!$F$50),S_1_fy),-S_1_fy))-(IF(($R17+$S17*'Geometry'!$G$50+$T17*'Geometry'!$F$50)&gt;0,IF(($R17+$S17*'Geometry'!$G$50+$T17*'Geometry'!$F$50)&lt;=C_eco,C_alpha*C_fck*(1-(1-($R17+$S17*'Geometry'!$G$50+$T17*'Geometry'!$F$50)/C_eco)^C_n),C_alpha*C_fck),0)))*'Geometry'!$H$50*'Geometry'!$G$50+((MAX(MIN(S_1_Es*($R17+$S17*'Geometry'!$G$51+$T17*'Geometry'!$F$51),S_1_fy),-S_1_fy))-(IF(($R17+$S17*'Geometry'!$G$51+$T17*'Geometry'!$F$51)&gt;0,IF(($R17+$S17*'Geometry'!$G$51+$T17*'Geometry'!$F$51)&lt;=C_eco,C_alpha*C_fck*(1-(1-($R17+$S17*'Geometry'!$G$51+$T17*'Geometry'!$F$51)/C_eco)^C_n),C_alpha*C_fck),0)))*'Geometry'!$H$51*'Geometry'!$G$51+((MAX(MIN(S_1_Es*($R17+$S17*'Geometry'!$G$52+$T17*'Geometry'!$F$52),S_1_fy),-S_1_fy))-(IF(($R17+$S17*'Geometry'!$G$52+$T17*'Geometry'!$F$52)&gt;0,IF(($R17+$S17*'Geometry'!$G$52+$T17*'Geometry'!$F$52)&lt;=C_eco,C_alpha*C_fck*(1-(1-($R17+$S17*'Geometry'!$G$52+$T17*'Geometry'!$F$52)/C_eco)^C_n),C_alpha*C_fck),0)))*'Geometry'!$H$52*'Geometry'!$G$52+((MAX(MIN(S_1_Es*($R17+$S17*'Geometry'!$G$53+$T17*'Geometry'!$F$53),S_1_fy),-S_1_fy))-(IF(($R17+$S17*'Geometry'!$G$53+$T17*'Geometry'!$F$53)&gt;0,IF(($R17+$S17*'Geometry'!$G$53+$T17*'Geometry'!$F$53)&lt;=C_eco,C_alpha*C_fck*(1-(1-($R17+$S17*'Geometry'!$G$53+$T17*'Geometry'!$F$53)/C_eco)^C_n),C_alpha*C_fck),0)))*'Geometry'!$H$53*'Geometry'!$G$53+((MAX(MIN(S_1_Es*($R17+$S17*'Geometry'!$G$54+$T17*'Geometry'!$F$54),S_1_fy),-S_1_fy))-(IF(($R17+$S17*'Geometry'!$G$54+$T17*'Geometry'!$F$54)&gt;0,IF(($R17+$S17*'Geometry'!$G$54+$T17*'Geometry'!$F$54)&lt;=C_eco,C_alpha*C_fck*(1-(1-($R17+$S17*'Geometry'!$G$54+$T17*'Geometry'!$F$54)/C_eco)^C_n),C_alpha*C_fck),0)))*'Geometry'!$H$54*'Geometry'!$G$54+((MAX(MIN(S_1_Es*($R17+$S17*'Geometry'!$G$55+$T17*'Geometry'!$F$55),S_1_fy),-S_1_fy))-(IF(($R17+$S17*'Geometry'!$G$55+$T17*'Geometry'!$F$55)&gt;0,IF(($R17+$S17*'Geometry'!$G$55+$T17*'Geometry'!$F$55)&lt;=C_eco,C_alpha*C_fck*(1-(1-($R17+$S17*'Geometry'!$G$55+$T17*'Geometry'!$F$55)/C_eco)^C_n),C_alpha*C_fck),0)))*'Geometry'!$H$55*'Geometry'!$G$55+((MAX(MIN(S_1_Es*($R17+$S17*'Geometry'!$G$56+$T17*'Geometry'!$F$56),S_1_fy),-S_1_fy))-(IF(($R17+$S17*'Geometry'!$G$56+$T17*'Geometry'!$F$56)&gt;0,IF(($R17+$S17*'Geometry'!$G$56+$T17*'Geometry'!$F$56)&lt;=C_eco,C_alpha*C_fck*(1-(1-($R17+$S17*'Geometry'!$G$56+$T17*'Geometry'!$F$56)/C_eco)^C_n),C_alpha*C_fck),0)))*'Geometry'!$H$56*'Geometry'!$G$56+((MAX(MIN(S_1_Es*($R17+$S17*'Geometry'!$G$57+$T17*'Geometry'!$F$57),S_1_fy),-S_1_fy))-(IF(($R17+$S17*'Geometry'!$G$57+$T17*'Geometry'!$F$57)&gt;0,IF(($R17+$S17*'Geometry'!$G$57+$T17*'Geometry'!$F$57)&lt;=C_eco,C_alpha*C_fck*(1-(1-($R17+$S17*'Geometry'!$G$57+$T17*'Geometry'!$F$57)/C_eco)^C_n),C_alpha*C_fck),0)))*'Geometry'!$H$57*'Geometry'!$G$57)/1000000</f>
        <v>1193.532537354985</v>
      </c>
      <c r="Z17" s="10">
        <f>(((MAX(MIN(S_1_Es*($R17+$S17*'Geometry'!$G$40+$T17*'Geometry'!$F$40),S_1_fy),-S_1_fy))-(IF(($R17+$S17*'Geometry'!$G$40+$T17*'Geometry'!$F$40)&gt;0,IF(($R17+$S17*'Geometry'!$G$40+$T17*'Geometry'!$F$40)&lt;=C_eco,C_alpha*C_fck*(1-(1-($R17+$S17*'Geometry'!$G$40+$T17*'Geometry'!$F$40)/C_eco)^C_n),C_alpha*C_fck),0)))*'Geometry'!$H$40*'Geometry'!$F$40+((MAX(MIN(S_1_Es*($R17+$S17*'Geometry'!$G$41+$T17*'Geometry'!$F$41),S_1_fy),-S_1_fy))-(IF(($R17+$S17*'Geometry'!$G$41+$T17*'Geometry'!$F$41)&gt;0,IF(($R17+$S17*'Geometry'!$G$41+$T17*'Geometry'!$F$41)&lt;=C_eco,C_alpha*C_fck*(1-(1-($R17+$S17*'Geometry'!$G$41+$T17*'Geometry'!$F$41)/C_eco)^C_n),C_alpha*C_fck),0)))*'Geometry'!$H$41*'Geometry'!$F$41+((MAX(MIN(S_1_Es*($R17+$S17*'Geometry'!$G$42+$T17*'Geometry'!$F$42),S_1_fy),-S_1_fy))-(IF(($R17+$S17*'Geometry'!$G$42+$T17*'Geometry'!$F$42)&gt;0,IF(($R17+$S17*'Geometry'!$G$42+$T17*'Geometry'!$F$42)&lt;=C_eco,C_alpha*C_fck*(1-(1-($R17+$S17*'Geometry'!$G$42+$T17*'Geometry'!$F$42)/C_eco)^C_n),C_alpha*C_fck),0)))*'Geometry'!$H$42*'Geometry'!$F$42+((MAX(MIN(S_1_Es*($R17+$S17*'Geometry'!$G$43+$T17*'Geometry'!$F$43),S_1_fy),-S_1_fy))-(IF(($R17+$S17*'Geometry'!$G$43+$T17*'Geometry'!$F$43)&gt;0,IF(($R17+$S17*'Geometry'!$G$43+$T17*'Geometry'!$F$43)&lt;=C_eco,C_alpha*C_fck*(1-(1-($R17+$S17*'Geometry'!$G$43+$T17*'Geometry'!$F$43)/C_eco)^C_n),C_alpha*C_fck),0)))*'Geometry'!$H$43*'Geometry'!$F$43+((MAX(MIN(S_1_Es*($R17+$S17*'Geometry'!$G$44+$T17*'Geometry'!$F$44),S_1_fy),-S_1_fy))-(IF(($R17+$S17*'Geometry'!$G$44+$T17*'Geometry'!$F$44)&gt;0,IF(($R17+$S17*'Geometry'!$G$44+$T17*'Geometry'!$F$44)&lt;=C_eco,C_alpha*C_fck*(1-(1-($R17+$S17*'Geometry'!$G$44+$T17*'Geometry'!$F$44)/C_eco)^C_n),C_alpha*C_fck),0)))*'Geometry'!$H$44*'Geometry'!$F$44+((MAX(MIN(S_1_Es*($R17+$S17*'Geometry'!$G$45+$T17*'Geometry'!$F$45),S_1_fy),-S_1_fy))-(IF(($R17+$S17*'Geometry'!$G$45+$T17*'Geometry'!$F$45)&gt;0,IF(($R17+$S17*'Geometry'!$G$45+$T17*'Geometry'!$F$45)&lt;=C_eco,C_alpha*C_fck*(1-(1-($R17+$S17*'Geometry'!$G$45+$T17*'Geometry'!$F$45)/C_eco)^C_n),C_alpha*C_fck),0)))*'Geometry'!$H$45*'Geometry'!$F$45+((MAX(MIN(S_1_Es*($R17+$S17*'Geometry'!$G$46+$T17*'Geometry'!$F$46),S_1_fy),-S_1_fy))-(IF(($R17+$S17*'Geometry'!$G$46+$T17*'Geometry'!$F$46)&gt;0,IF(($R17+$S17*'Geometry'!$G$46+$T17*'Geometry'!$F$46)&lt;=C_eco,C_alpha*C_fck*(1-(1-($R17+$S17*'Geometry'!$G$46+$T17*'Geometry'!$F$46)/C_eco)^C_n),C_alpha*C_fck),0)))*'Geometry'!$H$46*'Geometry'!$F$46+((MAX(MIN(S_1_Es*($R17+$S17*'Geometry'!$G$47+$T17*'Geometry'!$F$47),S_1_fy),-S_1_fy))-(IF(($R17+$S17*'Geometry'!$G$47+$T17*'Geometry'!$F$47)&gt;0,IF(($R17+$S17*'Geometry'!$G$47+$T17*'Geometry'!$F$47)&lt;=C_eco,C_alpha*C_fck*(1-(1-($R17+$S17*'Geometry'!$G$47+$T17*'Geometry'!$F$47)/C_eco)^C_n),C_alpha*C_fck),0)))*'Geometry'!$H$47*'Geometry'!$F$47+((MAX(MIN(S_1_Es*($R17+$S17*'Geometry'!$G$48+$T17*'Geometry'!$F$48),S_1_fy),-S_1_fy))-(IF(($R17+$S17*'Geometry'!$G$48+$T17*'Geometry'!$F$48)&gt;0,IF(($R17+$S17*'Geometry'!$G$48+$T17*'Geometry'!$F$48)&lt;=C_eco,C_alpha*C_fck*(1-(1-($R17+$S17*'Geometry'!$G$48+$T17*'Geometry'!$F$48)/C_eco)^C_n),C_alpha*C_fck),0)))*'Geometry'!$H$48*'Geometry'!$F$48+((MAX(MIN(S_1_Es*($R17+$S17*'Geometry'!$G$49+$T17*'Geometry'!$F$49),S_1_fy),-S_1_fy))-(IF(($R17+$S17*'Geometry'!$G$49+$T17*'Geometry'!$F$49)&gt;0,IF(($R17+$S17*'Geometry'!$G$49+$T17*'Geometry'!$F$49)&lt;=C_eco,C_alpha*C_fck*(1-(1-($R17+$S17*'Geometry'!$G$49+$T17*'Geometry'!$F$49)/C_eco)^C_n),C_alpha*C_fck),0)))*'Geometry'!$H$49*'Geometry'!$F$49+((MAX(MIN(S_1_Es*($R17+$S17*'Geometry'!$G$50+$T17*'Geometry'!$F$50),S_1_fy),-S_1_fy))-(IF(($R17+$S17*'Geometry'!$G$50+$T17*'Geometry'!$F$50)&gt;0,IF(($R17+$S17*'Geometry'!$G$50+$T17*'Geometry'!$F$50)&lt;=C_eco,C_alpha*C_fck*(1-(1-($R17+$S17*'Geometry'!$G$50+$T17*'Geometry'!$F$50)/C_eco)^C_n),C_alpha*C_fck),0)))*'Geometry'!$H$50*'Geometry'!$F$50+((MAX(MIN(S_1_Es*($R17+$S17*'Geometry'!$G$51+$T17*'Geometry'!$F$51),S_1_fy),-S_1_fy))-(IF(($R17+$S17*'Geometry'!$G$51+$T17*'Geometry'!$F$51)&gt;0,IF(($R17+$S17*'Geometry'!$G$51+$T17*'Geometry'!$F$51)&lt;=C_eco,C_alpha*C_fck*(1-(1-($R17+$S17*'Geometry'!$G$51+$T17*'Geometry'!$F$51)/C_eco)^C_n),C_alpha*C_fck),0)))*'Geometry'!$H$51*'Geometry'!$F$51+((MAX(MIN(S_1_Es*($R17+$S17*'Geometry'!$G$52+$T17*'Geometry'!$F$52),S_1_fy),-S_1_fy))-(IF(($R17+$S17*'Geometry'!$G$52+$T17*'Geometry'!$F$52)&gt;0,IF(($R17+$S17*'Geometry'!$G$52+$T17*'Geometry'!$F$52)&lt;=C_eco,C_alpha*C_fck*(1-(1-($R17+$S17*'Geometry'!$G$52+$T17*'Geometry'!$F$52)/C_eco)^C_n),C_alpha*C_fck),0)))*'Geometry'!$H$52*'Geometry'!$F$52+((MAX(MIN(S_1_Es*($R17+$S17*'Geometry'!$G$53+$T17*'Geometry'!$F$53),S_1_fy),-S_1_fy))-(IF(($R17+$S17*'Geometry'!$G$53+$T17*'Geometry'!$F$53)&gt;0,IF(($R17+$S17*'Geometry'!$G$53+$T17*'Geometry'!$F$53)&lt;=C_eco,C_alpha*C_fck*(1-(1-($R17+$S17*'Geometry'!$G$53+$T17*'Geometry'!$F$53)/C_eco)^C_n),C_alpha*C_fck),0)))*'Geometry'!$H$53*'Geometry'!$F$53+((MAX(MIN(S_1_Es*($R17+$S17*'Geometry'!$G$54+$T17*'Geometry'!$F$54),S_1_fy),-S_1_fy))-(IF(($R17+$S17*'Geometry'!$G$54+$T17*'Geometry'!$F$54)&gt;0,IF(($R17+$S17*'Geometry'!$G$54+$T17*'Geometry'!$F$54)&lt;=C_eco,C_alpha*C_fck*(1-(1-($R17+$S17*'Geometry'!$G$54+$T17*'Geometry'!$F$54)/C_eco)^C_n),C_alpha*C_fck),0)))*'Geometry'!$H$54*'Geometry'!$F$54+((MAX(MIN(S_1_Es*($R17+$S17*'Geometry'!$G$55+$T17*'Geometry'!$F$55),S_1_fy),-S_1_fy))-(IF(($R17+$S17*'Geometry'!$G$55+$T17*'Geometry'!$F$55)&gt;0,IF(($R17+$S17*'Geometry'!$G$55+$T17*'Geometry'!$F$55)&lt;=C_eco,C_alpha*C_fck*(1-(1-($R17+$S17*'Geometry'!$G$55+$T17*'Geometry'!$F$55)/C_eco)^C_n),C_alpha*C_fck),0)))*'Geometry'!$H$55*'Geometry'!$F$55+((MAX(MIN(S_1_Es*($R17+$S17*'Geometry'!$G$56+$T17*'Geometry'!$F$56),S_1_fy),-S_1_fy))-(IF(($R17+$S17*'Geometry'!$G$56+$T17*'Geometry'!$F$56)&gt;0,IF(($R17+$S17*'Geometry'!$G$56+$T17*'Geometry'!$F$56)&lt;=C_eco,C_alpha*C_fck*(1-(1-($R17+$S17*'Geometry'!$G$56+$T17*'Geometry'!$F$56)/C_eco)^C_n),C_alpha*C_fck),0)))*'Geometry'!$H$56*'Geometry'!$F$56+((MAX(MIN(S_1_Es*($R17+$S17*'Geometry'!$G$57+$T17*'Geometry'!$F$57),S_1_fy),-S_1_fy))-(IF(($R17+$S17*'Geometry'!$G$57+$T17*'Geometry'!$F$57)&gt;0,IF(($R17+$S17*'Geometry'!$G$57+$T17*'Geometry'!$F$57)&lt;=C_eco,C_alpha*C_fck*(1-(1-($R17+$S17*'Geometry'!$G$57+$T17*'Geometry'!$F$57)/C_eco)^C_n),C_alpha*C_fck),0)))*'Geometry'!$H$57*'Geometry'!$F$57)/1000000</f>
        <v>299.0798213775783</v>
      </c>
      <c r="AA17" s="10">
        <f>U17+X17</f>
        <v>19292.084299720034</v>
      </c>
      <c r="AB17" s="10">
        <f>V17+Y17</f>
        <v>5607.938971239993</v>
      </c>
      <c r="AC17" s="10">
        <f>W17+Z17</f>
        <v>1092.6684185948297</v>
      </c>
      <c r="AD17" s="7">
        <v>0.65</v>
      </c>
      <c r="AE17" s="7">
        <v>0.65</v>
      </c>
      <c r="AF17" s="10">
        <f>AA17*AD17</f>
        <v>12539.854794818024</v>
      </c>
      <c r="AG17" s="10">
        <f>AB17*AE17</f>
        <v>3645.1603313059954</v>
      </c>
      <c r="AH17" s="10">
        <f>AC17*AE17</f>
        <v>710.2344720866394</v>
      </c>
      <c r="AI17" s="7">
        <v>12539.854794818024</v>
      </c>
      <c r="AJ17" s="7">
        <v>3645.1603313059954</v>
      </c>
      <c r="AK17" s="7">
        <v>710.2344720866394</v>
      </c>
      <c r="AL17" s="15">
        <f>AF17-AI17</f>
        <v>0</v>
      </c>
      <c r="AM17" s="15">
        <f>SQRT((AG17-AJ17)^2+(AH17-AK17)^2)</f>
        <v>0</v>
      </c>
      <c r="AN17" s="7" t="s">
        <v>189</v>
      </c>
      <c r="AO17" s="7">
        <v>19292.084299720034</v>
      </c>
      <c r="AP17" s="7">
        <v>5607.938971239993</v>
      </c>
      <c r="AQ17" s="7">
        <v>1092.6684185948297</v>
      </c>
      <c r="AR17" s="7">
        <v>16947.149037497446</v>
      </c>
      <c r="AS17" s="7">
        <v>4414.406433885008</v>
      </c>
      <c r="AT17" s="7">
        <v>793.5885972172514</v>
      </c>
      <c r="AU17" s="7">
        <v>2344.9352622225892</v>
      </c>
      <c r="AV17" s="7">
        <v>1193.532537354985</v>
      </c>
      <c r="AW17" s="7">
        <v>299.0798213775783</v>
      </c>
    </row>
    <row r="18" spans="1:49" x14ac:dyDescent="0.25">
      <c r="A18" s="17">
        <v>11</v>
      </c>
      <c r="B18" s="17" t="s">
        <v>210</v>
      </c>
      <c r="C18" s="18">
        <f>$AF$18</f>
        <v>11716.641397519403</v>
      </c>
      <c r="D18" s="19">
        <f>$AG$18*COS(RADIANS($C$5))+$AH$18*SIN(RADIANS($C$5))</f>
        <v>3871.0114907411885</v>
      </c>
      <c r="G18" s="7" t="s">
        <v>211</v>
      </c>
      <c r="H18" s="7" t="s">
        <v>210</v>
      </c>
      <c r="I18" s="12">
        <v>10</v>
      </c>
      <c r="J18" s="7" t="s">
        <v>205</v>
      </c>
      <c r="K18" s="12">
        <v>0.5</v>
      </c>
      <c r="L18" s="10">
        <f>MAX(('Geometry'!$G$13*COS(RADIANS(I18))+'Geometry'!$F$13*SIN(RADIANS(I18))),('Geometry'!$G$14*COS(RADIANS(I18))+'Geometry'!$F$14*SIN(RADIANS(I18))),('Geometry'!$G$15*COS(RADIANS(I18))+'Geometry'!$F$15*SIN(RADIANS(I18))),('Geometry'!$G$16*COS(RADIANS(I18))+'Geometry'!$F$16*SIN(RADIANS(I18))),('Geometry'!$G$17*COS(RADIANS(I18))+'Geometry'!$F$17*SIN(RADIANS(I18))),('Geometry'!$G$18*COS(RADIANS(I18))+'Geometry'!$F$18*SIN(RADIANS(I18))),('Geometry'!$G$19*COS(RADIANS(I18))+'Geometry'!$F$19*SIN(RADIANS(I18))),('Geometry'!$G$20*COS(RADIANS(I18))+'Geometry'!$F$20*SIN(RADIANS(I18))))</f>
        <v>686.3911495241364</v>
      </c>
      <c r="M18" s="10">
        <f>MIN(('Geometry'!$G$40*COS(RADIANS(I18))+'Geometry'!$F$40*SIN(RADIANS(I18))),('Geometry'!$G$41*COS(RADIANS(I18))+'Geometry'!$F$41*SIN(RADIANS(I18))),('Geometry'!$G$42*COS(RADIANS(I18))+'Geometry'!$F$42*SIN(RADIANS(I18))),('Geometry'!$G$43*COS(RADIANS(I18))+'Geometry'!$F$43*SIN(RADIANS(I18))),('Geometry'!$G$44*COS(RADIANS(I18))+'Geometry'!$F$44*SIN(RADIANS(I18))),('Geometry'!$G$45*COS(RADIANS(I18))+'Geometry'!$F$45*SIN(RADIANS(I18))),('Geometry'!$G$46*COS(RADIANS(I18))+'Geometry'!$F$46*SIN(RADIANS(I18))),('Geometry'!$G$47*COS(RADIANS(I18))+'Geometry'!$F$47*SIN(RADIANS(I18))),('Geometry'!$G$48*COS(RADIANS(I18))+'Geometry'!$F$48*SIN(RADIANS(I18))),('Geometry'!$G$49*COS(RADIANS(I18))+'Geometry'!$F$49*SIN(RADIANS(I18))),('Geometry'!$G$50*COS(RADIANS(I18))+'Geometry'!$F$50*SIN(RADIANS(I18))),('Geometry'!$G$51*COS(RADIANS(I18))+'Geometry'!$F$51*SIN(RADIANS(I18))),('Geometry'!$G$52*COS(RADIANS(I18))+'Geometry'!$F$52*SIN(RADIANS(I18))),('Geometry'!$G$53*COS(RADIANS(I18))+'Geometry'!$F$53*SIN(RADIANS(I18))),('Geometry'!$G$54*COS(RADIANS(I18))+'Geometry'!$F$54*SIN(RADIANS(I18))),('Geometry'!$G$55*COS(RADIANS(I18))+'Geometry'!$F$55*SIN(RADIANS(I18))),('Geometry'!$G$56*COS(RADIANS(I18))+'Geometry'!$F$56*SIN(RADIANS(I18))),('Geometry'!$G$57*COS(RADIANS(I18))+'Geometry'!$F$57*SIN(RADIANS(I18))))</f>
        <v>-591.4073801632424</v>
      </c>
      <c r="N18" s="10">
        <f>L18-MIN(('Geometry'!$G$13*COS(RADIANS(I18))+'Geometry'!$F$13*SIN(RADIANS(I18))),('Geometry'!$G$14*COS(RADIANS(I18))+'Geometry'!$F$14*SIN(RADIANS(I18))),('Geometry'!$G$15*COS(RADIANS(I18))+'Geometry'!$F$15*SIN(RADIANS(I18))),('Geometry'!$G$16*COS(RADIANS(I18))+'Geometry'!$F$16*SIN(RADIANS(I18))),('Geometry'!$G$17*COS(RADIANS(I18))+'Geometry'!$F$17*SIN(RADIANS(I18))),('Geometry'!$G$18*COS(RADIANS(I18))+'Geometry'!$F$18*SIN(RADIANS(I18))),('Geometry'!$G$19*COS(RADIANS(I18))+'Geometry'!$F$19*SIN(RADIANS(I18))),('Geometry'!$G$20*COS(RADIANS(I18))+'Geometry'!$F$20*SIN(RADIANS(I18))))</f>
        <v>1372.7822990482728</v>
      </c>
      <c r="O18" s="15">
        <f>C_ecu</f>
        <v>0.0032999999999999995</v>
      </c>
      <c r="P18" s="15">
        <f>-K18*S_1_fy/S_1_Es</f>
        <v>-0.001</v>
      </c>
      <c r="Q18" s="20">
        <f>IF(ABS(L18-M18)&lt;0.000000000001,0,(O18-P18)/(L18-M18))</f>
        <v>0.0000033651627389585594</v>
      </c>
      <c r="R18" s="15">
        <f>O18-Q18*L18</f>
        <v>0.0009901820792704427</v>
      </c>
      <c r="S18" s="20">
        <f>Q18*COS(RADIANS(I18))</f>
        <v>0.0000033140383554741867</v>
      </c>
      <c r="T18" s="20">
        <f>Q18*SIN(RADIANS(I18))</f>
        <v>5.843543771728099e-7</v>
      </c>
      <c r="U18" s="10">
        <f>SUMPRODUCT(C_alpha*C_fck*(1-(1-((($R18+$S18*Mesh_Y+$T18*Mesh_X))*(($R18+$S18*Mesh_Y+$T18*Mesh_X)&gt;0)*(($R18+$S18*Mesh_Y+$T18*Mesh_X)&lt;C_eco)+C_eco*(($R18+$S18*Mesh_Y+$T18*Mesh_X)&gt;=C_eco))/C_eco)^C_n)*((($R18+$S18*Mesh_Y+$T18*Mesh_X))&gt;0),Mesh_A)/1000</f>
        <v>16026.197417817983</v>
      </c>
      <c r="V18" s="10">
        <f>SUMPRODUCT(C_alpha*C_fck*(1-(1-((($R18+$S18*Mesh_Y+$T18*Mesh_X))*(($R18+$S18*Mesh_Y+$T18*Mesh_X)&gt;0)*(($R18+$S18*Mesh_Y+$T18*Mesh_X)&lt;C_eco)+C_eco*(($R18+$S18*Mesh_Y+$T18*Mesh_X)&gt;=C_eco))/C_eco)^C_n)*((($R18+$S18*Mesh_Y+$T18*Mesh_X))&gt;0),Mesh_A,Mesh_Y)/1000000</f>
        <v>4560.081892952906</v>
      </c>
      <c r="W18" s="10">
        <f>SUMPRODUCT(C_alpha*C_fck*(1-(1-((($R18+$S18*Mesh_Y+$T18*Mesh_X))*(($R18+$S18*Mesh_Y+$T18*Mesh_X)&gt;0)*(($R18+$S18*Mesh_Y+$T18*Mesh_X)&lt;C_eco)+C_eco*(($R18+$S18*Mesh_Y+$T18*Mesh_X)&gt;=C_eco))/C_eco)^C_n)*((($R18+$S18*Mesh_Y+$T18*Mesh_X))&gt;0),Mesh_A,Mesh_X)/1000000</f>
        <v>781.8352728828056</v>
      </c>
      <c r="X18" s="10">
        <f>(((MAX(MIN(S_1_Es*($R18+$S18*'Geometry'!$G$40+$T18*'Geometry'!$F$40),S_1_fy),-S_1_fy))-(IF(($R18+$S18*'Geometry'!$G$40+$T18*'Geometry'!$F$40)&gt;0,IF(($R18+$S18*'Geometry'!$G$40+$T18*'Geometry'!$F$40)&lt;=C_eco,C_alpha*C_fck*(1-(1-($R18+$S18*'Geometry'!$G$40+$T18*'Geometry'!$F$40)/C_eco)^C_n),C_alpha*C_fck),0)))*'Geometry'!$H$40+((MAX(MIN(S_1_Es*($R18+$S18*'Geometry'!$G$41+$T18*'Geometry'!$F$41),S_1_fy),-S_1_fy))-(IF(($R18+$S18*'Geometry'!$G$41+$T18*'Geometry'!$F$41)&gt;0,IF(($R18+$S18*'Geometry'!$G$41+$T18*'Geometry'!$F$41)&lt;=C_eco,C_alpha*C_fck*(1-(1-($R18+$S18*'Geometry'!$G$41+$T18*'Geometry'!$F$41)/C_eco)^C_n),C_alpha*C_fck),0)))*'Geometry'!$H$41+((MAX(MIN(S_1_Es*($R18+$S18*'Geometry'!$G$42+$T18*'Geometry'!$F$42),S_1_fy),-S_1_fy))-(IF(($R18+$S18*'Geometry'!$G$42+$T18*'Geometry'!$F$42)&gt;0,IF(($R18+$S18*'Geometry'!$G$42+$T18*'Geometry'!$F$42)&lt;=C_eco,C_alpha*C_fck*(1-(1-($R18+$S18*'Geometry'!$G$42+$T18*'Geometry'!$F$42)/C_eco)^C_n),C_alpha*C_fck),0)))*'Geometry'!$H$42+((MAX(MIN(S_1_Es*($R18+$S18*'Geometry'!$G$43+$T18*'Geometry'!$F$43),S_1_fy),-S_1_fy))-(IF(($R18+$S18*'Geometry'!$G$43+$T18*'Geometry'!$F$43)&gt;0,IF(($R18+$S18*'Geometry'!$G$43+$T18*'Geometry'!$F$43)&lt;=C_eco,C_alpha*C_fck*(1-(1-($R18+$S18*'Geometry'!$G$43+$T18*'Geometry'!$F$43)/C_eco)^C_n),C_alpha*C_fck),0)))*'Geometry'!$H$43+((MAX(MIN(S_1_Es*($R18+$S18*'Geometry'!$G$44+$T18*'Geometry'!$F$44),S_1_fy),-S_1_fy))-(IF(($R18+$S18*'Geometry'!$G$44+$T18*'Geometry'!$F$44)&gt;0,IF(($R18+$S18*'Geometry'!$G$44+$T18*'Geometry'!$F$44)&lt;=C_eco,C_alpha*C_fck*(1-(1-($R18+$S18*'Geometry'!$G$44+$T18*'Geometry'!$F$44)/C_eco)^C_n),C_alpha*C_fck),0)))*'Geometry'!$H$44+((MAX(MIN(S_1_Es*($R18+$S18*'Geometry'!$G$45+$T18*'Geometry'!$F$45),S_1_fy),-S_1_fy))-(IF(($R18+$S18*'Geometry'!$G$45+$T18*'Geometry'!$F$45)&gt;0,IF(($R18+$S18*'Geometry'!$G$45+$T18*'Geometry'!$F$45)&lt;=C_eco,C_alpha*C_fck*(1-(1-($R18+$S18*'Geometry'!$G$45+$T18*'Geometry'!$F$45)/C_eco)^C_n),C_alpha*C_fck),0)))*'Geometry'!$H$45+((MAX(MIN(S_1_Es*($R18+$S18*'Geometry'!$G$46+$T18*'Geometry'!$F$46),S_1_fy),-S_1_fy))-(IF(($R18+$S18*'Geometry'!$G$46+$T18*'Geometry'!$F$46)&gt;0,IF(($R18+$S18*'Geometry'!$G$46+$T18*'Geometry'!$F$46)&lt;=C_eco,C_alpha*C_fck*(1-(1-($R18+$S18*'Geometry'!$G$46+$T18*'Geometry'!$F$46)/C_eco)^C_n),C_alpha*C_fck),0)))*'Geometry'!$H$46+((MAX(MIN(S_1_Es*($R18+$S18*'Geometry'!$G$47+$T18*'Geometry'!$F$47),S_1_fy),-S_1_fy))-(IF(($R18+$S18*'Geometry'!$G$47+$T18*'Geometry'!$F$47)&gt;0,IF(($R18+$S18*'Geometry'!$G$47+$T18*'Geometry'!$F$47)&lt;=C_eco,C_alpha*C_fck*(1-(1-($R18+$S18*'Geometry'!$G$47+$T18*'Geometry'!$F$47)/C_eco)^C_n),C_alpha*C_fck),0)))*'Geometry'!$H$47+((MAX(MIN(S_1_Es*($R18+$S18*'Geometry'!$G$48+$T18*'Geometry'!$F$48),S_1_fy),-S_1_fy))-(IF(($R18+$S18*'Geometry'!$G$48+$T18*'Geometry'!$F$48)&gt;0,IF(($R18+$S18*'Geometry'!$G$48+$T18*'Geometry'!$F$48)&lt;=C_eco,C_alpha*C_fck*(1-(1-($R18+$S18*'Geometry'!$G$48+$T18*'Geometry'!$F$48)/C_eco)^C_n),C_alpha*C_fck),0)))*'Geometry'!$H$48+((MAX(MIN(S_1_Es*($R18+$S18*'Geometry'!$G$49+$T18*'Geometry'!$F$49),S_1_fy),-S_1_fy))-(IF(($R18+$S18*'Geometry'!$G$49+$T18*'Geometry'!$F$49)&gt;0,IF(($R18+$S18*'Geometry'!$G$49+$T18*'Geometry'!$F$49)&lt;=C_eco,C_alpha*C_fck*(1-(1-($R18+$S18*'Geometry'!$G$49+$T18*'Geometry'!$F$49)/C_eco)^C_n),C_alpha*C_fck),0)))*'Geometry'!$H$49+((MAX(MIN(S_1_Es*($R18+$S18*'Geometry'!$G$50+$T18*'Geometry'!$F$50),S_1_fy),-S_1_fy))-(IF(($R18+$S18*'Geometry'!$G$50+$T18*'Geometry'!$F$50)&gt;0,IF(($R18+$S18*'Geometry'!$G$50+$T18*'Geometry'!$F$50)&lt;=C_eco,C_alpha*C_fck*(1-(1-($R18+$S18*'Geometry'!$G$50+$T18*'Geometry'!$F$50)/C_eco)^C_n),C_alpha*C_fck),0)))*'Geometry'!$H$50+((MAX(MIN(S_1_Es*($R18+$S18*'Geometry'!$G$51+$T18*'Geometry'!$F$51),S_1_fy),-S_1_fy))-(IF(($R18+$S18*'Geometry'!$G$51+$T18*'Geometry'!$F$51)&gt;0,IF(($R18+$S18*'Geometry'!$G$51+$T18*'Geometry'!$F$51)&lt;=C_eco,C_alpha*C_fck*(1-(1-($R18+$S18*'Geometry'!$G$51+$T18*'Geometry'!$F$51)/C_eco)^C_n),C_alpha*C_fck),0)))*'Geometry'!$H$51+((MAX(MIN(S_1_Es*($R18+$S18*'Geometry'!$G$52+$T18*'Geometry'!$F$52),S_1_fy),-S_1_fy))-(IF(($R18+$S18*'Geometry'!$G$52+$T18*'Geometry'!$F$52)&gt;0,IF(($R18+$S18*'Geometry'!$G$52+$T18*'Geometry'!$F$52)&lt;=C_eco,C_alpha*C_fck*(1-(1-($R18+$S18*'Geometry'!$G$52+$T18*'Geometry'!$F$52)/C_eco)^C_n),C_alpha*C_fck),0)))*'Geometry'!$H$52+((MAX(MIN(S_1_Es*($R18+$S18*'Geometry'!$G$53+$T18*'Geometry'!$F$53),S_1_fy),-S_1_fy))-(IF(($R18+$S18*'Geometry'!$G$53+$T18*'Geometry'!$F$53)&gt;0,IF(($R18+$S18*'Geometry'!$G$53+$T18*'Geometry'!$F$53)&lt;=C_eco,C_alpha*C_fck*(1-(1-($R18+$S18*'Geometry'!$G$53+$T18*'Geometry'!$F$53)/C_eco)^C_n),C_alpha*C_fck),0)))*'Geometry'!$H$53+((MAX(MIN(S_1_Es*($R18+$S18*'Geometry'!$G$54+$T18*'Geometry'!$F$54),S_1_fy),-S_1_fy))-(IF(($R18+$S18*'Geometry'!$G$54+$T18*'Geometry'!$F$54)&gt;0,IF(($R18+$S18*'Geometry'!$G$54+$T18*'Geometry'!$F$54)&lt;=C_eco,C_alpha*C_fck*(1-(1-($R18+$S18*'Geometry'!$G$54+$T18*'Geometry'!$F$54)/C_eco)^C_n),C_alpha*C_fck),0)))*'Geometry'!$H$54+((MAX(MIN(S_1_Es*($R18+$S18*'Geometry'!$G$55+$T18*'Geometry'!$F$55),S_1_fy),-S_1_fy))-(IF(($R18+$S18*'Geometry'!$G$55+$T18*'Geometry'!$F$55)&gt;0,IF(($R18+$S18*'Geometry'!$G$55+$T18*'Geometry'!$F$55)&lt;=C_eco,C_alpha*C_fck*(1-(1-($R18+$S18*'Geometry'!$G$55+$T18*'Geometry'!$F$55)/C_eco)^C_n),C_alpha*C_fck),0)))*'Geometry'!$H$55+((MAX(MIN(S_1_Es*($R18+$S18*'Geometry'!$G$56+$T18*'Geometry'!$F$56),S_1_fy),-S_1_fy))-(IF(($R18+$S18*'Geometry'!$G$56+$T18*'Geometry'!$F$56)&gt;0,IF(($R18+$S18*'Geometry'!$G$56+$T18*'Geometry'!$F$56)&lt;=C_eco,C_alpha*C_fck*(1-(1-($R18+$S18*'Geometry'!$G$56+$T18*'Geometry'!$F$56)/C_eco)^C_n),C_alpha*C_fck),0)))*'Geometry'!$H$56+((MAX(MIN(S_1_Es*($R18+$S18*'Geometry'!$G$57+$T18*'Geometry'!$F$57),S_1_fy),-S_1_fy))-(IF(($R18+$S18*'Geometry'!$G$57+$T18*'Geometry'!$F$57)&gt;0,IF(($R18+$S18*'Geometry'!$G$57+$T18*'Geometry'!$F$57)&lt;=C_eco,C_alpha*C_fck*(1-(1-($R18+$S18*'Geometry'!$G$57+$T18*'Geometry'!$F$57)/C_eco)^C_n),C_alpha*C_fck),0)))*'Geometry'!$H$57)/1000</f>
        <v>1999.404732211867</v>
      </c>
      <c r="Y18" s="10">
        <f>(((MAX(MIN(S_1_Es*($R18+$S18*'Geometry'!$G$40+$T18*'Geometry'!$F$40),S_1_fy),-S_1_fy))-(IF(($R18+$S18*'Geometry'!$G$40+$T18*'Geometry'!$F$40)&gt;0,IF(($R18+$S18*'Geometry'!$G$40+$T18*'Geometry'!$F$40)&lt;=C_eco,C_alpha*C_fck*(1-(1-($R18+$S18*'Geometry'!$G$40+$T18*'Geometry'!$F$40)/C_eco)^C_n),C_alpha*C_fck),0)))*'Geometry'!$H$40*'Geometry'!$G$40+((MAX(MIN(S_1_Es*($R18+$S18*'Geometry'!$G$41+$T18*'Geometry'!$F$41),S_1_fy),-S_1_fy))-(IF(($R18+$S18*'Geometry'!$G$41+$T18*'Geometry'!$F$41)&gt;0,IF(($R18+$S18*'Geometry'!$G$41+$T18*'Geometry'!$F$41)&lt;=C_eco,C_alpha*C_fck*(1-(1-($R18+$S18*'Geometry'!$G$41+$T18*'Geometry'!$F$41)/C_eco)^C_n),C_alpha*C_fck),0)))*'Geometry'!$H$41*'Geometry'!$G$41+((MAX(MIN(S_1_Es*($R18+$S18*'Geometry'!$G$42+$T18*'Geometry'!$F$42),S_1_fy),-S_1_fy))-(IF(($R18+$S18*'Geometry'!$G$42+$T18*'Geometry'!$F$42)&gt;0,IF(($R18+$S18*'Geometry'!$G$42+$T18*'Geometry'!$F$42)&lt;=C_eco,C_alpha*C_fck*(1-(1-($R18+$S18*'Geometry'!$G$42+$T18*'Geometry'!$F$42)/C_eco)^C_n),C_alpha*C_fck),0)))*'Geometry'!$H$42*'Geometry'!$G$42+((MAX(MIN(S_1_Es*($R18+$S18*'Geometry'!$G$43+$T18*'Geometry'!$F$43),S_1_fy),-S_1_fy))-(IF(($R18+$S18*'Geometry'!$G$43+$T18*'Geometry'!$F$43)&gt;0,IF(($R18+$S18*'Geometry'!$G$43+$T18*'Geometry'!$F$43)&lt;=C_eco,C_alpha*C_fck*(1-(1-($R18+$S18*'Geometry'!$G$43+$T18*'Geometry'!$F$43)/C_eco)^C_n),C_alpha*C_fck),0)))*'Geometry'!$H$43*'Geometry'!$G$43+((MAX(MIN(S_1_Es*($R18+$S18*'Geometry'!$G$44+$T18*'Geometry'!$F$44),S_1_fy),-S_1_fy))-(IF(($R18+$S18*'Geometry'!$G$44+$T18*'Geometry'!$F$44)&gt;0,IF(($R18+$S18*'Geometry'!$G$44+$T18*'Geometry'!$F$44)&lt;=C_eco,C_alpha*C_fck*(1-(1-($R18+$S18*'Geometry'!$G$44+$T18*'Geometry'!$F$44)/C_eco)^C_n),C_alpha*C_fck),0)))*'Geometry'!$H$44*'Geometry'!$G$44+((MAX(MIN(S_1_Es*($R18+$S18*'Geometry'!$G$45+$T18*'Geometry'!$F$45),S_1_fy),-S_1_fy))-(IF(($R18+$S18*'Geometry'!$G$45+$T18*'Geometry'!$F$45)&gt;0,IF(($R18+$S18*'Geometry'!$G$45+$T18*'Geometry'!$F$45)&lt;=C_eco,C_alpha*C_fck*(1-(1-($R18+$S18*'Geometry'!$G$45+$T18*'Geometry'!$F$45)/C_eco)^C_n),C_alpha*C_fck),0)))*'Geometry'!$H$45*'Geometry'!$G$45+((MAX(MIN(S_1_Es*($R18+$S18*'Geometry'!$G$46+$T18*'Geometry'!$F$46),S_1_fy),-S_1_fy))-(IF(($R18+$S18*'Geometry'!$G$46+$T18*'Geometry'!$F$46)&gt;0,IF(($R18+$S18*'Geometry'!$G$46+$T18*'Geometry'!$F$46)&lt;=C_eco,C_alpha*C_fck*(1-(1-($R18+$S18*'Geometry'!$G$46+$T18*'Geometry'!$F$46)/C_eco)^C_n),C_alpha*C_fck),0)))*'Geometry'!$H$46*'Geometry'!$G$46+((MAX(MIN(S_1_Es*($R18+$S18*'Geometry'!$G$47+$T18*'Geometry'!$F$47),S_1_fy),-S_1_fy))-(IF(($R18+$S18*'Geometry'!$G$47+$T18*'Geometry'!$F$47)&gt;0,IF(($R18+$S18*'Geometry'!$G$47+$T18*'Geometry'!$F$47)&lt;=C_eco,C_alpha*C_fck*(1-(1-($R18+$S18*'Geometry'!$G$47+$T18*'Geometry'!$F$47)/C_eco)^C_n),C_alpha*C_fck),0)))*'Geometry'!$H$47*'Geometry'!$G$47+((MAX(MIN(S_1_Es*($R18+$S18*'Geometry'!$G$48+$T18*'Geometry'!$F$48),S_1_fy),-S_1_fy))-(IF(($R18+$S18*'Geometry'!$G$48+$T18*'Geometry'!$F$48)&gt;0,IF(($R18+$S18*'Geometry'!$G$48+$T18*'Geometry'!$F$48)&lt;=C_eco,C_alpha*C_fck*(1-(1-($R18+$S18*'Geometry'!$G$48+$T18*'Geometry'!$F$48)/C_eco)^C_n),C_alpha*C_fck),0)))*'Geometry'!$H$48*'Geometry'!$G$48+((MAX(MIN(S_1_Es*($R18+$S18*'Geometry'!$G$49+$T18*'Geometry'!$F$49),S_1_fy),-S_1_fy))-(IF(($R18+$S18*'Geometry'!$G$49+$T18*'Geometry'!$F$49)&gt;0,IF(($R18+$S18*'Geometry'!$G$49+$T18*'Geometry'!$F$49)&lt;=C_eco,C_alpha*C_fck*(1-(1-($R18+$S18*'Geometry'!$G$49+$T18*'Geometry'!$F$49)/C_eco)^C_n),C_alpha*C_fck),0)))*'Geometry'!$H$49*'Geometry'!$G$49+((MAX(MIN(S_1_Es*($R18+$S18*'Geometry'!$G$50+$T18*'Geometry'!$F$50),S_1_fy),-S_1_fy))-(IF(($R18+$S18*'Geometry'!$G$50+$T18*'Geometry'!$F$50)&gt;0,IF(($R18+$S18*'Geometry'!$G$50+$T18*'Geometry'!$F$50)&lt;=C_eco,C_alpha*C_fck*(1-(1-($R18+$S18*'Geometry'!$G$50+$T18*'Geometry'!$F$50)/C_eco)^C_n),C_alpha*C_fck),0)))*'Geometry'!$H$50*'Geometry'!$G$50+((MAX(MIN(S_1_Es*($R18+$S18*'Geometry'!$G$51+$T18*'Geometry'!$F$51),S_1_fy),-S_1_fy))-(IF(($R18+$S18*'Geometry'!$G$51+$T18*'Geometry'!$F$51)&gt;0,IF(($R18+$S18*'Geometry'!$G$51+$T18*'Geometry'!$F$51)&lt;=C_eco,C_alpha*C_fck*(1-(1-($R18+$S18*'Geometry'!$G$51+$T18*'Geometry'!$F$51)/C_eco)^C_n),C_alpha*C_fck),0)))*'Geometry'!$H$51*'Geometry'!$G$51+((MAX(MIN(S_1_Es*($R18+$S18*'Geometry'!$G$52+$T18*'Geometry'!$F$52),S_1_fy),-S_1_fy))-(IF(($R18+$S18*'Geometry'!$G$52+$T18*'Geometry'!$F$52)&gt;0,IF(($R18+$S18*'Geometry'!$G$52+$T18*'Geometry'!$F$52)&lt;=C_eco,C_alpha*C_fck*(1-(1-($R18+$S18*'Geometry'!$G$52+$T18*'Geometry'!$F$52)/C_eco)^C_n),C_alpha*C_fck),0)))*'Geometry'!$H$52*'Geometry'!$G$52+((MAX(MIN(S_1_Es*($R18+$S18*'Geometry'!$G$53+$T18*'Geometry'!$F$53),S_1_fy),-S_1_fy))-(IF(($R18+$S18*'Geometry'!$G$53+$T18*'Geometry'!$F$53)&gt;0,IF(($R18+$S18*'Geometry'!$G$53+$T18*'Geometry'!$F$53)&lt;=C_eco,C_alpha*C_fck*(1-(1-($R18+$S18*'Geometry'!$G$53+$T18*'Geometry'!$F$53)/C_eco)^C_n),C_alpha*C_fck),0)))*'Geometry'!$H$53*'Geometry'!$G$53+((MAX(MIN(S_1_Es*($R18+$S18*'Geometry'!$G$54+$T18*'Geometry'!$F$54),S_1_fy),-S_1_fy))-(IF(($R18+$S18*'Geometry'!$G$54+$T18*'Geometry'!$F$54)&gt;0,IF(($R18+$S18*'Geometry'!$G$54+$T18*'Geometry'!$F$54)&lt;=C_eco,C_alpha*C_fck*(1-(1-($R18+$S18*'Geometry'!$G$54+$T18*'Geometry'!$F$54)/C_eco)^C_n),C_alpha*C_fck),0)))*'Geometry'!$H$54*'Geometry'!$G$54+((MAX(MIN(S_1_Es*($R18+$S18*'Geometry'!$G$55+$T18*'Geometry'!$F$55),S_1_fy),-S_1_fy))-(IF(($R18+$S18*'Geometry'!$G$55+$T18*'Geometry'!$F$55)&gt;0,IF(($R18+$S18*'Geometry'!$G$55+$T18*'Geometry'!$F$55)&lt;=C_eco,C_alpha*C_fck*(1-(1-($R18+$S18*'Geometry'!$G$55+$T18*'Geometry'!$F$55)/C_eco)^C_n),C_alpha*C_fck),0)))*'Geometry'!$H$55*'Geometry'!$G$55+((MAX(MIN(S_1_Es*($R18+$S18*'Geometry'!$G$56+$T18*'Geometry'!$F$56),S_1_fy),-S_1_fy))-(IF(($R18+$S18*'Geometry'!$G$56+$T18*'Geometry'!$F$56)&gt;0,IF(($R18+$S18*'Geometry'!$G$56+$T18*'Geometry'!$F$56)&lt;=C_eco,C_alpha*C_fck*(1-(1-($R18+$S18*'Geometry'!$G$56+$T18*'Geometry'!$F$56)/C_eco)^C_n),C_alpha*C_fck),0)))*'Geometry'!$H$56*'Geometry'!$G$56+((MAX(MIN(S_1_Es*($R18+$S18*'Geometry'!$G$57+$T18*'Geometry'!$F$57),S_1_fy),-S_1_fy))-(IF(($R18+$S18*'Geometry'!$G$57+$T18*'Geometry'!$F$57)&gt;0,IF(($R18+$S18*'Geometry'!$G$57+$T18*'Geometry'!$F$57)&lt;=C_eco,C_alpha*C_fck*(1-(1-($R18+$S18*'Geometry'!$G$57+$T18*'Geometry'!$F$57)/C_eco)^C_n),C_alpha*C_fck),0)))*'Geometry'!$H$57*'Geometry'!$G$57)/1000000</f>
        <v>1308.3438998114466</v>
      </c>
      <c r="Z18" s="10">
        <f>(((MAX(MIN(S_1_Es*($R18+$S18*'Geometry'!$G$40+$T18*'Geometry'!$F$40),S_1_fy),-S_1_fy))-(IF(($R18+$S18*'Geometry'!$G$40+$T18*'Geometry'!$F$40)&gt;0,IF(($R18+$S18*'Geometry'!$G$40+$T18*'Geometry'!$F$40)&lt;=C_eco,C_alpha*C_fck*(1-(1-($R18+$S18*'Geometry'!$G$40+$T18*'Geometry'!$F$40)/C_eco)^C_n),C_alpha*C_fck),0)))*'Geometry'!$H$40*'Geometry'!$F$40+((MAX(MIN(S_1_Es*($R18+$S18*'Geometry'!$G$41+$T18*'Geometry'!$F$41),S_1_fy),-S_1_fy))-(IF(($R18+$S18*'Geometry'!$G$41+$T18*'Geometry'!$F$41)&gt;0,IF(($R18+$S18*'Geometry'!$G$41+$T18*'Geometry'!$F$41)&lt;=C_eco,C_alpha*C_fck*(1-(1-($R18+$S18*'Geometry'!$G$41+$T18*'Geometry'!$F$41)/C_eco)^C_n),C_alpha*C_fck),0)))*'Geometry'!$H$41*'Geometry'!$F$41+((MAX(MIN(S_1_Es*($R18+$S18*'Geometry'!$G$42+$T18*'Geometry'!$F$42),S_1_fy),-S_1_fy))-(IF(($R18+$S18*'Geometry'!$G$42+$T18*'Geometry'!$F$42)&gt;0,IF(($R18+$S18*'Geometry'!$G$42+$T18*'Geometry'!$F$42)&lt;=C_eco,C_alpha*C_fck*(1-(1-($R18+$S18*'Geometry'!$G$42+$T18*'Geometry'!$F$42)/C_eco)^C_n),C_alpha*C_fck),0)))*'Geometry'!$H$42*'Geometry'!$F$42+((MAX(MIN(S_1_Es*($R18+$S18*'Geometry'!$G$43+$T18*'Geometry'!$F$43),S_1_fy),-S_1_fy))-(IF(($R18+$S18*'Geometry'!$G$43+$T18*'Geometry'!$F$43)&gt;0,IF(($R18+$S18*'Geometry'!$G$43+$T18*'Geometry'!$F$43)&lt;=C_eco,C_alpha*C_fck*(1-(1-($R18+$S18*'Geometry'!$G$43+$T18*'Geometry'!$F$43)/C_eco)^C_n),C_alpha*C_fck),0)))*'Geometry'!$H$43*'Geometry'!$F$43+((MAX(MIN(S_1_Es*($R18+$S18*'Geometry'!$G$44+$T18*'Geometry'!$F$44),S_1_fy),-S_1_fy))-(IF(($R18+$S18*'Geometry'!$G$44+$T18*'Geometry'!$F$44)&gt;0,IF(($R18+$S18*'Geometry'!$G$44+$T18*'Geometry'!$F$44)&lt;=C_eco,C_alpha*C_fck*(1-(1-($R18+$S18*'Geometry'!$G$44+$T18*'Geometry'!$F$44)/C_eco)^C_n),C_alpha*C_fck),0)))*'Geometry'!$H$44*'Geometry'!$F$44+((MAX(MIN(S_1_Es*($R18+$S18*'Geometry'!$G$45+$T18*'Geometry'!$F$45),S_1_fy),-S_1_fy))-(IF(($R18+$S18*'Geometry'!$G$45+$T18*'Geometry'!$F$45)&gt;0,IF(($R18+$S18*'Geometry'!$G$45+$T18*'Geometry'!$F$45)&lt;=C_eco,C_alpha*C_fck*(1-(1-($R18+$S18*'Geometry'!$G$45+$T18*'Geometry'!$F$45)/C_eco)^C_n),C_alpha*C_fck),0)))*'Geometry'!$H$45*'Geometry'!$F$45+((MAX(MIN(S_1_Es*($R18+$S18*'Geometry'!$G$46+$T18*'Geometry'!$F$46),S_1_fy),-S_1_fy))-(IF(($R18+$S18*'Geometry'!$G$46+$T18*'Geometry'!$F$46)&gt;0,IF(($R18+$S18*'Geometry'!$G$46+$T18*'Geometry'!$F$46)&lt;=C_eco,C_alpha*C_fck*(1-(1-($R18+$S18*'Geometry'!$G$46+$T18*'Geometry'!$F$46)/C_eco)^C_n),C_alpha*C_fck),0)))*'Geometry'!$H$46*'Geometry'!$F$46+((MAX(MIN(S_1_Es*($R18+$S18*'Geometry'!$G$47+$T18*'Geometry'!$F$47),S_1_fy),-S_1_fy))-(IF(($R18+$S18*'Geometry'!$G$47+$T18*'Geometry'!$F$47)&gt;0,IF(($R18+$S18*'Geometry'!$G$47+$T18*'Geometry'!$F$47)&lt;=C_eco,C_alpha*C_fck*(1-(1-($R18+$S18*'Geometry'!$G$47+$T18*'Geometry'!$F$47)/C_eco)^C_n),C_alpha*C_fck),0)))*'Geometry'!$H$47*'Geometry'!$F$47+((MAX(MIN(S_1_Es*($R18+$S18*'Geometry'!$G$48+$T18*'Geometry'!$F$48),S_1_fy),-S_1_fy))-(IF(($R18+$S18*'Geometry'!$G$48+$T18*'Geometry'!$F$48)&gt;0,IF(($R18+$S18*'Geometry'!$G$48+$T18*'Geometry'!$F$48)&lt;=C_eco,C_alpha*C_fck*(1-(1-($R18+$S18*'Geometry'!$G$48+$T18*'Geometry'!$F$48)/C_eco)^C_n),C_alpha*C_fck),0)))*'Geometry'!$H$48*'Geometry'!$F$48+((MAX(MIN(S_1_Es*($R18+$S18*'Geometry'!$G$49+$T18*'Geometry'!$F$49),S_1_fy),-S_1_fy))-(IF(($R18+$S18*'Geometry'!$G$49+$T18*'Geometry'!$F$49)&gt;0,IF(($R18+$S18*'Geometry'!$G$49+$T18*'Geometry'!$F$49)&lt;=C_eco,C_alpha*C_fck*(1-(1-($R18+$S18*'Geometry'!$G$49+$T18*'Geometry'!$F$49)/C_eco)^C_n),C_alpha*C_fck),0)))*'Geometry'!$H$49*'Geometry'!$F$49+((MAX(MIN(S_1_Es*($R18+$S18*'Geometry'!$G$50+$T18*'Geometry'!$F$50),S_1_fy),-S_1_fy))-(IF(($R18+$S18*'Geometry'!$G$50+$T18*'Geometry'!$F$50)&gt;0,IF(($R18+$S18*'Geometry'!$G$50+$T18*'Geometry'!$F$50)&lt;=C_eco,C_alpha*C_fck*(1-(1-($R18+$S18*'Geometry'!$G$50+$T18*'Geometry'!$F$50)/C_eco)^C_n),C_alpha*C_fck),0)))*'Geometry'!$H$50*'Geometry'!$F$50+((MAX(MIN(S_1_Es*($R18+$S18*'Geometry'!$G$51+$T18*'Geometry'!$F$51),S_1_fy),-S_1_fy))-(IF(($R18+$S18*'Geometry'!$G$51+$T18*'Geometry'!$F$51)&gt;0,IF(($R18+$S18*'Geometry'!$G$51+$T18*'Geometry'!$F$51)&lt;=C_eco,C_alpha*C_fck*(1-(1-($R18+$S18*'Geometry'!$G$51+$T18*'Geometry'!$F$51)/C_eco)^C_n),C_alpha*C_fck),0)))*'Geometry'!$H$51*'Geometry'!$F$51+((MAX(MIN(S_1_Es*($R18+$S18*'Geometry'!$G$52+$T18*'Geometry'!$F$52),S_1_fy),-S_1_fy))-(IF(($R18+$S18*'Geometry'!$G$52+$T18*'Geometry'!$F$52)&gt;0,IF(($R18+$S18*'Geometry'!$G$52+$T18*'Geometry'!$F$52)&lt;=C_eco,C_alpha*C_fck*(1-(1-($R18+$S18*'Geometry'!$G$52+$T18*'Geometry'!$F$52)/C_eco)^C_n),C_alpha*C_fck),0)))*'Geometry'!$H$52*'Geometry'!$F$52+((MAX(MIN(S_1_Es*($R18+$S18*'Geometry'!$G$53+$T18*'Geometry'!$F$53),S_1_fy),-S_1_fy))-(IF(($R18+$S18*'Geometry'!$G$53+$T18*'Geometry'!$F$53)&gt;0,IF(($R18+$S18*'Geometry'!$G$53+$T18*'Geometry'!$F$53)&lt;=C_eco,C_alpha*C_fck*(1-(1-($R18+$S18*'Geometry'!$G$53+$T18*'Geometry'!$F$53)/C_eco)^C_n),C_alpha*C_fck),0)))*'Geometry'!$H$53*'Geometry'!$F$53+((MAX(MIN(S_1_Es*($R18+$S18*'Geometry'!$G$54+$T18*'Geometry'!$F$54),S_1_fy),-S_1_fy))-(IF(($R18+$S18*'Geometry'!$G$54+$T18*'Geometry'!$F$54)&gt;0,IF(($R18+$S18*'Geometry'!$G$54+$T18*'Geometry'!$F$54)&lt;=C_eco,C_alpha*C_fck*(1-(1-($R18+$S18*'Geometry'!$G$54+$T18*'Geometry'!$F$54)/C_eco)^C_n),C_alpha*C_fck),0)))*'Geometry'!$H$54*'Geometry'!$F$54+((MAX(MIN(S_1_Es*($R18+$S18*'Geometry'!$G$55+$T18*'Geometry'!$F$55),S_1_fy),-S_1_fy))-(IF(($R18+$S18*'Geometry'!$G$55+$T18*'Geometry'!$F$55)&gt;0,IF(($R18+$S18*'Geometry'!$G$55+$T18*'Geometry'!$F$55)&lt;=C_eco,C_alpha*C_fck*(1-(1-($R18+$S18*'Geometry'!$G$55+$T18*'Geometry'!$F$55)/C_eco)^C_n),C_alpha*C_fck),0)))*'Geometry'!$H$55*'Geometry'!$F$55+((MAX(MIN(S_1_Es*($R18+$S18*'Geometry'!$G$56+$T18*'Geometry'!$F$56),S_1_fy),-S_1_fy))-(IF(($R18+$S18*'Geometry'!$G$56+$T18*'Geometry'!$F$56)&gt;0,IF(($R18+$S18*'Geometry'!$G$56+$T18*'Geometry'!$F$56)&lt;=C_eco,C_alpha*C_fck*(1-(1-($R18+$S18*'Geometry'!$G$56+$T18*'Geometry'!$F$56)/C_eco)^C_n),C_alpha*C_fck),0)))*'Geometry'!$H$56*'Geometry'!$F$56+((MAX(MIN(S_1_Es*($R18+$S18*'Geometry'!$G$57+$T18*'Geometry'!$F$57),S_1_fy),-S_1_fy))-(IF(($R18+$S18*'Geometry'!$G$57+$T18*'Geometry'!$F$57)&gt;0,IF(($R18+$S18*'Geometry'!$G$57+$T18*'Geometry'!$F$57)&lt;=C_eco,C_alpha*C_fck*(1-(1-($R18+$S18*'Geometry'!$G$57+$T18*'Geometry'!$F$57)/C_eco)^C_n),C_alpha*C_fck),0)))*'Geometry'!$H$57*'Geometry'!$F$57)/1000000</f>
        <v>326.8090328031824</v>
      </c>
      <c r="AA18" s="10">
        <f>U18+X18</f>
        <v>18025.60215002985</v>
      </c>
      <c r="AB18" s="10">
        <f>V18+Y18</f>
        <v>5868.425792764353</v>
      </c>
      <c r="AC18" s="10">
        <f>W18+Z18</f>
        <v>1108.644305685988</v>
      </c>
      <c r="AD18" s="7">
        <v>0.65</v>
      </c>
      <c r="AE18" s="7">
        <v>0.6499999999999999</v>
      </c>
      <c r="AF18" s="10">
        <f>AA18*AD18</f>
        <v>11716.641397519403</v>
      </c>
      <c r="AG18" s="10">
        <f>AB18*AE18</f>
        <v>3814.4767652968294</v>
      </c>
      <c r="AH18" s="10">
        <f>AC18*AE18</f>
        <v>720.6187986958922</v>
      </c>
      <c r="AI18" s="7">
        <v>11716.641397519403</v>
      </c>
      <c r="AJ18" s="7">
        <v>3814.4767652968294</v>
      </c>
      <c r="AK18" s="7">
        <v>720.6187986958922</v>
      </c>
      <c r="AL18" s="15">
        <f>AF18-AI18</f>
        <v>0</v>
      </c>
      <c r="AM18" s="15">
        <f>SQRT((AG18-AJ18)^2+(AH18-AK18)^2)</f>
        <v>0</v>
      </c>
      <c r="AN18" s="7" t="s">
        <v>189</v>
      </c>
      <c r="AO18" s="7">
        <v>18025.60215002985</v>
      </c>
      <c r="AP18" s="7">
        <v>5868.425792764353</v>
      </c>
      <c r="AQ18" s="7">
        <v>1108.644305685988</v>
      </c>
      <c r="AR18" s="7">
        <v>16026.197417817983</v>
      </c>
      <c r="AS18" s="7">
        <v>4560.081892952906</v>
      </c>
      <c r="AT18" s="7">
        <v>781.8352728828056</v>
      </c>
      <c r="AU18" s="7">
        <v>1999.404732211867</v>
      </c>
      <c r="AV18" s="7">
        <v>1308.3438998114466</v>
      </c>
      <c r="AW18" s="7">
        <v>326.8090328031824</v>
      </c>
    </row>
    <row r="19" spans="1:49" x14ac:dyDescent="0.25">
      <c r="A19">
        <v>12</v>
      </c>
      <c r="B19" t="s">
        <v>212</v>
      </c>
      <c r="C19" s="21">
        <f>$AF$19</f>
        <v>10983.594794917977</v>
      </c>
      <c r="D19" s="22">
        <f>$AG$19*COS(RADIANS($C$5))+$AH$19*SIN(RADIANS($C$5))</f>
        <v>3996.9507400002003</v>
      </c>
      <c r="G19" s="7" t="s">
        <v>213</v>
      </c>
      <c r="H19" s="7" t="s">
        <v>212</v>
      </c>
      <c r="I19" s="12">
        <v>10</v>
      </c>
      <c r="J19" s="7" t="s">
        <v>205</v>
      </c>
      <c r="K19" s="12">
        <v>0.6249999999999999</v>
      </c>
      <c r="L19" s="10">
        <f>MAX(('Geometry'!$G$13*COS(RADIANS(I19))+'Geometry'!$F$13*SIN(RADIANS(I19))),('Geometry'!$G$14*COS(RADIANS(I19))+'Geometry'!$F$14*SIN(RADIANS(I19))),('Geometry'!$G$15*COS(RADIANS(I19))+'Geometry'!$F$15*SIN(RADIANS(I19))),('Geometry'!$G$16*COS(RADIANS(I19))+'Geometry'!$F$16*SIN(RADIANS(I19))),('Geometry'!$G$17*COS(RADIANS(I19))+'Geometry'!$F$17*SIN(RADIANS(I19))),('Geometry'!$G$18*COS(RADIANS(I19))+'Geometry'!$F$18*SIN(RADIANS(I19))),('Geometry'!$G$19*COS(RADIANS(I19))+'Geometry'!$F$19*SIN(RADIANS(I19))),('Geometry'!$G$20*COS(RADIANS(I19))+'Geometry'!$F$20*SIN(RADIANS(I19))))</f>
        <v>686.3911495241364</v>
      </c>
      <c r="M19" s="10">
        <f>MIN(('Geometry'!$G$40*COS(RADIANS(I19))+'Geometry'!$F$40*SIN(RADIANS(I19))),('Geometry'!$G$41*COS(RADIANS(I19))+'Geometry'!$F$41*SIN(RADIANS(I19))),('Geometry'!$G$42*COS(RADIANS(I19))+'Geometry'!$F$42*SIN(RADIANS(I19))),('Geometry'!$G$43*COS(RADIANS(I19))+'Geometry'!$F$43*SIN(RADIANS(I19))),('Geometry'!$G$44*COS(RADIANS(I19))+'Geometry'!$F$44*SIN(RADIANS(I19))),('Geometry'!$G$45*COS(RADIANS(I19))+'Geometry'!$F$45*SIN(RADIANS(I19))),('Geometry'!$G$46*COS(RADIANS(I19))+'Geometry'!$F$46*SIN(RADIANS(I19))),('Geometry'!$G$47*COS(RADIANS(I19))+'Geometry'!$F$47*SIN(RADIANS(I19))),('Geometry'!$G$48*COS(RADIANS(I19))+'Geometry'!$F$48*SIN(RADIANS(I19))),('Geometry'!$G$49*COS(RADIANS(I19))+'Geometry'!$F$49*SIN(RADIANS(I19))),('Geometry'!$G$50*COS(RADIANS(I19))+'Geometry'!$F$50*SIN(RADIANS(I19))),('Geometry'!$G$51*COS(RADIANS(I19))+'Geometry'!$F$51*SIN(RADIANS(I19))),('Geometry'!$G$52*COS(RADIANS(I19))+'Geometry'!$F$52*SIN(RADIANS(I19))),('Geometry'!$G$53*COS(RADIANS(I19))+'Geometry'!$F$53*SIN(RADIANS(I19))),('Geometry'!$G$54*COS(RADIANS(I19))+'Geometry'!$F$54*SIN(RADIANS(I19))),('Geometry'!$G$55*COS(RADIANS(I19))+'Geometry'!$F$55*SIN(RADIANS(I19))),('Geometry'!$G$56*COS(RADIANS(I19))+'Geometry'!$F$56*SIN(RADIANS(I19))),('Geometry'!$G$57*COS(RADIANS(I19))+'Geometry'!$F$57*SIN(RADIANS(I19))))</f>
        <v>-591.4073801632424</v>
      </c>
      <c r="N19" s="10">
        <f>L19-MIN(('Geometry'!$G$13*COS(RADIANS(I19))+'Geometry'!$F$13*SIN(RADIANS(I19))),('Geometry'!$G$14*COS(RADIANS(I19))+'Geometry'!$F$14*SIN(RADIANS(I19))),('Geometry'!$G$15*COS(RADIANS(I19))+'Geometry'!$F$15*SIN(RADIANS(I19))),('Geometry'!$G$16*COS(RADIANS(I19))+'Geometry'!$F$16*SIN(RADIANS(I19))),('Geometry'!$G$17*COS(RADIANS(I19))+'Geometry'!$F$17*SIN(RADIANS(I19))),('Geometry'!$G$18*COS(RADIANS(I19))+'Geometry'!$F$18*SIN(RADIANS(I19))),('Geometry'!$G$19*COS(RADIANS(I19))+'Geometry'!$F$19*SIN(RADIANS(I19))),('Geometry'!$G$20*COS(RADIANS(I19))+'Geometry'!$F$20*SIN(RADIANS(I19))))</f>
        <v>1372.7822990482728</v>
      </c>
      <c r="O19" s="15">
        <f>C_ecu</f>
        <v>0.0033</v>
      </c>
      <c r="P19" s="15">
        <f>-K19*S_1_fy/S_1_Es</f>
        <v>-0.0012499999999999998</v>
      </c>
      <c r="Q19" s="20">
        <f>IF(ABS(L19-M19)&lt;0.000000000001,0,(O19-P19)/(L19-M19))</f>
        <v>0.0000035608117354096384</v>
      </c>
      <c r="R19" s="15">
        <f>O19-Q19*L19</f>
        <v>0.0008558903396931432</v>
      </c>
      <c r="S19" s="20">
        <f>Q19*COS(RADIANS(I19))</f>
        <v>0.0000035067150040482674</v>
      </c>
      <c r="T19" s="20">
        <f>Q19*SIN(RADIANS(I19))</f>
        <v>6.183284688689035e-7</v>
      </c>
      <c r="U19" s="10">
        <f>SUMPRODUCT(C_alpha*C_fck*(1-(1-((($R19+$S19*Mesh_Y+$T19*Mesh_X))*(($R19+$S19*Mesh_Y+$T19*Mesh_X)&gt;0)*(($R19+$S19*Mesh_Y+$T19*Mesh_X)&lt;C_eco)+C_eco*(($R19+$S19*Mesh_Y+$T19*Mesh_X)&gt;=C_eco))/C_eco)^C_n)*((($R19+$S19*Mesh_Y+$T19*Mesh_X))&gt;0),Mesh_A)/1000</f>
        <v>15242.792572910199</v>
      </c>
      <c r="V19" s="10">
        <f>SUMPRODUCT(C_alpha*C_fck*(1-(1-((($R19+$S19*Mesh_Y+$T19*Mesh_X))*(($R19+$S19*Mesh_Y+$T19*Mesh_X)&gt;0)*(($R19+$S19*Mesh_Y+$T19*Mesh_X)&lt;C_eco)+C_eco*(($R19+$S19*Mesh_Y+$T19*Mesh_X)&gt;=C_eco))/C_eco)^C_n)*((($R19+$S19*Mesh_Y+$T19*Mesh_X))&gt;0),Mesh_A,Mesh_Y)/1000000</f>
        <v>4639.737503866342</v>
      </c>
      <c r="W19" s="10">
        <f>SUMPRODUCT(C_alpha*C_fck*(1-(1-((($R19+$S19*Mesh_Y+$T19*Mesh_X))*(($R19+$S19*Mesh_Y+$T19*Mesh_X)&gt;0)*(($R19+$S19*Mesh_Y+$T19*Mesh_X)&lt;C_eco)+C_eco*(($R19+$S19*Mesh_Y+$T19*Mesh_X)&gt;=C_eco))/C_eco)^C_n)*((($R19+$S19*Mesh_Y+$T19*Mesh_X))&gt;0),Mesh_A,Mesh_X)/1000000</f>
        <v>777.284656615304</v>
      </c>
      <c r="X19" s="10">
        <f>(((MAX(MIN(S_1_Es*($R19+$S19*'Geometry'!$G$40+$T19*'Geometry'!$F$40),S_1_fy),-S_1_fy))-(IF(($R19+$S19*'Geometry'!$G$40+$T19*'Geometry'!$F$40)&gt;0,IF(($R19+$S19*'Geometry'!$G$40+$T19*'Geometry'!$F$40)&lt;=C_eco,C_alpha*C_fck*(1-(1-($R19+$S19*'Geometry'!$G$40+$T19*'Geometry'!$F$40)/C_eco)^C_n),C_alpha*C_fck),0)))*'Geometry'!$H$40+((MAX(MIN(S_1_Es*($R19+$S19*'Geometry'!$G$41+$T19*'Geometry'!$F$41),S_1_fy),-S_1_fy))-(IF(($R19+$S19*'Geometry'!$G$41+$T19*'Geometry'!$F$41)&gt;0,IF(($R19+$S19*'Geometry'!$G$41+$T19*'Geometry'!$F$41)&lt;=C_eco,C_alpha*C_fck*(1-(1-($R19+$S19*'Geometry'!$G$41+$T19*'Geometry'!$F$41)/C_eco)^C_n),C_alpha*C_fck),0)))*'Geometry'!$H$41+((MAX(MIN(S_1_Es*($R19+$S19*'Geometry'!$G$42+$T19*'Geometry'!$F$42),S_1_fy),-S_1_fy))-(IF(($R19+$S19*'Geometry'!$G$42+$T19*'Geometry'!$F$42)&gt;0,IF(($R19+$S19*'Geometry'!$G$42+$T19*'Geometry'!$F$42)&lt;=C_eco,C_alpha*C_fck*(1-(1-($R19+$S19*'Geometry'!$G$42+$T19*'Geometry'!$F$42)/C_eco)^C_n),C_alpha*C_fck),0)))*'Geometry'!$H$42+((MAX(MIN(S_1_Es*($R19+$S19*'Geometry'!$G$43+$T19*'Geometry'!$F$43),S_1_fy),-S_1_fy))-(IF(($R19+$S19*'Geometry'!$G$43+$T19*'Geometry'!$F$43)&gt;0,IF(($R19+$S19*'Geometry'!$G$43+$T19*'Geometry'!$F$43)&lt;=C_eco,C_alpha*C_fck*(1-(1-($R19+$S19*'Geometry'!$G$43+$T19*'Geometry'!$F$43)/C_eco)^C_n),C_alpha*C_fck),0)))*'Geometry'!$H$43+((MAX(MIN(S_1_Es*($R19+$S19*'Geometry'!$G$44+$T19*'Geometry'!$F$44),S_1_fy),-S_1_fy))-(IF(($R19+$S19*'Geometry'!$G$44+$T19*'Geometry'!$F$44)&gt;0,IF(($R19+$S19*'Geometry'!$G$44+$T19*'Geometry'!$F$44)&lt;=C_eco,C_alpha*C_fck*(1-(1-($R19+$S19*'Geometry'!$G$44+$T19*'Geometry'!$F$44)/C_eco)^C_n),C_alpha*C_fck),0)))*'Geometry'!$H$44+((MAX(MIN(S_1_Es*($R19+$S19*'Geometry'!$G$45+$T19*'Geometry'!$F$45),S_1_fy),-S_1_fy))-(IF(($R19+$S19*'Geometry'!$G$45+$T19*'Geometry'!$F$45)&gt;0,IF(($R19+$S19*'Geometry'!$G$45+$T19*'Geometry'!$F$45)&lt;=C_eco,C_alpha*C_fck*(1-(1-($R19+$S19*'Geometry'!$G$45+$T19*'Geometry'!$F$45)/C_eco)^C_n),C_alpha*C_fck),0)))*'Geometry'!$H$45+((MAX(MIN(S_1_Es*($R19+$S19*'Geometry'!$G$46+$T19*'Geometry'!$F$46),S_1_fy),-S_1_fy))-(IF(($R19+$S19*'Geometry'!$G$46+$T19*'Geometry'!$F$46)&gt;0,IF(($R19+$S19*'Geometry'!$G$46+$T19*'Geometry'!$F$46)&lt;=C_eco,C_alpha*C_fck*(1-(1-($R19+$S19*'Geometry'!$G$46+$T19*'Geometry'!$F$46)/C_eco)^C_n),C_alpha*C_fck),0)))*'Geometry'!$H$46+((MAX(MIN(S_1_Es*($R19+$S19*'Geometry'!$G$47+$T19*'Geometry'!$F$47),S_1_fy),-S_1_fy))-(IF(($R19+$S19*'Geometry'!$G$47+$T19*'Geometry'!$F$47)&gt;0,IF(($R19+$S19*'Geometry'!$G$47+$T19*'Geometry'!$F$47)&lt;=C_eco,C_alpha*C_fck*(1-(1-($R19+$S19*'Geometry'!$G$47+$T19*'Geometry'!$F$47)/C_eco)^C_n),C_alpha*C_fck),0)))*'Geometry'!$H$47+((MAX(MIN(S_1_Es*($R19+$S19*'Geometry'!$G$48+$T19*'Geometry'!$F$48),S_1_fy),-S_1_fy))-(IF(($R19+$S19*'Geometry'!$G$48+$T19*'Geometry'!$F$48)&gt;0,IF(($R19+$S19*'Geometry'!$G$48+$T19*'Geometry'!$F$48)&lt;=C_eco,C_alpha*C_fck*(1-(1-($R19+$S19*'Geometry'!$G$48+$T19*'Geometry'!$F$48)/C_eco)^C_n),C_alpha*C_fck),0)))*'Geometry'!$H$48+((MAX(MIN(S_1_Es*($R19+$S19*'Geometry'!$G$49+$T19*'Geometry'!$F$49),S_1_fy),-S_1_fy))-(IF(($R19+$S19*'Geometry'!$G$49+$T19*'Geometry'!$F$49)&gt;0,IF(($R19+$S19*'Geometry'!$G$49+$T19*'Geometry'!$F$49)&lt;=C_eco,C_alpha*C_fck*(1-(1-($R19+$S19*'Geometry'!$G$49+$T19*'Geometry'!$F$49)/C_eco)^C_n),C_alpha*C_fck),0)))*'Geometry'!$H$49+((MAX(MIN(S_1_Es*($R19+$S19*'Geometry'!$G$50+$T19*'Geometry'!$F$50),S_1_fy),-S_1_fy))-(IF(($R19+$S19*'Geometry'!$G$50+$T19*'Geometry'!$F$50)&gt;0,IF(($R19+$S19*'Geometry'!$G$50+$T19*'Geometry'!$F$50)&lt;=C_eco,C_alpha*C_fck*(1-(1-($R19+$S19*'Geometry'!$G$50+$T19*'Geometry'!$F$50)/C_eco)^C_n),C_alpha*C_fck),0)))*'Geometry'!$H$50+((MAX(MIN(S_1_Es*($R19+$S19*'Geometry'!$G$51+$T19*'Geometry'!$F$51),S_1_fy),-S_1_fy))-(IF(($R19+$S19*'Geometry'!$G$51+$T19*'Geometry'!$F$51)&gt;0,IF(($R19+$S19*'Geometry'!$G$51+$T19*'Geometry'!$F$51)&lt;=C_eco,C_alpha*C_fck*(1-(1-($R19+$S19*'Geometry'!$G$51+$T19*'Geometry'!$F$51)/C_eco)^C_n),C_alpha*C_fck),0)))*'Geometry'!$H$51+((MAX(MIN(S_1_Es*($R19+$S19*'Geometry'!$G$52+$T19*'Geometry'!$F$52),S_1_fy),-S_1_fy))-(IF(($R19+$S19*'Geometry'!$G$52+$T19*'Geometry'!$F$52)&gt;0,IF(($R19+$S19*'Geometry'!$G$52+$T19*'Geometry'!$F$52)&lt;=C_eco,C_alpha*C_fck*(1-(1-($R19+$S19*'Geometry'!$G$52+$T19*'Geometry'!$F$52)/C_eco)^C_n),C_alpha*C_fck),0)))*'Geometry'!$H$52+((MAX(MIN(S_1_Es*($R19+$S19*'Geometry'!$G$53+$T19*'Geometry'!$F$53),S_1_fy),-S_1_fy))-(IF(($R19+$S19*'Geometry'!$G$53+$T19*'Geometry'!$F$53)&gt;0,IF(($R19+$S19*'Geometry'!$G$53+$T19*'Geometry'!$F$53)&lt;=C_eco,C_alpha*C_fck*(1-(1-($R19+$S19*'Geometry'!$G$53+$T19*'Geometry'!$F$53)/C_eco)^C_n),C_alpha*C_fck),0)))*'Geometry'!$H$53+((MAX(MIN(S_1_Es*($R19+$S19*'Geometry'!$G$54+$T19*'Geometry'!$F$54),S_1_fy),-S_1_fy))-(IF(($R19+$S19*'Geometry'!$G$54+$T19*'Geometry'!$F$54)&gt;0,IF(($R19+$S19*'Geometry'!$G$54+$T19*'Geometry'!$F$54)&lt;=C_eco,C_alpha*C_fck*(1-(1-($R19+$S19*'Geometry'!$G$54+$T19*'Geometry'!$F$54)/C_eco)^C_n),C_alpha*C_fck),0)))*'Geometry'!$H$54+((MAX(MIN(S_1_Es*($R19+$S19*'Geometry'!$G$55+$T19*'Geometry'!$F$55),S_1_fy),-S_1_fy))-(IF(($R19+$S19*'Geometry'!$G$55+$T19*'Geometry'!$F$55)&gt;0,IF(($R19+$S19*'Geometry'!$G$55+$T19*'Geometry'!$F$55)&lt;=C_eco,C_alpha*C_fck*(1-(1-($R19+$S19*'Geometry'!$G$55+$T19*'Geometry'!$F$55)/C_eco)^C_n),C_alpha*C_fck),0)))*'Geometry'!$H$55+((MAX(MIN(S_1_Es*($R19+$S19*'Geometry'!$G$56+$T19*'Geometry'!$F$56),S_1_fy),-S_1_fy))-(IF(($R19+$S19*'Geometry'!$G$56+$T19*'Geometry'!$F$56)&gt;0,IF(($R19+$S19*'Geometry'!$G$56+$T19*'Geometry'!$F$56)&lt;=C_eco,C_alpha*C_fck*(1-(1-($R19+$S19*'Geometry'!$G$56+$T19*'Geometry'!$F$56)/C_eco)^C_n),C_alpha*C_fck),0)))*'Geometry'!$H$56+((MAX(MIN(S_1_Es*($R19+$S19*'Geometry'!$G$57+$T19*'Geometry'!$F$57),S_1_fy),-S_1_fy))-(IF(($R19+$S19*'Geometry'!$G$57+$T19*'Geometry'!$F$57)&gt;0,IF(($R19+$S19*'Geometry'!$G$57+$T19*'Geometry'!$F$57)&lt;=C_eco,C_alpha*C_fck*(1-(1-($R19+$S19*'Geometry'!$G$57+$T19*'Geometry'!$F$57)/C_eco)^C_n),C_alpha*C_fck),0)))*'Geometry'!$H$57)/1000</f>
        <v>1655.045573117454</v>
      </c>
      <c r="Y19" s="10">
        <f>(((MAX(MIN(S_1_Es*($R19+$S19*'Geometry'!$G$40+$T19*'Geometry'!$F$40),S_1_fy),-S_1_fy))-(IF(($R19+$S19*'Geometry'!$G$40+$T19*'Geometry'!$F$40)&gt;0,IF(($R19+$S19*'Geometry'!$G$40+$T19*'Geometry'!$F$40)&lt;=C_eco,C_alpha*C_fck*(1-(1-($R19+$S19*'Geometry'!$G$40+$T19*'Geometry'!$F$40)/C_eco)^C_n),C_alpha*C_fck),0)))*'Geometry'!$H$40*'Geometry'!$G$40+((MAX(MIN(S_1_Es*($R19+$S19*'Geometry'!$G$41+$T19*'Geometry'!$F$41),S_1_fy),-S_1_fy))-(IF(($R19+$S19*'Geometry'!$G$41+$T19*'Geometry'!$F$41)&gt;0,IF(($R19+$S19*'Geometry'!$G$41+$T19*'Geometry'!$F$41)&lt;=C_eco,C_alpha*C_fck*(1-(1-($R19+$S19*'Geometry'!$G$41+$T19*'Geometry'!$F$41)/C_eco)^C_n),C_alpha*C_fck),0)))*'Geometry'!$H$41*'Geometry'!$G$41+((MAX(MIN(S_1_Es*($R19+$S19*'Geometry'!$G$42+$T19*'Geometry'!$F$42),S_1_fy),-S_1_fy))-(IF(($R19+$S19*'Geometry'!$G$42+$T19*'Geometry'!$F$42)&gt;0,IF(($R19+$S19*'Geometry'!$G$42+$T19*'Geometry'!$F$42)&lt;=C_eco,C_alpha*C_fck*(1-(1-($R19+$S19*'Geometry'!$G$42+$T19*'Geometry'!$F$42)/C_eco)^C_n),C_alpha*C_fck),0)))*'Geometry'!$H$42*'Geometry'!$G$42+((MAX(MIN(S_1_Es*($R19+$S19*'Geometry'!$G$43+$T19*'Geometry'!$F$43),S_1_fy),-S_1_fy))-(IF(($R19+$S19*'Geometry'!$G$43+$T19*'Geometry'!$F$43)&gt;0,IF(($R19+$S19*'Geometry'!$G$43+$T19*'Geometry'!$F$43)&lt;=C_eco,C_alpha*C_fck*(1-(1-($R19+$S19*'Geometry'!$G$43+$T19*'Geometry'!$F$43)/C_eco)^C_n),C_alpha*C_fck),0)))*'Geometry'!$H$43*'Geometry'!$G$43+((MAX(MIN(S_1_Es*($R19+$S19*'Geometry'!$G$44+$T19*'Geometry'!$F$44),S_1_fy),-S_1_fy))-(IF(($R19+$S19*'Geometry'!$G$44+$T19*'Geometry'!$F$44)&gt;0,IF(($R19+$S19*'Geometry'!$G$44+$T19*'Geometry'!$F$44)&lt;=C_eco,C_alpha*C_fck*(1-(1-($R19+$S19*'Geometry'!$G$44+$T19*'Geometry'!$F$44)/C_eco)^C_n),C_alpha*C_fck),0)))*'Geometry'!$H$44*'Geometry'!$G$44+((MAX(MIN(S_1_Es*($R19+$S19*'Geometry'!$G$45+$T19*'Geometry'!$F$45),S_1_fy),-S_1_fy))-(IF(($R19+$S19*'Geometry'!$G$45+$T19*'Geometry'!$F$45)&gt;0,IF(($R19+$S19*'Geometry'!$G$45+$T19*'Geometry'!$F$45)&lt;=C_eco,C_alpha*C_fck*(1-(1-($R19+$S19*'Geometry'!$G$45+$T19*'Geometry'!$F$45)/C_eco)^C_n),C_alpha*C_fck),0)))*'Geometry'!$H$45*'Geometry'!$G$45+((MAX(MIN(S_1_Es*($R19+$S19*'Geometry'!$G$46+$T19*'Geometry'!$F$46),S_1_fy),-S_1_fy))-(IF(($R19+$S19*'Geometry'!$G$46+$T19*'Geometry'!$F$46)&gt;0,IF(($R19+$S19*'Geometry'!$G$46+$T19*'Geometry'!$F$46)&lt;=C_eco,C_alpha*C_fck*(1-(1-($R19+$S19*'Geometry'!$G$46+$T19*'Geometry'!$F$46)/C_eco)^C_n),C_alpha*C_fck),0)))*'Geometry'!$H$46*'Geometry'!$G$46+((MAX(MIN(S_1_Es*($R19+$S19*'Geometry'!$G$47+$T19*'Geometry'!$F$47),S_1_fy),-S_1_fy))-(IF(($R19+$S19*'Geometry'!$G$47+$T19*'Geometry'!$F$47)&gt;0,IF(($R19+$S19*'Geometry'!$G$47+$T19*'Geometry'!$F$47)&lt;=C_eco,C_alpha*C_fck*(1-(1-($R19+$S19*'Geometry'!$G$47+$T19*'Geometry'!$F$47)/C_eco)^C_n),C_alpha*C_fck),0)))*'Geometry'!$H$47*'Geometry'!$G$47+((MAX(MIN(S_1_Es*($R19+$S19*'Geometry'!$G$48+$T19*'Geometry'!$F$48),S_1_fy),-S_1_fy))-(IF(($R19+$S19*'Geometry'!$G$48+$T19*'Geometry'!$F$48)&gt;0,IF(($R19+$S19*'Geometry'!$G$48+$T19*'Geometry'!$F$48)&lt;=C_eco,C_alpha*C_fck*(1-(1-($R19+$S19*'Geometry'!$G$48+$T19*'Geometry'!$F$48)/C_eco)^C_n),C_alpha*C_fck),0)))*'Geometry'!$H$48*'Geometry'!$G$48+((MAX(MIN(S_1_Es*($R19+$S19*'Geometry'!$G$49+$T19*'Geometry'!$F$49),S_1_fy),-S_1_fy))-(IF(($R19+$S19*'Geometry'!$G$49+$T19*'Geometry'!$F$49)&gt;0,IF(($R19+$S19*'Geometry'!$G$49+$T19*'Geometry'!$F$49)&lt;=C_eco,C_alpha*C_fck*(1-(1-($R19+$S19*'Geometry'!$G$49+$T19*'Geometry'!$F$49)/C_eco)^C_n),C_alpha*C_fck),0)))*'Geometry'!$H$49*'Geometry'!$G$49+((MAX(MIN(S_1_Es*($R19+$S19*'Geometry'!$G$50+$T19*'Geometry'!$F$50),S_1_fy),-S_1_fy))-(IF(($R19+$S19*'Geometry'!$G$50+$T19*'Geometry'!$F$50)&gt;0,IF(($R19+$S19*'Geometry'!$G$50+$T19*'Geometry'!$F$50)&lt;=C_eco,C_alpha*C_fck*(1-(1-($R19+$S19*'Geometry'!$G$50+$T19*'Geometry'!$F$50)/C_eco)^C_n),C_alpha*C_fck),0)))*'Geometry'!$H$50*'Geometry'!$G$50+((MAX(MIN(S_1_Es*($R19+$S19*'Geometry'!$G$51+$T19*'Geometry'!$F$51),S_1_fy),-S_1_fy))-(IF(($R19+$S19*'Geometry'!$G$51+$T19*'Geometry'!$F$51)&gt;0,IF(($R19+$S19*'Geometry'!$G$51+$T19*'Geometry'!$F$51)&lt;=C_eco,C_alpha*C_fck*(1-(1-($R19+$S19*'Geometry'!$G$51+$T19*'Geometry'!$F$51)/C_eco)^C_n),C_alpha*C_fck),0)))*'Geometry'!$H$51*'Geometry'!$G$51+((MAX(MIN(S_1_Es*($R19+$S19*'Geometry'!$G$52+$T19*'Geometry'!$F$52),S_1_fy),-S_1_fy))-(IF(($R19+$S19*'Geometry'!$G$52+$T19*'Geometry'!$F$52)&gt;0,IF(($R19+$S19*'Geometry'!$G$52+$T19*'Geometry'!$F$52)&lt;=C_eco,C_alpha*C_fck*(1-(1-($R19+$S19*'Geometry'!$G$52+$T19*'Geometry'!$F$52)/C_eco)^C_n),C_alpha*C_fck),0)))*'Geometry'!$H$52*'Geometry'!$G$52+((MAX(MIN(S_1_Es*($R19+$S19*'Geometry'!$G$53+$T19*'Geometry'!$F$53),S_1_fy),-S_1_fy))-(IF(($R19+$S19*'Geometry'!$G$53+$T19*'Geometry'!$F$53)&gt;0,IF(($R19+$S19*'Geometry'!$G$53+$T19*'Geometry'!$F$53)&lt;=C_eco,C_alpha*C_fck*(1-(1-($R19+$S19*'Geometry'!$G$53+$T19*'Geometry'!$F$53)/C_eco)^C_n),C_alpha*C_fck),0)))*'Geometry'!$H$53*'Geometry'!$G$53+((MAX(MIN(S_1_Es*($R19+$S19*'Geometry'!$G$54+$T19*'Geometry'!$F$54),S_1_fy),-S_1_fy))-(IF(($R19+$S19*'Geometry'!$G$54+$T19*'Geometry'!$F$54)&gt;0,IF(($R19+$S19*'Geometry'!$G$54+$T19*'Geometry'!$F$54)&lt;=C_eco,C_alpha*C_fck*(1-(1-($R19+$S19*'Geometry'!$G$54+$T19*'Geometry'!$F$54)/C_eco)^C_n),C_alpha*C_fck),0)))*'Geometry'!$H$54*'Geometry'!$G$54+((MAX(MIN(S_1_Es*($R19+$S19*'Geometry'!$G$55+$T19*'Geometry'!$F$55),S_1_fy),-S_1_fy))-(IF(($R19+$S19*'Geometry'!$G$55+$T19*'Geometry'!$F$55)&gt;0,IF(($R19+$S19*'Geometry'!$G$55+$T19*'Geometry'!$F$55)&lt;=C_eco,C_alpha*C_fck*(1-(1-($R19+$S19*'Geometry'!$G$55+$T19*'Geometry'!$F$55)/C_eco)^C_n),C_alpha*C_fck),0)))*'Geometry'!$H$55*'Geometry'!$G$55+((MAX(MIN(S_1_Es*($R19+$S19*'Geometry'!$G$56+$T19*'Geometry'!$F$56),S_1_fy),-S_1_fy))-(IF(($R19+$S19*'Geometry'!$G$56+$T19*'Geometry'!$F$56)&gt;0,IF(($R19+$S19*'Geometry'!$G$56+$T19*'Geometry'!$F$56)&lt;=C_eco,C_alpha*C_fck*(1-(1-($R19+$S19*'Geometry'!$G$56+$T19*'Geometry'!$F$56)/C_eco)^C_n),C_alpha*C_fck),0)))*'Geometry'!$H$56*'Geometry'!$G$56+((MAX(MIN(S_1_Es*($R19+$S19*'Geometry'!$G$57+$T19*'Geometry'!$F$57),S_1_fy),-S_1_fy))-(IF(($R19+$S19*'Geometry'!$G$57+$T19*'Geometry'!$F$57)&gt;0,IF(($R19+$S19*'Geometry'!$G$57+$T19*'Geometry'!$F$57)&lt;=C_eco,C_alpha*C_fck*(1-(1-($R19+$S19*'Geometry'!$G$57+$T19*'Geometry'!$F$57)/C_eco)^C_n),C_alpha*C_fck),0)))*'Geometry'!$H$57*'Geometry'!$G$57)/1000000</f>
        <v>1423.076694933973</v>
      </c>
      <c r="Z19" s="10">
        <f>(((MAX(MIN(S_1_Es*($R19+$S19*'Geometry'!$G$40+$T19*'Geometry'!$F$40),S_1_fy),-S_1_fy))-(IF(($R19+$S19*'Geometry'!$G$40+$T19*'Geometry'!$F$40)&gt;0,IF(($R19+$S19*'Geometry'!$G$40+$T19*'Geometry'!$F$40)&lt;=C_eco,C_alpha*C_fck*(1-(1-($R19+$S19*'Geometry'!$G$40+$T19*'Geometry'!$F$40)/C_eco)^C_n),C_alpha*C_fck),0)))*'Geometry'!$H$40*'Geometry'!$F$40+((MAX(MIN(S_1_Es*($R19+$S19*'Geometry'!$G$41+$T19*'Geometry'!$F$41),S_1_fy),-S_1_fy))-(IF(($R19+$S19*'Geometry'!$G$41+$T19*'Geometry'!$F$41)&gt;0,IF(($R19+$S19*'Geometry'!$G$41+$T19*'Geometry'!$F$41)&lt;=C_eco,C_alpha*C_fck*(1-(1-($R19+$S19*'Geometry'!$G$41+$T19*'Geometry'!$F$41)/C_eco)^C_n),C_alpha*C_fck),0)))*'Geometry'!$H$41*'Geometry'!$F$41+((MAX(MIN(S_1_Es*($R19+$S19*'Geometry'!$G$42+$T19*'Geometry'!$F$42),S_1_fy),-S_1_fy))-(IF(($R19+$S19*'Geometry'!$G$42+$T19*'Geometry'!$F$42)&gt;0,IF(($R19+$S19*'Geometry'!$G$42+$T19*'Geometry'!$F$42)&lt;=C_eco,C_alpha*C_fck*(1-(1-($R19+$S19*'Geometry'!$G$42+$T19*'Geometry'!$F$42)/C_eco)^C_n),C_alpha*C_fck),0)))*'Geometry'!$H$42*'Geometry'!$F$42+((MAX(MIN(S_1_Es*($R19+$S19*'Geometry'!$G$43+$T19*'Geometry'!$F$43),S_1_fy),-S_1_fy))-(IF(($R19+$S19*'Geometry'!$G$43+$T19*'Geometry'!$F$43)&gt;0,IF(($R19+$S19*'Geometry'!$G$43+$T19*'Geometry'!$F$43)&lt;=C_eco,C_alpha*C_fck*(1-(1-($R19+$S19*'Geometry'!$G$43+$T19*'Geometry'!$F$43)/C_eco)^C_n),C_alpha*C_fck),0)))*'Geometry'!$H$43*'Geometry'!$F$43+((MAX(MIN(S_1_Es*($R19+$S19*'Geometry'!$G$44+$T19*'Geometry'!$F$44),S_1_fy),-S_1_fy))-(IF(($R19+$S19*'Geometry'!$G$44+$T19*'Geometry'!$F$44)&gt;0,IF(($R19+$S19*'Geometry'!$G$44+$T19*'Geometry'!$F$44)&lt;=C_eco,C_alpha*C_fck*(1-(1-($R19+$S19*'Geometry'!$G$44+$T19*'Geometry'!$F$44)/C_eco)^C_n),C_alpha*C_fck),0)))*'Geometry'!$H$44*'Geometry'!$F$44+((MAX(MIN(S_1_Es*($R19+$S19*'Geometry'!$G$45+$T19*'Geometry'!$F$45),S_1_fy),-S_1_fy))-(IF(($R19+$S19*'Geometry'!$G$45+$T19*'Geometry'!$F$45)&gt;0,IF(($R19+$S19*'Geometry'!$G$45+$T19*'Geometry'!$F$45)&lt;=C_eco,C_alpha*C_fck*(1-(1-($R19+$S19*'Geometry'!$G$45+$T19*'Geometry'!$F$45)/C_eco)^C_n),C_alpha*C_fck),0)))*'Geometry'!$H$45*'Geometry'!$F$45+((MAX(MIN(S_1_Es*($R19+$S19*'Geometry'!$G$46+$T19*'Geometry'!$F$46),S_1_fy),-S_1_fy))-(IF(($R19+$S19*'Geometry'!$G$46+$T19*'Geometry'!$F$46)&gt;0,IF(($R19+$S19*'Geometry'!$G$46+$T19*'Geometry'!$F$46)&lt;=C_eco,C_alpha*C_fck*(1-(1-($R19+$S19*'Geometry'!$G$46+$T19*'Geometry'!$F$46)/C_eco)^C_n),C_alpha*C_fck),0)))*'Geometry'!$H$46*'Geometry'!$F$46+((MAX(MIN(S_1_Es*($R19+$S19*'Geometry'!$G$47+$T19*'Geometry'!$F$47),S_1_fy),-S_1_fy))-(IF(($R19+$S19*'Geometry'!$G$47+$T19*'Geometry'!$F$47)&gt;0,IF(($R19+$S19*'Geometry'!$G$47+$T19*'Geometry'!$F$47)&lt;=C_eco,C_alpha*C_fck*(1-(1-($R19+$S19*'Geometry'!$G$47+$T19*'Geometry'!$F$47)/C_eco)^C_n),C_alpha*C_fck),0)))*'Geometry'!$H$47*'Geometry'!$F$47+((MAX(MIN(S_1_Es*($R19+$S19*'Geometry'!$G$48+$T19*'Geometry'!$F$48),S_1_fy),-S_1_fy))-(IF(($R19+$S19*'Geometry'!$G$48+$T19*'Geometry'!$F$48)&gt;0,IF(($R19+$S19*'Geometry'!$G$48+$T19*'Geometry'!$F$48)&lt;=C_eco,C_alpha*C_fck*(1-(1-($R19+$S19*'Geometry'!$G$48+$T19*'Geometry'!$F$48)/C_eco)^C_n),C_alpha*C_fck),0)))*'Geometry'!$H$48*'Geometry'!$F$48+((MAX(MIN(S_1_Es*($R19+$S19*'Geometry'!$G$49+$T19*'Geometry'!$F$49),S_1_fy),-S_1_fy))-(IF(($R19+$S19*'Geometry'!$G$49+$T19*'Geometry'!$F$49)&gt;0,IF(($R19+$S19*'Geometry'!$G$49+$T19*'Geometry'!$F$49)&lt;=C_eco,C_alpha*C_fck*(1-(1-($R19+$S19*'Geometry'!$G$49+$T19*'Geometry'!$F$49)/C_eco)^C_n),C_alpha*C_fck),0)))*'Geometry'!$H$49*'Geometry'!$F$49+((MAX(MIN(S_1_Es*($R19+$S19*'Geometry'!$G$50+$T19*'Geometry'!$F$50),S_1_fy),-S_1_fy))-(IF(($R19+$S19*'Geometry'!$G$50+$T19*'Geometry'!$F$50)&gt;0,IF(($R19+$S19*'Geometry'!$G$50+$T19*'Geometry'!$F$50)&lt;=C_eco,C_alpha*C_fck*(1-(1-($R19+$S19*'Geometry'!$G$50+$T19*'Geometry'!$F$50)/C_eco)^C_n),C_alpha*C_fck),0)))*'Geometry'!$H$50*'Geometry'!$F$50+((MAX(MIN(S_1_Es*($R19+$S19*'Geometry'!$G$51+$T19*'Geometry'!$F$51),S_1_fy),-S_1_fy))-(IF(($R19+$S19*'Geometry'!$G$51+$T19*'Geometry'!$F$51)&gt;0,IF(($R19+$S19*'Geometry'!$G$51+$T19*'Geometry'!$F$51)&lt;=C_eco,C_alpha*C_fck*(1-(1-($R19+$S19*'Geometry'!$G$51+$T19*'Geometry'!$F$51)/C_eco)^C_n),C_alpha*C_fck),0)))*'Geometry'!$H$51*'Geometry'!$F$51+((MAX(MIN(S_1_Es*($R19+$S19*'Geometry'!$G$52+$T19*'Geometry'!$F$52),S_1_fy),-S_1_fy))-(IF(($R19+$S19*'Geometry'!$G$52+$T19*'Geometry'!$F$52)&gt;0,IF(($R19+$S19*'Geometry'!$G$52+$T19*'Geometry'!$F$52)&lt;=C_eco,C_alpha*C_fck*(1-(1-($R19+$S19*'Geometry'!$G$52+$T19*'Geometry'!$F$52)/C_eco)^C_n),C_alpha*C_fck),0)))*'Geometry'!$H$52*'Geometry'!$F$52+((MAX(MIN(S_1_Es*($R19+$S19*'Geometry'!$G$53+$T19*'Geometry'!$F$53),S_1_fy),-S_1_fy))-(IF(($R19+$S19*'Geometry'!$G$53+$T19*'Geometry'!$F$53)&gt;0,IF(($R19+$S19*'Geometry'!$G$53+$T19*'Geometry'!$F$53)&lt;=C_eco,C_alpha*C_fck*(1-(1-($R19+$S19*'Geometry'!$G$53+$T19*'Geometry'!$F$53)/C_eco)^C_n),C_alpha*C_fck),0)))*'Geometry'!$H$53*'Geometry'!$F$53+((MAX(MIN(S_1_Es*($R19+$S19*'Geometry'!$G$54+$T19*'Geometry'!$F$54),S_1_fy),-S_1_fy))-(IF(($R19+$S19*'Geometry'!$G$54+$T19*'Geometry'!$F$54)&gt;0,IF(($R19+$S19*'Geometry'!$G$54+$T19*'Geometry'!$F$54)&lt;=C_eco,C_alpha*C_fck*(1-(1-($R19+$S19*'Geometry'!$G$54+$T19*'Geometry'!$F$54)/C_eco)^C_n),C_alpha*C_fck),0)))*'Geometry'!$H$54*'Geometry'!$F$54+((MAX(MIN(S_1_Es*($R19+$S19*'Geometry'!$G$55+$T19*'Geometry'!$F$55),S_1_fy),-S_1_fy))-(IF(($R19+$S19*'Geometry'!$G$55+$T19*'Geometry'!$F$55)&gt;0,IF(($R19+$S19*'Geometry'!$G$55+$T19*'Geometry'!$F$55)&lt;=C_eco,C_alpha*C_fck*(1-(1-($R19+$S19*'Geometry'!$G$55+$T19*'Geometry'!$F$55)/C_eco)^C_n),C_alpha*C_fck),0)))*'Geometry'!$H$55*'Geometry'!$F$55+((MAX(MIN(S_1_Es*($R19+$S19*'Geometry'!$G$56+$T19*'Geometry'!$F$56),S_1_fy),-S_1_fy))-(IF(($R19+$S19*'Geometry'!$G$56+$T19*'Geometry'!$F$56)&gt;0,IF(($R19+$S19*'Geometry'!$G$56+$T19*'Geometry'!$F$56)&lt;=C_eco,C_alpha*C_fck*(1-(1-($R19+$S19*'Geometry'!$G$56+$T19*'Geometry'!$F$56)/C_eco)^C_n),C_alpha*C_fck),0)))*'Geometry'!$H$56*'Geometry'!$F$56+((MAX(MIN(S_1_Es*($R19+$S19*'Geometry'!$G$57+$T19*'Geometry'!$F$57),S_1_fy),-S_1_fy))-(IF(($R19+$S19*'Geometry'!$G$57+$T19*'Geometry'!$F$57)&gt;0,IF(($R19+$S19*'Geometry'!$G$57+$T19*'Geometry'!$F$57)&lt;=C_eco,C_alpha*C_fck*(1-(1-($R19+$S19*'Geometry'!$G$57+$T19*'Geometry'!$F$57)/C_eco)^C_n),C_alpha*C_fck),0)))*'Geometry'!$H$57*'Geometry'!$F$57)/1000000</f>
        <v>354.4951545897441</v>
      </c>
      <c r="AA19" s="10">
        <f>U19+X19</f>
        <v>16897.838146027654</v>
      </c>
      <c r="AB19" s="10">
        <f>V19+Y19</f>
        <v>6062.814198800316</v>
      </c>
      <c r="AC19" s="10">
        <f>W19+Z19</f>
        <v>1131.7798112050482</v>
      </c>
      <c r="AD19" s="7">
        <v>0.65</v>
      </c>
      <c r="AE19" s="7">
        <v>0.65</v>
      </c>
      <c r="AF19" s="10">
        <f>AA19*AD19</f>
        <v>10983.594794917977</v>
      </c>
      <c r="AG19" s="10">
        <f>AB19*AE19</f>
        <v>3940.8292292202054</v>
      </c>
      <c r="AH19" s="10">
        <f>AC19*AE19</f>
        <v>735.6568772832813</v>
      </c>
      <c r="AI19" s="7">
        <v>10983.594794917977</v>
      </c>
      <c r="AJ19" s="7">
        <v>3940.8292292202054</v>
      </c>
      <c r="AK19" s="7">
        <v>735.6568772832813</v>
      </c>
      <c r="AL19" s="15">
        <f>AF19-AI19</f>
        <v>0</v>
      </c>
      <c r="AM19" s="15">
        <f>SQRT((AG19-AJ19)^2+(AH19-AK19)^2)</f>
        <v>0</v>
      </c>
      <c r="AN19" s="7" t="s">
        <v>189</v>
      </c>
      <c r="AO19" s="7">
        <v>16897.838146027654</v>
      </c>
      <c r="AP19" s="7">
        <v>6062.814198800316</v>
      </c>
      <c r="AQ19" s="7">
        <v>1131.7798112050482</v>
      </c>
      <c r="AR19" s="7">
        <v>15242.792572910199</v>
      </c>
      <c r="AS19" s="7">
        <v>4639.737503866342</v>
      </c>
      <c r="AT19" s="7">
        <v>777.284656615304</v>
      </c>
      <c r="AU19" s="7">
        <v>1655.045573117454</v>
      </c>
      <c r="AV19" s="7">
        <v>1423.076694933973</v>
      </c>
      <c r="AW19" s="7">
        <v>354.4951545897441</v>
      </c>
    </row>
    <row r="20" spans="1:49" x14ac:dyDescent="0.25">
      <c r="A20" s="17">
        <v>13</v>
      </c>
      <c r="B20" s="17" t="s">
        <v>214</v>
      </c>
      <c r="C20" s="18">
        <f>$AF$20</f>
        <v>10305.493022625038</v>
      </c>
      <c r="D20" s="19">
        <f>$AG$20*COS(RADIANS($C$5))+$AH$20*SIN(RADIANS($C$5))</f>
        <v>4098.661316295381</v>
      </c>
      <c r="G20" s="7" t="s">
        <v>215</v>
      </c>
      <c r="H20" s="7" t="s">
        <v>214</v>
      </c>
      <c r="I20" s="12">
        <v>10</v>
      </c>
      <c r="J20" s="7" t="s">
        <v>205</v>
      </c>
      <c r="K20" s="12">
        <v>0.7500000000000002</v>
      </c>
      <c r="L20" s="10">
        <f>MAX(('Geometry'!$G$13*COS(RADIANS(I20))+'Geometry'!$F$13*SIN(RADIANS(I20))),('Geometry'!$G$14*COS(RADIANS(I20))+'Geometry'!$F$14*SIN(RADIANS(I20))),('Geometry'!$G$15*COS(RADIANS(I20))+'Geometry'!$F$15*SIN(RADIANS(I20))),('Geometry'!$G$16*COS(RADIANS(I20))+'Geometry'!$F$16*SIN(RADIANS(I20))),('Geometry'!$G$17*COS(RADIANS(I20))+'Geometry'!$F$17*SIN(RADIANS(I20))),('Geometry'!$G$18*COS(RADIANS(I20))+'Geometry'!$F$18*SIN(RADIANS(I20))),('Geometry'!$G$19*COS(RADIANS(I20))+'Geometry'!$F$19*SIN(RADIANS(I20))),('Geometry'!$G$20*COS(RADIANS(I20))+'Geometry'!$F$20*SIN(RADIANS(I20))))</f>
        <v>686.3911495241364</v>
      </c>
      <c r="M20" s="10">
        <f>MIN(('Geometry'!$G$40*COS(RADIANS(I20))+'Geometry'!$F$40*SIN(RADIANS(I20))),('Geometry'!$G$41*COS(RADIANS(I20))+'Geometry'!$F$41*SIN(RADIANS(I20))),('Geometry'!$G$42*COS(RADIANS(I20))+'Geometry'!$F$42*SIN(RADIANS(I20))),('Geometry'!$G$43*COS(RADIANS(I20))+'Geometry'!$F$43*SIN(RADIANS(I20))),('Geometry'!$G$44*COS(RADIANS(I20))+'Geometry'!$F$44*SIN(RADIANS(I20))),('Geometry'!$G$45*COS(RADIANS(I20))+'Geometry'!$F$45*SIN(RADIANS(I20))),('Geometry'!$G$46*COS(RADIANS(I20))+'Geometry'!$F$46*SIN(RADIANS(I20))),('Geometry'!$G$47*COS(RADIANS(I20))+'Geometry'!$F$47*SIN(RADIANS(I20))),('Geometry'!$G$48*COS(RADIANS(I20))+'Geometry'!$F$48*SIN(RADIANS(I20))),('Geometry'!$G$49*COS(RADIANS(I20))+'Geometry'!$F$49*SIN(RADIANS(I20))),('Geometry'!$G$50*COS(RADIANS(I20))+'Geometry'!$F$50*SIN(RADIANS(I20))),('Geometry'!$G$51*COS(RADIANS(I20))+'Geometry'!$F$51*SIN(RADIANS(I20))),('Geometry'!$G$52*COS(RADIANS(I20))+'Geometry'!$F$52*SIN(RADIANS(I20))),('Geometry'!$G$53*COS(RADIANS(I20))+'Geometry'!$F$53*SIN(RADIANS(I20))),('Geometry'!$G$54*COS(RADIANS(I20))+'Geometry'!$F$54*SIN(RADIANS(I20))),('Geometry'!$G$55*COS(RADIANS(I20))+'Geometry'!$F$55*SIN(RADIANS(I20))),('Geometry'!$G$56*COS(RADIANS(I20))+'Geometry'!$F$56*SIN(RADIANS(I20))),('Geometry'!$G$57*COS(RADIANS(I20))+'Geometry'!$F$57*SIN(RADIANS(I20))))</f>
        <v>-591.4073801632424</v>
      </c>
      <c r="N20" s="10">
        <f>L20-MIN(('Geometry'!$G$13*COS(RADIANS(I20))+'Geometry'!$F$13*SIN(RADIANS(I20))),('Geometry'!$G$14*COS(RADIANS(I20))+'Geometry'!$F$14*SIN(RADIANS(I20))),('Geometry'!$G$15*COS(RADIANS(I20))+'Geometry'!$F$15*SIN(RADIANS(I20))),('Geometry'!$G$16*COS(RADIANS(I20))+'Geometry'!$F$16*SIN(RADIANS(I20))),('Geometry'!$G$17*COS(RADIANS(I20))+'Geometry'!$F$17*SIN(RADIANS(I20))),('Geometry'!$G$18*COS(RADIANS(I20))+'Geometry'!$F$18*SIN(RADIANS(I20))),('Geometry'!$G$19*COS(RADIANS(I20))+'Geometry'!$F$19*SIN(RADIANS(I20))),('Geometry'!$G$20*COS(RADIANS(I20))+'Geometry'!$F$20*SIN(RADIANS(I20))))</f>
        <v>1372.7822990482728</v>
      </c>
      <c r="O20" s="15">
        <f>C_ecu</f>
        <v>0.0032999999999999995</v>
      </c>
      <c r="P20" s="15">
        <f>-K20*S_1_fy/S_1_Es</f>
        <v>-0.0015000000000000005</v>
      </c>
      <c r="Q20" s="20">
        <f>IF(ABS(L20-M20)&lt;0.000000000001,0,(O20-P20)/(L20-M20))</f>
        <v>0.000003756460731860718</v>
      </c>
      <c r="R20" s="15">
        <f>O20-Q20*L20</f>
        <v>0.0007215986001158428</v>
      </c>
      <c r="S20" s="20">
        <f>Q20*COS(RADIANS(I20))</f>
        <v>0.0000036993916526223485</v>
      </c>
      <c r="T20" s="20">
        <f>Q20*SIN(RADIANS(I20))</f>
        <v>6.523025605649972e-7</v>
      </c>
      <c r="U20" s="10">
        <f>SUMPRODUCT(C_alpha*C_fck*(1-(1-((($R20+$S20*Mesh_Y+$T20*Mesh_X))*(($R20+$S20*Mesh_Y+$T20*Mesh_X)&gt;0)*(($R20+$S20*Mesh_Y+$T20*Mesh_X)&lt;C_eco)+C_eco*(($R20+$S20*Mesh_Y+$T20*Mesh_X)&gt;=C_eco))/C_eco)^C_n)*((($R20+$S20*Mesh_Y+$T20*Mesh_X))&gt;0),Mesh_A)/1000</f>
        <v>14544.675016157553</v>
      </c>
      <c r="V20" s="10">
        <f>SUMPRODUCT(C_alpha*C_fck*(1-(1-((($R20+$S20*Mesh_Y+$T20*Mesh_X))*(($R20+$S20*Mesh_Y+$T20*Mesh_X)&gt;0)*(($R20+$S20*Mesh_Y+$T20*Mesh_X)&lt;C_eco)+C_eco*(($R20+$S20*Mesh_Y+$T20*Mesh_X)&gt;=C_eco))/C_eco)^C_n)*((($R20+$S20*Mesh_Y+$T20*Mesh_X))&gt;0),Mesh_A,Mesh_Y)/1000000</f>
        <v>4679.613980178513</v>
      </c>
      <c r="W20" s="10">
        <f>SUMPRODUCT(C_alpha*C_fck*(1-(1-((($R20+$S20*Mesh_Y+$T20*Mesh_X))*(($R20+$S20*Mesh_Y+$T20*Mesh_X)&gt;0)*(($R20+$S20*Mesh_Y+$T20*Mesh_X)&lt;C_eco)+C_eco*(($R20+$S20*Mesh_Y+$T20*Mesh_X)&gt;=C_eco))/C_eco)^C_n)*((($R20+$S20*Mesh_Y+$T20*Mesh_X))&gt;0),Mesh_A,Mesh_X)/1000000</f>
        <v>775.4782775683585</v>
      </c>
      <c r="X20" s="10">
        <f>(((MAX(MIN(S_1_Es*($R20+$S20*'Geometry'!$G$40+$T20*'Geometry'!$F$40),S_1_fy),-S_1_fy))-(IF(($R20+$S20*'Geometry'!$G$40+$T20*'Geometry'!$F$40)&gt;0,IF(($R20+$S20*'Geometry'!$G$40+$T20*'Geometry'!$F$40)&lt;=C_eco,C_alpha*C_fck*(1-(1-($R20+$S20*'Geometry'!$G$40+$T20*'Geometry'!$F$40)/C_eco)^C_n),C_alpha*C_fck),0)))*'Geometry'!$H$40+((MAX(MIN(S_1_Es*($R20+$S20*'Geometry'!$G$41+$T20*'Geometry'!$F$41),S_1_fy),-S_1_fy))-(IF(($R20+$S20*'Geometry'!$G$41+$T20*'Geometry'!$F$41)&gt;0,IF(($R20+$S20*'Geometry'!$G$41+$T20*'Geometry'!$F$41)&lt;=C_eco,C_alpha*C_fck*(1-(1-($R20+$S20*'Geometry'!$G$41+$T20*'Geometry'!$F$41)/C_eco)^C_n),C_alpha*C_fck),0)))*'Geometry'!$H$41+((MAX(MIN(S_1_Es*($R20+$S20*'Geometry'!$G$42+$T20*'Geometry'!$F$42),S_1_fy),-S_1_fy))-(IF(($R20+$S20*'Geometry'!$G$42+$T20*'Geometry'!$F$42)&gt;0,IF(($R20+$S20*'Geometry'!$G$42+$T20*'Geometry'!$F$42)&lt;=C_eco,C_alpha*C_fck*(1-(1-($R20+$S20*'Geometry'!$G$42+$T20*'Geometry'!$F$42)/C_eco)^C_n),C_alpha*C_fck),0)))*'Geometry'!$H$42+((MAX(MIN(S_1_Es*($R20+$S20*'Geometry'!$G$43+$T20*'Geometry'!$F$43),S_1_fy),-S_1_fy))-(IF(($R20+$S20*'Geometry'!$G$43+$T20*'Geometry'!$F$43)&gt;0,IF(($R20+$S20*'Geometry'!$G$43+$T20*'Geometry'!$F$43)&lt;=C_eco,C_alpha*C_fck*(1-(1-($R20+$S20*'Geometry'!$G$43+$T20*'Geometry'!$F$43)/C_eco)^C_n),C_alpha*C_fck),0)))*'Geometry'!$H$43+((MAX(MIN(S_1_Es*($R20+$S20*'Geometry'!$G$44+$T20*'Geometry'!$F$44),S_1_fy),-S_1_fy))-(IF(($R20+$S20*'Geometry'!$G$44+$T20*'Geometry'!$F$44)&gt;0,IF(($R20+$S20*'Geometry'!$G$44+$T20*'Geometry'!$F$44)&lt;=C_eco,C_alpha*C_fck*(1-(1-($R20+$S20*'Geometry'!$G$44+$T20*'Geometry'!$F$44)/C_eco)^C_n),C_alpha*C_fck),0)))*'Geometry'!$H$44+((MAX(MIN(S_1_Es*($R20+$S20*'Geometry'!$G$45+$T20*'Geometry'!$F$45),S_1_fy),-S_1_fy))-(IF(($R20+$S20*'Geometry'!$G$45+$T20*'Geometry'!$F$45)&gt;0,IF(($R20+$S20*'Geometry'!$G$45+$T20*'Geometry'!$F$45)&lt;=C_eco,C_alpha*C_fck*(1-(1-($R20+$S20*'Geometry'!$G$45+$T20*'Geometry'!$F$45)/C_eco)^C_n),C_alpha*C_fck),0)))*'Geometry'!$H$45+((MAX(MIN(S_1_Es*($R20+$S20*'Geometry'!$G$46+$T20*'Geometry'!$F$46),S_1_fy),-S_1_fy))-(IF(($R20+$S20*'Geometry'!$G$46+$T20*'Geometry'!$F$46)&gt;0,IF(($R20+$S20*'Geometry'!$G$46+$T20*'Geometry'!$F$46)&lt;=C_eco,C_alpha*C_fck*(1-(1-($R20+$S20*'Geometry'!$G$46+$T20*'Geometry'!$F$46)/C_eco)^C_n),C_alpha*C_fck),0)))*'Geometry'!$H$46+((MAX(MIN(S_1_Es*($R20+$S20*'Geometry'!$G$47+$T20*'Geometry'!$F$47),S_1_fy),-S_1_fy))-(IF(($R20+$S20*'Geometry'!$G$47+$T20*'Geometry'!$F$47)&gt;0,IF(($R20+$S20*'Geometry'!$G$47+$T20*'Geometry'!$F$47)&lt;=C_eco,C_alpha*C_fck*(1-(1-($R20+$S20*'Geometry'!$G$47+$T20*'Geometry'!$F$47)/C_eco)^C_n),C_alpha*C_fck),0)))*'Geometry'!$H$47+((MAX(MIN(S_1_Es*($R20+$S20*'Geometry'!$G$48+$T20*'Geometry'!$F$48),S_1_fy),-S_1_fy))-(IF(($R20+$S20*'Geometry'!$G$48+$T20*'Geometry'!$F$48)&gt;0,IF(($R20+$S20*'Geometry'!$G$48+$T20*'Geometry'!$F$48)&lt;=C_eco,C_alpha*C_fck*(1-(1-($R20+$S20*'Geometry'!$G$48+$T20*'Geometry'!$F$48)/C_eco)^C_n),C_alpha*C_fck),0)))*'Geometry'!$H$48+((MAX(MIN(S_1_Es*($R20+$S20*'Geometry'!$G$49+$T20*'Geometry'!$F$49),S_1_fy),-S_1_fy))-(IF(($R20+$S20*'Geometry'!$G$49+$T20*'Geometry'!$F$49)&gt;0,IF(($R20+$S20*'Geometry'!$G$49+$T20*'Geometry'!$F$49)&lt;=C_eco,C_alpha*C_fck*(1-(1-($R20+$S20*'Geometry'!$G$49+$T20*'Geometry'!$F$49)/C_eco)^C_n),C_alpha*C_fck),0)))*'Geometry'!$H$49+((MAX(MIN(S_1_Es*($R20+$S20*'Geometry'!$G$50+$T20*'Geometry'!$F$50),S_1_fy),-S_1_fy))-(IF(($R20+$S20*'Geometry'!$G$50+$T20*'Geometry'!$F$50)&gt;0,IF(($R20+$S20*'Geometry'!$G$50+$T20*'Geometry'!$F$50)&lt;=C_eco,C_alpha*C_fck*(1-(1-($R20+$S20*'Geometry'!$G$50+$T20*'Geometry'!$F$50)/C_eco)^C_n),C_alpha*C_fck),0)))*'Geometry'!$H$50+((MAX(MIN(S_1_Es*($R20+$S20*'Geometry'!$G$51+$T20*'Geometry'!$F$51),S_1_fy),-S_1_fy))-(IF(($R20+$S20*'Geometry'!$G$51+$T20*'Geometry'!$F$51)&gt;0,IF(($R20+$S20*'Geometry'!$G$51+$T20*'Geometry'!$F$51)&lt;=C_eco,C_alpha*C_fck*(1-(1-($R20+$S20*'Geometry'!$G$51+$T20*'Geometry'!$F$51)/C_eco)^C_n),C_alpha*C_fck),0)))*'Geometry'!$H$51+((MAX(MIN(S_1_Es*($R20+$S20*'Geometry'!$G$52+$T20*'Geometry'!$F$52),S_1_fy),-S_1_fy))-(IF(($R20+$S20*'Geometry'!$G$52+$T20*'Geometry'!$F$52)&gt;0,IF(($R20+$S20*'Geometry'!$G$52+$T20*'Geometry'!$F$52)&lt;=C_eco,C_alpha*C_fck*(1-(1-($R20+$S20*'Geometry'!$G$52+$T20*'Geometry'!$F$52)/C_eco)^C_n),C_alpha*C_fck),0)))*'Geometry'!$H$52+((MAX(MIN(S_1_Es*($R20+$S20*'Geometry'!$G$53+$T20*'Geometry'!$F$53),S_1_fy),-S_1_fy))-(IF(($R20+$S20*'Geometry'!$G$53+$T20*'Geometry'!$F$53)&gt;0,IF(($R20+$S20*'Geometry'!$G$53+$T20*'Geometry'!$F$53)&lt;=C_eco,C_alpha*C_fck*(1-(1-($R20+$S20*'Geometry'!$G$53+$T20*'Geometry'!$F$53)/C_eco)^C_n),C_alpha*C_fck),0)))*'Geometry'!$H$53+((MAX(MIN(S_1_Es*($R20+$S20*'Geometry'!$G$54+$T20*'Geometry'!$F$54),S_1_fy),-S_1_fy))-(IF(($R20+$S20*'Geometry'!$G$54+$T20*'Geometry'!$F$54)&gt;0,IF(($R20+$S20*'Geometry'!$G$54+$T20*'Geometry'!$F$54)&lt;=C_eco,C_alpha*C_fck*(1-(1-($R20+$S20*'Geometry'!$G$54+$T20*'Geometry'!$F$54)/C_eco)^C_n),C_alpha*C_fck),0)))*'Geometry'!$H$54+((MAX(MIN(S_1_Es*($R20+$S20*'Geometry'!$G$55+$T20*'Geometry'!$F$55),S_1_fy),-S_1_fy))-(IF(($R20+$S20*'Geometry'!$G$55+$T20*'Geometry'!$F$55)&gt;0,IF(($R20+$S20*'Geometry'!$G$55+$T20*'Geometry'!$F$55)&lt;=C_eco,C_alpha*C_fck*(1-(1-($R20+$S20*'Geometry'!$G$55+$T20*'Geometry'!$F$55)/C_eco)^C_n),C_alpha*C_fck),0)))*'Geometry'!$H$55+((MAX(MIN(S_1_Es*($R20+$S20*'Geometry'!$G$56+$T20*'Geometry'!$F$56),S_1_fy),-S_1_fy))-(IF(($R20+$S20*'Geometry'!$G$56+$T20*'Geometry'!$F$56)&gt;0,IF(($R20+$S20*'Geometry'!$G$56+$T20*'Geometry'!$F$56)&lt;=C_eco,C_alpha*C_fck*(1-(1-($R20+$S20*'Geometry'!$G$56+$T20*'Geometry'!$F$56)/C_eco)^C_n),C_alpha*C_fck),0)))*'Geometry'!$H$56+((MAX(MIN(S_1_Es*($R20+$S20*'Geometry'!$G$57+$T20*'Geometry'!$F$57),S_1_fy),-S_1_fy))-(IF(($R20+$S20*'Geometry'!$G$57+$T20*'Geometry'!$F$57)&gt;0,IF(($R20+$S20*'Geometry'!$G$57+$T20*'Geometry'!$F$57)&lt;=C_eco,C_alpha*C_fck*(1-(1-($R20+$S20*'Geometry'!$G$57+$T20*'Geometry'!$F$57)/C_eco)^C_n),C_alpha*C_fck),0)))*'Geometry'!$H$57)/1000</f>
        <v>1309.929634034812</v>
      </c>
      <c r="Y20" s="10">
        <f>(((MAX(MIN(S_1_Es*($R20+$S20*'Geometry'!$G$40+$T20*'Geometry'!$F$40),S_1_fy),-S_1_fy))-(IF(($R20+$S20*'Geometry'!$G$40+$T20*'Geometry'!$F$40)&gt;0,IF(($R20+$S20*'Geometry'!$G$40+$T20*'Geometry'!$F$40)&lt;=C_eco,C_alpha*C_fck*(1-(1-($R20+$S20*'Geometry'!$G$40+$T20*'Geometry'!$F$40)/C_eco)^C_n),C_alpha*C_fck),0)))*'Geometry'!$H$40*'Geometry'!$G$40+((MAX(MIN(S_1_Es*($R20+$S20*'Geometry'!$G$41+$T20*'Geometry'!$F$41),S_1_fy),-S_1_fy))-(IF(($R20+$S20*'Geometry'!$G$41+$T20*'Geometry'!$F$41)&gt;0,IF(($R20+$S20*'Geometry'!$G$41+$T20*'Geometry'!$F$41)&lt;=C_eco,C_alpha*C_fck*(1-(1-($R20+$S20*'Geometry'!$G$41+$T20*'Geometry'!$F$41)/C_eco)^C_n),C_alpha*C_fck),0)))*'Geometry'!$H$41*'Geometry'!$G$41+((MAX(MIN(S_1_Es*($R20+$S20*'Geometry'!$G$42+$T20*'Geometry'!$F$42),S_1_fy),-S_1_fy))-(IF(($R20+$S20*'Geometry'!$G$42+$T20*'Geometry'!$F$42)&gt;0,IF(($R20+$S20*'Geometry'!$G$42+$T20*'Geometry'!$F$42)&lt;=C_eco,C_alpha*C_fck*(1-(1-($R20+$S20*'Geometry'!$G$42+$T20*'Geometry'!$F$42)/C_eco)^C_n),C_alpha*C_fck),0)))*'Geometry'!$H$42*'Geometry'!$G$42+((MAX(MIN(S_1_Es*($R20+$S20*'Geometry'!$G$43+$T20*'Geometry'!$F$43),S_1_fy),-S_1_fy))-(IF(($R20+$S20*'Geometry'!$G$43+$T20*'Geometry'!$F$43)&gt;0,IF(($R20+$S20*'Geometry'!$G$43+$T20*'Geometry'!$F$43)&lt;=C_eco,C_alpha*C_fck*(1-(1-($R20+$S20*'Geometry'!$G$43+$T20*'Geometry'!$F$43)/C_eco)^C_n),C_alpha*C_fck),0)))*'Geometry'!$H$43*'Geometry'!$G$43+((MAX(MIN(S_1_Es*($R20+$S20*'Geometry'!$G$44+$T20*'Geometry'!$F$44),S_1_fy),-S_1_fy))-(IF(($R20+$S20*'Geometry'!$G$44+$T20*'Geometry'!$F$44)&gt;0,IF(($R20+$S20*'Geometry'!$G$44+$T20*'Geometry'!$F$44)&lt;=C_eco,C_alpha*C_fck*(1-(1-($R20+$S20*'Geometry'!$G$44+$T20*'Geometry'!$F$44)/C_eco)^C_n),C_alpha*C_fck),0)))*'Geometry'!$H$44*'Geometry'!$G$44+((MAX(MIN(S_1_Es*($R20+$S20*'Geometry'!$G$45+$T20*'Geometry'!$F$45),S_1_fy),-S_1_fy))-(IF(($R20+$S20*'Geometry'!$G$45+$T20*'Geometry'!$F$45)&gt;0,IF(($R20+$S20*'Geometry'!$G$45+$T20*'Geometry'!$F$45)&lt;=C_eco,C_alpha*C_fck*(1-(1-($R20+$S20*'Geometry'!$G$45+$T20*'Geometry'!$F$45)/C_eco)^C_n),C_alpha*C_fck),0)))*'Geometry'!$H$45*'Geometry'!$G$45+((MAX(MIN(S_1_Es*($R20+$S20*'Geometry'!$G$46+$T20*'Geometry'!$F$46),S_1_fy),-S_1_fy))-(IF(($R20+$S20*'Geometry'!$G$46+$T20*'Geometry'!$F$46)&gt;0,IF(($R20+$S20*'Geometry'!$G$46+$T20*'Geometry'!$F$46)&lt;=C_eco,C_alpha*C_fck*(1-(1-($R20+$S20*'Geometry'!$G$46+$T20*'Geometry'!$F$46)/C_eco)^C_n),C_alpha*C_fck),0)))*'Geometry'!$H$46*'Geometry'!$G$46+((MAX(MIN(S_1_Es*($R20+$S20*'Geometry'!$G$47+$T20*'Geometry'!$F$47),S_1_fy),-S_1_fy))-(IF(($R20+$S20*'Geometry'!$G$47+$T20*'Geometry'!$F$47)&gt;0,IF(($R20+$S20*'Geometry'!$G$47+$T20*'Geometry'!$F$47)&lt;=C_eco,C_alpha*C_fck*(1-(1-($R20+$S20*'Geometry'!$G$47+$T20*'Geometry'!$F$47)/C_eco)^C_n),C_alpha*C_fck),0)))*'Geometry'!$H$47*'Geometry'!$G$47+((MAX(MIN(S_1_Es*($R20+$S20*'Geometry'!$G$48+$T20*'Geometry'!$F$48),S_1_fy),-S_1_fy))-(IF(($R20+$S20*'Geometry'!$G$48+$T20*'Geometry'!$F$48)&gt;0,IF(($R20+$S20*'Geometry'!$G$48+$T20*'Geometry'!$F$48)&lt;=C_eco,C_alpha*C_fck*(1-(1-($R20+$S20*'Geometry'!$G$48+$T20*'Geometry'!$F$48)/C_eco)^C_n),C_alpha*C_fck),0)))*'Geometry'!$H$48*'Geometry'!$G$48+((MAX(MIN(S_1_Es*($R20+$S20*'Geometry'!$G$49+$T20*'Geometry'!$F$49),S_1_fy),-S_1_fy))-(IF(($R20+$S20*'Geometry'!$G$49+$T20*'Geometry'!$F$49)&gt;0,IF(($R20+$S20*'Geometry'!$G$49+$T20*'Geometry'!$F$49)&lt;=C_eco,C_alpha*C_fck*(1-(1-($R20+$S20*'Geometry'!$G$49+$T20*'Geometry'!$F$49)/C_eco)^C_n),C_alpha*C_fck),0)))*'Geometry'!$H$49*'Geometry'!$G$49+((MAX(MIN(S_1_Es*($R20+$S20*'Geometry'!$G$50+$T20*'Geometry'!$F$50),S_1_fy),-S_1_fy))-(IF(($R20+$S20*'Geometry'!$G$50+$T20*'Geometry'!$F$50)&gt;0,IF(($R20+$S20*'Geometry'!$G$50+$T20*'Geometry'!$F$50)&lt;=C_eco,C_alpha*C_fck*(1-(1-($R20+$S20*'Geometry'!$G$50+$T20*'Geometry'!$F$50)/C_eco)^C_n),C_alpha*C_fck),0)))*'Geometry'!$H$50*'Geometry'!$G$50+((MAX(MIN(S_1_Es*($R20+$S20*'Geometry'!$G$51+$T20*'Geometry'!$F$51),S_1_fy),-S_1_fy))-(IF(($R20+$S20*'Geometry'!$G$51+$T20*'Geometry'!$F$51)&gt;0,IF(($R20+$S20*'Geometry'!$G$51+$T20*'Geometry'!$F$51)&lt;=C_eco,C_alpha*C_fck*(1-(1-($R20+$S20*'Geometry'!$G$51+$T20*'Geometry'!$F$51)/C_eco)^C_n),C_alpha*C_fck),0)))*'Geometry'!$H$51*'Geometry'!$G$51+((MAX(MIN(S_1_Es*($R20+$S20*'Geometry'!$G$52+$T20*'Geometry'!$F$52),S_1_fy),-S_1_fy))-(IF(($R20+$S20*'Geometry'!$G$52+$T20*'Geometry'!$F$52)&gt;0,IF(($R20+$S20*'Geometry'!$G$52+$T20*'Geometry'!$F$52)&lt;=C_eco,C_alpha*C_fck*(1-(1-($R20+$S20*'Geometry'!$G$52+$T20*'Geometry'!$F$52)/C_eco)^C_n),C_alpha*C_fck),0)))*'Geometry'!$H$52*'Geometry'!$G$52+((MAX(MIN(S_1_Es*($R20+$S20*'Geometry'!$G$53+$T20*'Geometry'!$F$53),S_1_fy),-S_1_fy))-(IF(($R20+$S20*'Geometry'!$G$53+$T20*'Geometry'!$F$53)&gt;0,IF(($R20+$S20*'Geometry'!$G$53+$T20*'Geometry'!$F$53)&lt;=C_eco,C_alpha*C_fck*(1-(1-($R20+$S20*'Geometry'!$G$53+$T20*'Geometry'!$F$53)/C_eco)^C_n),C_alpha*C_fck),0)))*'Geometry'!$H$53*'Geometry'!$G$53+((MAX(MIN(S_1_Es*($R20+$S20*'Geometry'!$G$54+$T20*'Geometry'!$F$54),S_1_fy),-S_1_fy))-(IF(($R20+$S20*'Geometry'!$G$54+$T20*'Geometry'!$F$54)&gt;0,IF(($R20+$S20*'Geometry'!$G$54+$T20*'Geometry'!$F$54)&lt;=C_eco,C_alpha*C_fck*(1-(1-($R20+$S20*'Geometry'!$G$54+$T20*'Geometry'!$F$54)/C_eco)^C_n),C_alpha*C_fck),0)))*'Geometry'!$H$54*'Geometry'!$G$54+((MAX(MIN(S_1_Es*($R20+$S20*'Geometry'!$G$55+$T20*'Geometry'!$F$55),S_1_fy),-S_1_fy))-(IF(($R20+$S20*'Geometry'!$G$55+$T20*'Geometry'!$F$55)&gt;0,IF(($R20+$S20*'Geometry'!$G$55+$T20*'Geometry'!$F$55)&lt;=C_eco,C_alpha*C_fck*(1-(1-($R20+$S20*'Geometry'!$G$55+$T20*'Geometry'!$F$55)/C_eco)^C_n),C_alpha*C_fck),0)))*'Geometry'!$H$55*'Geometry'!$G$55+((MAX(MIN(S_1_Es*($R20+$S20*'Geometry'!$G$56+$T20*'Geometry'!$F$56),S_1_fy),-S_1_fy))-(IF(($R20+$S20*'Geometry'!$G$56+$T20*'Geometry'!$F$56)&gt;0,IF(($R20+$S20*'Geometry'!$G$56+$T20*'Geometry'!$F$56)&lt;=C_eco,C_alpha*C_fck*(1-(1-($R20+$S20*'Geometry'!$G$56+$T20*'Geometry'!$F$56)/C_eco)^C_n),C_alpha*C_fck),0)))*'Geometry'!$H$56*'Geometry'!$G$56+((MAX(MIN(S_1_Es*($R20+$S20*'Geometry'!$G$57+$T20*'Geometry'!$F$57),S_1_fy),-S_1_fy))-(IF(($R20+$S20*'Geometry'!$G$57+$T20*'Geometry'!$F$57)&gt;0,IF(($R20+$S20*'Geometry'!$G$57+$T20*'Geometry'!$F$57)&lt;=C_eco,C_alpha*C_fck*(1-(1-($R20+$S20*'Geometry'!$G$57+$T20*'Geometry'!$F$57)/C_eco)^C_n),C_alpha*C_fck),0)))*'Geometry'!$H$57*'Geometry'!$G$57)/1000000</f>
        <v>1537.923737813019</v>
      </c>
      <c r="Z20" s="10">
        <f>(((MAX(MIN(S_1_Es*($R20+$S20*'Geometry'!$G$40+$T20*'Geometry'!$F$40),S_1_fy),-S_1_fy))-(IF(($R20+$S20*'Geometry'!$G$40+$T20*'Geometry'!$F$40)&gt;0,IF(($R20+$S20*'Geometry'!$G$40+$T20*'Geometry'!$F$40)&lt;=C_eco,C_alpha*C_fck*(1-(1-($R20+$S20*'Geometry'!$G$40+$T20*'Geometry'!$F$40)/C_eco)^C_n),C_alpha*C_fck),0)))*'Geometry'!$H$40*'Geometry'!$F$40+((MAX(MIN(S_1_Es*($R20+$S20*'Geometry'!$G$41+$T20*'Geometry'!$F$41),S_1_fy),-S_1_fy))-(IF(($R20+$S20*'Geometry'!$G$41+$T20*'Geometry'!$F$41)&gt;0,IF(($R20+$S20*'Geometry'!$G$41+$T20*'Geometry'!$F$41)&lt;=C_eco,C_alpha*C_fck*(1-(1-($R20+$S20*'Geometry'!$G$41+$T20*'Geometry'!$F$41)/C_eco)^C_n),C_alpha*C_fck),0)))*'Geometry'!$H$41*'Geometry'!$F$41+((MAX(MIN(S_1_Es*($R20+$S20*'Geometry'!$G$42+$T20*'Geometry'!$F$42),S_1_fy),-S_1_fy))-(IF(($R20+$S20*'Geometry'!$G$42+$T20*'Geometry'!$F$42)&gt;0,IF(($R20+$S20*'Geometry'!$G$42+$T20*'Geometry'!$F$42)&lt;=C_eco,C_alpha*C_fck*(1-(1-($R20+$S20*'Geometry'!$G$42+$T20*'Geometry'!$F$42)/C_eco)^C_n),C_alpha*C_fck),0)))*'Geometry'!$H$42*'Geometry'!$F$42+((MAX(MIN(S_1_Es*($R20+$S20*'Geometry'!$G$43+$T20*'Geometry'!$F$43),S_1_fy),-S_1_fy))-(IF(($R20+$S20*'Geometry'!$G$43+$T20*'Geometry'!$F$43)&gt;0,IF(($R20+$S20*'Geometry'!$G$43+$T20*'Geometry'!$F$43)&lt;=C_eco,C_alpha*C_fck*(1-(1-($R20+$S20*'Geometry'!$G$43+$T20*'Geometry'!$F$43)/C_eco)^C_n),C_alpha*C_fck),0)))*'Geometry'!$H$43*'Geometry'!$F$43+((MAX(MIN(S_1_Es*($R20+$S20*'Geometry'!$G$44+$T20*'Geometry'!$F$44),S_1_fy),-S_1_fy))-(IF(($R20+$S20*'Geometry'!$G$44+$T20*'Geometry'!$F$44)&gt;0,IF(($R20+$S20*'Geometry'!$G$44+$T20*'Geometry'!$F$44)&lt;=C_eco,C_alpha*C_fck*(1-(1-($R20+$S20*'Geometry'!$G$44+$T20*'Geometry'!$F$44)/C_eco)^C_n),C_alpha*C_fck),0)))*'Geometry'!$H$44*'Geometry'!$F$44+((MAX(MIN(S_1_Es*($R20+$S20*'Geometry'!$G$45+$T20*'Geometry'!$F$45),S_1_fy),-S_1_fy))-(IF(($R20+$S20*'Geometry'!$G$45+$T20*'Geometry'!$F$45)&gt;0,IF(($R20+$S20*'Geometry'!$G$45+$T20*'Geometry'!$F$45)&lt;=C_eco,C_alpha*C_fck*(1-(1-($R20+$S20*'Geometry'!$G$45+$T20*'Geometry'!$F$45)/C_eco)^C_n),C_alpha*C_fck),0)))*'Geometry'!$H$45*'Geometry'!$F$45+((MAX(MIN(S_1_Es*($R20+$S20*'Geometry'!$G$46+$T20*'Geometry'!$F$46),S_1_fy),-S_1_fy))-(IF(($R20+$S20*'Geometry'!$G$46+$T20*'Geometry'!$F$46)&gt;0,IF(($R20+$S20*'Geometry'!$G$46+$T20*'Geometry'!$F$46)&lt;=C_eco,C_alpha*C_fck*(1-(1-($R20+$S20*'Geometry'!$G$46+$T20*'Geometry'!$F$46)/C_eco)^C_n),C_alpha*C_fck),0)))*'Geometry'!$H$46*'Geometry'!$F$46+((MAX(MIN(S_1_Es*($R20+$S20*'Geometry'!$G$47+$T20*'Geometry'!$F$47),S_1_fy),-S_1_fy))-(IF(($R20+$S20*'Geometry'!$G$47+$T20*'Geometry'!$F$47)&gt;0,IF(($R20+$S20*'Geometry'!$G$47+$T20*'Geometry'!$F$47)&lt;=C_eco,C_alpha*C_fck*(1-(1-($R20+$S20*'Geometry'!$G$47+$T20*'Geometry'!$F$47)/C_eco)^C_n),C_alpha*C_fck),0)))*'Geometry'!$H$47*'Geometry'!$F$47+((MAX(MIN(S_1_Es*($R20+$S20*'Geometry'!$G$48+$T20*'Geometry'!$F$48),S_1_fy),-S_1_fy))-(IF(($R20+$S20*'Geometry'!$G$48+$T20*'Geometry'!$F$48)&gt;0,IF(($R20+$S20*'Geometry'!$G$48+$T20*'Geometry'!$F$48)&lt;=C_eco,C_alpha*C_fck*(1-(1-($R20+$S20*'Geometry'!$G$48+$T20*'Geometry'!$F$48)/C_eco)^C_n),C_alpha*C_fck),0)))*'Geometry'!$H$48*'Geometry'!$F$48+((MAX(MIN(S_1_Es*($R20+$S20*'Geometry'!$G$49+$T20*'Geometry'!$F$49),S_1_fy),-S_1_fy))-(IF(($R20+$S20*'Geometry'!$G$49+$T20*'Geometry'!$F$49)&gt;0,IF(($R20+$S20*'Geometry'!$G$49+$T20*'Geometry'!$F$49)&lt;=C_eco,C_alpha*C_fck*(1-(1-($R20+$S20*'Geometry'!$G$49+$T20*'Geometry'!$F$49)/C_eco)^C_n),C_alpha*C_fck),0)))*'Geometry'!$H$49*'Geometry'!$F$49+((MAX(MIN(S_1_Es*($R20+$S20*'Geometry'!$G$50+$T20*'Geometry'!$F$50),S_1_fy),-S_1_fy))-(IF(($R20+$S20*'Geometry'!$G$50+$T20*'Geometry'!$F$50)&gt;0,IF(($R20+$S20*'Geometry'!$G$50+$T20*'Geometry'!$F$50)&lt;=C_eco,C_alpha*C_fck*(1-(1-($R20+$S20*'Geometry'!$G$50+$T20*'Geometry'!$F$50)/C_eco)^C_n),C_alpha*C_fck),0)))*'Geometry'!$H$50*'Geometry'!$F$50+((MAX(MIN(S_1_Es*($R20+$S20*'Geometry'!$G$51+$T20*'Geometry'!$F$51),S_1_fy),-S_1_fy))-(IF(($R20+$S20*'Geometry'!$G$51+$T20*'Geometry'!$F$51)&gt;0,IF(($R20+$S20*'Geometry'!$G$51+$T20*'Geometry'!$F$51)&lt;=C_eco,C_alpha*C_fck*(1-(1-($R20+$S20*'Geometry'!$G$51+$T20*'Geometry'!$F$51)/C_eco)^C_n),C_alpha*C_fck),0)))*'Geometry'!$H$51*'Geometry'!$F$51+((MAX(MIN(S_1_Es*($R20+$S20*'Geometry'!$G$52+$T20*'Geometry'!$F$52),S_1_fy),-S_1_fy))-(IF(($R20+$S20*'Geometry'!$G$52+$T20*'Geometry'!$F$52)&gt;0,IF(($R20+$S20*'Geometry'!$G$52+$T20*'Geometry'!$F$52)&lt;=C_eco,C_alpha*C_fck*(1-(1-($R20+$S20*'Geometry'!$G$52+$T20*'Geometry'!$F$52)/C_eco)^C_n),C_alpha*C_fck),0)))*'Geometry'!$H$52*'Geometry'!$F$52+((MAX(MIN(S_1_Es*($R20+$S20*'Geometry'!$G$53+$T20*'Geometry'!$F$53),S_1_fy),-S_1_fy))-(IF(($R20+$S20*'Geometry'!$G$53+$T20*'Geometry'!$F$53)&gt;0,IF(($R20+$S20*'Geometry'!$G$53+$T20*'Geometry'!$F$53)&lt;=C_eco,C_alpha*C_fck*(1-(1-($R20+$S20*'Geometry'!$G$53+$T20*'Geometry'!$F$53)/C_eco)^C_n),C_alpha*C_fck),0)))*'Geometry'!$H$53*'Geometry'!$F$53+((MAX(MIN(S_1_Es*($R20+$S20*'Geometry'!$G$54+$T20*'Geometry'!$F$54),S_1_fy),-S_1_fy))-(IF(($R20+$S20*'Geometry'!$G$54+$T20*'Geometry'!$F$54)&gt;0,IF(($R20+$S20*'Geometry'!$G$54+$T20*'Geometry'!$F$54)&lt;=C_eco,C_alpha*C_fck*(1-(1-($R20+$S20*'Geometry'!$G$54+$T20*'Geometry'!$F$54)/C_eco)^C_n),C_alpha*C_fck),0)))*'Geometry'!$H$54*'Geometry'!$F$54+((MAX(MIN(S_1_Es*($R20+$S20*'Geometry'!$G$55+$T20*'Geometry'!$F$55),S_1_fy),-S_1_fy))-(IF(($R20+$S20*'Geometry'!$G$55+$T20*'Geometry'!$F$55)&gt;0,IF(($R20+$S20*'Geometry'!$G$55+$T20*'Geometry'!$F$55)&lt;=C_eco,C_alpha*C_fck*(1-(1-($R20+$S20*'Geometry'!$G$55+$T20*'Geometry'!$F$55)/C_eco)^C_n),C_alpha*C_fck),0)))*'Geometry'!$H$55*'Geometry'!$F$55+((MAX(MIN(S_1_Es*($R20+$S20*'Geometry'!$G$56+$T20*'Geometry'!$F$56),S_1_fy),-S_1_fy))-(IF(($R20+$S20*'Geometry'!$G$56+$T20*'Geometry'!$F$56)&gt;0,IF(($R20+$S20*'Geometry'!$G$56+$T20*'Geometry'!$F$56)&lt;=C_eco,C_alpha*C_fck*(1-(1-($R20+$S20*'Geometry'!$G$56+$T20*'Geometry'!$F$56)/C_eco)^C_n),C_alpha*C_fck),0)))*'Geometry'!$H$56*'Geometry'!$F$56+((MAX(MIN(S_1_Es*($R20+$S20*'Geometry'!$G$57+$T20*'Geometry'!$F$57),S_1_fy),-S_1_fy))-(IF(($R20+$S20*'Geometry'!$G$57+$T20*'Geometry'!$F$57)&gt;0,IF(($R20+$S20*'Geometry'!$G$57+$T20*'Geometry'!$F$57)&lt;=C_eco,C_alpha*C_fck*(1-(1-($R20+$S20*'Geometry'!$G$57+$T20*'Geometry'!$F$57)/C_eco)^C_n),C_alpha*C_fck),0)))*'Geometry'!$H$57*'Geometry'!$F$57)/1000000</f>
        <v>383.44932935234823</v>
      </c>
      <c r="AA20" s="10">
        <f>U20+X20</f>
        <v>15854.604650192365</v>
      </c>
      <c r="AB20" s="10">
        <f>V20+Y20</f>
        <v>6217.537717991531</v>
      </c>
      <c r="AC20" s="10">
        <f>W20+Z20</f>
        <v>1158.9276069207067</v>
      </c>
      <c r="AD20" s="7">
        <v>0.65</v>
      </c>
      <c r="AE20" s="7">
        <v>0.65</v>
      </c>
      <c r="AF20" s="10">
        <f>AA20*AD20</f>
        <v>10305.493022625038</v>
      </c>
      <c r="AG20" s="10">
        <f>AB20*AE20</f>
        <v>4041.3995166944956</v>
      </c>
      <c r="AH20" s="10">
        <f>AC20*AE20</f>
        <v>753.3029444984595</v>
      </c>
      <c r="AI20" s="7">
        <v>10305.493022625038</v>
      </c>
      <c r="AJ20" s="7">
        <v>4041.3995166944956</v>
      </c>
      <c r="AK20" s="7">
        <v>753.3029444984595</v>
      </c>
      <c r="AL20" s="15">
        <f>AF20-AI20</f>
        <v>0</v>
      </c>
      <c r="AM20" s="15">
        <f>SQRT((AG20-AJ20)^2+(AH20-AK20)^2)</f>
        <v>0</v>
      </c>
      <c r="AN20" s="7" t="s">
        <v>189</v>
      </c>
      <c r="AO20" s="7">
        <v>15854.604650192365</v>
      </c>
      <c r="AP20" s="7">
        <v>6217.537717991531</v>
      </c>
      <c r="AQ20" s="7">
        <v>1158.9276069207067</v>
      </c>
      <c r="AR20" s="7">
        <v>14544.675016157553</v>
      </c>
      <c r="AS20" s="7">
        <v>4679.613980178513</v>
      </c>
      <c r="AT20" s="7">
        <v>775.4782775683585</v>
      </c>
      <c r="AU20" s="7">
        <v>1309.929634034812</v>
      </c>
      <c r="AV20" s="7">
        <v>1537.923737813019</v>
      </c>
      <c r="AW20" s="7">
        <v>383.44932935234823</v>
      </c>
    </row>
    <row r="21" spans="1:49" x14ac:dyDescent="0.25">
      <c r="A21">
        <v>14</v>
      </c>
      <c r="B21" t="s">
        <v>216</v>
      </c>
      <c r="C21" s="21">
        <f>$AF$21</f>
        <v>9663.409069824886</v>
      </c>
      <c r="D21" s="22">
        <f>$AG$21*COS(RADIANS($C$5))+$AH$21*SIN(RADIANS($C$5))</f>
        <v>4184.428381133579</v>
      </c>
      <c r="G21" s="7" t="s">
        <v>217</v>
      </c>
      <c r="H21" s="7" t="s">
        <v>216</v>
      </c>
      <c r="I21" s="12">
        <v>10</v>
      </c>
      <c r="J21" s="7" t="s">
        <v>205</v>
      </c>
      <c r="K21" s="12">
        <v>0.8749999999999994</v>
      </c>
      <c r="L21" s="10">
        <f>MAX(('Geometry'!$G$13*COS(RADIANS(I21))+'Geometry'!$F$13*SIN(RADIANS(I21))),('Geometry'!$G$14*COS(RADIANS(I21))+'Geometry'!$F$14*SIN(RADIANS(I21))),('Geometry'!$G$15*COS(RADIANS(I21))+'Geometry'!$F$15*SIN(RADIANS(I21))),('Geometry'!$G$16*COS(RADIANS(I21))+'Geometry'!$F$16*SIN(RADIANS(I21))),('Geometry'!$G$17*COS(RADIANS(I21))+'Geometry'!$F$17*SIN(RADIANS(I21))),('Geometry'!$G$18*COS(RADIANS(I21))+'Geometry'!$F$18*SIN(RADIANS(I21))),('Geometry'!$G$19*COS(RADIANS(I21))+'Geometry'!$F$19*SIN(RADIANS(I21))),('Geometry'!$G$20*COS(RADIANS(I21))+'Geometry'!$F$20*SIN(RADIANS(I21))))</f>
        <v>686.3911495241364</v>
      </c>
      <c r="M21" s="10">
        <f>MIN(('Geometry'!$G$40*COS(RADIANS(I21))+'Geometry'!$F$40*SIN(RADIANS(I21))),('Geometry'!$G$41*COS(RADIANS(I21))+'Geometry'!$F$41*SIN(RADIANS(I21))),('Geometry'!$G$42*COS(RADIANS(I21))+'Geometry'!$F$42*SIN(RADIANS(I21))),('Geometry'!$G$43*COS(RADIANS(I21))+'Geometry'!$F$43*SIN(RADIANS(I21))),('Geometry'!$G$44*COS(RADIANS(I21))+'Geometry'!$F$44*SIN(RADIANS(I21))),('Geometry'!$G$45*COS(RADIANS(I21))+'Geometry'!$F$45*SIN(RADIANS(I21))),('Geometry'!$G$46*COS(RADIANS(I21))+'Geometry'!$F$46*SIN(RADIANS(I21))),('Geometry'!$G$47*COS(RADIANS(I21))+'Geometry'!$F$47*SIN(RADIANS(I21))),('Geometry'!$G$48*COS(RADIANS(I21))+'Geometry'!$F$48*SIN(RADIANS(I21))),('Geometry'!$G$49*COS(RADIANS(I21))+'Geometry'!$F$49*SIN(RADIANS(I21))),('Geometry'!$G$50*COS(RADIANS(I21))+'Geometry'!$F$50*SIN(RADIANS(I21))),('Geometry'!$G$51*COS(RADIANS(I21))+'Geometry'!$F$51*SIN(RADIANS(I21))),('Geometry'!$G$52*COS(RADIANS(I21))+'Geometry'!$F$52*SIN(RADIANS(I21))),('Geometry'!$G$53*COS(RADIANS(I21))+'Geometry'!$F$53*SIN(RADIANS(I21))),('Geometry'!$G$54*COS(RADIANS(I21))+'Geometry'!$F$54*SIN(RADIANS(I21))),('Geometry'!$G$55*COS(RADIANS(I21))+'Geometry'!$F$55*SIN(RADIANS(I21))),('Geometry'!$G$56*COS(RADIANS(I21))+'Geometry'!$F$56*SIN(RADIANS(I21))),('Geometry'!$G$57*COS(RADIANS(I21))+'Geometry'!$F$57*SIN(RADIANS(I21))))</f>
        <v>-591.4073801632424</v>
      </c>
      <c r="N21" s="10">
        <f>L21-MIN(('Geometry'!$G$13*COS(RADIANS(I21))+'Geometry'!$F$13*SIN(RADIANS(I21))),('Geometry'!$G$14*COS(RADIANS(I21))+'Geometry'!$F$14*SIN(RADIANS(I21))),('Geometry'!$G$15*COS(RADIANS(I21))+'Geometry'!$F$15*SIN(RADIANS(I21))),('Geometry'!$G$16*COS(RADIANS(I21))+'Geometry'!$F$16*SIN(RADIANS(I21))),('Geometry'!$G$17*COS(RADIANS(I21))+'Geometry'!$F$17*SIN(RADIANS(I21))),('Geometry'!$G$18*COS(RADIANS(I21))+'Geometry'!$F$18*SIN(RADIANS(I21))),('Geometry'!$G$19*COS(RADIANS(I21))+'Geometry'!$F$19*SIN(RADIANS(I21))),('Geometry'!$G$20*COS(RADIANS(I21))+'Geometry'!$F$20*SIN(RADIANS(I21))))</f>
        <v>1372.7822990482728</v>
      </c>
      <c r="O21" s="15">
        <f>C_ecu</f>
        <v>0.0032999999999999995</v>
      </c>
      <c r="P21" s="15">
        <f>-K21*S_1_fy/S_1_Es</f>
        <v>-0.001749999999999999</v>
      </c>
      <c r="Q21" s="20">
        <f>IF(ABS(L21-M21)&lt;0.000000000001,0,(O21-P21)/(L21-M21))</f>
        <v>0.000003952109728311796</v>
      </c>
      <c r="R21" s="15">
        <f>O21-Q21*L21</f>
        <v>0.0005873068605385437</v>
      </c>
      <c r="S21" s="20">
        <f>Q21*COS(RADIANS(I21))</f>
        <v>0.000003892068301196428</v>
      </c>
      <c r="T21" s="20">
        <f>Q21*SIN(RADIANS(I21))</f>
        <v>6.862766522610906e-7</v>
      </c>
      <c r="U21" s="10">
        <f>SUMPRODUCT(C_alpha*C_fck*(1-(1-((($R21+$S21*Mesh_Y+$T21*Mesh_X))*(($R21+$S21*Mesh_Y+$T21*Mesh_X)&gt;0)*(($R21+$S21*Mesh_Y+$T21*Mesh_X)&lt;C_eco)+C_eco*(($R21+$S21*Mesh_Y+$T21*Mesh_X)&gt;=C_eco))/C_eco)^C_n)*((($R21+$S21*Mesh_Y+$T21*Mesh_X))&gt;0),Mesh_A)/1000</f>
        <v>13905.216402215074</v>
      </c>
      <c r="V21" s="10">
        <f>SUMPRODUCT(C_alpha*C_fck*(1-(1-((($R21+$S21*Mesh_Y+$T21*Mesh_X))*(($R21+$S21*Mesh_Y+$T21*Mesh_X)&gt;0)*(($R21+$S21*Mesh_Y+$T21*Mesh_X)&lt;C_eco)+C_eco*(($R21+$S21*Mesh_Y+$T21*Mesh_X)&gt;=C_eco))/C_eco)^C_n)*((($R21+$S21*Mesh_Y+$T21*Mesh_X))&gt;0),Mesh_A,Mesh_Y)/1000000</f>
        <v>4692.31435235056</v>
      </c>
      <c r="W21" s="10">
        <f>SUMPRODUCT(C_alpha*C_fck*(1-(1-((($R21+$S21*Mesh_Y+$T21*Mesh_X))*(($R21+$S21*Mesh_Y+$T21*Mesh_X)&gt;0)*(($R21+$S21*Mesh_Y+$T21*Mesh_X)&lt;C_eco)+C_eco*(($R21+$S21*Mesh_Y+$T21*Mesh_X)&gt;=C_eco))/C_eco)^C_n)*((($R21+$S21*Mesh_Y+$T21*Mesh_X))&gt;0),Mesh_A,Mesh_X)/1000000</f>
        <v>777.4773928664313</v>
      </c>
      <c r="X21" s="10">
        <f>(((MAX(MIN(S_1_Es*($R21+$S21*'Geometry'!$G$40+$T21*'Geometry'!$F$40),S_1_fy),-S_1_fy))-(IF(($R21+$S21*'Geometry'!$G$40+$T21*'Geometry'!$F$40)&gt;0,IF(($R21+$S21*'Geometry'!$G$40+$T21*'Geometry'!$F$40)&lt;=C_eco,C_alpha*C_fck*(1-(1-($R21+$S21*'Geometry'!$G$40+$T21*'Geometry'!$F$40)/C_eco)^C_n),C_alpha*C_fck),0)))*'Geometry'!$H$40+((MAX(MIN(S_1_Es*($R21+$S21*'Geometry'!$G$41+$T21*'Geometry'!$F$41),S_1_fy),-S_1_fy))-(IF(($R21+$S21*'Geometry'!$G$41+$T21*'Geometry'!$F$41)&gt;0,IF(($R21+$S21*'Geometry'!$G$41+$T21*'Geometry'!$F$41)&lt;=C_eco,C_alpha*C_fck*(1-(1-($R21+$S21*'Geometry'!$G$41+$T21*'Geometry'!$F$41)/C_eco)^C_n),C_alpha*C_fck),0)))*'Geometry'!$H$41+((MAX(MIN(S_1_Es*($R21+$S21*'Geometry'!$G$42+$T21*'Geometry'!$F$42),S_1_fy),-S_1_fy))-(IF(($R21+$S21*'Geometry'!$G$42+$T21*'Geometry'!$F$42)&gt;0,IF(($R21+$S21*'Geometry'!$G$42+$T21*'Geometry'!$F$42)&lt;=C_eco,C_alpha*C_fck*(1-(1-($R21+$S21*'Geometry'!$G$42+$T21*'Geometry'!$F$42)/C_eco)^C_n),C_alpha*C_fck),0)))*'Geometry'!$H$42+((MAX(MIN(S_1_Es*($R21+$S21*'Geometry'!$G$43+$T21*'Geometry'!$F$43),S_1_fy),-S_1_fy))-(IF(($R21+$S21*'Geometry'!$G$43+$T21*'Geometry'!$F$43)&gt;0,IF(($R21+$S21*'Geometry'!$G$43+$T21*'Geometry'!$F$43)&lt;=C_eco,C_alpha*C_fck*(1-(1-($R21+$S21*'Geometry'!$G$43+$T21*'Geometry'!$F$43)/C_eco)^C_n),C_alpha*C_fck),0)))*'Geometry'!$H$43+((MAX(MIN(S_1_Es*($R21+$S21*'Geometry'!$G$44+$T21*'Geometry'!$F$44),S_1_fy),-S_1_fy))-(IF(($R21+$S21*'Geometry'!$G$44+$T21*'Geometry'!$F$44)&gt;0,IF(($R21+$S21*'Geometry'!$G$44+$T21*'Geometry'!$F$44)&lt;=C_eco,C_alpha*C_fck*(1-(1-($R21+$S21*'Geometry'!$G$44+$T21*'Geometry'!$F$44)/C_eco)^C_n),C_alpha*C_fck),0)))*'Geometry'!$H$44+((MAX(MIN(S_1_Es*($R21+$S21*'Geometry'!$G$45+$T21*'Geometry'!$F$45),S_1_fy),-S_1_fy))-(IF(($R21+$S21*'Geometry'!$G$45+$T21*'Geometry'!$F$45)&gt;0,IF(($R21+$S21*'Geometry'!$G$45+$T21*'Geometry'!$F$45)&lt;=C_eco,C_alpha*C_fck*(1-(1-($R21+$S21*'Geometry'!$G$45+$T21*'Geometry'!$F$45)/C_eco)^C_n),C_alpha*C_fck),0)))*'Geometry'!$H$45+((MAX(MIN(S_1_Es*($R21+$S21*'Geometry'!$G$46+$T21*'Geometry'!$F$46),S_1_fy),-S_1_fy))-(IF(($R21+$S21*'Geometry'!$G$46+$T21*'Geometry'!$F$46)&gt;0,IF(($R21+$S21*'Geometry'!$G$46+$T21*'Geometry'!$F$46)&lt;=C_eco,C_alpha*C_fck*(1-(1-($R21+$S21*'Geometry'!$G$46+$T21*'Geometry'!$F$46)/C_eco)^C_n),C_alpha*C_fck),0)))*'Geometry'!$H$46+((MAX(MIN(S_1_Es*($R21+$S21*'Geometry'!$G$47+$T21*'Geometry'!$F$47),S_1_fy),-S_1_fy))-(IF(($R21+$S21*'Geometry'!$G$47+$T21*'Geometry'!$F$47)&gt;0,IF(($R21+$S21*'Geometry'!$G$47+$T21*'Geometry'!$F$47)&lt;=C_eco,C_alpha*C_fck*(1-(1-($R21+$S21*'Geometry'!$G$47+$T21*'Geometry'!$F$47)/C_eco)^C_n),C_alpha*C_fck),0)))*'Geometry'!$H$47+((MAX(MIN(S_1_Es*($R21+$S21*'Geometry'!$G$48+$T21*'Geometry'!$F$48),S_1_fy),-S_1_fy))-(IF(($R21+$S21*'Geometry'!$G$48+$T21*'Geometry'!$F$48)&gt;0,IF(($R21+$S21*'Geometry'!$G$48+$T21*'Geometry'!$F$48)&lt;=C_eco,C_alpha*C_fck*(1-(1-($R21+$S21*'Geometry'!$G$48+$T21*'Geometry'!$F$48)/C_eco)^C_n),C_alpha*C_fck),0)))*'Geometry'!$H$48+((MAX(MIN(S_1_Es*($R21+$S21*'Geometry'!$G$49+$T21*'Geometry'!$F$49),S_1_fy),-S_1_fy))-(IF(($R21+$S21*'Geometry'!$G$49+$T21*'Geometry'!$F$49)&gt;0,IF(($R21+$S21*'Geometry'!$G$49+$T21*'Geometry'!$F$49)&lt;=C_eco,C_alpha*C_fck*(1-(1-($R21+$S21*'Geometry'!$G$49+$T21*'Geometry'!$F$49)/C_eco)^C_n),C_alpha*C_fck),0)))*'Geometry'!$H$49+((MAX(MIN(S_1_Es*($R21+$S21*'Geometry'!$G$50+$T21*'Geometry'!$F$50),S_1_fy),-S_1_fy))-(IF(($R21+$S21*'Geometry'!$G$50+$T21*'Geometry'!$F$50)&gt;0,IF(($R21+$S21*'Geometry'!$G$50+$T21*'Geometry'!$F$50)&lt;=C_eco,C_alpha*C_fck*(1-(1-($R21+$S21*'Geometry'!$G$50+$T21*'Geometry'!$F$50)/C_eco)^C_n),C_alpha*C_fck),0)))*'Geometry'!$H$50+((MAX(MIN(S_1_Es*($R21+$S21*'Geometry'!$G$51+$T21*'Geometry'!$F$51),S_1_fy),-S_1_fy))-(IF(($R21+$S21*'Geometry'!$G$51+$T21*'Geometry'!$F$51)&gt;0,IF(($R21+$S21*'Geometry'!$G$51+$T21*'Geometry'!$F$51)&lt;=C_eco,C_alpha*C_fck*(1-(1-($R21+$S21*'Geometry'!$G$51+$T21*'Geometry'!$F$51)/C_eco)^C_n),C_alpha*C_fck),0)))*'Geometry'!$H$51+((MAX(MIN(S_1_Es*($R21+$S21*'Geometry'!$G$52+$T21*'Geometry'!$F$52),S_1_fy),-S_1_fy))-(IF(($R21+$S21*'Geometry'!$G$52+$T21*'Geometry'!$F$52)&gt;0,IF(($R21+$S21*'Geometry'!$G$52+$T21*'Geometry'!$F$52)&lt;=C_eco,C_alpha*C_fck*(1-(1-($R21+$S21*'Geometry'!$G$52+$T21*'Geometry'!$F$52)/C_eco)^C_n),C_alpha*C_fck),0)))*'Geometry'!$H$52+((MAX(MIN(S_1_Es*($R21+$S21*'Geometry'!$G$53+$T21*'Geometry'!$F$53),S_1_fy),-S_1_fy))-(IF(($R21+$S21*'Geometry'!$G$53+$T21*'Geometry'!$F$53)&gt;0,IF(($R21+$S21*'Geometry'!$G$53+$T21*'Geometry'!$F$53)&lt;=C_eco,C_alpha*C_fck*(1-(1-($R21+$S21*'Geometry'!$G$53+$T21*'Geometry'!$F$53)/C_eco)^C_n),C_alpha*C_fck),0)))*'Geometry'!$H$53+((MAX(MIN(S_1_Es*($R21+$S21*'Geometry'!$G$54+$T21*'Geometry'!$F$54),S_1_fy),-S_1_fy))-(IF(($R21+$S21*'Geometry'!$G$54+$T21*'Geometry'!$F$54)&gt;0,IF(($R21+$S21*'Geometry'!$G$54+$T21*'Geometry'!$F$54)&lt;=C_eco,C_alpha*C_fck*(1-(1-($R21+$S21*'Geometry'!$G$54+$T21*'Geometry'!$F$54)/C_eco)^C_n),C_alpha*C_fck),0)))*'Geometry'!$H$54+((MAX(MIN(S_1_Es*($R21+$S21*'Geometry'!$G$55+$T21*'Geometry'!$F$55),S_1_fy),-S_1_fy))-(IF(($R21+$S21*'Geometry'!$G$55+$T21*'Geometry'!$F$55)&gt;0,IF(($R21+$S21*'Geometry'!$G$55+$T21*'Geometry'!$F$55)&lt;=C_eco,C_alpha*C_fck*(1-(1-($R21+$S21*'Geometry'!$G$55+$T21*'Geometry'!$F$55)/C_eco)^C_n),C_alpha*C_fck),0)))*'Geometry'!$H$55+((MAX(MIN(S_1_Es*($R21+$S21*'Geometry'!$G$56+$T21*'Geometry'!$F$56),S_1_fy),-S_1_fy))-(IF(($R21+$S21*'Geometry'!$G$56+$T21*'Geometry'!$F$56)&gt;0,IF(($R21+$S21*'Geometry'!$G$56+$T21*'Geometry'!$F$56)&lt;=C_eco,C_alpha*C_fck*(1-(1-($R21+$S21*'Geometry'!$G$56+$T21*'Geometry'!$F$56)/C_eco)^C_n),C_alpha*C_fck),0)))*'Geometry'!$H$56+((MAX(MIN(S_1_Es*($R21+$S21*'Geometry'!$G$57+$T21*'Geometry'!$F$57),S_1_fy),-S_1_fy))-(IF(($R21+$S21*'Geometry'!$G$57+$T21*'Geometry'!$F$57)&gt;0,IF(($R21+$S21*'Geometry'!$G$57+$T21*'Geometry'!$F$57)&lt;=C_eco,C_alpha*C_fck*(1-(1-($R21+$S21*'Geometry'!$G$57+$T21*'Geometry'!$F$57)/C_eco)^C_n),C_alpha*C_fck),0)))*'Geometry'!$H$57)/1000</f>
        <v>961.5667821309042</v>
      </c>
      <c r="Y21" s="10">
        <f>(((MAX(MIN(S_1_Es*($R21+$S21*'Geometry'!$G$40+$T21*'Geometry'!$F$40),S_1_fy),-S_1_fy))-(IF(($R21+$S21*'Geometry'!$G$40+$T21*'Geometry'!$F$40)&gt;0,IF(($R21+$S21*'Geometry'!$G$40+$T21*'Geometry'!$F$40)&lt;=C_eco,C_alpha*C_fck*(1-(1-($R21+$S21*'Geometry'!$G$40+$T21*'Geometry'!$F$40)/C_eco)^C_n),C_alpha*C_fck),0)))*'Geometry'!$H$40*'Geometry'!$G$40+((MAX(MIN(S_1_Es*($R21+$S21*'Geometry'!$G$41+$T21*'Geometry'!$F$41),S_1_fy),-S_1_fy))-(IF(($R21+$S21*'Geometry'!$G$41+$T21*'Geometry'!$F$41)&gt;0,IF(($R21+$S21*'Geometry'!$G$41+$T21*'Geometry'!$F$41)&lt;=C_eco,C_alpha*C_fck*(1-(1-($R21+$S21*'Geometry'!$G$41+$T21*'Geometry'!$F$41)/C_eco)^C_n),C_alpha*C_fck),0)))*'Geometry'!$H$41*'Geometry'!$G$41+((MAX(MIN(S_1_Es*($R21+$S21*'Geometry'!$G$42+$T21*'Geometry'!$F$42),S_1_fy),-S_1_fy))-(IF(($R21+$S21*'Geometry'!$G$42+$T21*'Geometry'!$F$42)&gt;0,IF(($R21+$S21*'Geometry'!$G$42+$T21*'Geometry'!$F$42)&lt;=C_eco,C_alpha*C_fck*(1-(1-($R21+$S21*'Geometry'!$G$42+$T21*'Geometry'!$F$42)/C_eco)^C_n),C_alpha*C_fck),0)))*'Geometry'!$H$42*'Geometry'!$G$42+((MAX(MIN(S_1_Es*($R21+$S21*'Geometry'!$G$43+$T21*'Geometry'!$F$43),S_1_fy),-S_1_fy))-(IF(($R21+$S21*'Geometry'!$G$43+$T21*'Geometry'!$F$43)&gt;0,IF(($R21+$S21*'Geometry'!$G$43+$T21*'Geometry'!$F$43)&lt;=C_eco,C_alpha*C_fck*(1-(1-($R21+$S21*'Geometry'!$G$43+$T21*'Geometry'!$F$43)/C_eco)^C_n),C_alpha*C_fck),0)))*'Geometry'!$H$43*'Geometry'!$G$43+((MAX(MIN(S_1_Es*($R21+$S21*'Geometry'!$G$44+$T21*'Geometry'!$F$44),S_1_fy),-S_1_fy))-(IF(($R21+$S21*'Geometry'!$G$44+$T21*'Geometry'!$F$44)&gt;0,IF(($R21+$S21*'Geometry'!$G$44+$T21*'Geometry'!$F$44)&lt;=C_eco,C_alpha*C_fck*(1-(1-($R21+$S21*'Geometry'!$G$44+$T21*'Geometry'!$F$44)/C_eco)^C_n),C_alpha*C_fck),0)))*'Geometry'!$H$44*'Geometry'!$G$44+((MAX(MIN(S_1_Es*($R21+$S21*'Geometry'!$G$45+$T21*'Geometry'!$F$45),S_1_fy),-S_1_fy))-(IF(($R21+$S21*'Geometry'!$G$45+$T21*'Geometry'!$F$45)&gt;0,IF(($R21+$S21*'Geometry'!$G$45+$T21*'Geometry'!$F$45)&lt;=C_eco,C_alpha*C_fck*(1-(1-($R21+$S21*'Geometry'!$G$45+$T21*'Geometry'!$F$45)/C_eco)^C_n),C_alpha*C_fck),0)))*'Geometry'!$H$45*'Geometry'!$G$45+((MAX(MIN(S_1_Es*($R21+$S21*'Geometry'!$G$46+$T21*'Geometry'!$F$46),S_1_fy),-S_1_fy))-(IF(($R21+$S21*'Geometry'!$G$46+$T21*'Geometry'!$F$46)&gt;0,IF(($R21+$S21*'Geometry'!$G$46+$T21*'Geometry'!$F$46)&lt;=C_eco,C_alpha*C_fck*(1-(1-($R21+$S21*'Geometry'!$G$46+$T21*'Geometry'!$F$46)/C_eco)^C_n),C_alpha*C_fck),0)))*'Geometry'!$H$46*'Geometry'!$G$46+((MAX(MIN(S_1_Es*($R21+$S21*'Geometry'!$G$47+$T21*'Geometry'!$F$47),S_1_fy),-S_1_fy))-(IF(($R21+$S21*'Geometry'!$G$47+$T21*'Geometry'!$F$47)&gt;0,IF(($R21+$S21*'Geometry'!$G$47+$T21*'Geometry'!$F$47)&lt;=C_eco,C_alpha*C_fck*(1-(1-($R21+$S21*'Geometry'!$G$47+$T21*'Geometry'!$F$47)/C_eco)^C_n),C_alpha*C_fck),0)))*'Geometry'!$H$47*'Geometry'!$G$47+((MAX(MIN(S_1_Es*($R21+$S21*'Geometry'!$G$48+$T21*'Geometry'!$F$48),S_1_fy),-S_1_fy))-(IF(($R21+$S21*'Geometry'!$G$48+$T21*'Geometry'!$F$48)&gt;0,IF(($R21+$S21*'Geometry'!$G$48+$T21*'Geometry'!$F$48)&lt;=C_eco,C_alpha*C_fck*(1-(1-($R21+$S21*'Geometry'!$G$48+$T21*'Geometry'!$F$48)/C_eco)^C_n),C_alpha*C_fck),0)))*'Geometry'!$H$48*'Geometry'!$G$48+((MAX(MIN(S_1_Es*($R21+$S21*'Geometry'!$G$49+$T21*'Geometry'!$F$49),S_1_fy),-S_1_fy))-(IF(($R21+$S21*'Geometry'!$G$49+$T21*'Geometry'!$F$49)&gt;0,IF(($R21+$S21*'Geometry'!$G$49+$T21*'Geometry'!$F$49)&lt;=C_eco,C_alpha*C_fck*(1-(1-($R21+$S21*'Geometry'!$G$49+$T21*'Geometry'!$F$49)/C_eco)^C_n),C_alpha*C_fck),0)))*'Geometry'!$H$49*'Geometry'!$G$49+((MAX(MIN(S_1_Es*($R21+$S21*'Geometry'!$G$50+$T21*'Geometry'!$F$50),S_1_fy),-S_1_fy))-(IF(($R21+$S21*'Geometry'!$G$50+$T21*'Geometry'!$F$50)&gt;0,IF(($R21+$S21*'Geometry'!$G$50+$T21*'Geometry'!$F$50)&lt;=C_eco,C_alpha*C_fck*(1-(1-($R21+$S21*'Geometry'!$G$50+$T21*'Geometry'!$F$50)/C_eco)^C_n),C_alpha*C_fck),0)))*'Geometry'!$H$50*'Geometry'!$G$50+((MAX(MIN(S_1_Es*($R21+$S21*'Geometry'!$G$51+$T21*'Geometry'!$F$51),S_1_fy),-S_1_fy))-(IF(($R21+$S21*'Geometry'!$G$51+$T21*'Geometry'!$F$51)&gt;0,IF(($R21+$S21*'Geometry'!$G$51+$T21*'Geometry'!$F$51)&lt;=C_eco,C_alpha*C_fck*(1-(1-($R21+$S21*'Geometry'!$G$51+$T21*'Geometry'!$F$51)/C_eco)^C_n),C_alpha*C_fck),0)))*'Geometry'!$H$51*'Geometry'!$G$51+((MAX(MIN(S_1_Es*($R21+$S21*'Geometry'!$G$52+$T21*'Geometry'!$F$52),S_1_fy),-S_1_fy))-(IF(($R21+$S21*'Geometry'!$G$52+$T21*'Geometry'!$F$52)&gt;0,IF(($R21+$S21*'Geometry'!$G$52+$T21*'Geometry'!$F$52)&lt;=C_eco,C_alpha*C_fck*(1-(1-($R21+$S21*'Geometry'!$G$52+$T21*'Geometry'!$F$52)/C_eco)^C_n),C_alpha*C_fck),0)))*'Geometry'!$H$52*'Geometry'!$G$52+((MAX(MIN(S_1_Es*($R21+$S21*'Geometry'!$G$53+$T21*'Geometry'!$F$53),S_1_fy),-S_1_fy))-(IF(($R21+$S21*'Geometry'!$G$53+$T21*'Geometry'!$F$53)&gt;0,IF(($R21+$S21*'Geometry'!$G$53+$T21*'Geometry'!$F$53)&lt;=C_eco,C_alpha*C_fck*(1-(1-($R21+$S21*'Geometry'!$G$53+$T21*'Geometry'!$F$53)/C_eco)^C_n),C_alpha*C_fck),0)))*'Geometry'!$H$53*'Geometry'!$G$53+((MAX(MIN(S_1_Es*($R21+$S21*'Geometry'!$G$54+$T21*'Geometry'!$F$54),S_1_fy),-S_1_fy))-(IF(($R21+$S21*'Geometry'!$G$54+$T21*'Geometry'!$F$54)&gt;0,IF(($R21+$S21*'Geometry'!$G$54+$T21*'Geometry'!$F$54)&lt;=C_eco,C_alpha*C_fck*(1-(1-($R21+$S21*'Geometry'!$G$54+$T21*'Geometry'!$F$54)/C_eco)^C_n),C_alpha*C_fck),0)))*'Geometry'!$H$54*'Geometry'!$G$54+((MAX(MIN(S_1_Es*($R21+$S21*'Geometry'!$G$55+$T21*'Geometry'!$F$55),S_1_fy),-S_1_fy))-(IF(($R21+$S21*'Geometry'!$G$55+$T21*'Geometry'!$F$55)&gt;0,IF(($R21+$S21*'Geometry'!$G$55+$T21*'Geometry'!$F$55)&lt;=C_eco,C_alpha*C_fck*(1-(1-($R21+$S21*'Geometry'!$G$55+$T21*'Geometry'!$F$55)/C_eco)^C_n),C_alpha*C_fck),0)))*'Geometry'!$H$55*'Geometry'!$G$55+((MAX(MIN(S_1_Es*($R21+$S21*'Geometry'!$G$56+$T21*'Geometry'!$F$56),S_1_fy),-S_1_fy))-(IF(($R21+$S21*'Geometry'!$G$56+$T21*'Geometry'!$F$56)&gt;0,IF(($R21+$S21*'Geometry'!$G$56+$T21*'Geometry'!$F$56)&lt;=C_eco,C_alpha*C_fck*(1-(1-($R21+$S21*'Geometry'!$G$56+$T21*'Geometry'!$F$56)/C_eco)^C_n),C_alpha*C_fck),0)))*'Geometry'!$H$56*'Geometry'!$G$56+((MAX(MIN(S_1_Es*($R21+$S21*'Geometry'!$G$57+$T21*'Geometry'!$F$57),S_1_fy),-S_1_fy))-(IF(($R21+$S21*'Geometry'!$G$57+$T21*'Geometry'!$F$57)&gt;0,IF(($R21+$S21*'Geometry'!$G$57+$T21*'Geometry'!$F$57)&lt;=C_eco,C_alpha*C_fck*(1-(1-($R21+$S21*'Geometry'!$G$57+$T21*'Geometry'!$F$57)/C_eco)^C_n),C_alpha*C_fck),0)))*'Geometry'!$H$57*'Geometry'!$G$57)/1000000</f>
        <v>1653.6134208963576</v>
      </c>
      <c r="Z21" s="10">
        <f>(((MAX(MIN(S_1_Es*($R21+$S21*'Geometry'!$G$40+$T21*'Geometry'!$F$40),S_1_fy),-S_1_fy))-(IF(($R21+$S21*'Geometry'!$G$40+$T21*'Geometry'!$F$40)&gt;0,IF(($R21+$S21*'Geometry'!$G$40+$T21*'Geometry'!$F$40)&lt;=C_eco,C_alpha*C_fck*(1-(1-($R21+$S21*'Geometry'!$G$40+$T21*'Geometry'!$F$40)/C_eco)^C_n),C_alpha*C_fck),0)))*'Geometry'!$H$40*'Geometry'!$F$40+((MAX(MIN(S_1_Es*($R21+$S21*'Geometry'!$G$41+$T21*'Geometry'!$F$41),S_1_fy),-S_1_fy))-(IF(($R21+$S21*'Geometry'!$G$41+$T21*'Geometry'!$F$41)&gt;0,IF(($R21+$S21*'Geometry'!$G$41+$T21*'Geometry'!$F$41)&lt;=C_eco,C_alpha*C_fck*(1-(1-($R21+$S21*'Geometry'!$G$41+$T21*'Geometry'!$F$41)/C_eco)^C_n),C_alpha*C_fck),0)))*'Geometry'!$H$41*'Geometry'!$F$41+((MAX(MIN(S_1_Es*($R21+$S21*'Geometry'!$G$42+$T21*'Geometry'!$F$42),S_1_fy),-S_1_fy))-(IF(($R21+$S21*'Geometry'!$G$42+$T21*'Geometry'!$F$42)&gt;0,IF(($R21+$S21*'Geometry'!$G$42+$T21*'Geometry'!$F$42)&lt;=C_eco,C_alpha*C_fck*(1-(1-($R21+$S21*'Geometry'!$G$42+$T21*'Geometry'!$F$42)/C_eco)^C_n),C_alpha*C_fck),0)))*'Geometry'!$H$42*'Geometry'!$F$42+((MAX(MIN(S_1_Es*($R21+$S21*'Geometry'!$G$43+$T21*'Geometry'!$F$43),S_1_fy),-S_1_fy))-(IF(($R21+$S21*'Geometry'!$G$43+$T21*'Geometry'!$F$43)&gt;0,IF(($R21+$S21*'Geometry'!$G$43+$T21*'Geometry'!$F$43)&lt;=C_eco,C_alpha*C_fck*(1-(1-($R21+$S21*'Geometry'!$G$43+$T21*'Geometry'!$F$43)/C_eco)^C_n),C_alpha*C_fck),0)))*'Geometry'!$H$43*'Geometry'!$F$43+((MAX(MIN(S_1_Es*($R21+$S21*'Geometry'!$G$44+$T21*'Geometry'!$F$44),S_1_fy),-S_1_fy))-(IF(($R21+$S21*'Geometry'!$G$44+$T21*'Geometry'!$F$44)&gt;0,IF(($R21+$S21*'Geometry'!$G$44+$T21*'Geometry'!$F$44)&lt;=C_eco,C_alpha*C_fck*(1-(1-($R21+$S21*'Geometry'!$G$44+$T21*'Geometry'!$F$44)/C_eco)^C_n),C_alpha*C_fck),0)))*'Geometry'!$H$44*'Geometry'!$F$44+((MAX(MIN(S_1_Es*($R21+$S21*'Geometry'!$G$45+$T21*'Geometry'!$F$45),S_1_fy),-S_1_fy))-(IF(($R21+$S21*'Geometry'!$G$45+$T21*'Geometry'!$F$45)&gt;0,IF(($R21+$S21*'Geometry'!$G$45+$T21*'Geometry'!$F$45)&lt;=C_eco,C_alpha*C_fck*(1-(1-($R21+$S21*'Geometry'!$G$45+$T21*'Geometry'!$F$45)/C_eco)^C_n),C_alpha*C_fck),0)))*'Geometry'!$H$45*'Geometry'!$F$45+((MAX(MIN(S_1_Es*($R21+$S21*'Geometry'!$G$46+$T21*'Geometry'!$F$46),S_1_fy),-S_1_fy))-(IF(($R21+$S21*'Geometry'!$G$46+$T21*'Geometry'!$F$46)&gt;0,IF(($R21+$S21*'Geometry'!$G$46+$T21*'Geometry'!$F$46)&lt;=C_eco,C_alpha*C_fck*(1-(1-($R21+$S21*'Geometry'!$G$46+$T21*'Geometry'!$F$46)/C_eco)^C_n),C_alpha*C_fck),0)))*'Geometry'!$H$46*'Geometry'!$F$46+((MAX(MIN(S_1_Es*($R21+$S21*'Geometry'!$G$47+$T21*'Geometry'!$F$47),S_1_fy),-S_1_fy))-(IF(($R21+$S21*'Geometry'!$G$47+$T21*'Geometry'!$F$47)&gt;0,IF(($R21+$S21*'Geometry'!$G$47+$T21*'Geometry'!$F$47)&lt;=C_eco,C_alpha*C_fck*(1-(1-($R21+$S21*'Geometry'!$G$47+$T21*'Geometry'!$F$47)/C_eco)^C_n),C_alpha*C_fck),0)))*'Geometry'!$H$47*'Geometry'!$F$47+((MAX(MIN(S_1_Es*($R21+$S21*'Geometry'!$G$48+$T21*'Geometry'!$F$48),S_1_fy),-S_1_fy))-(IF(($R21+$S21*'Geometry'!$G$48+$T21*'Geometry'!$F$48)&gt;0,IF(($R21+$S21*'Geometry'!$G$48+$T21*'Geometry'!$F$48)&lt;=C_eco,C_alpha*C_fck*(1-(1-($R21+$S21*'Geometry'!$G$48+$T21*'Geometry'!$F$48)/C_eco)^C_n),C_alpha*C_fck),0)))*'Geometry'!$H$48*'Geometry'!$F$48+((MAX(MIN(S_1_Es*($R21+$S21*'Geometry'!$G$49+$T21*'Geometry'!$F$49),S_1_fy),-S_1_fy))-(IF(($R21+$S21*'Geometry'!$G$49+$T21*'Geometry'!$F$49)&gt;0,IF(($R21+$S21*'Geometry'!$G$49+$T21*'Geometry'!$F$49)&lt;=C_eco,C_alpha*C_fck*(1-(1-($R21+$S21*'Geometry'!$G$49+$T21*'Geometry'!$F$49)/C_eco)^C_n),C_alpha*C_fck),0)))*'Geometry'!$H$49*'Geometry'!$F$49+((MAX(MIN(S_1_Es*($R21+$S21*'Geometry'!$G$50+$T21*'Geometry'!$F$50),S_1_fy),-S_1_fy))-(IF(($R21+$S21*'Geometry'!$G$50+$T21*'Geometry'!$F$50)&gt;0,IF(($R21+$S21*'Geometry'!$G$50+$T21*'Geometry'!$F$50)&lt;=C_eco,C_alpha*C_fck*(1-(1-($R21+$S21*'Geometry'!$G$50+$T21*'Geometry'!$F$50)/C_eco)^C_n),C_alpha*C_fck),0)))*'Geometry'!$H$50*'Geometry'!$F$50+((MAX(MIN(S_1_Es*($R21+$S21*'Geometry'!$G$51+$T21*'Geometry'!$F$51),S_1_fy),-S_1_fy))-(IF(($R21+$S21*'Geometry'!$G$51+$T21*'Geometry'!$F$51)&gt;0,IF(($R21+$S21*'Geometry'!$G$51+$T21*'Geometry'!$F$51)&lt;=C_eco,C_alpha*C_fck*(1-(1-($R21+$S21*'Geometry'!$G$51+$T21*'Geometry'!$F$51)/C_eco)^C_n),C_alpha*C_fck),0)))*'Geometry'!$H$51*'Geometry'!$F$51+((MAX(MIN(S_1_Es*($R21+$S21*'Geometry'!$G$52+$T21*'Geometry'!$F$52),S_1_fy),-S_1_fy))-(IF(($R21+$S21*'Geometry'!$G$52+$T21*'Geometry'!$F$52)&gt;0,IF(($R21+$S21*'Geometry'!$G$52+$T21*'Geometry'!$F$52)&lt;=C_eco,C_alpha*C_fck*(1-(1-($R21+$S21*'Geometry'!$G$52+$T21*'Geometry'!$F$52)/C_eco)^C_n),C_alpha*C_fck),0)))*'Geometry'!$H$52*'Geometry'!$F$52+((MAX(MIN(S_1_Es*($R21+$S21*'Geometry'!$G$53+$T21*'Geometry'!$F$53),S_1_fy),-S_1_fy))-(IF(($R21+$S21*'Geometry'!$G$53+$T21*'Geometry'!$F$53)&gt;0,IF(($R21+$S21*'Geometry'!$G$53+$T21*'Geometry'!$F$53)&lt;=C_eco,C_alpha*C_fck*(1-(1-($R21+$S21*'Geometry'!$G$53+$T21*'Geometry'!$F$53)/C_eco)^C_n),C_alpha*C_fck),0)))*'Geometry'!$H$53*'Geometry'!$F$53+((MAX(MIN(S_1_Es*($R21+$S21*'Geometry'!$G$54+$T21*'Geometry'!$F$54),S_1_fy),-S_1_fy))-(IF(($R21+$S21*'Geometry'!$G$54+$T21*'Geometry'!$F$54)&gt;0,IF(($R21+$S21*'Geometry'!$G$54+$T21*'Geometry'!$F$54)&lt;=C_eco,C_alpha*C_fck*(1-(1-($R21+$S21*'Geometry'!$G$54+$T21*'Geometry'!$F$54)/C_eco)^C_n),C_alpha*C_fck),0)))*'Geometry'!$H$54*'Geometry'!$F$54+((MAX(MIN(S_1_Es*($R21+$S21*'Geometry'!$G$55+$T21*'Geometry'!$F$55),S_1_fy),-S_1_fy))-(IF(($R21+$S21*'Geometry'!$G$55+$T21*'Geometry'!$F$55)&gt;0,IF(($R21+$S21*'Geometry'!$G$55+$T21*'Geometry'!$F$55)&lt;=C_eco,C_alpha*C_fck*(1-(1-($R21+$S21*'Geometry'!$G$55+$T21*'Geometry'!$F$55)/C_eco)^C_n),C_alpha*C_fck),0)))*'Geometry'!$H$55*'Geometry'!$F$55+((MAX(MIN(S_1_Es*($R21+$S21*'Geometry'!$G$56+$T21*'Geometry'!$F$56),S_1_fy),-S_1_fy))-(IF(($R21+$S21*'Geometry'!$G$56+$T21*'Geometry'!$F$56)&gt;0,IF(($R21+$S21*'Geometry'!$G$56+$T21*'Geometry'!$F$56)&lt;=C_eco,C_alpha*C_fck*(1-(1-($R21+$S21*'Geometry'!$G$56+$T21*'Geometry'!$F$56)/C_eco)^C_n),C_alpha*C_fck),0)))*'Geometry'!$H$56*'Geometry'!$F$56+((MAX(MIN(S_1_Es*($R21+$S21*'Geometry'!$G$57+$T21*'Geometry'!$F$57),S_1_fy),-S_1_fy))-(IF(($R21+$S21*'Geometry'!$G$57+$T21*'Geometry'!$F$57)&gt;0,IF(($R21+$S21*'Geometry'!$G$57+$T21*'Geometry'!$F$57)&lt;=C_eco,C_alpha*C_fck*(1-(1-($R21+$S21*'Geometry'!$G$57+$T21*'Geometry'!$F$57)/C_eco)^C_n),C_alpha*C_fck),0)))*'Geometry'!$H$57*'Geometry'!$F$57)/1000000</f>
        <v>412.1050690990656</v>
      </c>
      <c r="AA21" s="10">
        <f>U21+X21</f>
        <v>14866.783184345977</v>
      </c>
      <c r="AB21" s="10">
        <f>V21+Y21</f>
        <v>6345.927773246916</v>
      </c>
      <c r="AC21" s="10">
        <f>W21+Z21</f>
        <v>1189.5824619654968</v>
      </c>
      <c r="AD21" s="7">
        <v>0.65</v>
      </c>
      <c r="AE21" s="7">
        <v>0.65</v>
      </c>
      <c r="AF21" s="10">
        <f>AA21*AD21</f>
        <v>9663.409069824886</v>
      </c>
      <c r="AG21" s="10">
        <f>AB21*AE21</f>
        <v>4124.853052610496</v>
      </c>
      <c r="AH21" s="10">
        <f>AC21*AE21</f>
        <v>773.228600277573</v>
      </c>
      <c r="AI21" s="7">
        <v>9663.409069824886</v>
      </c>
      <c r="AJ21" s="7">
        <v>4124.853052610496</v>
      </c>
      <c r="AK21" s="7">
        <v>773.228600277573</v>
      </c>
      <c r="AL21" s="15">
        <f>AF21-AI21</f>
        <v>0</v>
      </c>
      <c r="AM21" s="15">
        <f>SQRT((AG21-AJ21)^2+(AH21-AK21)^2)</f>
        <v>0</v>
      </c>
      <c r="AN21" s="7" t="s">
        <v>189</v>
      </c>
      <c r="AO21" s="7">
        <v>14866.783184345977</v>
      </c>
      <c r="AP21" s="7">
        <v>6345.927773246916</v>
      </c>
      <c r="AQ21" s="7">
        <v>1189.5824619654968</v>
      </c>
      <c r="AR21" s="7">
        <v>13905.216402215074</v>
      </c>
      <c r="AS21" s="7">
        <v>4692.31435235056</v>
      </c>
      <c r="AT21" s="7">
        <v>777.4773928664313</v>
      </c>
      <c r="AU21" s="7">
        <v>961.5667821309042</v>
      </c>
      <c r="AV21" s="7">
        <v>1653.6134208963576</v>
      </c>
      <c r="AW21" s="7">
        <v>412.1050690990656</v>
      </c>
    </row>
    <row r="22" spans="1:49" x14ac:dyDescent="0.25">
      <c r="A22" s="17">
        <v>15</v>
      </c>
      <c r="B22" s="17" t="s">
        <v>218</v>
      </c>
      <c r="C22" s="18">
        <f>$AF$22</f>
        <v>9069.108264298215</v>
      </c>
      <c r="D22" s="19">
        <f>$AG$22*COS(RADIANS($C$5))+$AH$22*SIN(RADIANS($C$5))</f>
        <v>4255.628239895913</v>
      </c>
      <c r="G22" s="7" t="s">
        <v>219</v>
      </c>
      <c r="H22" s="7" t="s">
        <v>218</v>
      </c>
      <c r="I22" s="12">
        <v>10</v>
      </c>
      <c r="J22" s="7" t="s">
        <v>205</v>
      </c>
      <c r="K22" s="12">
        <v>1</v>
      </c>
      <c r="L22" s="10">
        <f>MAX(('Geometry'!$G$13*COS(RADIANS(I22))+'Geometry'!$F$13*SIN(RADIANS(I22))),('Geometry'!$G$14*COS(RADIANS(I22))+'Geometry'!$F$14*SIN(RADIANS(I22))),('Geometry'!$G$15*COS(RADIANS(I22))+'Geometry'!$F$15*SIN(RADIANS(I22))),('Geometry'!$G$16*COS(RADIANS(I22))+'Geometry'!$F$16*SIN(RADIANS(I22))),('Geometry'!$G$17*COS(RADIANS(I22))+'Geometry'!$F$17*SIN(RADIANS(I22))),('Geometry'!$G$18*COS(RADIANS(I22))+'Geometry'!$F$18*SIN(RADIANS(I22))),('Geometry'!$G$19*COS(RADIANS(I22))+'Geometry'!$F$19*SIN(RADIANS(I22))),('Geometry'!$G$20*COS(RADIANS(I22))+'Geometry'!$F$20*SIN(RADIANS(I22))))</f>
        <v>686.3911495241364</v>
      </c>
      <c r="M22" s="10">
        <f>MIN(('Geometry'!$G$40*COS(RADIANS(I22))+'Geometry'!$F$40*SIN(RADIANS(I22))),('Geometry'!$G$41*COS(RADIANS(I22))+'Geometry'!$F$41*SIN(RADIANS(I22))),('Geometry'!$G$42*COS(RADIANS(I22))+'Geometry'!$F$42*SIN(RADIANS(I22))),('Geometry'!$G$43*COS(RADIANS(I22))+'Geometry'!$F$43*SIN(RADIANS(I22))),('Geometry'!$G$44*COS(RADIANS(I22))+'Geometry'!$F$44*SIN(RADIANS(I22))),('Geometry'!$G$45*COS(RADIANS(I22))+'Geometry'!$F$45*SIN(RADIANS(I22))),('Geometry'!$G$46*COS(RADIANS(I22))+'Geometry'!$F$46*SIN(RADIANS(I22))),('Geometry'!$G$47*COS(RADIANS(I22))+'Geometry'!$F$47*SIN(RADIANS(I22))),('Geometry'!$G$48*COS(RADIANS(I22))+'Geometry'!$F$48*SIN(RADIANS(I22))),('Geometry'!$G$49*COS(RADIANS(I22))+'Geometry'!$F$49*SIN(RADIANS(I22))),('Geometry'!$G$50*COS(RADIANS(I22))+'Geometry'!$F$50*SIN(RADIANS(I22))),('Geometry'!$G$51*COS(RADIANS(I22))+'Geometry'!$F$51*SIN(RADIANS(I22))),('Geometry'!$G$52*COS(RADIANS(I22))+'Geometry'!$F$52*SIN(RADIANS(I22))),('Geometry'!$G$53*COS(RADIANS(I22))+'Geometry'!$F$53*SIN(RADIANS(I22))),('Geometry'!$G$54*COS(RADIANS(I22))+'Geometry'!$F$54*SIN(RADIANS(I22))),('Geometry'!$G$55*COS(RADIANS(I22))+'Geometry'!$F$55*SIN(RADIANS(I22))),('Geometry'!$G$56*COS(RADIANS(I22))+'Geometry'!$F$56*SIN(RADIANS(I22))),('Geometry'!$G$57*COS(RADIANS(I22))+'Geometry'!$F$57*SIN(RADIANS(I22))))</f>
        <v>-591.4073801632424</v>
      </c>
      <c r="N22" s="10">
        <f>L22-MIN(('Geometry'!$G$13*COS(RADIANS(I22))+'Geometry'!$F$13*SIN(RADIANS(I22))),('Geometry'!$G$14*COS(RADIANS(I22))+'Geometry'!$F$14*SIN(RADIANS(I22))),('Geometry'!$G$15*COS(RADIANS(I22))+'Geometry'!$F$15*SIN(RADIANS(I22))),('Geometry'!$G$16*COS(RADIANS(I22))+'Geometry'!$F$16*SIN(RADIANS(I22))),('Geometry'!$G$17*COS(RADIANS(I22))+'Geometry'!$F$17*SIN(RADIANS(I22))),('Geometry'!$G$18*COS(RADIANS(I22))+'Geometry'!$F$18*SIN(RADIANS(I22))),('Geometry'!$G$19*COS(RADIANS(I22))+'Geometry'!$F$19*SIN(RADIANS(I22))),('Geometry'!$G$20*COS(RADIANS(I22))+'Geometry'!$F$20*SIN(RADIANS(I22))))</f>
        <v>1372.7822990482728</v>
      </c>
      <c r="O22" s="15">
        <f>C_ecu</f>
        <v>0.0033</v>
      </c>
      <c r="P22" s="15">
        <f>-K22*S_1_fy/S_1_Es</f>
        <v>-0.002</v>
      </c>
      <c r="Q22" s="20">
        <f>IF(ABS(L22-M22)&lt;0.000000000001,0,(O22-P22)/(L22-M22))</f>
        <v>0.000004147758724762876</v>
      </c>
      <c r="R22" s="15">
        <f>O22-Q22*L22</f>
        <v>0.0004530151209612434</v>
      </c>
      <c r="S22" s="20">
        <f>Q22*COS(RADIANS(I22))</f>
        <v>0.00000408474494977051</v>
      </c>
      <c r="T22" s="20">
        <f>Q22*SIN(RADIANS(I22))</f>
        <v>7.202507439571843e-7</v>
      </c>
      <c r="U22" s="10">
        <f>SUMPRODUCT(C_alpha*C_fck*(1-(1-((($R22+$S22*Mesh_Y+$T22*Mesh_X))*(($R22+$S22*Mesh_Y+$T22*Mesh_X)&gt;0)*(($R22+$S22*Mesh_Y+$T22*Mesh_X)&lt;C_eco)+C_eco*(($R22+$S22*Mesh_Y+$T22*Mesh_X)&gt;=C_eco))/C_eco)^C_n)*((($R22+$S22*Mesh_Y+$T22*Mesh_X))&gt;0),Mesh_A)/1000</f>
        <v>13339.831185131256</v>
      </c>
      <c r="V22" s="10">
        <f>SUMPRODUCT(C_alpha*C_fck*(1-(1-((($R22+$S22*Mesh_Y+$T22*Mesh_X))*(($R22+$S22*Mesh_Y+$T22*Mesh_X)&gt;0)*(($R22+$S22*Mesh_Y+$T22*Mesh_X)&lt;C_eco)+C_eco*(($R22+$S22*Mesh_Y+$T22*Mesh_X)&gt;=C_eco))/C_eco)^C_n)*((($R22+$S22*Mesh_Y+$T22*Mesh_X))&gt;0),Mesh_A,Mesh_Y)/1000000</f>
        <v>4681.032151907017</v>
      </c>
      <c r="W22" s="10">
        <f>SUMPRODUCT(C_alpha*C_fck*(1-(1-((($R22+$S22*Mesh_Y+$T22*Mesh_X))*(($R22+$S22*Mesh_Y+$T22*Mesh_X)&gt;0)*(($R22+$S22*Mesh_Y+$T22*Mesh_X)&lt;C_eco)+C_eco*(($R22+$S22*Mesh_Y+$T22*Mesh_X)&gt;=C_eco))/C_eco)^C_n)*((($R22+$S22*Mesh_Y+$T22*Mesh_X))&gt;0),Mesh_A,Mesh_X)/1000000</f>
        <v>781.7693255339644</v>
      </c>
      <c r="X22" s="10">
        <f>(((MAX(MIN(S_1_Es*($R22+$S22*'Geometry'!$G$40+$T22*'Geometry'!$F$40),S_1_fy),-S_1_fy))-(IF(($R22+$S22*'Geometry'!$G$40+$T22*'Geometry'!$F$40)&gt;0,IF(($R22+$S22*'Geometry'!$G$40+$T22*'Geometry'!$F$40)&lt;=C_eco,C_alpha*C_fck*(1-(1-($R22+$S22*'Geometry'!$G$40+$T22*'Geometry'!$F$40)/C_eco)^C_n),C_alpha*C_fck),0)))*'Geometry'!$H$40+((MAX(MIN(S_1_Es*($R22+$S22*'Geometry'!$G$41+$T22*'Geometry'!$F$41),S_1_fy),-S_1_fy))-(IF(($R22+$S22*'Geometry'!$G$41+$T22*'Geometry'!$F$41)&gt;0,IF(($R22+$S22*'Geometry'!$G$41+$T22*'Geometry'!$F$41)&lt;=C_eco,C_alpha*C_fck*(1-(1-($R22+$S22*'Geometry'!$G$41+$T22*'Geometry'!$F$41)/C_eco)^C_n),C_alpha*C_fck),0)))*'Geometry'!$H$41+((MAX(MIN(S_1_Es*($R22+$S22*'Geometry'!$G$42+$T22*'Geometry'!$F$42),S_1_fy),-S_1_fy))-(IF(($R22+$S22*'Geometry'!$G$42+$T22*'Geometry'!$F$42)&gt;0,IF(($R22+$S22*'Geometry'!$G$42+$T22*'Geometry'!$F$42)&lt;=C_eco,C_alpha*C_fck*(1-(1-($R22+$S22*'Geometry'!$G$42+$T22*'Geometry'!$F$42)/C_eco)^C_n),C_alpha*C_fck),0)))*'Geometry'!$H$42+((MAX(MIN(S_1_Es*($R22+$S22*'Geometry'!$G$43+$T22*'Geometry'!$F$43),S_1_fy),-S_1_fy))-(IF(($R22+$S22*'Geometry'!$G$43+$T22*'Geometry'!$F$43)&gt;0,IF(($R22+$S22*'Geometry'!$G$43+$T22*'Geometry'!$F$43)&lt;=C_eco,C_alpha*C_fck*(1-(1-($R22+$S22*'Geometry'!$G$43+$T22*'Geometry'!$F$43)/C_eco)^C_n),C_alpha*C_fck),0)))*'Geometry'!$H$43+((MAX(MIN(S_1_Es*($R22+$S22*'Geometry'!$G$44+$T22*'Geometry'!$F$44),S_1_fy),-S_1_fy))-(IF(($R22+$S22*'Geometry'!$G$44+$T22*'Geometry'!$F$44)&gt;0,IF(($R22+$S22*'Geometry'!$G$44+$T22*'Geometry'!$F$44)&lt;=C_eco,C_alpha*C_fck*(1-(1-($R22+$S22*'Geometry'!$G$44+$T22*'Geometry'!$F$44)/C_eco)^C_n),C_alpha*C_fck),0)))*'Geometry'!$H$44+((MAX(MIN(S_1_Es*($R22+$S22*'Geometry'!$G$45+$T22*'Geometry'!$F$45),S_1_fy),-S_1_fy))-(IF(($R22+$S22*'Geometry'!$G$45+$T22*'Geometry'!$F$45)&gt;0,IF(($R22+$S22*'Geometry'!$G$45+$T22*'Geometry'!$F$45)&lt;=C_eco,C_alpha*C_fck*(1-(1-($R22+$S22*'Geometry'!$G$45+$T22*'Geometry'!$F$45)/C_eco)^C_n),C_alpha*C_fck),0)))*'Geometry'!$H$45+((MAX(MIN(S_1_Es*($R22+$S22*'Geometry'!$G$46+$T22*'Geometry'!$F$46),S_1_fy),-S_1_fy))-(IF(($R22+$S22*'Geometry'!$G$46+$T22*'Geometry'!$F$46)&gt;0,IF(($R22+$S22*'Geometry'!$G$46+$T22*'Geometry'!$F$46)&lt;=C_eco,C_alpha*C_fck*(1-(1-($R22+$S22*'Geometry'!$G$46+$T22*'Geometry'!$F$46)/C_eco)^C_n),C_alpha*C_fck),0)))*'Geometry'!$H$46+((MAX(MIN(S_1_Es*($R22+$S22*'Geometry'!$G$47+$T22*'Geometry'!$F$47),S_1_fy),-S_1_fy))-(IF(($R22+$S22*'Geometry'!$G$47+$T22*'Geometry'!$F$47)&gt;0,IF(($R22+$S22*'Geometry'!$G$47+$T22*'Geometry'!$F$47)&lt;=C_eco,C_alpha*C_fck*(1-(1-($R22+$S22*'Geometry'!$G$47+$T22*'Geometry'!$F$47)/C_eco)^C_n),C_alpha*C_fck),0)))*'Geometry'!$H$47+((MAX(MIN(S_1_Es*($R22+$S22*'Geometry'!$G$48+$T22*'Geometry'!$F$48),S_1_fy),-S_1_fy))-(IF(($R22+$S22*'Geometry'!$G$48+$T22*'Geometry'!$F$48)&gt;0,IF(($R22+$S22*'Geometry'!$G$48+$T22*'Geometry'!$F$48)&lt;=C_eco,C_alpha*C_fck*(1-(1-($R22+$S22*'Geometry'!$G$48+$T22*'Geometry'!$F$48)/C_eco)^C_n),C_alpha*C_fck),0)))*'Geometry'!$H$48+((MAX(MIN(S_1_Es*($R22+$S22*'Geometry'!$G$49+$T22*'Geometry'!$F$49),S_1_fy),-S_1_fy))-(IF(($R22+$S22*'Geometry'!$G$49+$T22*'Geometry'!$F$49)&gt;0,IF(($R22+$S22*'Geometry'!$G$49+$T22*'Geometry'!$F$49)&lt;=C_eco,C_alpha*C_fck*(1-(1-($R22+$S22*'Geometry'!$G$49+$T22*'Geometry'!$F$49)/C_eco)^C_n),C_alpha*C_fck),0)))*'Geometry'!$H$49+((MAX(MIN(S_1_Es*($R22+$S22*'Geometry'!$G$50+$T22*'Geometry'!$F$50),S_1_fy),-S_1_fy))-(IF(($R22+$S22*'Geometry'!$G$50+$T22*'Geometry'!$F$50)&gt;0,IF(($R22+$S22*'Geometry'!$G$50+$T22*'Geometry'!$F$50)&lt;=C_eco,C_alpha*C_fck*(1-(1-($R22+$S22*'Geometry'!$G$50+$T22*'Geometry'!$F$50)/C_eco)^C_n),C_alpha*C_fck),0)))*'Geometry'!$H$50+((MAX(MIN(S_1_Es*($R22+$S22*'Geometry'!$G$51+$T22*'Geometry'!$F$51),S_1_fy),-S_1_fy))-(IF(($R22+$S22*'Geometry'!$G$51+$T22*'Geometry'!$F$51)&gt;0,IF(($R22+$S22*'Geometry'!$G$51+$T22*'Geometry'!$F$51)&lt;=C_eco,C_alpha*C_fck*(1-(1-($R22+$S22*'Geometry'!$G$51+$T22*'Geometry'!$F$51)/C_eco)^C_n),C_alpha*C_fck),0)))*'Geometry'!$H$51+((MAX(MIN(S_1_Es*($R22+$S22*'Geometry'!$G$52+$T22*'Geometry'!$F$52),S_1_fy),-S_1_fy))-(IF(($R22+$S22*'Geometry'!$G$52+$T22*'Geometry'!$F$52)&gt;0,IF(($R22+$S22*'Geometry'!$G$52+$T22*'Geometry'!$F$52)&lt;=C_eco,C_alpha*C_fck*(1-(1-($R22+$S22*'Geometry'!$G$52+$T22*'Geometry'!$F$52)/C_eco)^C_n),C_alpha*C_fck),0)))*'Geometry'!$H$52+((MAX(MIN(S_1_Es*($R22+$S22*'Geometry'!$G$53+$T22*'Geometry'!$F$53),S_1_fy),-S_1_fy))-(IF(($R22+$S22*'Geometry'!$G$53+$T22*'Geometry'!$F$53)&gt;0,IF(($R22+$S22*'Geometry'!$G$53+$T22*'Geometry'!$F$53)&lt;=C_eco,C_alpha*C_fck*(1-(1-($R22+$S22*'Geometry'!$G$53+$T22*'Geometry'!$F$53)/C_eco)^C_n),C_alpha*C_fck),0)))*'Geometry'!$H$53+((MAX(MIN(S_1_Es*($R22+$S22*'Geometry'!$G$54+$T22*'Geometry'!$F$54),S_1_fy),-S_1_fy))-(IF(($R22+$S22*'Geometry'!$G$54+$T22*'Geometry'!$F$54)&gt;0,IF(($R22+$S22*'Geometry'!$G$54+$T22*'Geometry'!$F$54)&lt;=C_eco,C_alpha*C_fck*(1-(1-($R22+$S22*'Geometry'!$G$54+$T22*'Geometry'!$F$54)/C_eco)^C_n),C_alpha*C_fck),0)))*'Geometry'!$H$54+((MAX(MIN(S_1_Es*($R22+$S22*'Geometry'!$G$55+$T22*'Geometry'!$F$55),S_1_fy),-S_1_fy))-(IF(($R22+$S22*'Geometry'!$G$55+$T22*'Geometry'!$F$55)&gt;0,IF(($R22+$S22*'Geometry'!$G$55+$T22*'Geometry'!$F$55)&lt;=C_eco,C_alpha*C_fck*(1-(1-($R22+$S22*'Geometry'!$G$55+$T22*'Geometry'!$F$55)/C_eco)^C_n),C_alpha*C_fck),0)))*'Geometry'!$H$55+((MAX(MIN(S_1_Es*($R22+$S22*'Geometry'!$G$56+$T22*'Geometry'!$F$56),S_1_fy),-S_1_fy))-(IF(($R22+$S22*'Geometry'!$G$56+$T22*'Geometry'!$F$56)&gt;0,IF(($R22+$S22*'Geometry'!$G$56+$T22*'Geometry'!$F$56)&lt;=C_eco,C_alpha*C_fck*(1-(1-($R22+$S22*'Geometry'!$G$56+$T22*'Geometry'!$F$56)/C_eco)^C_n),C_alpha*C_fck),0)))*'Geometry'!$H$56+((MAX(MIN(S_1_Es*($R22+$S22*'Geometry'!$G$57+$T22*'Geometry'!$F$57),S_1_fy),-S_1_fy))-(IF(($R22+$S22*'Geometry'!$G$57+$T22*'Geometry'!$F$57)&gt;0,IF(($R22+$S22*'Geometry'!$G$57+$T22*'Geometry'!$F$57)&lt;=C_eco,C_alpha*C_fck*(1-(1-($R22+$S22*'Geometry'!$G$57+$T22*'Geometry'!$F$57)/C_eco)^C_n),C_alpha*C_fck),0)))*'Geometry'!$H$57)/1000</f>
        <v>612.6430676352308</v>
      </c>
      <c r="Y22" s="10">
        <f>(((MAX(MIN(S_1_Es*($R22+$S22*'Geometry'!$G$40+$T22*'Geometry'!$F$40),S_1_fy),-S_1_fy))-(IF(($R22+$S22*'Geometry'!$G$40+$T22*'Geometry'!$F$40)&gt;0,IF(($R22+$S22*'Geometry'!$G$40+$T22*'Geometry'!$F$40)&lt;=C_eco,C_alpha*C_fck*(1-(1-($R22+$S22*'Geometry'!$G$40+$T22*'Geometry'!$F$40)/C_eco)^C_n),C_alpha*C_fck),0)))*'Geometry'!$H$40*'Geometry'!$G$40+((MAX(MIN(S_1_Es*($R22+$S22*'Geometry'!$G$41+$T22*'Geometry'!$F$41),S_1_fy),-S_1_fy))-(IF(($R22+$S22*'Geometry'!$G$41+$T22*'Geometry'!$F$41)&gt;0,IF(($R22+$S22*'Geometry'!$G$41+$T22*'Geometry'!$F$41)&lt;=C_eco,C_alpha*C_fck*(1-(1-($R22+$S22*'Geometry'!$G$41+$T22*'Geometry'!$F$41)/C_eco)^C_n),C_alpha*C_fck),0)))*'Geometry'!$H$41*'Geometry'!$G$41+((MAX(MIN(S_1_Es*($R22+$S22*'Geometry'!$G$42+$T22*'Geometry'!$F$42),S_1_fy),-S_1_fy))-(IF(($R22+$S22*'Geometry'!$G$42+$T22*'Geometry'!$F$42)&gt;0,IF(($R22+$S22*'Geometry'!$G$42+$T22*'Geometry'!$F$42)&lt;=C_eco,C_alpha*C_fck*(1-(1-($R22+$S22*'Geometry'!$G$42+$T22*'Geometry'!$F$42)/C_eco)^C_n),C_alpha*C_fck),0)))*'Geometry'!$H$42*'Geometry'!$G$42+((MAX(MIN(S_1_Es*($R22+$S22*'Geometry'!$G$43+$T22*'Geometry'!$F$43),S_1_fy),-S_1_fy))-(IF(($R22+$S22*'Geometry'!$G$43+$T22*'Geometry'!$F$43)&gt;0,IF(($R22+$S22*'Geometry'!$G$43+$T22*'Geometry'!$F$43)&lt;=C_eco,C_alpha*C_fck*(1-(1-($R22+$S22*'Geometry'!$G$43+$T22*'Geometry'!$F$43)/C_eco)^C_n),C_alpha*C_fck),0)))*'Geometry'!$H$43*'Geometry'!$G$43+((MAX(MIN(S_1_Es*($R22+$S22*'Geometry'!$G$44+$T22*'Geometry'!$F$44),S_1_fy),-S_1_fy))-(IF(($R22+$S22*'Geometry'!$G$44+$T22*'Geometry'!$F$44)&gt;0,IF(($R22+$S22*'Geometry'!$G$44+$T22*'Geometry'!$F$44)&lt;=C_eco,C_alpha*C_fck*(1-(1-($R22+$S22*'Geometry'!$G$44+$T22*'Geometry'!$F$44)/C_eco)^C_n),C_alpha*C_fck),0)))*'Geometry'!$H$44*'Geometry'!$G$44+((MAX(MIN(S_1_Es*($R22+$S22*'Geometry'!$G$45+$T22*'Geometry'!$F$45),S_1_fy),-S_1_fy))-(IF(($R22+$S22*'Geometry'!$G$45+$T22*'Geometry'!$F$45)&gt;0,IF(($R22+$S22*'Geometry'!$G$45+$T22*'Geometry'!$F$45)&lt;=C_eco,C_alpha*C_fck*(1-(1-($R22+$S22*'Geometry'!$G$45+$T22*'Geometry'!$F$45)/C_eco)^C_n),C_alpha*C_fck),0)))*'Geometry'!$H$45*'Geometry'!$G$45+((MAX(MIN(S_1_Es*($R22+$S22*'Geometry'!$G$46+$T22*'Geometry'!$F$46),S_1_fy),-S_1_fy))-(IF(($R22+$S22*'Geometry'!$G$46+$T22*'Geometry'!$F$46)&gt;0,IF(($R22+$S22*'Geometry'!$G$46+$T22*'Geometry'!$F$46)&lt;=C_eco,C_alpha*C_fck*(1-(1-($R22+$S22*'Geometry'!$G$46+$T22*'Geometry'!$F$46)/C_eco)^C_n),C_alpha*C_fck),0)))*'Geometry'!$H$46*'Geometry'!$G$46+((MAX(MIN(S_1_Es*($R22+$S22*'Geometry'!$G$47+$T22*'Geometry'!$F$47),S_1_fy),-S_1_fy))-(IF(($R22+$S22*'Geometry'!$G$47+$T22*'Geometry'!$F$47)&gt;0,IF(($R22+$S22*'Geometry'!$G$47+$T22*'Geometry'!$F$47)&lt;=C_eco,C_alpha*C_fck*(1-(1-($R22+$S22*'Geometry'!$G$47+$T22*'Geometry'!$F$47)/C_eco)^C_n),C_alpha*C_fck),0)))*'Geometry'!$H$47*'Geometry'!$G$47+((MAX(MIN(S_1_Es*($R22+$S22*'Geometry'!$G$48+$T22*'Geometry'!$F$48),S_1_fy),-S_1_fy))-(IF(($R22+$S22*'Geometry'!$G$48+$T22*'Geometry'!$F$48)&gt;0,IF(($R22+$S22*'Geometry'!$G$48+$T22*'Geometry'!$F$48)&lt;=C_eco,C_alpha*C_fck*(1-(1-($R22+$S22*'Geometry'!$G$48+$T22*'Geometry'!$F$48)/C_eco)^C_n),C_alpha*C_fck),0)))*'Geometry'!$H$48*'Geometry'!$G$48+((MAX(MIN(S_1_Es*($R22+$S22*'Geometry'!$G$49+$T22*'Geometry'!$F$49),S_1_fy),-S_1_fy))-(IF(($R22+$S22*'Geometry'!$G$49+$T22*'Geometry'!$F$49)&gt;0,IF(($R22+$S22*'Geometry'!$G$49+$T22*'Geometry'!$F$49)&lt;=C_eco,C_alpha*C_fck*(1-(1-($R22+$S22*'Geometry'!$G$49+$T22*'Geometry'!$F$49)/C_eco)^C_n),C_alpha*C_fck),0)))*'Geometry'!$H$49*'Geometry'!$G$49+((MAX(MIN(S_1_Es*($R22+$S22*'Geometry'!$G$50+$T22*'Geometry'!$F$50),S_1_fy),-S_1_fy))-(IF(($R22+$S22*'Geometry'!$G$50+$T22*'Geometry'!$F$50)&gt;0,IF(($R22+$S22*'Geometry'!$G$50+$T22*'Geometry'!$F$50)&lt;=C_eco,C_alpha*C_fck*(1-(1-($R22+$S22*'Geometry'!$G$50+$T22*'Geometry'!$F$50)/C_eco)^C_n),C_alpha*C_fck),0)))*'Geometry'!$H$50*'Geometry'!$G$50+((MAX(MIN(S_1_Es*($R22+$S22*'Geometry'!$G$51+$T22*'Geometry'!$F$51),S_1_fy),-S_1_fy))-(IF(($R22+$S22*'Geometry'!$G$51+$T22*'Geometry'!$F$51)&gt;0,IF(($R22+$S22*'Geometry'!$G$51+$T22*'Geometry'!$F$51)&lt;=C_eco,C_alpha*C_fck*(1-(1-($R22+$S22*'Geometry'!$G$51+$T22*'Geometry'!$F$51)/C_eco)^C_n),C_alpha*C_fck),0)))*'Geometry'!$H$51*'Geometry'!$G$51+((MAX(MIN(S_1_Es*($R22+$S22*'Geometry'!$G$52+$T22*'Geometry'!$F$52),S_1_fy),-S_1_fy))-(IF(($R22+$S22*'Geometry'!$G$52+$T22*'Geometry'!$F$52)&gt;0,IF(($R22+$S22*'Geometry'!$G$52+$T22*'Geometry'!$F$52)&lt;=C_eco,C_alpha*C_fck*(1-(1-($R22+$S22*'Geometry'!$G$52+$T22*'Geometry'!$F$52)/C_eco)^C_n),C_alpha*C_fck),0)))*'Geometry'!$H$52*'Geometry'!$G$52+((MAX(MIN(S_1_Es*($R22+$S22*'Geometry'!$G$53+$T22*'Geometry'!$F$53),S_1_fy),-S_1_fy))-(IF(($R22+$S22*'Geometry'!$G$53+$T22*'Geometry'!$F$53)&gt;0,IF(($R22+$S22*'Geometry'!$G$53+$T22*'Geometry'!$F$53)&lt;=C_eco,C_alpha*C_fck*(1-(1-($R22+$S22*'Geometry'!$G$53+$T22*'Geometry'!$F$53)/C_eco)^C_n),C_alpha*C_fck),0)))*'Geometry'!$H$53*'Geometry'!$G$53+((MAX(MIN(S_1_Es*($R22+$S22*'Geometry'!$G$54+$T22*'Geometry'!$F$54),S_1_fy),-S_1_fy))-(IF(($R22+$S22*'Geometry'!$G$54+$T22*'Geometry'!$F$54)&gt;0,IF(($R22+$S22*'Geometry'!$G$54+$T22*'Geometry'!$F$54)&lt;=C_eco,C_alpha*C_fck*(1-(1-($R22+$S22*'Geometry'!$G$54+$T22*'Geometry'!$F$54)/C_eco)^C_n),C_alpha*C_fck),0)))*'Geometry'!$H$54*'Geometry'!$G$54+((MAX(MIN(S_1_Es*($R22+$S22*'Geometry'!$G$55+$T22*'Geometry'!$F$55),S_1_fy),-S_1_fy))-(IF(($R22+$S22*'Geometry'!$G$55+$T22*'Geometry'!$F$55)&gt;0,IF(($R22+$S22*'Geometry'!$G$55+$T22*'Geometry'!$F$55)&lt;=C_eco,C_alpha*C_fck*(1-(1-($R22+$S22*'Geometry'!$G$55+$T22*'Geometry'!$F$55)/C_eco)^C_n),C_alpha*C_fck),0)))*'Geometry'!$H$55*'Geometry'!$G$55+((MAX(MIN(S_1_Es*($R22+$S22*'Geometry'!$G$56+$T22*'Geometry'!$F$56),S_1_fy),-S_1_fy))-(IF(($R22+$S22*'Geometry'!$G$56+$T22*'Geometry'!$F$56)&gt;0,IF(($R22+$S22*'Geometry'!$G$56+$T22*'Geometry'!$F$56)&lt;=C_eco,C_alpha*C_fck*(1-(1-($R22+$S22*'Geometry'!$G$56+$T22*'Geometry'!$F$56)/C_eco)^C_n),C_alpha*C_fck),0)))*'Geometry'!$H$56*'Geometry'!$G$56+((MAX(MIN(S_1_Es*($R22+$S22*'Geometry'!$G$57+$T22*'Geometry'!$F$57),S_1_fy),-S_1_fy))-(IF(($R22+$S22*'Geometry'!$G$57+$T22*'Geometry'!$F$57)&gt;0,IF(($R22+$S22*'Geometry'!$G$57+$T22*'Geometry'!$F$57)&lt;=C_eco,C_alpha*C_fck*(1-(1-($R22+$S22*'Geometry'!$G$57+$T22*'Geometry'!$F$57)/C_eco)^C_n),C_alpha*C_fck),0)))*'Geometry'!$H$57*'Geometry'!$G$57)/1000000</f>
        <v>1769.6802014986604</v>
      </c>
      <c r="Z22" s="10">
        <f>(((MAX(MIN(S_1_Es*($R22+$S22*'Geometry'!$G$40+$T22*'Geometry'!$F$40),S_1_fy),-S_1_fy))-(IF(($R22+$S22*'Geometry'!$G$40+$T22*'Geometry'!$F$40)&gt;0,IF(($R22+$S22*'Geometry'!$G$40+$T22*'Geometry'!$F$40)&lt;=C_eco,C_alpha*C_fck*(1-(1-($R22+$S22*'Geometry'!$G$40+$T22*'Geometry'!$F$40)/C_eco)^C_n),C_alpha*C_fck),0)))*'Geometry'!$H$40*'Geometry'!$F$40+((MAX(MIN(S_1_Es*($R22+$S22*'Geometry'!$G$41+$T22*'Geometry'!$F$41),S_1_fy),-S_1_fy))-(IF(($R22+$S22*'Geometry'!$G$41+$T22*'Geometry'!$F$41)&gt;0,IF(($R22+$S22*'Geometry'!$G$41+$T22*'Geometry'!$F$41)&lt;=C_eco,C_alpha*C_fck*(1-(1-($R22+$S22*'Geometry'!$G$41+$T22*'Geometry'!$F$41)/C_eco)^C_n),C_alpha*C_fck),0)))*'Geometry'!$H$41*'Geometry'!$F$41+((MAX(MIN(S_1_Es*($R22+$S22*'Geometry'!$G$42+$T22*'Geometry'!$F$42),S_1_fy),-S_1_fy))-(IF(($R22+$S22*'Geometry'!$G$42+$T22*'Geometry'!$F$42)&gt;0,IF(($R22+$S22*'Geometry'!$G$42+$T22*'Geometry'!$F$42)&lt;=C_eco,C_alpha*C_fck*(1-(1-($R22+$S22*'Geometry'!$G$42+$T22*'Geometry'!$F$42)/C_eco)^C_n),C_alpha*C_fck),0)))*'Geometry'!$H$42*'Geometry'!$F$42+((MAX(MIN(S_1_Es*($R22+$S22*'Geometry'!$G$43+$T22*'Geometry'!$F$43),S_1_fy),-S_1_fy))-(IF(($R22+$S22*'Geometry'!$G$43+$T22*'Geometry'!$F$43)&gt;0,IF(($R22+$S22*'Geometry'!$G$43+$T22*'Geometry'!$F$43)&lt;=C_eco,C_alpha*C_fck*(1-(1-($R22+$S22*'Geometry'!$G$43+$T22*'Geometry'!$F$43)/C_eco)^C_n),C_alpha*C_fck),0)))*'Geometry'!$H$43*'Geometry'!$F$43+((MAX(MIN(S_1_Es*($R22+$S22*'Geometry'!$G$44+$T22*'Geometry'!$F$44),S_1_fy),-S_1_fy))-(IF(($R22+$S22*'Geometry'!$G$44+$T22*'Geometry'!$F$44)&gt;0,IF(($R22+$S22*'Geometry'!$G$44+$T22*'Geometry'!$F$44)&lt;=C_eco,C_alpha*C_fck*(1-(1-($R22+$S22*'Geometry'!$G$44+$T22*'Geometry'!$F$44)/C_eco)^C_n),C_alpha*C_fck),0)))*'Geometry'!$H$44*'Geometry'!$F$44+((MAX(MIN(S_1_Es*($R22+$S22*'Geometry'!$G$45+$T22*'Geometry'!$F$45),S_1_fy),-S_1_fy))-(IF(($R22+$S22*'Geometry'!$G$45+$T22*'Geometry'!$F$45)&gt;0,IF(($R22+$S22*'Geometry'!$G$45+$T22*'Geometry'!$F$45)&lt;=C_eco,C_alpha*C_fck*(1-(1-($R22+$S22*'Geometry'!$G$45+$T22*'Geometry'!$F$45)/C_eco)^C_n),C_alpha*C_fck),0)))*'Geometry'!$H$45*'Geometry'!$F$45+((MAX(MIN(S_1_Es*($R22+$S22*'Geometry'!$G$46+$T22*'Geometry'!$F$46),S_1_fy),-S_1_fy))-(IF(($R22+$S22*'Geometry'!$G$46+$T22*'Geometry'!$F$46)&gt;0,IF(($R22+$S22*'Geometry'!$G$46+$T22*'Geometry'!$F$46)&lt;=C_eco,C_alpha*C_fck*(1-(1-($R22+$S22*'Geometry'!$G$46+$T22*'Geometry'!$F$46)/C_eco)^C_n),C_alpha*C_fck),0)))*'Geometry'!$H$46*'Geometry'!$F$46+((MAX(MIN(S_1_Es*($R22+$S22*'Geometry'!$G$47+$T22*'Geometry'!$F$47),S_1_fy),-S_1_fy))-(IF(($R22+$S22*'Geometry'!$G$47+$T22*'Geometry'!$F$47)&gt;0,IF(($R22+$S22*'Geometry'!$G$47+$T22*'Geometry'!$F$47)&lt;=C_eco,C_alpha*C_fck*(1-(1-($R22+$S22*'Geometry'!$G$47+$T22*'Geometry'!$F$47)/C_eco)^C_n),C_alpha*C_fck),0)))*'Geometry'!$H$47*'Geometry'!$F$47+((MAX(MIN(S_1_Es*($R22+$S22*'Geometry'!$G$48+$T22*'Geometry'!$F$48),S_1_fy),-S_1_fy))-(IF(($R22+$S22*'Geometry'!$G$48+$T22*'Geometry'!$F$48)&gt;0,IF(($R22+$S22*'Geometry'!$G$48+$T22*'Geometry'!$F$48)&lt;=C_eco,C_alpha*C_fck*(1-(1-($R22+$S22*'Geometry'!$G$48+$T22*'Geometry'!$F$48)/C_eco)^C_n),C_alpha*C_fck),0)))*'Geometry'!$H$48*'Geometry'!$F$48+((MAX(MIN(S_1_Es*($R22+$S22*'Geometry'!$G$49+$T22*'Geometry'!$F$49),S_1_fy),-S_1_fy))-(IF(($R22+$S22*'Geometry'!$G$49+$T22*'Geometry'!$F$49)&gt;0,IF(($R22+$S22*'Geometry'!$G$49+$T22*'Geometry'!$F$49)&lt;=C_eco,C_alpha*C_fck*(1-(1-($R22+$S22*'Geometry'!$G$49+$T22*'Geometry'!$F$49)/C_eco)^C_n),C_alpha*C_fck),0)))*'Geometry'!$H$49*'Geometry'!$F$49+((MAX(MIN(S_1_Es*($R22+$S22*'Geometry'!$G$50+$T22*'Geometry'!$F$50),S_1_fy),-S_1_fy))-(IF(($R22+$S22*'Geometry'!$G$50+$T22*'Geometry'!$F$50)&gt;0,IF(($R22+$S22*'Geometry'!$G$50+$T22*'Geometry'!$F$50)&lt;=C_eco,C_alpha*C_fck*(1-(1-($R22+$S22*'Geometry'!$G$50+$T22*'Geometry'!$F$50)/C_eco)^C_n),C_alpha*C_fck),0)))*'Geometry'!$H$50*'Geometry'!$F$50+((MAX(MIN(S_1_Es*($R22+$S22*'Geometry'!$G$51+$T22*'Geometry'!$F$51),S_1_fy),-S_1_fy))-(IF(($R22+$S22*'Geometry'!$G$51+$T22*'Geometry'!$F$51)&gt;0,IF(($R22+$S22*'Geometry'!$G$51+$T22*'Geometry'!$F$51)&lt;=C_eco,C_alpha*C_fck*(1-(1-($R22+$S22*'Geometry'!$G$51+$T22*'Geometry'!$F$51)/C_eco)^C_n),C_alpha*C_fck),0)))*'Geometry'!$H$51*'Geometry'!$F$51+((MAX(MIN(S_1_Es*($R22+$S22*'Geometry'!$G$52+$T22*'Geometry'!$F$52),S_1_fy),-S_1_fy))-(IF(($R22+$S22*'Geometry'!$G$52+$T22*'Geometry'!$F$52)&gt;0,IF(($R22+$S22*'Geometry'!$G$52+$T22*'Geometry'!$F$52)&lt;=C_eco,C_alpha*C_fck*(1-(1-($R22+$S22*'Geometry'!$G$52+$T22*'Geometry'!$F$52)/C_eco)^C_n),C_alpha*C_fck),0)))*'Geometry'!$H$52*'Geometry'!$F$52+((MAX(MIN(S_1_Es*($R22+$S22*'Geometry'!$G$53+$T22*'Geometry'!$F$53),S_1_fy),-S_1_fy))-(IF(($R22+$S22*'Geometry'!$G$53+$T22*'Geometry'!$F$53)&gt;0,IF(($R22+$S22*'Geometry'!$G$53+$T22*'Geometry'!$F$53)&lt;=C_eco,C_alpha*C_fck*(1-(1-($R22+$S22*'Geometry'!$G$53+$T22*'Geometry'!$F$53)/C_eco)^C_n),C_alpha*C_fck),0)))*'Geometry'!$H$53*'Geometry'!$F$53+((MAX(MIN(S_1_Es*($R22+$S22*'Geometry'!$G$54+$T22*'Geometry'!$F$54),S_1_fy),-S_1_fy))-(IF(($R22+$S22*'Geometry'!$G$54+$T22*'Geometry'!$F$54)&gt;0,IF(($R22+$S22*'Geometry'!$G$54+$T22*'Geometry'!$F$54)&lt;=C_eco,C_alpha*C_fck*(1-(1-($R22+$S22*'Geometry'!$G$54+$T22*'Geometry'!$F$54)/C_eco)^C_n),C_alpha*C_fck),0)))*'Geometry'!$H$54*'Geometry'!$F$54+((MAX(MIN(S_1_Es*($R22+$S22*'Geometry'!$G$55+$T22*'Geometry'!$F$55),S_1_fy),-S_1_fy))-(IF(($R22+$S22*'Geometry'!$G$55+$T22*'Geometry'!$F$55)&gt;0,IF(($R22+$S22*'Geometry'!$G$55+$T22*'Geometry'!$F$55)&lt;=C_eco,C_alpha*C_fck*(1-(1-($R22+$S22*'Geometry'!$G$55+$T22*'Geometry'!$F$55)/C_eco)^C_n),C_alpha*C_fck),0)))*'Geometry'!$H$55*'Geometry'!$F$55+((MAX(MIN(S_1_Es*($R22+$S22*'Geometry'!$G$56+$T22*'Geometry'!$F$56),S_1_fy),-S_1_fy))-(IF(($R22+$S22*'Geometry'!$G$56+$T22*'Geometry'!$F$56)&gt;0,IF(($R22+$S22*'Geometry'!$G$56+$T22*'Geometry'!$F$56)&lt;=C_eco,C_alpha*C_fck*(1-(1-($R22+$S22*'Geometry'!$G$56+$T22*'Geometry'!$F$56)/C_eco)^C_n),C_alpha*C_fck),0)))*'Geometry'!$H$56*'Geometry'!$F$56+((MAX(MIN(S_1_Es*($R22+$S22*'Geometry'!$G$57+$T22*'Geometry'!$F$57),S_1_fy),-S_1_fy))-(IF(($R22+$S22*'Geometry'!$G$57+$T22*'Geometry'!$F$57)&gt;0,IF(($R22+$S22*'Geometry'!$G$57+$T22*'Geometry'!$F$57)&lt;=C_eco,C_alpha*C_fck*(1-(1-($R22+$S22*'Geometry'!$G$57+$T22*'Geometry'!$F$57)/C_eco)^C_n),C_alpha*C_fck),0)))*'Geometry'!$H$57*'Geometry'!$F$57)/1000000</f>
        <v>439.9750357780149</v>
      </c>
      <c r="AA22" s="10">
        <f>U22+X22</f>
        <v>13952.474252766486</v>
      </c>
      <c r="AB22" s="10">
        <f>V22+Y22</f>
        <v>6450.712353405677</v>
      </c>
      <c r="AC22" s="10">
        <f>W22+Z22</f>
        <v>1221.7443613119792</v>
      </c>
      <c r="AD22" s="7">
        <v>0.6499999999999999</v>
      </c>
      <c r="AE22" s="7">
        <v>0.65</v>
      </c>
      <c r="AF22" s="10">
        <f>AA22*AD22</f>
        <v>9069.108264298215</v>
      </c>
      <c r="AG22" s="10">
        <f>AB22*AE22</f>
        <v>4192.96302971369</v>
      </c>
      <c r="AH22" s="10">
        <f>AC22*AE22</f>
        <v>794.1338348527865</v>
      </c>
      <c r="AI22" s="7">
        <v>9069.108264298215</v>
      </c>
      <c r="AJ22" s="7">
        <v>4192.96302971369</v>
      </c>
      <c r="AK22" s="7">
        <v>794.1338348527865</v>
      </c>
      <c r="AL22" s="15">
        <f>AF22-AI22</f>
        <v>0</v>
      </c>
      <c r="AM22" s="15">
        <f>SQRT((AG22-AJ22)^2+(AH22-AK22)^2)</f>
        <v>0</v>
      </c>
      <c r="AN22" s="7" t="s">
        <v>189</v>
      </c>
      <c r="AO22" s="7">
        <v>13952.474252766486</v>
      </c>
      <c r="AP22" s="7">
        <v>6450.712353405677</v>
      </c>
      <c r="AQ22" s="7">
        <v>1221.7443613119792</v>
      </c>
      <c r="AR22" s="7">
        <v>13339.831185131256</v>
      </c>
      <c r="AS22" s="7">
        <v>4681.032151907017</v>
      </c>
      <c r="AT22" s="7">
        <v>781.7693255339644</v>
      </c>
      <c r="AU22" s="7">
        <v>612.6430676352308</v>
      </c>
      <c r="AV22" s="7">
        <v>1769.6802014986604</v>
      </c>
      <c r="AW22" s="7">
        <v>439.9750357780149</v>
      </c>
    </row>
    <row r="23" spans="1:49" x14ac:dyDescent="0.25">
      <c r="A23">
        <v>16</v>
      </c>
      <c r="B23" t="s">
        <v>220</v>
      </c>
      <c r="C23" s="21">
        <f>$AF$23</f>
        <v>8489.051615140777</v>
      </c>
      <c r="D23" s="22">
        <f>$AG$23*COS(RADIANS($C$5))+$AH$23*SIN(RADIANS($C$5))</f>
        <v>4528.251356062766</v>
      </c>
      <c r="G23" s="7" t="s">
        <v>221</v>
      </c>
      <c r="H23" s="7" t="s">
        <v>220</v>
      </c>
      <c r="I23" s="12">
        <v>10</v>
      </c>
      <c r="J23" s="7" t="s">
        <v>205</v>
      </c>
      <c r="K23" s="12">
        <v>1.2499999999999998</v>
      </c>
      <c r="L23" s="10">
        <f>MAX(('Geometry'!$G$13*COS(RADIANS(I23))+'Geometry'!$F$13*SIN(RADIANS(I23))),('Geometry'!$G$14*COS(RADIANS(I23))+'Geometry'!$F$14*SIN(RADIANS(I23))),('Geometry'!$G$15*COS(RADIANS(I23))+'Geometry'!$F$15*SIN(RADIANS(I23))),('Geometry'!$G$16*COS(RADIANS(I23))+'Geometry'!$F$16*SIN(RADIANS(I23))),('Geometry'!$G$17*COS(RADIANS(I23))+'Geometry'!$F$17*SIN(RADIANS(I23))),('Geometry'!$G$18*COS(RADIANS(I23))+'Geometry'!$F$18*SIN(RADIANS(I23))),('Geometry'!$G$19*COS(RADIANS(I23))+'Geometry'!$F$19*SIN(RADIANS(I23))),('Geometry'!$G$20*COS(RADIANS(I23))+'Geometry'!$F$20*SIN(RADIANS(I23))))</f>
        <v>686.3911495241364</v>
      </c>
      <c r="M23" s="10">
        <f>MIN(('Geometry'!$G$40*COS(RADIANS(I23))+'Geometry'!$F$40*SIN(RADIANS(I23))),('Geometry'!$G$41*COS(RADIANS(I23))+'Geometry'!$F$41*SIN(RADIANS(I23))),('Geometry'!$G$42*COS(RADIANS(I23))+'Geometry'!$F$42*SIN(RADIANS(I23))),('Geometry'!$G$43*COS(RADIANS(I23))+'Geometry'!$F$43*SIN(RADIANS(I23))),('Geometry'!$G$44*COS(RADIANS(I23))+'Geometry'!$F$44*SIN(RADIANS(I23))),('Geometry'!$G$45*COS(RADIANS(I23))+'Geometry'!$F$45*SIN(RADIANS(I23))),('Geometry'!$G$46*COS(RADIANS(I23))+'Geometry'!$F$46*SIN(RADIANS(I23))),('Geometry'!$G$47*COS(RADIANS(I23))+'Geometry'!$F$47*SIN(RADIANS(I23))),('Geometry'!$G$48*COS(RADIANS(I23))+'Geometry'!$F$48*SIN(RADIANS(I23))),('Geometry'!$G$49*COS(RADIANS(I23))+'Geometry'!$F$49*SIN(RADIANS(I23))),('Geometry'!$G$50*COS(RADIANS(I23))+'Geometry'!$F$50*SIN(RADIANS(I23))),('Geometry'!$G$51*COS(RADIANS(I23))+'Geometry'!$F$51*SIN(RADIANS(I23))),('Geometry'!$G$52*COS(RADIANS(I23))+'Geometry'!$F$52*SIN(RADIANS(I23))),('Geometry'!$G$53*COS(RADIANS(I23))+'Geometry'!$F$53*SIN(RADIANS(I23))),('Geometry'!$G$54*COS(RADIANS(I23))+'Geometry'!$F$54*SIN(RADIANS(I23))),('Geometry'!$G$55*COS(RADIANS(I23))+'Geometry'!$F$55*SIN(RADIANS(I23))),('Geometry'!$G$56*COS(RADIANS(I23))+'Geometry'!$F$56*SIN(RADIANS(I23))),('Geometry'!$G$57*COS(RADIANS(I23))+'Geometry'!$F$57*SIN(RADIANS(I23))))</f>
        <v>-591.4073801632424</v>
      </c>
      <c r="N23" s="10">
        <f>L23-MIN(('Geometry'!$G$13*COS(RADIANS(I23))+'Geometry'!$F$13*SIN(RADIANS(I23))),('Geometry'!$G$14*COS(RADIANS(I23))+'Geometry'!$F$14*SIN(RADIANS(I23))),('Geometry'!$G$15*COS(RADIANS(I23))+'Geometry'!$F$15*SIN(RADIANS(I23))),('Geometry'!$G$16*COS(RADIANS(I23))+'Geometry'!$F$16*SIN(RADIANS(I23))),('Geometry'!$G$17*COS(RADIANS(I23))+'Geometry'!$F$17*SIN(RADIANS(I23))),('Geometry'!$G$18*COS(RADIANS(I23))+'Geometry'!$F$18*SIN(RADIANS(I23))),('Geometry'!$G$19*COS(RADIANS(I23))+'Geometry'!$F$19*SIN(RADIANS(I23))),('Geometry'!$G$20*COS(RADIANS(I23))+'Geometry'!$F$20*SIN(RADIANS(I23))))</f>
        <v>1372.7822990482728</v>
      </c>
      <c r="O23" s="15">
        <f>C_ecu</f>
        <v>0.0032999999999999995</v>
      </c>
      <c r="P23" s="15">
        <f>-K23*S_1_fy/S_1_Es</f>
        <v>-0.0024999999999999996</v>
      </c>
      <c r="Q23" s="20">
        <f>IF(ABS(L23-M23)&lt;0.000000000001,0,(O23-P23)/(L23-M23))</f>
        <v>0.000004539056717665033</v>
      </c>
      <c r="R23" s="15">
        <f>O23-Q23*L23</f>
        <v>0.00018443164180664395</v>
      </c>
      <c r="S23" s="20">
        <f>Q23*COS(RADIANS(I23))</f>
        <v>0.00000447009824691867</v>
      </c>
      <c r="T23" s="20">
        <f>Q23*SIN(RADIANS(I23))</f>
        <v>7.881989273493715e-7</v>
      </c>
      <c r="U23" s="10">
        <f>SUMPRODUCT(C_alpha*C_fck*(1-(1-((($R23+$S23*Mesh_Y+$T23*Mesh_X))*(($R23+$S23*Mesh_Y+$T23*Mesh_X)&gt;0)*(($R23+$S23*Mesh_Y+$T23*Mesh_X)&lt;C_eco)+C_eco*(($R23+$S23*Mesh_Y+$T23*Mesh_X)&gt;=C_eco))/C_eco)^C_n)*((($R23+$S23*Mesh_Y+$T23*Mesh_X))&gt;0),Mesh_A)/1000</f>
        <v>12336.969855552752</v>
      </c>
      <c r="V23" s="10">
        <f>SUMPRODUCT(C_alpha*C_fck*(1-(1-((($R23+$S23*Mesh_Y+$T23*Mesh_X))*(($R23+$S23*Mesh_Y+$T23*Mesh_X)&gt;0)*(($R23+$S23*Mesh_Y+$T23*Mesh_X)&lt;C_eco)+C_eco*(($R23+$S23*Mesh_Y+$T23*Mesh_X)&gt;=C_eco))/C_eco)^C_n)*((($R23+$S23*Mesh_Y+$T23*Mesh_X))&gt;0),Mesh_A,Mesh_Y)/1000000</f>
        <v>4617.937098272831</v>
      </c>
      <c r="W23" s="10">
        <f>SUMPRODUCT(C_alpha*C_fck*(1-(1-((($R23+$S23*Mesh_Y+$T23*Mesh_X))*(($R23+$S23*Mesh_Y+$T23*Mesh_X)&gt;0)*(($R23+$S23*Mesh_Y+$T23*Mesh_X)&lt;C_eco)+C_eco*(($R23+$S23*Mesh_Y+$T23*Mesh_X)&gt;=C_eco))/C_eco)^C_n)*((($R23+$S23*Mesh_Y+$T23*Mesh_X))&gt;0),Mesh_A,Mesh_X)/1000000</f>
        <v>779.9912443699894</v>
      </c>
      <c r="X23" s="10">
        <f>(((MAX(MIN(S_1_Es*($R23+$S23*'Geometry'!$G$40+$T23*'Geometry'!$F$40),S_1_fy),-S_1_fy))-(IF(($R23+$S23*'Geometry'!$G$40+$T23*'Geometry'!$F$40)&gt;0,IF(($R23+$S23*'Geometry'!$G$40+$T23*'Geometry'!$F$40)&lt;=C_eco,C_alpha*C_fck*(1-(1-($R23+$S23*'Geometry'!$G$40+$T23*'Geometry'!$F$40)/C_eco)^C_n),C_alpha*C_fck),0)))*'Geometry'!$H$40+((MAX(MIN(S_1_Es*($R23+$S23*'Geometry'!$G$41+$T23*'Geometry'!$F$41),S_1_fy),-S_1_fy))-(IF(($R23+$S23*'Geometry'!$G$41+$T23*'Geometry'!$F$41)&gt;0,IF(($R23+$S23*'Geometry'!$G$41+$T23*'Geometry'!$F$41)&lt;=C_eco,C_alpha*C_fck*(1-(1-($R23+$S23*'Geometry'!$G$41+$T23*'Geometry'!$F$41)/C_eco)^C_n),C_alpha*C_fck),0)))*'Geometry'!$H$41+((MAX(MIN(S_1_Es*($R23+$S23*'Geometry'!$G$42+$T23*'Geometry'!$F$42),S_1_fy),-S_1_fy))-(IF(($R23+$S23*'Geometry'!$G$42+$T23*'Geometry'!$F$42)&gt;0,IF(($R23+$S23*'Geometry'!$G$42+$T23*'Geometry'!$F$42)&lt;=C_eco,C_alpha*C_fck*(1-(1-($R23+$S23*'Geometry'!$G$42+$T23*'Geometry'!$F$42)/C_eco)^C_n),C_alpha*C_fck),0)))*'Geometry'!$H$42+((MAX(MIN(S_1_Es*($R23+$S23*'Geometry'!$G$43+$T23*'Geometry'!$F$43),S_1_fy),-S_1_fy))-(IF(($R23+$S23*'Geometry'!$G$43+$T23*'Geometry'!$F$43)&gt;0,IF(($R23+$S23*'Geometry'!$G$43+$T23*'Geometry'!$F$43)&lt;=C_eco,C_alpha*C_fck*(1-(1-($R23+$S23*'Geometry'!$G$43+$T23*'Geometry'!$F$43)/C_eco)^C_n),C_alpha*C_fck),0)))*'Geometry'!$H$43+((MAX(MIN(S_1_Es*($R23+$S23*'Geometry'!$G$44+$T23*'Geometry'!$F$44),S_1_fy),-S_1_fy))-(IF(($R23+$S23*'Geometry'!$G$44+$T23*'Geometry'!$F$44)&gt;0,IF(($R23+$S23*'Geometry'!$G$44+$T23*'Geometry'!$F$44)&lt;=C_eco,C_alpha*C_fck*(1-(1-($R23+$S23*'Geometry'!$G$44+$T23*'Geometry'!$F$44)/C_eco)^C_n),C_alpha*C_fck),0)))*'Geometry'!$H$44+((MAX(MIN(S_1_Es*($R23+$S23*'Geometry'!$G$45+$T23*'Geometry'!$F$45),S_1_fy),-S_1_fy))-(IF(($R23+$S23*'Geometry'!$G$45+$T23*'Geometry'!$F$45)&gt;0,IF(($R23+$S23*'Geometry'!$G$45+$T23*'Geometry'!$F$45)&lt;=C_eco,C_alpha*C_fck*(1-(1-($R23+$S23*'Geometry'!$G$45+$T23*'Geometry'!$F$45)/C_eco)^C_n),C_alpha*C_fck),0)))*'Geometry'!$H$45+((MAX(MIN(S_1_Es*($R23+$S23*'Geometry'!$G$46+$T23*'Geometry'!$F$46),S_1_fy),-S_1_fy))-(IF(($R23+$S23*'Geometry'!$G$46+$T23*'Geometry'!$F$46)&gt;0,IF(($R23+$S23*'Geometry'!$G$46+$T23*'Geometry'!$F$46)&lt;=C_eco,C_alpha*C_fck*(1-(1-($R23+$S23*'Geometry'!$G$46+$T23*'Geometry'!$F$46)/C_eco)^C_n),C_alpha*C_fck),0)))*'Geometry'!$H$46+((MAX(MIN(S_1_Es*($R23+$S23*'Geometry'!$G$47+$T23*'Geometry'!$F$47),S_1_fy),-S_1_fy))-(IF(($R23+$S23*'Geometry'!$G$47+$T23*'Geometry'!$F$47)&gt;0,IF(($R23+$S23*'Geometry'!$G$47+$T23*'Geometry'!$F$47)&lt;=C_eco,C_alpha*C_fck*(1-(1-($R23+$S23*'Geometry'!$G$47+$T23*'Geometry'!$F$47)/C_eco)^C_n),C_alpha*C_fck),0)))*'Geometry'!$H$47+((MAX(MIN(S_1_Es*($R23+$S23*'Geometry'!$G$48+$T23*'Geometry'!$F$48),S_1_fy),-S_1_fy))-(IF(($R23+$S23*'Geometry'!$G$48+$T23*'Geometry'!$F$48)&gt;0,IF(($R23+$S23*'Geometry'!$G$48+$T23*'Geometry'!$F$48)&lt;=C_eco,C_alpha*C_fck*(1-(1-($R23+$S23*'Geometry'!$G$48+$T23*'Geometry'!$F$48)/C_eco)^C_n),C_alpha*C_fck),0)))*'Geometry'!$H$48+((MAX(MIN(S_1_Es*($R23+$S23*'Geometry'!$G$49+$T23*'Geometry'!$F$49),S_1_fy),-S_1_fy))-(IF(($R23+$S23*'Geometry'!$G$49+$T23*'Geometry'!$F$49)&gt;0,IF(($R23+$S23*'Geometry'!$G$49+$T23*'Geometry'!$F$49)&lt;=C_eco,C_alpha*C_fck*(1-(1-($R23+$S23*'Geometry'!$G$49+$T23*'Geometry'!$F$49)/C_eco)^C_n),C_alpha*C_fck),0)))*'Geometry'!$H$49+((MAX(MIN(S_1_Es*($R23+$S23*'Geometry'!$G$50+$T23*'Geometry'!$F$50),S_1_fy),-S_1_fy))-(IF(($R23+$S23*'Geometry'!$G$50+$T23*'Geometry'!$F$50)&gt;0,IF(($R23+$S23*'Geometry'!$G$50+$T23*'Geometry'!$F$50)&lt;=C_eco,C_alpha*C_fck*(1-(1-($R23+$S23*'Geometry'!$G$50+$T23*'Geometry'!$F$50)/C_eco)^C_n),C_alpha*C_fck),0)))*'Geometry'!$H$50+((MAX(MIN(S_1_Es*($R23+$S23*'Geometry'!$G$51+$T23*'Geometry'!$F$51),S_1_fy),-S_1_fy))-(IF(($R23+$S23*'Geometry'!$G$51+$T23*'Geometry'!$F$51)&gt;0,IF(($R23+$S23*'Geometry'!$G$51+$T23*'Geometry'!$F$51)&lt;=C_eco,C_alpha*C_fck*(1-(1-($R23+$S23*'Geometry'!$G$51+$T23*'Geometry'!$F$51)/C_eco)^C_n),C_alpha*C_fck),0)))*'Geometry'!$H$51+((MAX(MIN(S_1_Es*($R23+$S23*'Geometry'!$G$52+$T23*'Geometry'!$F$52),S_1_fy),-S_1_fy))-(IF(($R23+$S23*'Geometry'!$G$52+$T23*'Geometry'!$F$52)&gt;0,IF(($R23+$S23*'Geometry'!$G$52+$T23*'Geometry'!$F$52)&lt;=C_eco,C_alpha*C_fck*(1-(1-($R23+$S23*'Geometry'!$G$52+$T23*'Geometry'!$F$52)/C_eco)^C_n),C_alpha*C_fck),0)))*'Geometry'!$H$52+((MAX(MIN(S_1_Es*($R23+$S23*'Geometry'!$G$53+$T23*'Geometry'!$F$53),S_1_fy),-S_1_fy))-(IF(($R23+$S23*'Geometry'!$G$53+$T23*'Geometry'!$F$53)&gt;0,IF(($R23+$S23*'Geometry'!$G$53+$T23*'Geometry'!$F$53)&lt;=C_eco,C_alpha*C_fck*(1-(1-($R23+$S23*'Geometry'!$G$53+$T23*'Geometry'!$F$53)/C_eco)^C_n),C_alpha*C_fck),0)))*'Geometry'!$H$53+((MAX(MIN(S_1_Es*($R23+$S23*'Geometry'!$G$54+$T23*'Geometry'!$F$54),S_1_fy),-S_1_fy))-(IF(($R23+$S23*'Geometry'!$G$54+$T23*'Geometry'!$F$54)&gt;0,IF(($R23+$S23*'Geometry'!$G$54+$T23*'Geometry'!$F$54)&lt;=C_eco,C_alpha*C_fck*(1-(1-($R23+$S23*'Geometry'!$G$54+$T23*'Geometry'!$F$54)/C_eco)^C_n),C_alpha*C_fck),0)))*'Geometry'!$H$54+((MAX(MIN(S_1_Es*($R23+$S23*'Geometry'!$G$55+$T23*'Geometry'!$F$55),S_1_fy),-S_1_fy))-(IF(($R23+$S23*'Geometry'!$G$55+$T23*'Geometry'!$F$55)&gt;0,IF(($R23+$S23*'Geometry'!$G$55+$T23*'Geometry'!$F$55)&lt;=C_eco,C_alpha*C_fck*(1-(1-($R23+$S23*'Geometry'!$G$55+$T23*'Geometry'!$F$55)/C_eco)^C_n),C_alpha*C_fck),0)))*'Geometry'!$H$55+((MAX(MIN(S_1_Es*($R23+$S23*'Geometry'!$G$56+$T23*'Geometry'!$F$56),S_1_fy),-S_1_fy))-(IF(($R23+$S23*'Geometry'!$G$56+$T23*'Geometry'!$F$56)&gt;0,IF(($R23+$S23*'Geometry'!$G$56+$T23*'Geometry'!$F$56)&lt;=C_eco,C_alpha*C_fck*(1-(1-($R23+$S23*'Geometry'!$G$56+$T23*'Geometry'!$F$56)/C_eco)^C_n),C_alpha*C_fck),0)))*'Geometry'!$H$56+((MAX(MIN(S_1_Es*($R23+$S23*'Geometry'!$G$57+$T23*'Geometry'!$F$57),S_1_fy),-S_1_fy))-(IF(($R23+$S23*'Geometry'!$G$57+$T23*'Geometry'!$F$57)&gt;0,IF(($R23+$S23*'Geometry'!$G$57+$T23*'Geometry'!$F$57)&lt;=C_eco,C_alpha*C_fck*(1-(1-($R23+$S23*'Geometry'!$G$57+$T23*'Geometry'!$F$57)/C_eco)^C_n),C_alpha*C_fck),0)))*'Geometry'!$H$57)/1000</f>
        <v>86.03250806789764</v>
      </c>
      <c r="Y23" s="10">
        <f>(((MAX(MIN(S_1_Es*($R23+$S23*'Geometry'!$G$40+$T23*'Geometry'!$F$40),S_1_fy),-S_1_fy))-(IF(($R23+$S23*'Geometry'!$G$40+$T23*'Geometry'!$F$40)&gt;0,IF(($R23+$S23*'Geometry'!$G$40+$T23*'Geometry'!$F$40)&lt;=C_eco,C_alpha*C_fck*(1-(1-($R23+$S23*'Geometry'!$G$40+$T23*'Geometry'!$F$40)/C_eco)^C_n),C_alpha*C_fck),0)))*'Geometry'!$H$40*'Geometry'!$G$40+((MAX(MIN(S_1_Es*($R23+$S23*'Geometry'!$G$41+$T23*'Geometry'!$F$41),S_1_fy),-S_1_fy))-(IF(($R23+$S23*'Geometry'!$G$41+$T23*'Geometry'!$F$41)&gt;0,IF(($R23+$S23*'Geometry'!$G$41+$T23*'Geometry'!$F$41)&lt;=C_eco,C_alpha*C_fck*(1-(1-($R23+$S23*'Geometry'!$G$41+$T23*'Geometry'!$F$41)/C_eco)^C_n),C_alpha*C_fck),0)))*'Geometry'!$H$41*'Geometry'!$G$41+((MAX(MIN(S_1_Es*($R23+$S23*'Geometry'!$G$42+$T23*'Geometry'!$F$42),S_1_fy),-S_1_fy))-(IF(($R23+$S23*'Geometry'!$G$42+$T23*'Geometry'!$F$42)&gt;0,IF(($R23+$S23*'Geometry'!$G$42+$T23*'Geometry'!$F$42)&lt;=C_eco,C_alpha*C_fck*(1-(1-($R23+$S23*'Geometry'!$G$42+$T23*'Geometry'!$F$42)/C_eco)^C_n),C_alpha*C_fck),0)))*'Geometry'!$H$42*'Geometry'!$G$42+((MAX(MIN(S_1_Es*($R23+$S23*'Geometry'!$G$43+$T23*'Geometry'!$F$43),S_1_fy),-S_1_fy))-(IF(($R23+$S23*'Geometry'!$G$43+$T23*'Geometry'!$F$43)&gt;0,IF(($R23+$S23*'Geometry'!$G$43+$T23*'Geometry'!$F$43)&lt;=C_eco,C_alpha*C_fck*(1-(1-($R23+$S23*'Geometry'!$G$43+$T23*'Geometry'!$F$43)/C_eco)^C_n),C_alpha*C_fck),0)))*'Geometry'!$H$43*'Geometry'!$G$43+((MAX(MIN(S_1_Es*($R23+$S23*'Geometry'!$G$44+$T23*'Geometry'!$F$44),S_1_fy),-S_1_fy))-(IF(($R23+$S23*'Geometry'!$G$44+$T23*'Geometry'!$F$44)&gt;0,IF(($R23+$S23*'Geometry'!$G$44+$T23*'Geometry'!$F$44)&lt;=C_eco,C_alpha*C_fck*(1-(1-($R23+$S23*'Geometry'!$G$44+$T23*'Geometry'!$F$44)/C_eco)^C_n),C_alpha*C_fck),0)))*'Geometry'!$H$44*'Geometry'!$G$44+((MAX(MIN(S_1_Es*($R23+$S23*'Geometry'!$G$45+$T23*'Geometry'!$F$45),S_1_fy),-S_1_fy))-(IF(($R23+$S23*'Geometry'!$G$45+$T23*'Geometry'!$F$45)&gt;0,IF(($R23+$S23*'Geometry'!$G$45+$T23*'Geometry'!$F$45)&lt;=C_eco,C_alpha*C_fck*(1-(1-($R23+$S23*'Geometry'!$G$45+$T23*'Geometry'!$F$45)/C_eco)^C_n),C_alpha*C_fck),0)))*'Geometry'!$H$45*'Geometry'!$G$45+((MAX(MIN(S_1_Es*($R23+$S23*'Geometry'!$G$46+$T23*'Geometry'!$F$46),S_1_fy),-S_1_fy))-(IF(($R23+$S23*'Geometry'!$G$46+$T23*'Geometry'!$F$46)&gt;0,IF(($R23+$S23*'Geometry'!$G$46+$T23*'Geometry'!$F$46)&lt;=C_eco,C_alpha*C_fck*(1-(1-($R23+$S23*'Geometry'!$G$46+$T23*'Geometry'!$F$46)/C_eco)^C_n),C_alpha*C_fck),0)))*'Geometry'!$H$46*'Geometry'!$G$46+((MAX(MIN(S_1_Es*($R23+$S23*'Geometry'!$G$47+$T23*'Geometry'!$F$47),S_1_fy),-S_1_fy))-(IF(($R23+$S23*'Geometry'!$G$47+$T23*'Geometry'!$F$47)&gt;0,IF(($R23+$S23*'Geometry'!$G$47+$T23*'Geometry'!$F$47)&lt;=C_eco,C_alpha*C_fck*(1-(1-($R23+$S23*'Geometry'!$G$47+$T23*'Geometry'!$F$47)/C_eco)^C_n),C_alpha*C_fck),0)))*'Geometry'!$H$47*'Geometry'!$G$47+((MAX(MIN(S_1_Es*($R23+$S23*'Geometry'!$G$48+$T23*'Geometry'!$F$48),S_1_fy),-S_1_fy))-(IF(($R23+$S23*'Geometry'!$G$48+$T23*'Geometry'!$F$48)&gt;0,IF(($R23+$S23*'Geometry'!$G$48+$T23*'Geometry'!$F$48)&lt;=C_eco,C_alpha*C_fck*(1-(1-($R23+$S23*'Geometry'!$G$48+$T23*'Geometry'!$F$48)/C_eco)^C_n),C_alpha*C_fck),0)))*'Geometry'!$H$48*'Geometry'!$G$48+((MAX(MIN(S_1_Es*($R23+$S23*'Geometry'!$G$49+$T23*'Geometry'!$F$49),S_1_fy),-S_1_fy))-(IF(($R23+$S23*'Geometry'!$G$49+$T23*'Geometry'!$F$49)&gt;0,IF(($R23+$S23*'Geometry'!$G$49+$T23*'Geometry'!$F$49)&lt;=C_eco,C_alpha*C_fck*(1-(1-($R23+$S23*'Geometry'!$G$49+$T23*'Geometry'!$F$49)/C_eco)^C_n),C_alpha*C_fck),0)))*'Geometry'!$H$49*'Geometry'!$G$49+((MAX(MIN(S_1_Es*($R23+$S23*'Geometry'!$G$50+$T23*'Geometry'!$F$50),S_1_fy),-S_1_fy))-(IF(($R23+$S23*'Geometry'!$G$50+$T23*'Geometry'!$F$50)&gt;0,IF(($R23+$S23*'Geometry'!$G$50+$T23*'Geometry'!$F$50)&lt;=C_eco,C_alpha*C_fck*(1-(1-($R23+$S23*'Geometry'!$G$50+$T23*'Geometry'!$F$50)/C_eco)^C_n),C_alpha*C_fck),0)))*'Geometry'!$H$50*'Geometry'!$G$50+((MAX(MIN(S_1_Es*($R23+$S23*'Geometry'!$G$51+$T23*'Geometry'!$F$51),S_1_fy),-S_1_fy))-(IF(($R23+$S23*'Geometry'!$G$51+$T23*'Geometry'!$F$51)&gt;0,IF(($R23+$S23*'Geometry'!$G$51+$T23*'Geometry'!$F$51)&lt;=C_eco,C_alpha*C_fck*(1-(1-($R23+$S23*'Geometry'!$G$51+$T23*'Geometry'!$F$51)/C_eco)^C_n),C_alpha*C_fck),0)))*'Geometry'!$H$51*'Geometry'!$G$51+((MAX(MIN(S_1_Es*($R23+$S23*'Geometry'!$G$52+$T23*'Geometry'!$F$52),S_1_fy),-S_1_fy))-(IF(($R23+$S23*'Geometry'!$G$52+$T23*'Geometry'!$F$52)&gt;0,IF(($R23+$S23*'Geometry'!$G$52+$T23*'Geometry'!$F$52)&lt;=C_eco,C_alpha*C_fck*(1-(1-($R23+$S23*'Geometry'!$G$52+$T23*'Geometry'!$F$52)/C_eco)^C_n),C_alpha*C_fck),0)))*'Geometry'!$H$52*'Geometry'!$G$52+((MAX(MIN(S_1_Es*($R23+$S23*'Geometry'!$G$53+$T23*'Geometry'!$F$53),S_1_fy),-S_1_fy))-(IF(($R23+$S23*'Geometry'!$G$53+$T23*'Geometry'!$F$53)&gt;0,IF(($R23+$S23*'Geometry'!$G$53+$T23*'Geometry'!$F$53)&lt;=C_eco,C_alpha*C_fck*(1-(1-($R23+$S23*'Geometry'!$G$53+$T23*'Geometry'!$F$53)/C_eco)^C_n),C_alpha*C_fck),0)))*'Geometry'!$H$53*'Geometry'!$G$53+((MAX(MIN(S_1_Es*($R23+$S23*'Geometry'!$G$54+$T23*'Geometry'!$F$54),S_1_fy),-S_1_fy))-(IF(($R23+$S23*'Geometry'!$G$54+$T23*'Geometry'!$F$54)&gt;0,IF(($R23+$S23*'Geometry'!$G$54+$T23*'Geometry'!$F$54)&lt;=C_eco,C_alpha*C_fck*(1-(1-($R23+$S23*'Geometry'!$G$54+$T23*'Geometry'!$F$54)/C_eco)^C_n),C_alpha*C_fck),0)))*'Geometry'!$H$54*'Geometry'!$G$54+((MAX(MIN(S_1_Es*($R23+$S23*'Geometry'!$G$55+$T23*'Geometry'!$F$55),S_1_fy),-S_1_fy))-(IF(($R23+$S23*'Geometry'!$G$55+$T23*'Geometry'!$F$55)&gt;0,IF(($R23+$S23*'Geometry'!$G$55+$T23*'Geometry'!$F$55)&lt;=C_eco,C_alpha*C_fck*(1-(1-($R23+$S23*'Geometry'!$G$55+$T23*'Geometry'!$F$55)/C_eco)^C_n),C_alpha*C_fck),0)))*'Geometry'!$H$55*'Geometry'!$G$55+((MAX(MIN(S_1_Es*($R23+$S23*'Geometry'!$G$56+$T23*'Geometry'!$F$56),S_1_fy),-S_1_fy))-(IF(($R23+$S23*'Geometry'!$G$56+$T23*'Geometry'!$F$56)&gt;0,IF(($R23+$S23*'Geometry'!$G$56+$T23*'Geometry'!$F$56)&lt;=C_eco,C_alpha*C_fck*(1-(1-($R23+$S23*'Geometry'!$G$56+$T23*'Geometry'!$F$56)/C_eco)^C_n),C_alpha*C_fck),0)))*'Geometry'!$H$56*'Geometry'!$G$56+((MAX(MIN(S_1_Es*($R23+$S23*'Geometry'!$G$57+$T23*'Geometry'!$F$57),S_1_fy),-S_1_fy))-(IF(($R23+$S23*'Geometry'!$G$57+$T23*'Geometry'!$F$57)&gt;0,IF(($R23+$S23*'Geometry'!$G$57+$T23*'Geometry'!$F$57)&lt;=C_eco,C_alpha*C_fck*(1-(1-($R23+$S23*'Geometry'!$G$57+$T23*'Geometry'!$F$57)/C_eco)^C_n),C_alpha*C_fck),0)))*'Geometry'!$H$57*'Geometry'!$G$57)/1000000</f>
        <v>1912.0701047939278</v>
      </c>
      <c r="Z23" s="10">
        <f>(((MAX(MIN(S_1_Es*($R23+$S23*'Geometry'!$G$40+$T23*'Geometry'!$F$40),S_1_fy),-S_1_fy))-(IF(($R23+$S23*'Geometry'!$G$40+$T23*'Geometry'!$F$40)&gt;0,IF(($R23+$S23*'Geometry'!$G$40+$T23*'Geometry'!$F$40)&lt;=C_eco,C_alpha*C_fck*(1-(1-($R23+$S23*'Geometry'!$G$40+$T23*'Geometry'!$F$40)/C_eco)^C_n),C_alpha*C_fck),0)))*'Geometry'!$H$40*'Geometry'!$F$40+((MAX(MIN(S_1_Es*($R23+$S23*'Geometry'!$G$41+$T23*'Geometry'!$F$41),S_1_fy),-S_1_fy))-(IF(($R23+$S23*'Geometry'!$G$41+$T23*'Geometry'!$F$41)&gt;0,IF(($R23+$S23*'Geometry'!$G$41+$T23*'Geometry'!$F$41)&lt;=C_eco,C_alpha*C_fck*(1-(1-($R23+$S23*'Geometry'!$G$41+$T23*'Geometry'!$F$41)/C_eco)^C_n),C_alpha*C_fck),0)))*'Geometry'!$H$41*'Geometry'!$F$41+((MAX(MIN(S_1_Es*($R23+$S23*'Geometry'!$G$42+$T23*'Geometry'!$F$42),S_1_fy),-S_1_fy))-(IF(($R23+$S23*'Geometry'!$G$42+$T23*'Geometry'!$F$42)&gt;0,IF(($R23+$S23*'Geometry'!$G$42+$T23*'Geometry'!$F$42)&lt;=C_eco,C_alpha*C_fck*(1-(1-($R23+$S23*'Geometry'!$G$42+$T23*'Geometry'!$F$42)/C_eco)^C_n),C_alpha*C_fck),0)))*'Geometry'!$H$42*'Geometry'!$F$42+((MAX(MIN(S_1_Es*($R23+$S23*'Geometry'!$G$43+$T23*'Geometry'!$F$43),S_1_fy),-S_1_fy))-(IF(($R23+$S23*'Geometry'!$G$43+$T23*'Geometry'!$F$43)&gt;0,IF(($R23+$S23*'Geometry'!$G$43+$T23*'Geometry'!$F$43)&lt;=C_eco,C_alpha*C_fck*(1-(1-($R23+$S23*'Geometry'!$G$43+$T23*'Geometry'!$F$43)/C_eco)^C_n),C_alpha*C_fck),0)))*'Geometry'!$H$43*'Geometry'!$F$43+((MAX(MIN(S_1_Es*($R23+$S23*'Geometry'!$G$44+$T23*'Geometry'!$F$44),S_1_fy),-S_1_fy))-(IF(($R23+$S23*'Geometry'!$G$44+$T23*'Geometry'!$F$44)&gt;0,IF(($R23+$S23*'Geometry'!$G$44+$T23*'Geometry'!$F$44)&lt;=C_eco,C_alpha*C_fck*(1-(1-($R23+$S23*'Geometry'!$G$44+$T23*'Geometry'!$F$44)/C_eco)^C_n),C_alpha*C_fck),0)))*'Geometry'!$H$44*'Geometry'!$F$44+((MAX(MIN(S_1_Es*($R23+$S23*'Geometry'!$G$45+$T23*'Geometry'!$F$45),S_1_fy),-S_1_fy))-(IF(($R23+$S23*'Geometry'!$G$45+$T23*'Geometry'!$F$45)&gt;0,IF(($R23+$S23*'Geometry'!$G$45+$T23*'Geometry'!$F$45)&lt;=C_eco,C_alpha*C_fck*(1-(1-($R23+$S23*'Geometry'!$G$45+$T23*'Geometry'!$F$45)/C_eco)^C_n),C_alpha*C_fck),0)))*'Geometry'!$H$45*'Geometry'!$F$45+((MAX(MIN(S_1_Es*($R23+$S23*'Geometry'!$G$46+$T23*'Geometry'!$F$46),S_1_fy),-S_1_fy))-(IF(($R23+$S23*'Geometry'!$G$46+$T23*'Geometry'!$F$46)&gt;0,IF(($R23+$S23*'Geometry'!$G$46+$T23*'Geometry'!$F$46)&lt;=C_eco,C_alpha*C_fck*(1-(1-($R23+$S23*'Geometry'!$G$46+$T23*'Geometry'!$F$46)/C_eco)^C_n),C_alpha*C_fck),0)))*'Geometry'!$H$46*'Geometry'!$F$46+((MAX(MIN(S_1_Es*($R23+$S23*'Geometry'!$G$47+$T23*'Geometry'!$F$47),S_1_fy),-S_1_fy))-(IF(($R23+$S23*'Geometry'!$G$47+$T23*'Geometry'!$F$47)&gt;0,IF(($R23+$S23*'Geometry'!$G$47+$T23*'Geometry'!$F$47)&lt;=C_eco,C_alpha*C_fck*(1-(1-($R23+$S23*'Geometry'!$G$47+$T23*'Geometry'!$F$47)/C_eco)^C_n),C_alpha*C_fck),0)))*'Geometry'!$H$47*'Geometry'!$F$47+((MAX(MIN(S_1_Es*($R23+$S23*'Geometry'!$G$48+$T23*'Geometry'!$F$48),S_1_fy),-S_1_fy))-(IF(($R23+$S23*'Geometry'!$G$48+$T23*'Geometry'!$F$48)&gt;0,IF(($R23+$S23*'Geometry'!$G$48+$T23*'Geometry'!$F$48)&lt;=C_eco,C_alpha*C_fck*(1-(1-($R23+$S23*'Geometry'!$G$48+$T23*'Geometry'!$F$48)/C_eco)^C_n),C_alpha*C_fck),0)))*'Geometry'!$H$48*'Geometry'!$F$48+((MAX(MIN(S_1_Es*($R23+$S23*'Geometry'!$G$49+$T23*'Geometry'!$F$49),S_1_fy),-S_1_fy))-(IF(($R23+$S23*'Geometry'!$G$49+$T23*'Geometry'!$F$49)&gt;0,IF(($R23+$S23*'Geometry'!$G$49+$T23*'Geometry'!$F$49)&lt;=C_eco,C_alpha*C_fck*(1-(1-($R23+$S23*'Geometry'!$G$49+$T23*'Geometry'!$F$49)/C_eco)^C_n),C_alpha*C_fck),0)))*'Geometry'!$H$49*'Geometry'!$F$49+((MAX(MIN(S_1_Es*($R23+$S23*'Geometry'!$G$50+$T23*'Geometry'!$F$50),S_1_fy),-S_1_fy))-(IF(($R23+$S23*'Geometry'!$G$50+$T23*'Geometry'!$F$50)&gt;0,IF(($R23+$S23*'Geometry'!$G$50+$T23*'Geometry'!$F$50)&lt;=C_eco,C_alpha*C_fck*(1-(1-($R23+$S23*'Geometry'!$G$50+$T23*'Geometry'!$F$50)/C_eco)^C_n),C_alpha*C_fck),0)))*'Geometry'!$H$50*'Geometry'!$F$50+((MAX(MIN(S_1_Es*($R23+$S23*'Geometry'!$G$51+$T23*'Geometry'!$F$51),S_1_fy),-S_1_fy))-(IF(($R23+$S23*'Geometry'!$G$51+$T23*'Geometry'!$F$51)&gt;0,IF(($R23+$S23*'Geometry'!$G$51+$T23*'Geometry'!$F$51)&lt;=C_eco,C_alpha*C_fck*(1-(1-($R23+$S23*'Geometry'!$G$51+$T23*'Geometry'!$F$51)/C_eco)^C_n),C_alpha*C_fck),0)))*'Geometry'!$H$51*'Geometry'!$F$51+((MAX(MIN(S_1_Es*($R23+$S23*'Geometry'!$G$52+$T23*'Geometry'!$F$52),S_1_fy),-S_1_fy))-(IF(($R23+$S23*'Geometry'!$G$52+$T23*'Geometry'!$F$52)&gt;0,IF(($R23+$S23*'Geometry'!$G$52+$T23*'Geometry'!$F$52)&lt;=C_eco,C_alpha*C_fck*(1-(1-($R23+$S23*'Geometry'!$G$52+$T23*'Geometry'!$F$52)/C_eco)^C_n),C_alpha*C_fck),0)))*'Geometry'!$H$52*'Geometry'!$F$52+((MAX(MIN(S_1_Es*($R23+$S23*'Geometry'!$G$53+$T23*'Geometry'!$F$53),S_1_fy),-S_1_fy))-(IF(($R23+$S23*'Geometry'!$G$53+$T23*'Geometry'!$F$53)&gt;0,IF(($R23+$S23*'Geometry'!$G$53+$T23*'Geometry'!$F$53)&lt;=C_eco,C_alpha*C_fck*(1-(1-($R23+$S23*'Geometry'!$G$53+$T23*'Geometry'!$F$53)/C_eco)^C_n),C_alpha*C_fck),0)))*'Geometry'!$H$53*'Geometry'!$F$53+((MAX(MIN(S_1_Es*($R23+$S23*'Geometry'!$G$54+$T23*'Geometry'!$F$54),S_1_fy),-S_1_fy))-(IF(($R23+$S23*'Geometry'!$G$54+$T23*'Geometry'!$F$54)&gt;0,IF(($R23+$S23*'Geometry'!$G$54+$T23*'Geometry'!$F$54)&lt;=C_eco,C_alpha*C_fck*(1-(1-($R23+$S23*'Geometry'!$G$54+$T23*'Geometry'!$F$54)/C_eco)^C_n),C_alpha*C_fck),0)))*'Geometry'!$H$54*'Geometry'!$F$54+((MAX(MIN(S_1_Es*($R23+$S23*'Geometry'!$G$55+$T23*'Geometry'!$F$55),S_1_fy),-S_1_fy))-(IF(($R23+$S23*'Geometry'!$G$55+$T23*'Geometry'!$F$55)&gt;0,IF(($R23+$S23*'Geometry'!$G$55+$T23*'Geometry'!$F$55)&lt;=C_eco,C_alpha*C_fck*(1-(1-($R23+$S23*'Geometry'!$G$55+$T23*'Geometry'!$F$55)/C_eco)^C_n),C_alpha*C_fck),0)))*'Geometry'!$H$55*'Geometry'!$F$55+((MAX(MIN(S_1_Es*($R23+$S23*'Geometry'!$G$56+$T23*'Geometry'!$F$56),S_1_fy),-S_1_fy))-(IF(($R23+$S23*'Geometry'!$G$56+$T23*'Geometry'!$F$56)&gt;0,IF(($R23+$S23*'Geometry'!$G$56+$T23*'Geometry'!$F$56)&lt;=C_eco,C_alpha*C_fck*(1-(1-($R23+$S23*'Geometry'!$G$56+$T23*'Geometry'!$F$56)/C_eco)^C_n),C_alpha*C_fck),0)))*'Geometry'!$H$56*'Geometry'!$F$56+((MAX(MIN(S_1_Es*($R23+$S23*'Geometry'!$G$57+$T23*'Geometry'!$F$57),S_1_fy),-S_1_fy))-(IF(($R23+$S23*'Geometry'!$G$57+$T23*'Geometry'!$F$57)&gt;0,IF(($R23+$S23*'Geometry'!$G$57+$T23*'Geometry'!$F$57)&lt;=C_eco,C_alpha*C_fck*(1-(1-($R23+$S23*'Geometry'!$G$57+$T23*'Geometry'!$F$57)/C_eco)^C_n),C_alpha*C_fck),0)))*'Geometry'!$H$57*'Geometry'!$F$57)/1000000</f>
        <v>453.3287307230326</v>
      </c>
      <c r="AA23" s="10">
        <f>U23+X23</f>
        <v>12423.00236362065</v>
      </c>
      <c r="AB23" s="10">
        <f>V23+Y23</f>
        <v>6530.007203066759</v>
      </c>
      <c r="AC23" s="10">
        <f>W23+Z23</f>
        <v>1233.3199750930219</v>
      </c>
      <c r="AD23" s="7">
        <v>0.6833333333333333</v>
      </c>
      <c r="AE23" s="7">
        <v>0.6833333333333333</v>
      </c>
      <c r="AF23" s="10">
        <f>AA23*AD23</f>
        <v>8489.051615140777</v>
      </c>
      <c r="AG23" s="10">
        <f>AB23*AE23</f>
        <v>4462.171588762285</v>
      </c>
      <c r="AH23" s="10">
        <f>AC23*AE23</f>
        <v>842.7686496468983</v>
      </c>
      <c r="AI23" s="7">
        <v>8489.051615140777</v>
      </c>
      <c r="AJ23" s="7">
        <v>4462.171588762285</v>
      </c>
      <c r="AK23" s="7">
        <v>842.7686496468983</v>
      </c>
      <c r="AL23" s="15">
        <f>AF23-AI23</f>
        <v>0</v>
      </c>
      <c r="AM23" s="15">
        <f>SQRT((AG23-AJ23)^2+(AH23-AK23)^2)</f>
        <v>0</v>
      </c>
      <c r="AN23" s="7" t="s">
        <v>189</v>
      </c>
      <c r="AO23" s="7">
        <v>12423.00236362065</v>
      </c>
      <c r="AP23" s="7">
        <v>6530.007203066759</v>
      </c>
      <c r="AQ23" s="7">
        <v>1233.3199750930219</v>
      </c>
      <c r="AR23" s="7">
        <v>12336.969855552752</v>
      </c>
      <c r="AS23" s="7">
        <v>4617.937098272831</v>
      </c>
      <c r="AT23" s="7">
        <v>779.9912443699894</v>
      </c>
      <c r="AU23" s="7">
        <v>86.03250806789764</v>
      </c>
      <c r="AV23" s="7">
        <v>1912.0701047939278</v>
      </c>
      <c r="AW23" s="7">
        <v>453.3287307230326</v>
      </c>
    </row>
    <row r="24" spans="1:49" x14ac:dyDescent="0.25">
      <c r="A24" s="17">
        <v>17</v>
      </c>
      <c r="B24" s="17" t="s">
        <v>222</v>
      </c>
      <c r="C24" s="18">
        <f>$AF$24</f>
        <v>8055.3394357052375</v>
      </c>
      <c r="D24" s="19">
        <f>$AG$24*COS(RADIANS($C$5))+$AH$24*SIN(RADIANS($C$5))</f>
        <v>4709.0504957389585</v>
      </c>
      <c r="G24" s="7" t="s">
        <v>223</v>
      </c>
      <c r="H24" s="7" t="s">
        <v>222</v>
      </c>
      <c r="I24" s="12">
        <v>10</v>
      </c>
      <c r="J24" s="7" t="s">
        <v>205</v>
      </c>
      <c r="K24" s="12">
        <v>1.4999999999999998</v>
      </c>
      <c r="L24" s="10">
        <f>MAX(('Geometry'!$G$13*COS(RADIANS(I24))+'Geometry'!$F$13*SIN(RADIANS(I24))),('Geometry'!$G$14*COS(RADIANS(I24))+'Geometry'!$F$14*SIN(RADIANS(I24))),('Geometry'!$G$15*COS(RADIANS(I24))+'Geometry'!$F$15*SIN(RADIANS(I24))),('Geometry'!$G$16*COS(RADIANS(I24))+'Geometry'!$F$16*SIN(RADIANS(I24))),('Geometry'!$G$17*COS(RADIANS(I24))+'Geometry'!$F$17*SIN(RADIANS(I24))),('Geometry'!$G$18*COS(RADIANS(I24))+'Geometry'!$F$18*SIN(RADIANS(I24))),('Geometry'!$G$19*COS(RADIANS(I24))+'Geometry'!$F$19*SIN(RADIANS(I24))),('Geometry'!$G$20*COS(RADIANS(I24))+'Geometry'!$F$20*SIN(RADIANS(I24))))</f>
        <v>686.3911495241364</v>
      </c>
      <c r="M24" s="10">
        <f>MIN(('Geometry'!$G$40*COS(RADIANS(I24))+'Geometry'!$F$40*SIN(RADIANS(I24))),('Geometry'!$G$41*COS(RADIANS(I24))+'Geometry'!$F$41*SIN(RADIANS(I24))),('Geometry'!$G$42*COS(RADIANS(I24))+'Geometry'!$F$42*SIN(RADIANS(I24))),('Geometry'!$G$43*COS(RADIANS(I24))+'Geometry'!$F$43*SIN(RADIANS(I24))),('Geometry'!$G$44*COS(RADIANS(I24))+'Geometry'!$F$44*SIN(RADIANS(I24))),('Geometry'!$G$45*COS(RADIANS(I24))+'Geometry'!$F$45*SIN(RADIANS(I24))),('Geometry'!$G$46*COS(RADIANS(I24))+'Geometry'!$F$46*SIN(RADIANS(I24))),('Geometry'!$G$47*COS(RADIANS(I24))+'Geometry'!$F$47*SIN(RADIANS(I24))),('Geometry'!$G$48*COS(RADIANS(I24))+'Geometry'!$F$48*SIN(RADIANS(I24))),('Geometry'!$G$49*COS(RADIANS(I24))+'Geometry'!$F$49*SIN(RADIANS(I24))),('Geometry'!$G$50*COS(RADIANS(I24))+'Geometry'!$F$50*SIN(RADIANS(I24))),('Geometry'!$G$51*COS(RADIANS(I24))+'Geometry'!$F$51*SIN(RADIANS(I24))),('Geometry'!$G$52*COS(RADIANS(I24))+'Geometry'!$F$52*SIN(RADIANS(I24))),('Geometry'!$G$53*COS(RADIANS(I24))+'Geometry'!$F$53*SIN(RADIANS(I24))),('Geometry'!$G$54*COS(RADIANS(I24))+'Geometry'!$F$54*SIN(RADIANS(I24))),('Geometry'!$G$55*COS(RADIANS(I24))+'Geometry'!$F$55*SIN(RADIANS(I24))),('Geometry'!$G$56*COS(RADIANS(I24))+'Geometry'!$F$56*SIN(RADIANS(I24))),('Geometry'!$G$57*COS(RADIANS(I24))+'Geometry'!$F$57*SIN(RADIANS(I24))))</f>
        <v>-591.4073801632424</v>
      </c>
      <c r="N24" s="10">
        <f>L24-MIN(('Geometry'!$G$13*COS(RADIANS(I24))+'Geometry'!$F$13*SIN(RADIANS(I24))),('Geometry'!$G$14*COS(RADIANS(I24))+'Geometry'!$F$14*SIN(RADIANS(I24))),('Geometry'!$G$15*COS(RADIANS(I24))+'Geometry'!$F$15*SIN(RADIANS(I24))),('Geometry'!$G$16*COS(RADIANS(I24))+'Geometry'!$F$16*SIN(RADIANS(I24))),('Geometry'!$G$17*COS(RADIANS(I24))+'Geometry'!$F$17*SIN(RADIANS(I24))),('Geometry'!$G$18*COS(RADIANS(I24))+'Geometry'!$F$18*SIN(RADIANS(I24))),('Geometry'!$G$19*COS(RADIANS(I24))+'Geometry'!$F$19*SIN(RADIANS(I24))),('Geometry'!$G$20*COS(RADIANS(I24))+'Geometry'!$F$20*SIN(RADIANS(I24))))</f>
        <v>1372.7822990482728</v>
      </c>
      <c r="O24" s="15">
        <f>C_ecu</f>
        <v>0.0032999999999999995</v>
      </c>
      <c r="P24" s="15">
        <f>-K24*S_1_fy/S_1_Es</f>
        <v>-0.0029999999999999996</v>
      </c>
      <c r="Q24" s="20">
        <f>IF(ABS(L24-M24)&lt;0.000000000001,0,(O24-P24)/(L24-M24))</f>
        <v>0.0000049303547105671916</v>
      </c>
      <c r="R24" s="15">
        <f>O24-Q24*L24</f>
        <v>-0.00008415183734795592</v>
      </c>
      <c r="S24" s="20">
        <f>Q24*COS(RADIANS(I24))</f>
        <v>0.000004855451544066832</v>
      </c>
      <c r="T24" s="20">
        <f>Q24*SIN(RADIANS(I24))</f>
        <v>8.561471107415587e-7</v>
      </c>
      <c r="U24" s="10">
        <f>SUMPRODUCT(C_alpha*C_fck*(1-(1-((($R24+$S24*Mesh_Y+$T24*Mesh_X))*(($R24+$S24*Mesh_Y+$T24*Mesh_X)&gt;0)*(($R24+$S24*Mesh_Y+$T24*Mesh_X)&lt;C_eco)+C_eco*(($R24+$S24*Mesh_Y+$T24*Mesh_X)&gt;=C_eco))/C_eco)^C_n)*((($R24+$S24*Mesh_Y+$T24*Mesh_X))&gt;0),Mesh_A)/1000</f>
        <v>11480.02706172136</v>
      </c>
      <c r="V24" s="10">
        <f>SUMPRODUCT(C_alpha*C_fck*(1-(1-((($R24+$S24*Mesh_Y+$T24*Mesh_X))*(($R24+$S24*Mesh_Y+$T24*Mesh_X)&gt;0)*(($R24+$S24*Mesh_Y+$T24*Mesh_X)&lt;C_eco)+C_eco*(($R24+$S24*Mesh_Y+$T24*Mesh_X)&gt;=C_eco))/C_eco)^C_n)*((($R24+$S24*Mesh_Y+$T24*Mesh_X))&gt;0),Mesh_A,Mesh_Y)/1000000</f>
        <v>4516.075094712518</v>
      </c>
      <c r="W24" s="10">
        <f>SUMPRODUCT(C_alpha*C_fck*(1-(1-((($R24+$S24*Mesh_Y+$T24*Mesh_X))*(($R24+$S24*Mesh_Y+$T24*Mesh_X)&gt;0)*(($R24+$S24*Mesh_Y+$T24*Mesh_X)&lt;C_eco)+C_eco*(($R24+$S24*Mesh_Y+$T24*Mesh_X)&gt;=C_eco))/C_eco)^C_n)*((($R24+$S24*Mesh_Y+$T24*Mesh_X))&gt;0),Mesh_A,Mesh_X)/1000000</f>
        <v>791.9279586165607</v>
      </c>
      <c r="X24" s="10">
        <f>(((MAX(MIN(S_1_Es*($R24+$S24*'Geometry'!$G$40+$T24*'Geometry'!$F$40),S_1_fy),-S_1_fy))-(IF(($R24+$S24*'Geometry'!$G$40+$T24*'Geometry'!$F$40)&gt;0,IF(($R24+$S24*'Geometry'!$G$40+$T24*'Geometry'!$F$40)&lt;=C_eco,C_alpha*C_fck*(1-(1-($R24+$S24*'Geometry'!$G$40+$T24*'Geometry'!$F$40)/C_eco)^C_n),C_alpha*C_fck),0)))*'Geometry'!$H$40+((MAX(MIN(S_1_Es*($R24+$S24*'Geometry'!$G$41+$T24*'Geometry'!$F$41),S_1_fy),-S_1_fy))-(IF(($R24+$S24*'Geometry'!$G$41+$T24*'Geometry'!$F$41)&gt;0,IF(($R24+$S24*'Geometry'!$G$41+$T24*'Geometry'!$F$41)&lt;=C_eco,C_alpha*C_fck*(1-(1-($R24+$S24*'Geometry'!$G$41+$T24*'Geometry'!$F$41)/C_eco)^C_n),C_alpha*C_fck),0)))*'Geometry'!$H$41+((MAX(MIN(S_1_Es*($R24+$S24*'Geometry'!$G$42+$T24*'Geometry'!$F$42),S_1_fy),-S_1_fy))-(IF(($R24+$S24*'Geometry'!$G$42+$T24*'Geometry'!$F$42)&gt;0,IF(($R24+$S24*'Geometry'!$G$42+$T24*'Geometry'!$F$42)&lt;=C_eco,C_alpha*C_fck*(1-(1-($R24+$S24*'Geometry'!$G$42+$T24*'Geometry'!$F$42)/C_eco)^C_n),C_alpha*C_fck),0)))*'Geometry'!$H$42+((MAX(MIN(S_1_Es*($R24+$S24*'Geometry'!$G$43+$T24*'Geometry'!$F$43),S_1_fy),-S_1_fy))-(IF(($R24+$S24*'Geometry'!$G$43+$T24*'Geometry'!$F$43)&gt;0,IF(($R24+$S24*'Geometry'!$G$43+$T24*'Geometry'!$F$43)&lt;=C_eco,C_alpha*C_fck*(1-(1-($R24+$S24*'Geometry'!$G$43+$T24*'Geometry'!$F$43)/C_eco)^C_n),C_alpha*C_fck),0)))*'Geometry'!$H$43+((MAX(MIN(S_1_Es*($R24+$S24*'Geometry'!$G$44+$T24*'Geometry'!$F$44),S_1_fy),-S_1_fy))-(IF(($R24+$S24*'Geometry'!$G$44+$T24*'Geometry'!$F$44)&gt;0,IF(($R24+$S24*'Geometry'!$G$44+$T24*'Geometry'!$F$44)&lt;=C_eco,C_alpha*C_fck*(1-(1-($R24+$S24*'Geometry'!$G$44+$T24*'Geometry'!$F$44)/C_eco)^C_n),C_alpha*C_fck),0)))*'Geometry'!$H$44+((MAX(MIN(S_1_Es*($R24+$S24*'Geometry'!$G$45+$T24*'Geometry'!$F$45),S_1_fy),-S_1_fy))-(IF(($R24+$S24*'Geometry'!$G$45+$T24*'Geometry'!$F$45)&gt;0,IF(($R24+$S24*'Geometry'!$G$45+$T24*'Geometry'!$F$45)&lt;=C_eco,C_alpha*C_fck*(1-(1-($R24+$S24*'Geometry'!$G$45+$T24*'Geometry'!$F$45)/C_eco)^C_n),C_alpha*C_fck),0)))*'Geometry'!$H$45+((MAX(MIN(S_1_Es*($R24+$S24*'Geometry'!$G$46+$T24*'Geometry'!$F$46),S_1_fy),-S_1_fy))-(IF(($R24+$S24*'Geometry'!$G$46+$T24*'Geometry'!$F$46)&gt;0,IF(($R24+$S24*'Geometry'!$G$46+$T24*'Geometry'!$F$46)&lt;=C_eco,C_alpha*C_fck*(1-(1-($R24+$S24*'Geometry'!$G$46+$T24*'Geometry'!$F$46)/C_eco)^C_n),C_alpha*C_fck),0)))*'Geometry'!$H$46+((MAX(MIN(S_1_Es*($R24+$S24*'Geometry'!$G$47+$T24*'Geometry'!$F$47),S_1_fy),-S_1_fy))-(IF(($R24+$S24*'Geometry'!$G$47+$T24*'Geometry'!$F$47)&gt;0,IF(($R24+$S24*'Geometry'!$G$47+$T24*'Geometry'!$F$47)&lt;=C_eco,C_alpha*C_fck*(1-(1-($R24+$S24*'Geometry'!$G$47+$T24*'Geometry'!$F$47)/C_eco)^C_n),C_alpha*C_fck),0)))*'Geometry'!$H$47+((MAX(MIN(S_1_Es*($R24+$S24*'Geometry'!$G$48+$T24*'Geometry'!$F$48),S_1_fy),-S_1_fy))-(IF(($R24+$S24*'Geometry'!$G$48+$T24*'Geometry'!$F$48)&gt;0,IF(($R24+$S24*'Geometry'!$G$48+$T24*'Geometry'!$F$48)&lt;=C_eco,C_alpha*C_fck*(1-(1-($R24+$S24*'Geometry'!$G$48+$T24*'Geometry'!$F$48)/C_eco)^C_n),C_alpha*C_fck),0)))*'Geometry'!$H$48+((MAX(MIN(S_1_Es*($R24+$S24*'Geometry'!$G$49+$T24*'Geometry'!$F$49),S_1_fy),-S_1_fy))-(IF(($R24+$S24*'Geometry'!$G$49+$T24*'Geometry'!$F$49)&gt;0,IF(($R24+$S24*'Geometry'!$G$49+$T24*'Geometry'!$F$49)&lt;=C_eco,C_alpha*C_fck*(1-(1-($R24+$S24*'Geometry'!$G$49+$T24*'Geometry'!$F$49)/C_eco)^C_n),C_alpha*C_fck),0)))*'Geometry'!$H$49+((MAX(MIN(S_1_Es*($R24+$S24*'Geometry'!$G$50+$T24*'Geometry'!$F$50),S_1_fy),-S_1_fy))-(IF(($R24+$S24*'Geometry'!$G$50+$T24*'Geometry'!$F$50)&gt;0,IF(($R24+$S24*'Geometry'!$G$50+$T24*'Geometry'!$F$50)&lt;=C_eco,C_alpha*C_fck*(1-(1-($R24+$S24*'Geometry'!$G$50+$T24*'Geometry'!$F$50)/C_eco)^C_n),C_alpha*C_fck),0)))*'Geometry'!$H$50+((MAX(MIN(S_1_Es*($R24+$S24*'Geometry'!$G$51+$T24*'Geometry'!$F$51),S_1_fy),-S_1_fy))-(IF(($R24+$S24*'Geometry'!$G$51+$T24*'Geometry'!$F$51)&gt;0,IF(($R24+$S24*'Geometry'!$G$51+$T24*'Geometry'!$F$51)&lt;=C_eco,C_alpha*C_fck*(1-(1-($R24+$S24*'Geometry'!$G$51+$T24*'Geometry'!$F$51)/C_eco)^C_n),C_alpha*C_fck),0)))*'Geometry'!$H$51+((MAX(MIN(S_1_Es*($R24+$S24*'Geometry'!$G$52+$T24*'Geometry'!$F$52),S_1_fy),-S_1_fy))-(IF(($R24+$S24*'Geometry'!$G$52+$T24*'Geometry'!$F$52)&gt;0,IF(($R24+$S24*'Geometry'!$G$52+$T24*'Geometry'!$F$52)&lt;=C_eco,C_alpha*C_fck*(1-(1-($R24+$S24*'Geometry'!$G$52+$T24*'Geometry'!$F$52)/C_eco)^C_n),C_alpha*C_fck),0)))*'Geometry'!$H$52+((MAX(MIN(S_1_Es*($R24+$S24*'Geometry'!$G$53+$T24*'Geometry'!$F$53),S_1_fy),-S_1_fy))-(IF(($R24+$S24*'Geometry'!$G$53+$T24*'Geometry'!$F$53)&gt;0,IF(($R24+$S24*'Geometry'!$G$53+$T24*'Geometry'!$F$53)&lt;=C_eco,C_alpha*C_fck*(1-(1-($R24+$S24*'Geometry'!$G$53+$T24*'Geometry'!$F$53)/C_eco)^C_n),C_alpha*C_fck),0)))*'Geometry'!$H$53+((MAX(MIN(S_1_Es*($R24+$S24*'Geometry'!$G$54+$T24*'Geometry'!$F$54),S_1_fy),-S_1_fy))-(IF(($R24+$S24*'Geometry'!$G$54+$T24*'Geometry'!$F$54)&gt;0,IF(($R24+$S24*'Geometry'!$G$54+$T24*'Geometry'!$F$54)&lt;=C_eco,C_alpha*C_fck*(1-(1-($R24+$S24*'Geometry'!$G$54+$T24*'Geometry'!$F$54)/C_eco)^C_n),C_alpha*C_fck),0)))*'Geometry'!$H$54+((MAX(MIN(S_1_Es*($R24+$S24*'Geometry'!$G$55+$T24*'Geometry'!$F$55),S_1_fy),-S_1_fy))-(IF(($R24+$S24*'Geometry'!$G$55+$T24*'Geometry'!$F$55)&gt;0,IF(($R24+$S24*'Geometry'!$G$55+$T24*'Geometry'!$F$55)&lt;=C_eco,C_alpha*C_fck*(1-(1-($R24+$S24*'Geometry'!$G$55+$T24*'Geometry'!$F$55)/C_eco)^C_n),C_alpha*C_fck),0)))*'Geometry'!$H$55+((MAX(MIN(S_1_Es*($R24+$S24*'Geometry'!$G$56+$T24*'Geometry'!$F$56),S_1_fy),-S_1_fy))-(IF(($R24+$S24*'Geometry'!$G$56+$T24*'Geometry'!$F$56)&gt;0,IF(($R24+$S24*'Geometry'!$G$56+$T24*'Geometry'!$F$56)&lt;=C_eco,C_alpha*C_fck*(1-(1-($R24+$S24*'Geometry'!$G$56+$T24*'Geometry'!$F$56)/C_eco)^C_n),C_alpha*C_fck),0)))*'Geometry'!$H$56+((MAX(MIN(S_1_Es*($R24+$S24*'Geometry'!$G$57+$T24*'Geometry'!$F$57),S_1_fy),-S_1_fy))-(IF(($R24+$S24*'Geometry'!$G$57+$T24*'Geometry'!$F$57)&gt;0,IF(($R24+$S24*'Geometry'!$G$57+$T24*'Geometry'!$F$57)&lt;=C_eco,C_alpha*C_fck*(1-(1-($R24+$S24*'Geometry'!$G$57+$T24*'Geometry'!$F$57)/C_eco)^C_n),C_alpha*C_fck),0)))*'Geometry'!$H$57)/1000</f>
        <v>-240.0185467838184</v>
      </c>
      <c r="Y24" s="10">
        <f>(((MAX(MIN(S_1_Es*($R24+$S24*'Geometry'!$G$40+$T24*'Geometry'!$F$40),S_1_fy),-S_1_fy))-(IF(($R24+$S24*'Geometry'!$G$40+$T24*'Geometry'!$F$40)&gt;0,IF(($R24+$S24*'Geometry'!$G$40+$T24*'Geometry'!$F$40)&lt;=C_eco,C_alpha*C_fck*(1-(1-($R24+$S24*'Geometry'!$G$40+$T24*'Geometry'!$F$40)/C_eco)^C_n),C_alpha*C_fck),0)))*'Geometry'!$H$40*'Geometry'!$G$40+((MAX(MIN(S_1_Es*($R24+$S24*'Geometry'!$G$41+$T24*'Geometry'!$F$41),S_1_fy),-S_1_fy))-(IF(($R24+$S24*'Geometry'!$G$41+$T24*'Geometry'!$F$41)&gt;0,IF(($R24+$S24*'Geometry'!$G$41+$T24*'Geometry'!$F$41)&lt;=C_eco,C_alpha*C_fck*(1-(1-($R24+$S24*'Geometry'!$G$41+$T24*'Geometry'!$F$41)/C_eco)^C_n),C_alpha*C_fck),0)))*'Geometry'!$H$41*'Geometry'!$G$41+((MAX(MIN(S_1_Es*($R24+$S24*'Geometry'!$G$42+$T24*'Geometry'!$F$42),S_1_fy),-S_1_fy))-(IF(($R24+$S24*'Geometry'!$G$42+$T24*'Geometry'!$F$42)&gt;0,IF(($R24+$S24*'Geometry'!$G$42+$T24*'Geometry'!$F$42)&lt;=C_eco,C_alpha*C_fck*(1-(1-($R24+$S24*'Geometry'!$G$42+$T24*'Geometry'!$F$42)/C_eco)^C_n),C_alpha*C_fck),0)))*'Geometry'!$H$42*'Geometry'!$G$42+((MAX(MIN(S_1_Es*($R24+$S24*'Geometry'!$G$43+$T24*'Geometry'!$F$43),S_1_fy),-S_1_fy))-(IF(($R24+$S24*'Geometry'!$G$43+$T24*'Geometry'!$F$43)&gt;0,IF(($R24+$S24*'Geometry'!$G$43+$T24*'Geometry'!$F$43)&lt;=C_eco,C_alpha*C_fck*(1-(1-($R24+$S24*'Geometry'!$G$43+$T24*'Geometry'!$F$43)/C_eco)^C_n),C_alpha*C_fck),0)))*'Geometry'!$H$43*'Geometry'!$G$43+((MAX(MIN(S_1_Es*($R24+$S24*'Geometry'!$G$44+$T24*'Geometry'!$F$44),S_1_fy),-S_1_fy))-(IF(($R24+$S24*'Geometry'!$G$44+$T24*'Geometry'!$F$44)&gt;0,IF(($R24+$S24*'Geometry'!$G$44+$T24*'Geometry'!$F$44)&lt;=C_eco,C_alpha*C_fck*(1-(1-($R24+$S24*'Geometry'!$G$44+$T24*'Geometry'!$F$44)/C_eco)^C_n),C_alpha*C_fck),0)))*'Geometry'!$H$44*'Geometry'!$G$44+((MAX(MIN(S_1_Es*($R24+$S24*'Geometry'!$G$45+$T24*'Geometry'!$F$45),S_1_fy),-S_1_fy))-(IF(($R24+$S24*'Geometry'!$G$45+$T24*'Geometry'!$F$45)&gt;0,IF(($R24+$S24*'Geometry'!$G$45+$T24*'Geometry'!$F$45)&lt;=C_eco,C_alpha*C_fck*(1-(1-($R24+$S24*'Geometry'!$G$45+$T24*'Geometry'!$F$45)/C_eco)^C_n),C_alpha*C_fck),0)))*'Geometry'!$H$45*'Geometry'!$G$45+((MAX(MIN(S_1_Es*($R24+$S24*'Geometry'!$G$46+$T24*'Geometry'!$F$46),S_1_fy),-S_1_fy))-(IF(($R24+$S24*'Geometry'!$G$46+$T24*'Geometry'!$F$46)&gt;0,IF(($R24+$S24*'Geometry'!$G$46+$T24*'Geometry'!$F$46)&lt;=C_eco,C_alpha*C_fck*(1-(1-($R24+$S24*'Geometry'!$G$46+$T24*'Geometry'!$F$46)/C_eco)^C_n),C_alpha*C_fck),0)))*'Geometry'!$H$46*'Geometry'!$G$46+((MAX(MIN(S_1_Es*($R24+$S24*'Geometry'!$G$47+$T24*'Geometry'!$F$47),S_1_fy),-S_1_fy))-(IF(($R24+$S24*'Geometry'!$G$47+$T24*'Geometry'!$F$47)&gt;0,IF(($R24+$S24*'Geometry'!$G$47+$T24*'Geometry'!$F$47)&lt;=C_eco,C_alpha*C_fck*(1-(1-($R24+$S24*'Geometry'!$G$47+$T24*'Geometry'!$F$47)/C_eco)^C_n),C_alpha*C_fck),0)))*'Geometry'!$H$47*'Geometry'!$G$47+((MAX(MIN(S_1_Es*($R24+$S24*'Geometry'!$G$48+$T24*'Geometry'!$F$48),S_1_fy),-S_1_fy))-(IF(($R24+$S24*'Geometry'!$G$48+$T24*'Geometry'!$F$48)&gt;0,IF(($R24+$S24*'Geometry'!$G$48+$T24*'Geometry'!$F$48)&lt;=C_eco,C_alpha*C_fck*(1-(1-($R24+$S24*'Geometry'!$G$48+$T24*'Geometry'!$F$48)/C_eco)^C_n),C_alpha*C_fck),0)))*'Geometry'!$H$48*'Geometry'!$G$48+((MAX(MIN(S_1_Es*($R24+$S24*'Geometry'!$G$49+$T24*'Geometry'!$F$49),S_1_fy),-S_1_fy))-(IF(($R24+$S24*'Geometry'!$G$49+$T24*'Geometry'!$F$49)&gt;0,IF(($R24+$S24*'Geometry'!$G$49+$T24*'Geometry'!$F$49)&lt;=C_eco,C_alpha*C_fck*(1-(1-($R24+$S24*'Geometry'!$G$49+$T24*'Geometry'!$F$49)/C_eco)^C_n),C_alpha*C_fck),0)))*'Geometry'!$H$49*'Geometry'!$G$49+((MAX(MIN(S_1_Es*($R24+$S24*'Geometry'!$G$50+$T24*'Geometry'!$F$50),S_1_fy),-S_1_fy))-(IF(($R24+$S24*'Geometry'!$G$50+$T24*'Geometry'!$F$50)&gt;0,IF(($R24+$S24*'Geometry'!$G$50+$T24*'Geometry'!$F$50)&lt;=C_eco,C_alpha*C_fck*(1-(1-($R24+$S24*'Geometry'!$G$50+$T24*'Geometry'!$F$50)/C_eco)^C_n),C_alpha*C_fck),0)))*'Geometry'!$H$50*'Geometry'!$G$50+((MAX(MIN(S_1_Es*($R24+$S24*'Geometry'!$G$51+$T24*'Geometry'!$F$51),S_1_fy),-S_1_fy))-(IF(($R24+$S24*'Geometry'!$G$51+$T24*'Geometry'!$F$51)&gt;0,IF(($R24+$S24*'Geometry'!$G$51+$T24*'Geometry'!$F$51)&lt;=C_eco,C_alpha*C_fck*(1-(1-($R24+$S24*'Geometry'!$G$51+$T24*'Geometry'!$F$51)/C_eco)^C_n),C_alpha*C_fck),0)))*'Geometry'!$H$51*'Geometry'!$G$51+((MAX(MIN(S_1_Es*($R24+$S24*'Geometry'!$G$52+$T24*'Geometry'!$F$52),S_1_fy),-S_1_fy))-(IF(($R24+$S24*'Geometry'!$G$52+$T24*'Geometry'!$F$52)&gt;0,IF(($R24+$S24*'Geometry'!$G$52+$T24*'Geometry'!$F$52)&lt;=C_eco,C_alpha*C_fck*(1-(1-($R24+$S24*'Geometry'!$G$52+$T24*'Geometry'!$F$52)/C_eco)^C_n),C_alpha*C_fck),0)))*'Geometry'!$H$52*'Geometry'!$G$52+((MAX(MIN(S_1_Es*($R24+$S24*'Geometry'!$G$53+$T24*'Geometry'!$F$53),S_1_fy),-S_1_fy))-(IF(($R24+$S24*'Geometry'!$G$53+$T24*'Geometry'!$F$53)&gt;0,IF(($R24+$S24*'Geometry'!$G$53+$T24*'Geometry'!$F$53)&lt;=C_eco,C_alpha*C_fck*(1-(1-($R24+$S24*'Geometry'!$G$53+$T24*'Geometry'!$F$53)/C_eco)^C_n),C_alpha*C_fck),0)))*'Geometry'!$H$53*'Geometry'!$G$53+((MAX(MIN(S_1_Es*($R24+$S24*'Geometry'!$G$54+$T24*'Geometry'!$F$54),S_1_fy),-S_1_fy))-(IF(($R24+$S24*'Geometry'!$G$54+$T24*'Geometry'!$F$54)&gt;0,IF(($R24+$S24*'Geometry'!$G$54+$T24*'Geometry'!$F$54)&lt;=C_eco,C_alpha*C_fck*(1-(1-($R24+$S24*'Geometry'!$G$54+$T24*'Geometry'!$F$54)/C_eco)^C_n),C_alpha*C_fck),0)))*'Geometry'!$H$54*'Geometry'!$G$54+((MAX(MIN(S_1_Es*($R24+$S24*'Geometry'!$G$55+$T24*'Geometry'!$F$55),S_1_fy),-S_1_fy))-(IF(($R24+$S24*'Geometry'!$G$55+$T24*'Geometry'!$F$55)&gt;0,IF(($R24+$S24*'Geometry'!$G$55+$T24*'Geometry'!$F$55)&lt;=C_eco,C_alpha*C_fck*(1-(1-($R24+$S24*'Geometry'!$G$55+$T24*'Geometry'!$F$55)/C_eco)^C_n),C_alpha*C_fck),0)))*'Geometry'!$H$55*'Geometry'!$G$55+((MAX(MIN(S_1_Es*($R24+$S24*'Geometry'!$G$56+$T24*'Geometry'!$F$56),S_1_fy),-S_1_fy))-(IF(($R24+$S24*'Geometry'!$G$56+$T24*'Geometry'!$F$56)&gt;0,IF(($R24+$S24*'Geometry'!$G$56+$T24*'Geometry'!$F$56)&lt;=C_eco,C_alpha*C_fck*(1-(1-($R24+$S24*'Geometry'!$G$56+$T24*'Geometry'!$F$56)/C_eco)^C_n),C_alpha*C_fck),0)))*'Geometry'!$H$56*'Geometry'!$G$56+((MAX(MIN(S_1_Es*($R24+$S24*'Geometry'!$G$57+$T24*'Geometry'!$F$57),S_1_fy),-S_1_fy))-(IF(($R24+$S24*'Geometry'!$G$57+$T24*'Geometry'!$F$57)&gt;0,IF(($R24+$S24*'Geometry'!$G$57+$T24*'Geometry'!$F$57)&lt;=C_eco,C_alpha*C_fck*(1-(1-($R24+$S24*'Geometry'!$G$57+$T24*'Geometry'!$F$57)/C_eco)^C_n),C_alpha*C_fck),0)))*'Geometry'!$H$57*'Geometry'!$G$57)/1000000</f>
        <v>1945.5766076892178</v>
      </c>
      <c r="Z24" s="10">
        <f>(((MAX(MIN(S_1_Es*($R24+$S24*'Geometry'!$G$40+$T24*'Geometry'!$F$40),S_1_fy),-S_1_fy))-(IF(($R24+$S24*'Geometry'!$G$40+$T24*'Geometry'!$F$40)&gt;0,IF(($R24+$S24*'Geometry'!$G$40+$T24*'Geometry'!$F$40)&lt;=C_eco,C_alpha*C_fck*(1-(1-($R24+$S24*'Geometry'!$G$40+$T24*'Geometry'!$F$40)/C_eco)^C_n),C_alpha*C_fck),0)))*'Geometry'!$H$40*'Geometry'!$F$40+((MAX(MIN(S_1_Es*($R24+$S24*'Geometry'!$G$41+$T24*'Geometry'!$F$41),S_1_fy),-S_1_fy))-(IF(($R24+$S24*'Geometry'!$G$41+$T24*'Geometry'!$F$41)&gt;0,IF(($R24+$S24*'Geometry'!$G$41+$T24*'Geometry'!$F$41)&lt;=C_eco,C_alpha*C_fck*(1-(1-($R24+$S24*'Geometry'!$G$41+$T24*'Geometry'!$F$41)/C_eco)^C_n),C_alpha*C_fck),0)))*'Geometry'!$H$41*'Geometry'!$F$41+((MAX(MIN(S_1_Es*($R24+$S24*'Geometry'!$G$42+$T24*'Geometry'!$F$42),S_1_fy),-S_1_fy))-(IF(($R24+$S24*'Geometry'!$G$42+$T24*'Geometry'!$F$42)&gt;0,IF(($R24+$S24*'Geometry'!$G$42+$T24*'Geometry'!$F$42)&lt;=C_eco,C_alpha*C_fck*(1-(1-($R24+$S24*'Geometry'!$G$42+$T24*'Geometry'!$F$42)/C_eco)^C_n),C_alpha*C_fck),0)))*'Geometry'!$H$42*'Geometry'!$F$42+((MAX(MIN(S_1_Es*($R24+$S24*'Geometry'!$G$43+$T24*'Geometry'!$F$43),S_1_fy),-S_1_fy))-(IF(($R24+$S24*'Geometry'!$G$43+$T24*'Geometry'!$F$43)&gt;0,IF(($R24+$S24*'Geometry'!$G$43+$T24*'Geometry'!$F$43)&lt;=C_eco,C_alpha*C_fck*(1-(1-($R24+$S24*'Geometry'!$G$43+$T24*'Geometry'!$F$43)/C_eco)^C_n),C_alpha*C_fck),0)))*'Geometry'!$H$43*'Geometry'!$F$43+((MAX(MIN(S_1_Es*($R24+$S24*'Geometry'!$G$44+$T24*'Geometry'!$F$44),S_1_fy),-S_1_fy))-(IF(($R24+$S24*'Geometry'!$G$44+$T24*'Geometry'!$F$44)&gt;0,IF(($R24+$S24*'Geometry'!$G$44+$T24*'Geometry'!$F$44)&lt;=C_eco,C_alpha*C_fck*(1-(1-($R24+$S24*'Geometry'!$G$44+$T24*'Geometry'!$F$44)/C_eco)^C_n),C_alpha*C_fck),0)))*'Geometry'!$H$44*'Geometry'!$F$44+((MAX(MIN(S_1_Es*($R24+$S24*'Geometry'!$G$45+$T24*'Geometry'!$F$45),S_1_fy),-S_1_fy))-(IF(($R24+$S24*'Geometry'!$G$45+$T24*'Geometry'!$F$45)&gt;0,IF(($R24+$S24*'Geometry'!$G$45+$T24*'Geometry'!$F$45)&lt;=C_eco,C_alpha*C_fck*(1-(1-($R24+$S24*'Geometry'!$G$45+$T24*'Geometry'!$F$45)/C_eco)^C_n),C_alpha*C_fck),0)))*'Geometry'!$H$45*'Geometry'!$F$45+((MAX(MIN(S_1_Es*($R24+$S24*'Geometry'!$G$46+$T24*'Geometry'!$F$46),S_1_fy),-S_1_fy))-(IF(($R24+$S24*'Geometry'!$G$46+$T24*'Geometry'!$F$46)&gt;0,IF(($R24+$S24*'Geometry'!$G$46+$T24*'Geometry'!$F$46)&lt;=C_eco,C_alpha*C_fck*(1-(1-($R24+$S24*'Geometry'!$G$46+$T24*'Geometry'!$F$46)/C_eco)^C_n),C_alpha*C_fck),0)))*'Geometry'!$H$46*'Geometry'!$F$46+((MAX(MIN(S_1_Es*($R24+$S24*'Geometry'!$G$47+$T24*'Geometry'!$F$47),S_1_fy),-S_1_fy))-(IF(($R24+$S24*'Geometry'!$G$47+$T24*'Geometry'!$F$47)&gt;0,IF(($R24+$S24*'Geometry'!$G$47+$T24*'Geometry'!$F$47)&lt;=C_eco,C_alpha*C_fck*(1-(1-($R24+$S24*'Geometry'!$G$47+$T24*'Geometry'!$F$47)/C_eco)^C_n),C_alpha*C_fck),0)))*'Geometry'!$H$47*'Geometry'!$F$47+((MAX(MIN(S_1_Es*($R24+$S24*'Geometry'!$G$48+$T24*'Geometry'!$F$48),S_1_fy),-S_1_fy))-(IF(($R24+$S24*'Geometry'!$G$48+$T24*'Geometry'!$F$48)&gt;0,IF(($R24+$S24*'Geometry'!$G$48+$T24*'Geometry'!$F$48)&lt;=C_eco,C_alpha*C_fck*(1-(1-($R24+$S24*'Geometry'!$G$48+$T24*'Geometry'!$F$48)/C_eco)^C_n),C_alpha*C_fck),0)))*'Geometry'!$H$48*'Geometry'!$F$48+((MAX(MIN(S_1_Es*($R24+$S24*'Geometry'!$G$49+$T24*'Geometry'!$F$49),S_1_fy),-S_1_fy))-(IF(($R24+$S24*'Geometry'!$G$49+$T24*'Geometry'!$F$49)&gt;0,IF(($R24+$S24*'Geometry'!$G$49+$T24*'Geometry'!$F$49)&lt;=C_eco,C_alpha*C_fck*(1-(1-($R24+$S24*'Geometry'!$G$49+$T24*'Geometry'!$F$49)/C_eco)^C_n),C_alpha*C_fck),0)))*'Geometry'!$H$49*'Geometry'!$F$49+((MAX(MIN(S_1_Es*($R24+$S24*'Geometry'!$G$50+$T24*'Geometry'!$F$50),S_1_fy),-S_1_fy))-(IF(($R24+$S24*'Geometry'!$G$50+$T24*'Geometry'!$F$50)&gt;0,IF(($R24+$S24*'Geometry'!$G$50+$T24*'Geometry'!$F$50)&lt;=C_eco,C_alpha*C_fck*(1-(1-($R24+$S24*'Geometry'!$G$50+$T24*'Geometry'!$F$50)/C_eco)^C_n),C_alpha*C_fck),0)))*'Geometry'!$H$50*'Geometry'!$F$50+((MAX(MIN(S_1_Es*($R24+$S24*'Geometry'!$G$51+$T24*'Geometry'!$F$51),S_1_fy),-S_1_fy))-(IF(($R24+$S24*'Geometry'!$G$51+$T24*'Geometry'!$F$51)&gt;0,IF(($R24+$S24*'Geometry'!$G$51+$T24*'Geometry'!$F$51)&lt;=C_eco,C_alpha*C_fck*(1-(1-($R24+$S24*'Geometry'!$G$51+$T24*'Geometry'!$F$51)/C_eco)^C_n),C_alpha*C_fck),0)))*'Geometry'!$H$51*'Geometry'!$F$51+((MAX(MIN(S_1_Es*($R24+$S24*'Geometry'!$G$52+$T24*'Geometry'!$F$52),S_1_fy),-S_1_fy))-(IF(($R24+$S24*'Geometry'!$G$52+$T24*'Geometry'!$F$52)&gt;0,IF(($R24+$S24*'Geometry'!$G$52+$T24*'Geometry'!$F$52)&lt;=C_eco,C_alpha*C_fck*(1-(1-($R24+$S24*'Geometry'!$G$52+$T24*'Geometry'!$F$52)/C_eco)^C_n),C_alpha*C_fck),0)))*'Geometry'!$H$52*'Geometry'!$F$52+((MAX(MIN(S_1_Es*($R24+$S24*'Geometry'!$G$53+$T24*'Geometry'!$F$53),S_1_fy),-S_1_fy))-(IF(($R24+$S24*'Geometry'!$G$53+$T24*'Geometry'!$F$53)&gt;0,IF(($R24+$S24*'Geometry'!$G$53+$T24*'Geometry'!$F$53)&lt;=C_eco,C_alpha*C_fck*(1-(1-($R24+$S24*'Geometry'!$G$53+$T24*'Geometry'!$F$53)/C_eco)^C_n),C_alpha*C_fck),0)))*'Geometry'!$H$53*'Geometry'!$F$53+((MAX(MIN(S_1_Es*($R24+$S24*'Geometry'!$G$54+$T24*'Geometry'!$F$54),S_1_fy),-S_1_fy))-(IF(($R24+$S24*'Geometry'!$G$54+$T24*'Geometry'!$F$54)&gt;0,IF(($R24+$S24*'Geometry'!$G$54+$T24*'Geometry'!$F$54)&lt;=C_eco,C_alpha*C_fck*(1-(1-($R24+$S24*'Geometry'!$G$54+$T24*'Geometry'!$F$54)/C_eco)^C_n),C_alpha*C_fck),0)))*'Geometry'!$H$54*'Geometry'!$F$54+((MAX(MIN(S_1_Es*($R24+$S24*'Geometry'!$G$55+$T24*'Geometry'!$F$55),S_1_fy),-S_1_fy))-(IF(($R24+$S24*'Geometry'!$G$55+$T24*'Geometry'!$F$55)&gt;0,IF(($R24+$S24*'Geometry'!$G$55+$T24*'Geometry'!$F$55)&lt;=C_eco,C_alpha*C_fck*(1-(1-($R24+$S24*'Geometry'!$G$55+$T24*'Geometry'!$F$55)/C_eco)^C_n),C_alpha*C_fck),0)))*'Geometry'!$H$55*'Geometry'!$F$55+((MAX(MIN(S_1_Es*($R24+$S24*'Geometry'!$G$56+$T24*'Geometry'!$F$56),S_1_fy),-S_1_fy))-(IF(($R24+$S24*'Geometry'!$G$56+$T24*'Geometry'!$F$56)&gt;0,IF(($R24+$S24*'Geometry'!$G$56+$T24*'Geometry'!$F$56)&lt;=C_eco,C_alpha*C_fck*(1-(1-($R24+$S24*'Geometry'!$G$56+$T24*'Geometry'!$F$56)/C_eco)^C_n),C_alpha*C_fck),0)))*'Geometry'!$H$56*'Geometry'!$F$56+((MAX(MIN(S_1_Es*($R24+$S24*'Geometry'!$G$57+$T24*'Geometry'!$F$57),S_1_fy),-S_1_fy))-(IF(($R24+$S24*'Geometry'!$G$57+$T24*'Geometry'!$F$57)&gt;0,IF(($R24+$S24*'Geometry'!$G$57+$T24*'Geometry'!$F$57)&lt;=C_eco,C_alpha*C_fck*(1-(1-($R24+$S24*'Geometry'!$G$57+$T24*'Geometry'!$F$57)/C_eco)^C_n),C_alpha*C_fck),0)))*'Geometry'!$H$57*'Geometry'!$F$57)/1000000</f>
        <v>480.3581423705079</v>
      </c>
      <c r="AA24" s="10">
        <f>U24+X24</f>
        <v>11240.00851493754</v>
      </c>
      <c r="AB24" s="10">
        <f>V24+Y24</f>
        <v>6461.651702401736</v>
      </c>
      <c r="AC24" s="10">
        <f>W24+Z24</f>
        <v>1272.2861009870687</v>
      </c>
      <c r="AD24" s="7">
        <v>0.7166666666666667</v>
      </c>
      <c r="AE24" s="7">
        <v>0.7166666666666668</v>
      </c>
      <c r="AF24" s="10">
        <f>AA24*AD24</f>
        <v>8055.3394357052375</v>
      </c>
      <c r="AG24" s="10">
        <f>AB24*AE24</f>
        <v>4630.850386721244</v>
      </c>
      <c r="AH24" s="10">
        <f>AC24*AE24</f>
        <v>911.8050390407325</v>
      </c>
      <c r="AI24" s="7">
        <v>8055.3394357052375</v>
      </c>
      <c r="AJ24" s="7">
        <v>4630.850386721244</v>
      </c>
      <c r="AK24" s="7">
        <v>911.8050390407325</v>
      </c>
      <c r="AL24" s="15">
        <f>AF24-AI24</f>
        <v>0</v>
      </c>
      <c r="AM24" s="15">
        <f>SQRT((AG24-AJ24)^2+(AH24-AK24)^2)</f>
        <v>0</v>
      </c>
      <c r="AN24" s="7" t="s">
        <v>189</v>
      </c>
      <c r="AO24" s="7">
        <v>11240.00851493754</v>
      </c>
      <c r="AP24" s="7">
        <v>6461.651702401736</v>
      </c>
      <c r="AQ24" s="7">
        <v>1272.2861009870687</v>
      </c>
      <c r="AR24" s="7">
        <v>11480.02706172136</v>
      </c>
      <c r="AS24" s="7">
        <v>4516.075094712518</v>
      </c>
      <c r="AT24" s="7">
        <v>791.9279586165607</v>
      </c>
      <c r="AU24" s="7">
        <v>-240.0185467838184</v>
      </c>
      <c r="AV24" s="7">
        <v>1945.5766076892178</v>
      </c>
      <c r="AW24" s="7">
        <v>480.3581423705079</v>
      </c>
    </row>
    <row r="25" spans="1:49" x14ac:dyDescent="0.25">
      <c r="A25">
        <v>18</v>
      </c>
      <c r="B25" t="s">
        <v>224</v>
      </c>
      <c r="C25" s="21">
        <f>$AF$25</f>
        <v>7678.537323488857</v>
      </c>
      <c r="D25" s="22">
        <f>$AG$25*COS(RADIANS($C$5))+$AH$25*SIN(RADIANS($C$5))</f>
        <v>4843.3385412025245</v>
      </c>
      <c r="G25" s="7" t="s">
        <v>225</v>
      </c>
      <c r="H25" s="7" t="s">
        <v>224</v>
      </c>
      <c r="I25" s="12">
        <v>10</v>
      </c>
      <c r="J25" s="7" t="s">
        <v>205</v>
      </c>
      <c r="K25" s="12">
        <v>1.75</v>
      </c>
      <c r="L25" s="10">
        <f>MAX(('Geometry'!$G$13*COS(RADIANS(I25))+'Geometry'!$F$13*SIN(RADIANS(I25))),('Geometry'!$G$14*COS(RADIANS(I25))+'Geometry'!$F$14*SIN(RADIANS(I25))),('Geometry'!$G$15*COS(RADIANS(I25))+'Geometry'!$F$15*SIN(RADIANS(I25))),('Geometry'!$G$16*COS(RADIANS(I25))+'Geometry'!$F$16*SIN(RADIANS(I25))),('Geometry'!$G$17*COS(RADIANS(I25))+'Geometry'!$F$17*SIN(RADIANS(I25))),('Geometry'!$G$18*COS(RADIANS(I25))+'Geometry'!$F$18*SIN(RADIANS(I25))),('Geometry'!$G$19*COS(RADIANS(I25))+'Geometry'!$F$19*SIN(RADIANS(I25))),('Geometry'!$G$20*COS(RADIANS(I25))+'Geometry'!$F$20*SIN(RADIANS(I25))))</f>
        <v>686.3911495241364</v>
      </c>
      <c r="M25" s="10">
        <f>MIN(('Geometry'!$G$40*COS(RADIANS(I25))+'Geometry'!$F$40*SIN(RADIANS(I25))),('Geometry'!$G$41*COS(RADIANS(I25))+'Geometry'!$F$41*SIN(RADIANS(I25))),('Geometry'!$G$42*COS(RADIANS(I25))+'Geometry'!$F$42*SIN(RADIANS(I25))),('Geometry'!$G$43*COS(RADIANS(I25))+'Geometry'!$F$43*SIN(RADIANS(I25))),('Geometry'!$G$44*COS(RADIANS(I25))+'Geometry'!$F$44*SIN(RADIANS(I25))),('Geometry'!$G$45*COS(RADIANS(I25))+'Geometry'!$F$45*SIN(RADIANS(I25))),('Geometry'!$G$46*COS(RADIANS(I25))+'Geometry'!$F$46*SIN(RADIANS(I25))),('Geometry'!$G$47*COS(RADIANS(I25))+'Geometry'!$F$47*SIN(RADIANS(I25))),('Geometry'!$G$48*COS(RADIANS(I25))+'Geometry'!$F$48*SIN(RADIANS(I25))),('Geometry'!$G$49*COS(RADIANS(I25))+'Geometry'!$F$49*SIN(RADIANS(I25))),('Geometry'!$G$50*COS(RADIANS(I25))+'Geometry'!$F$50*SIN(RADIANS(I25))),('Geometry'!$G$51*COS(RADIANS(I25))+'Geometry'!$F$51*SIN(RADIANS(I25))),('Geometry'!$G$52*COS(RADIANS(I25))+'Geometry'!$F$52*SIN(RADIANS(I25))),('Geometry'!$G$53*COS(RADIANS(I25))+'Geometry'!$F$53*SIN(RADIANS(I25))),('Geometry'!$G$54*COS(RADIANS(I25))+'Geometry'!$F$54*SIN(RADIANS(I25))),('Geometry'!$G$55*COS(RADIANS(I25))+'Geometry'!$F$55*SIN(RADIANS(I25))),('Geometry'!$G$56*COS(RADIANS(I25))+'Geometry'!$F$56*SIN(RADIANS(I25))),('Geometry'!$G$57*COS(RADIANS(I25))+'Geometry'!$F$57*SIN(RADIANS(I25))))</f>
        <v>-591.4073801632424</v>
      </c>
      <c r="N25" s="10">
        <f>L25-MIN(('Geometry'!$G$13*COS(RADIANS(I25))+'Geometry'!$F$13*SIN(RADIANS(I25))),('Geometry'!$G$14*COS(RADIANS(I25))+'Geometry'!$F$14*SIN(RADIANS(I25))),('Geometry'!$G$15*COS(RADIANS(I25))+'Geometry'!$F$15*SIN(RADIANS(I25))),('Geometry'!$G$16*COS(RADIANS(I25))+'Geometry'!$F$16*SIN(RADIANS(I25))),('Geometry'!$G$17*COS(RADIANS(I25))+'Geometry'!$F$17*SIN(RADIANS(I25))),('Geometry'!$G$18*COS(RADIANS(I25))+'Geometry'!$F$18*SIN(RADIANS(I25))),('Geometry'!$G$19*COS(RADIANS(I25))+'Geometry'!$F$19*SIN(RADIANS(I25))),('Geometry'!$G$20*COS(RADIANS(I25))+'Geometry'!$F$20*SIN(RADIANS(I25))))</f>
        <v>1372.7822990482728</v>
      </c>
      <c r="O25" s="15">
        <f>C_ecu</f>
        <v>0.003299999999999999</v>
      </c>
      <c r="P25" s="15">
        <f>-K25*S_1_fy/S_1_Es</f>
        <v>-0.0035</v>
      </c>
      <c r="Q25" s="20">
        <f>IF(ABS(L25-M25)&lt;0.000000000001,0,(O25-P25)/(L25-M25))</f>
        <v>0.00000532165270346935</v>
      </c>
      <c r="R25" s="15">
        <f>O25-Q25*L25</f>
        <v>-0.0003527353165025558</v>
      </c>
      <c r="S25" s="20">
        <f>Q25*COS(RADIANS(I25))</f>
        <v>0.000005240804841214993</v>
      </c>
      <c r="T25" s="20">
        <f>Q25*SIN(RADIANS(I25))</f>
        <v>9.240952941337459e-7</v>
      </c>
      <c r="U25" s="10">
        <f>SUMPRODUCT(C_alpha*C_fck*(1-(1-((($R25+$S25*Mesh_Y+$T25*Mesh_X))*(($R25+$S25*Mesh_Y+$T25*Mesh_X)&gt;0)*(($R25+$S25*Mesh_Y+$T25*Mesh_X)&lt;C_eco)+C_eco*(($R25+$S25*Mesh_Y+$T25*Mesh_X)&gt;=C_eco))/C_eco)^C_n)*((($R25+$S25*Mesh_Y+$T25*Mesh_X))&gt;0),Mesh_A)/1000</f>
        <v>10749.324978342775</v>
      </c>
      <c r="V25" s="10">
        <f>SUMPRODUCT(C_alpha*C_fck*(1-(1-((($R25+$S25*Mesh_Y+$T25*Mesh_X))*(($R25+$S25*Mesh_Y+$T25*Mesh_X)&gt;0)*(($R25+$S25*Mesh_Y+$T25*Mesh_X)&lt;C_eco)+C_eco*(($R25+$S25*Mesh_Y+$T25*Mesh_X)&gt;=C_eco))/C_eco)^C_n)*((($R25+$S25*Mesh_Y+$T25*Mesh_X))&gt;0),Mesh_A,Mesh_Y)/1000000</f>
        <v>4394.27819101173</v>
      </c>
      <c r="W25" s="10">
        <f>SUMPRODUCT(C_alpha*C_fck*(1-(1-((($R25+$S25*Mesh_Y+$T25*Mesh_X))*(($R25+$S25*Mesh_Y+$T25*Mesh_X)&gt;0)*(($R25+$S25*Mesh_Y+$T25*Mesh_X)&lt;C_eco)+C_eco*(($R25+$S25*Mesh_Y+$T25*Mesh_X)&gt;=C_eco))/C_eco)^C_n)*((($R25+$S25*Mesh_Y+$T25*Mesh_X))&gt;0),Mesh_A,Mesh_X)/1000000</f>
        <v>797.9208792006888</v>
      </c>
      <c r="X25" s="10">
        <f>(((MAX(MIN(S_1_Es*($R25+$S25*'Geometry'!$G$40+$T25*'Geometry'!$F$40),S_1_fy),-S_1_fy))-(IF(($R25+$S25*'Geometry'!$G$40+$T25*'Geometry'!$F$40)&gt;0,IF(($R25+$S25*'Geometry'!$G$40+$T25*'Geometry'!$F$40)&lt;=C_eco,C_alpha*C_fck*(1-(1-($R25+$S25*'Geometry'!$G$40+$T25*'Geometry'!$F$40)/C_eco)^C_n),C_alpha*C_fck),0)))*'Geometry'!$H$40+((MAX(MIN(S_1_Es*($R25+$S25*'Geometry'!$G$41+$T25*'Geometry'!$F$41),S_1_fy),-S_1_fy))-(IF(($R25+$S25*'Geometry'!$G$41+$T25*'Geometry'!$F$41)&gt;0,IF(($R25+$S25*'Geometry'!$G$41+$T25*'Geometry'!$F$41)&lt;=C_eco,C_alpha*C_fck*(1-(1-($R25+$S25*'Geometry'!$G$41+$T25*'Geometry'!$F$41)/C_eco)^C_n),C_alpha*C_fck),0)))*'Geometry'!$H$41+((MAX(MIN(S_1_Es*($R25+$S25*'Geometry'!$G$42+$T25*'Geometry'!$F$42),S_1_fy),-S_1_fy))-(IF(($R25+$S25*'Geometry'!$G$42+$T25*'Geometry'!$F$42)&gt;0,IF(($R25+$S25*'Geometry'!$G$42+$T25*'Geometry'!$F$42)&lt;=C_eco,C_alpha*C_fck*(1-(1-($R25+$S25*'Geometry'!$G$42+$T25*'Geometry'!$F$42)/C_eco)^C_n),C_alpha*C_fck),0)))*'Geometry'!$H$42+((MAX(MIN(S_1_Es*($R25+$S25*'Geometry'!$G$43+$T25*'Geometry'!$F$43),S_1_fy),-S_1_fy))-(IF(($R25+$S25*'Geometry'!$G$43+$T25*'Geometry'!$F$43)&gt;0,IF(($R25+$S25*'Geometry'!$G$43+$T25*'Geometry'!$F$43)&lt;=C_eco,C_alpha*C_fck*(1-(1-($R25+$S25*'Geometry'!$G$43+$T25*'Geometry'!$F$43)/C_eco)^C_n),C_alpha*C_fck),0)))*'Geometry'!$H$43+((MAX(MIN(S_1_Es*($R25+$S25*'Geometry'!$G$44+$T25*'Geometry'!$F$44),S_1_fy),-S_1_fy))-(IF(($R25+$S25*'Geometry'!$G$44+$T25*'Geometry'!$F$44)&gt;0,IF(($R25+$S25*'Geometry'!$G$44+$T25*'Geometry'!$F$44)&lt;=C_eco,C_alpha*C_fck*(1-(1-($R25+$S25*'Geometry'!$G$44+$T25*'Geometry'!$F$44)/C_eco)^C_n),C_alpha*C_fck),0)))*'Geometry'!$H$44+((MAX(MIN(S_1_Es*($R25+$S25*'Geometry'!$G$45+$T25*'Geometry'!$F$45),S_1_fy),-S_1_fy))-(IF(($R25+$S25*'Geometry'!$G$45+$T25*'Geometry'!$F$45)&gt;0,IF(($R25+$S25*'Geometry'!$G$45+$T25*'Geometry'!$F$45)&lt;=C_eco,C_alpha*C_fck*(1-(1-($R25+$S25*'Geometry'!$G$45+$T25*'Geometry'!$F$45)/C_eco)^C_n),C_alpha*C_fck),0)))*'Geometry'!$H$45+((MAX(MIN(S_1_Es*($R25+$S25*'Geometry'!$G$46+$T25*'Geometry'!$F$46),S_1_fy),-S_1_fy))-(IF(($R25+$S25*'Geometry'!$G$46+$T25*'Geometry'!$F$46)&gt;0,IF(($R25+$S25*'Geometry'!$G$46+$T25*'Geometry'!$F$46)&lt;=C_eco,C_alpha*C_fck*(1-(1-($R25+$S25*'Geometry'!$G$46+$T25*'Geometry'!$F$46)/C_eco)^C_n),C_alpha*C_fck),0)))*'Geometry'!$H$46+((MAX(MIN(S_1_Es*($R25+$S25*'Geometry'!$G$47+$T25*'Geometry'!$F$47),S_1_fy),-S_1_fy))-(IF(($R25+$S25*'Geometry'!$G$47+$T25*'Geometry'!$F$47)&gt;0,IF(($R25+$S25*'Geometry'!$G$47+$T25*'Geometry'!$F$47)&lt;=C_eco,C_alpha*C_fck*(1-(1-($R25+$S25*'Geometry'!$G$47+$T25*'Geometry'!$F$47)/C_eco)^C_n),C_alpha*C_fck),0)))*'Geometry'!$H$47+((MAX(MIN(S_1_Es*($R25+$S25*'Geometry'!$G$48+$T25*'Geometry'!$F$48),S_1_fy),-S_1_fy))-(IF(($R25+$S25*'Geometry'!$G$48+$T25*'Geometry'!$F$48)&gt;0,IF(($R25+$S25*'Geometry'!$G$48+$T25*'Geometry'!$F$48)&lt;=C_eco,C_alpha*C_fck*(1-(1-($R25+$S25*'Geometry'!$G$48+$T25*'Geometry'!$F$48)/C_eco)^C_n),C_alpha*C_fck),0)))*'Geometry'!$H$48+((MAX(MIN(S_1_Es*($R25+$S25*'Geometry'!$G$49+$T25*'Geometry'!$F$49),S_1_fy),-S_1_fy))-(IF(($R25+$S25*'Geometry'!$G$49+$T25*'Geometry'!$F$49)&gt;0,IF(($R25+$S25*'Geometry'!$G$49+$T25*'Geometry'!$F$49)&lt;=C_eco,C_alpha*C_fck*(1-(1-($R25+$S25*'Geometry'!$G$49+$T25*'Geometry'!$F$49)/C_eco)^C_n),C_alpha*C_fck),0)))*'Geometry'!$H$49+((MAX(MIN(S_1_Es*($R25+$S25*'Geometry'!$G$50+$T25*'Geometry'!$F$50),S_1_fy),-S_1_fy))-(IF(($R25+$S25*'Geometry'!$G$50+$T25*'Geometry'!$F$50)&gt;0,IF(($R25+$S25*'Geometry'!$G$50+$T25*'Geometry'!$F$50)&lt;=C_eco,C_alpha*C_fck*(1-(1-($R25+$S25*'Geometry'!$G$50+$T25*'Geometry'!$F$50)/C_eco)^C_n),C_alpha*C_fck),0)))*'Geometry'!$H$50+((MAX(MIN(S_1_Es*($R25+$S25*'Geometry'!$G$51+$T25*'Geometry'!$F$51),S_1_fy),-S_1_fy))-(IF(($R25+$S25*'Geometry'!$G$51+$T25*'Geometry'!$F$51)&gt;0,IF(($R25+$S25*'Geometry'!$G$51+$T25*'Geometry'!$F$51)&lt;=C_eco,C_alpha*C_fck*(1-(1-($R25+$S25*'Geometry'!$G$51+$T25*'Geometry'!$F$51)/C_eco)^C_n),C_alpha*C_fck),0)))*'Geometry'!$H$51+((MAX(MIN(S_1_Es*($R25+$S25*'Geometry'!$G$52+$T25*'Geometry'!$F$52),S_1_fy),-S_1_fy))-(IF(($R25+$S25*'Geometry'!$G$52+$T25*'Geometry'!$F$52)&gt;0,IF(($R25+$S25*'Geometry'!$G$52+$T25*'Geometry'!$F$52)&lt;=C_eco,C_alpha*C_fck*(1-(1-($R25+$S25*'Geometry'!$G$52+$T25*'Geometry'!$F$52)/C_eco)^C_n),C_alpha*C_fck),0)))*'Geometry'!$H$52+((MAX(MIN(S_1_Es*($R25+$S25*'Geometry'!$G$53+$T25*'Geometry'!$F$53),S_1_fy),-S_1_fy))-(IF(($R25+$S25*'Geometry'!$G$53+$T25*'Geometry'!$F$53)&gt;0,IF(($R25+$S25*'Geometry'!$G$53+$T25*'Geometry'!$F$53)&lt;=C_eco,C_alpha*C_fck*(1-(1-($R25+$S25*'Geometry'!$G$53+$T25*'Geometry'!$F$53)/C_eco)^C_n),C_alpha*C_fck),0)))*'Geometry'!$H$53+((MAX(MIN(S_1_Es*($R25+$S25*'Geometry'!$G$54+$T25*'Geometry'!$F$54),S_1_fy),-S_1_fy))-(IF(($R25+$S25*'Geometry'!$G$54+$T25*'Geometry'!$F$54)&gt;0,IF(($R25+$S25*'Geometry'!$G$54+$T25*'Geometry'!$F$54)&lt;=C_eco,C_alpha*C_fck*(1-(1-($R25+$S25*'Geometry'!$G$54+$T25*'Geometry'!$F$54)/C_eco)^C_n),C_alpha*C_fck),0)))*'Geometry'!$H$54+((MAX(MIN(S_1_Es*($R25+$S25*'Geometry'!$G$55+$T25*'Geometry'!$F$55),S_1_fy),-S_1_fy))-(IF(($R25+$S25*'Geometry'!$G$55+$T25*'Geometry'!$F$55)&gt;0,IF(($R25+$S25*'Geometry'!$G$55+$T25*'Geometry'!$F$55)&lt;=C_eco,C_alpha*C_fck*(1-(1-($R25+$S25*'Geometry'!$G$55+$T25*'Geometry'!$F$55)/C_eco)^C_n),C_alpha*C_fck),0)))*'Geometry'!$H$55+((MAX(MIN(S_1_Es*($R25+$S25*'Geometry'!$G$56+$T25*'Geometry'!$F$56),S_1_fy),-S_1_fy))-(IF(($R25+$S25*'Geometry'!$G$56+$T25*'Geometry'!$F$56)&gt;0,IF(($R25+$S25*'Geometry'!$G$56+$T25*'Geometry'!$F$56)&lt;=C_eco,C_alpha*C_fck*(1-(1-($R25+$S25*'Geometry'!$G$56+$T25*'Geometry'!$F$56)/C_eco)^C_n),C_alpha*C_fck),0)))*'Geometry'!$H$56+((MAX(MIN(S_1_Es*($R25+$S25*'Geometry'!$G$57+$T25*'Geometry'!$F$57),S_1_fy),-S_1_fy))-(IF(($R25+$S25*'Geometry'!$G$57+$T25*'Geometry'!$F$57)&gt;0,IF(($R25+$S25*'Geometry'!$G$57+$T25*'Geometry'!$F$57)&lt;=C_eco,C_alpha*C_fck*(1-(1-($R25+$S25*'Geometry'!$G$57+$T25*'Geometry'!$F$57)/C_eco)^C_n),C_alpha*C_fck),0)))*'Geometry'!$H$57)/1000</f>
        <v>-511.2752136909657</v>
      </c>
      <c r="Y25" s="10">
        <f>(((MAX(MIN(S_1_Es*($R25+$S25*'Geometry'!$G$40+$T25*'Geometry'!$F$40),S_1_fy),-S_1_fy))-(IF(($R25+$S25*'Geometry'!$G$40+$T25*'Geometry'!$F$40)&gt;0,IF(($R25+$S25*'Geometry'!$G$40+$T25*'Geometry'!$F$40)&lt;=C_eco,C_alpha*C_fck*(1-(1-($R25+$S25*'Geometry'!$G$40+$T25*'Geometry'!$F$40)/C_eco)^C_n),C_alpha*C_fck),0)))*'Geometry'!$H$40*'Geometry'!$G$40+((MAX(MIN(S_1_Es*($R25+$S25*'Geometry'!$G$41+$T25*'Geometry'!$F$41),S_1_fy),-S_1_fy))-(IF(($R25+$S25*'Geometry'!$G$41+$T25*'Geometry'!$F$41)&gt;0,IF(($R25+$S25*'Geometry'!$G$41+$T25*'Geometry'!$F$41)&lt;=C_eco,C_alpha*C_fck*(1-(1-($R25+$S25*'Geometry'!$G$41+$T25*'Geometry'!$F$41)/C_eco)^C_n),C_alpha*C_fck),0)))*'Geometry'!$H$41*'Geometry'!$G$41+((MAX(MIN(S_1_Es*($R25+$S25*'Geometry'!$G$42+$T25*'Geometry'!$F$42),S_1_fy),-S_1_fy))-(IF(($R25+$S25*'Geometry'!$G$42+$T25*'Geometry'!$F$42)&gt;0,IF(($R25+$S25*'Geometry'!$G$42+$T25*'Geometry'!$F$42)&lt;=C_eco,C_alpha*C_fck*(1-(1-($R25+$S25*'Geometry'!$G$42+$T25*'Geometry'!$F$42)/C_eco)^C_n),C_alpha*C_fck),0)))*'Geometry'!$H$42*'Geometry'!$G$42+((MAX(MIN(S_1_Es*($R25+$S25*'Geometry'!$G$43+$T25*'Geometry'!$F$43),S_1_fy),-S_1_fy))-(IF(($R25+$S25*'Geometry'!$G$43+$T25*'Geometry'!$F$43)&gt;0,IF(($R25+$S25*'Geometry'!$G$43+$T25*'Geometry'!$F$43)&lt;=C_eco,C_alpha*C_fck*(1-(1-($R25+$S25*'Geometry'!$G$43+$T25*'Geometry'!$F$43)/C_eco)^C_n),C_alpha*C_fck),0)))*'Geometry'!$H$43*'Geometry'!$G$43+((MAX(MIN(S_1_Es*($R25+$S25*'Geometry'!$G$44+$T25*'Geometry'!$F$44),S_1_fy),-S_1_fy))-(IF(($R25+$S25*'Geometry'!$G$44+$T25*'Geometry'!$F$44)&gt;0,IF(($R25+$S25*'Geometry'!$G$44+$T25*'Geometry'!$F$44)&lt;=C_eco,C_alpha*C_fck*(1-(1-($R25+$S25*'Geometry'!$G$44+$T25*'Geometry'!$F$44)/C_eco)^C_n),C_alpha*C_fck),0)))*'Geometry'!$H$44*'Geometry'!$G$44+((MAX(MIN(S_1_Es*($R25+$S25*'Geometry'!$G$45+$T25*'Geometry'!$F$45),S_1_fy),-S_1_fy))-(IF(($R25+$S25*'Geometry'!$G$45+$T25*'Geometry'!$F$45)&gt;0,IF(($R25+$S25*'Geometry'!$G$45+$T25*'Geometry'!$F$45)&lt;=C_eco,C_alpha*C_fck*(1-(1-($R25+$S25*'Geometry'!$G$45+$T25*'Geometry'!$F$45)/C_eco)^C_n),C_alpha*C_fck),0)))*'Geometry'!$H$45*'Geometry'!$G$45+((MAX(MIN(S_1_Es*($R25+$S25*'Geometry'!$G$46+$T25*'Geometry'!$F$46),S_1_fy),-S_1_fy))-(IF(($R25+$S25*'Geometry'!$G$46+$T25*'Geometry'!$F$46)&gt;0,IF(($R25+$S25*'Geometry'!$G$46+$T25*'Geometry'!$F$46)&lt;=C_eco,C_alpha*C_fck*(1-(1-($R25+$S25*'Geometry'!$G$46+$T25*'Geometry'!$F$46)/C_eco)^C_n),C_alpha*C_fck),0)))*'Geometry'!$H$46*'Geometry'!$G$46+((MAX(MIN(S_1_Es*($R25+$S25*'Geometry'!$G$47+$T25*'Geometry'!$F$47),S_1_fy),-S_1_fy))-(IF(($R25+$S25*'Geometry'!$G$47+$T25*'Geometry'!$F$47)&gt;0,IF(($R25+$S25*'Geometry'!$G$47+$T25*'Geometry'!$F$47)&lt;=C_eco,C_alpha*C_fck*(1-(1-($R25+$S25*'Geometry'!$G$47+$T25*'Geometry'!$F$47)/C_eco)^C_n),C_alpha*C_fck),0)))*'Geometry'!$H$47*'Geometry'!$G$47+((MAX(MIN(S_1_Es*($R25+$S25*'Geometry'!$G$48+$T25*'Geometry'!$F$48),S_1_fy),-S_1_fy))-(IF(($R25+$S25*'Geometry'!$G$48+$T25*'Geometry'!$F$48)&gt;0,IF(($R25+$S25*'Geometry'!$G$48+$T25*'Geometry'!$F$48)&lt;=C_eco,C_alpha*C_fck*(1-(1-($R25+$S25*'Geometry'!$G$48+$T25*'Geometry'!$F$48)/C_eco)^C_n),C_alpha*C_fck),0)))*'Geometry'!$H$48*'Geometry'!$G$48+((MAX(MIN(S_1_Es*($R25+$S25*'Geometry'!$G$49+$T25*'Geometry'!$F$49),S_1_fy),-S_1_fy))-(IF(($R25+$S25*'Geometry'!$G$49+$T25*'Geometry'!$F$49)&gt;0,IF(($R25+$S25*'Geometry'!$G$49+$T25*'Geometry'!$F$49)&lt;=C_eco,C_alpha*C_fck*(1-(1-($R25+$S25*'Geometry'!$G$49+$T25*'Geometry'!$F$49)/C_eco)^C_n),C_alpha*C_fck),0)))*'Geometry'!$H$49*'Geometry'!$G$49+((MAX(MIN(S_1_Es*($R25+$S25*'Geometry'!$G$50+$T25*'Geometry'!$F$50),S_1_fy),-S_1_fy))-(IF(($R25+$S25*'Geometry'!$G$50+$T25*'Geometry'!$F$50)&gt;0,IF(($R25+$S25*'Geometry'!$G$50+$T25*'Geometry'!$F$50)&lt;=C_eco,C_alpha*C_fck*(1-(1-($R25+$S25*'Geometry'!$G$50+$T25*'Geometry'!$F$50)/C_eco)^C_n),C_alpha*C_fck),0)))*'Geometry'!$H$50*'Geometry'!$G$50+((MAX(MIN(S_1_Es*($R25+$S25*'Geometry'!$G$51+$T25*'Geometry'!$F$51),S_1_fy),-S_1_fy))-(IF(($R25+$S25*'Geometry'!$G$51+$T25*'Geometry'!$F$51)&gt;0,IF(($R25+$S25*'Geometry'!$G$51+$T25*'Geometry'!$F$51)&lt;=C_eco,C_alpha*C_fck*(1-(1-($R25+$S25*'Geometry'!$G$51+$T25*'Geometry'!$F$51)/C_eco)^C_n),C_alpha*C_fck),0)))*'Geometry'!$H$51*'Geometry'!$G$51+((MAX(MIN(S_1_Es*($R25+$S25*'Geometry'!$G$52+$T25*'Geometry'!$F$52),S_1_fy),-S_1_fy))-(IF(($R25+$S25*'Geometry'!$G$52+$T25*'Geometry'!$F$52)&gt;0,IF(($R25+$S25*'Geometry'!$G$52+$T25*'Geometry'!$F$52)&lt;=C_eco,C_alpha*C_fck*(1-(1-($R25+$S25*'Geometry'!$G$52+$T25*'Geometry'!$F$52)/C_eco)^C_n),C_alpha*C_fck),0)))*'Geometry'!$H$52*'Geometry'!$G$52+((MAX(MIN(S_1_Es*($R25+$S25*'Geometry'!$G$53+$T25*'Geometry'!$F$53),S_1_fy),-S_1_fy))-(IF(($R25+$S25*'Geometry'!$G$53+$T25*'Geometry'!$F$53)&gt;0,IF(($R25+$S25*'Geometry'!$G$53+$T25*'Geometry'!$F$53)&lt;=C_eco,C_alpha*C_fck*(1-(1-($R25+$S25*'Geometry'!$G$53+$T25*'Geometry'!$F$53)/C_eco)^C_n),C_alpha*C_fck),0)))*'Geometry'!$H$53*'Geometry'!$G$53+((MAX(MIN(S_1_Es*($R25+$S25*'Geometry'!$G$54+$T25*'Geometry'!$F$54),S_1_fy),-S_1_fy))-(IF(($R25+$S25*'Geometry'!$G$54+$T25*'Geometry'!$F$54)&gt;0,IF(($R25+$S25*'Geometry'!$G$54+$T25*'Geometry'!$F$54)&lt;=C_eco,C_alpha*C_fck*(1-(1-($R25+$S25*'Geometry'!$G$54+$T25*'Geometry'!$F$54)/C_eco)^C_n),C_alpha*C_fck),0)))*'Geometry'!$H$54*'Geometry'!$G$54+((MAX(MIN(S_1_Es*($R25+$S25*'Geometry'!$G$55+$T25*'Geometry'!$F$55),S_1_fy),-S_1_fy))-(IF(($R25+$S25*'Geometry'!$G$55+$T25*'Geometry'!$F$55)&gt;0,IF(($R25+$S25*'Geometry'!$G$55+$T25*'Geometry'!$F$55)&lt;=C_eco,C_alpha*C_fck*(1-(1-($R25+$S25*'Geometry'!$G$55+$T25*'Geometry'!$F$55)/C_eco)^C_n),C_alpha*C_fck),0)))*'Geometry'!$H$55*'Geometry'!$G$55+((MAX(MIN(S_1_Es*($R25+$S25*'Geometry'!$G$56+$T25*'Geometry'!$F$56),S_1_fy),-S_1_fy))-(IF(($R25+$S25*'Geometry'!$G$56+$T25*'Geometry'!$F$56)&gt;0,IF(($R25+$S25*'Geometry'!$G$56+$T25*'Geometry'!$F$56)&lt;=C_eco,C_alpha*C_fck*(1-(1-($R25+$S25*'Geometry'!$G$56+$T25*'Geometry'!$F$56)/C_eco)^C_n),C_alpha*C_fck),0)))*'Geometry'!$H$56*'Geometry'!$G$56+((MAX(MIN(S_1_Es*($R25+$S25*'Geometry'!$G$57+$T25*'Geometry'!$F$57),S_1_fy),-S_1_fy))-(IF(($R25+$S25*'Geometry'!$G$57+$T25*'Geometry'!$F$57)&gt;0,IF(($R25+$S25*'Geometry'!$G$57+$T25*'Geometry'!$F$57)&lt;=C_eco,C_alpha*C_fck*(1-(1-($R25+$S25*'Geometry'!$G$57+$T25*'Geometry'!$F$57)/C_eco)^C_n),C_alpha*C_fck),0)))*'Geometry'!$H$57*'Geometry'!$G$57)/1000000</f>
        <v>1950.6196455536794</v>
      </c>
      <c r="Z25" s="10">
        <f>(((MAX(MIN(S_1_Es*($R25+$S25*'Geometry'!$G$40+$T25*'Geometry'!$F$40),S_1_fy),-S_1_fy))-(IF(($R25+$S25*'Geometry'!$G$40+$T25*'Geometry'!$F$40)&gt;0,IF(($R25+$S25*'Geometry'!$G$40+$T25*'Geometry'!$F$40)&lt;=C_eco,C_alpha*C_fck*(1-(1-($R25+$S25*'Geometry'!$G$40+$T25*'Geometry'!$F$40)/C_eco)^C_n),C_alpha*C_fck),0)))*'Geometry'!$H$40*'Geometry'!$F$40+((MAX(MIN(S_1_Es*($R25+$S25*'Geometry'!$G$41+$T25*'Geometry'!$F$41),S_1_fy),-S_1_fy))-(IF(($R25+$S25*'Geometry'!$G$41+$T25*'Geometry'!$F$41)&gt;0,IF(($R25+$S25*'Geometry'!$G$41+$T25*'Geometry'!$F$41)&lt;=C_eco,C_alpha*C_fck*(1-(1-($R25+$S25*'Geometry'!$G$41+$T25*'Geometry'!$F$41)/C_eco)^C_n),C_alpha*C_fck),0)))*'Geometry'!$H$41*'Geometry'!$F$41+((MAX(MIN(S_1_Es*($R25+$S25*'Geometry'!$G$42+$T25*'Geometry'!$F$42),S_1_fy),-S_1_fy))-(IF(($R25+$S25*'Geometry'!$G$42+$T25*'Geometry'!$F$42)&gt;0,IF(($R25+$S25*'Geometry'!$G$42+$T25*'Geometry'!$F$42)&lt;=C_eco,C_alpha*C_fck*(1-(1-($R25+$S25*'Geometry'!$G$42+$T25*'Geometry'!$F$42)/C_eco)^C_n),C_alpha*C_fck),0)))*'Geometry'!$H$42*'Geometry'!$F$42+((MAX(MIN(S_1_Es*($R25+$S25*'Geometry'!$G$43+$T25*'Geometry'!$F$43),S_1_fy),-S_1_fy))-(IF(($R25+$S25*'Geometry'!$G$43+$T25*'Geometry'!$F$43)&gt;0,IF(($R25+$S25*'Geometry'!$G$43+$T25*'Geometry'!$F$43)&lt;=C_eco,C_alpha*C_fck*(1-(1-($R25+$S25*'Geometry'!$G$43+$T25*'Geometry'!$F$43)/C_eco)^C_n),C_alpha*C_fck),0)))*'Geometry'!$H$43*'Geometry'!$F$43+((MAX(MIN(S_1_Es*($R25+$S25*'Geometry'!$G$44+$T25*'Geometry'!$F$44),S_1_fy),-S_1_fy))-(IF(($R25+$S25*'Geometry'!$G$44+$T25*'Geometry'!$F$44)&gt;0,IF(($R25+$S25*'Geometry'!$G$44+$T25*'Geometry'!$F$44)&lt;=C_eco,C_alpha*C_fck*(1-(1-($R25+$S25*'Geometry'!$G$44+$T25*'Geometry'!$F$44)/C_eco)^C_n),C_alpha*C_fck),0)))*'Geometry'!$H$44*'Geometry'!$F$44+((MAX(MIN(S_1_Es*($R25+$S25*'Geometry'!$G$45+$T25*'Geometry'!$F$45),S_1_fy),-S_1_fy))-(IF(($R25+$S25*'Geometry'!$G$45+$T25*'Geometry'!$F$45)&gt;0,IF(($R25+$S25*'Geometry'!$G$45+$T25*'Geometry'!$F$45)&lt;=C_eco,C_alpha*C_fck*(1-(1-($R25+$S25*'Geometry'!$G$45+$T25*'Geometry'!$F$45)/C_eco)^C_n),C_alpha*C_fck),0)))*'Geometry'!$H$45*'Geometry'!$F$45+((MAX(MIN(S_1_Es*($R25+$S25*'Geometry'!$G$46+$T25*'Geometry'!$F$46),S_1_fy),-S_1_fy))-(IF(($R25+$S25*'Geometry'!$G$46+$T25*'Geometry'!$F$46)&gt;0,IF(($R25+$S25*'Geometry'!$G$46+$T25*'Geometry'!$F$46)&lt;=C_eco,C_alpha*C_fck*(1-(1-($R25+$S25*'Geometry'!$G$46+$T25*'Geometry'!$F$46)/C_eco)^C_n),C_alpha*C_fck),0)))*'Geometry'!$H$46*'Geometry'!$F$46+((MAX(MIN(S_1_Es*($R25+$S25*'Geometry'!$G$47+$T25*'Geometry'!$F$47),S_1_fy),-S_1_fy))-(IF(($R25+$S25*'Geometry'!$G$47+$T25*'Geometry'!$F$47)&gt;0,IF(($R25+$S25*'Geometry'!$G$47+$T25*'Geometry'!$F$47)&lt;=C_eco,C_alpha*C_fck*(1-(1-($R25+$S25*'Geometry'!$G$47+$T25*'Geometry'!$F$47)/C_eco)^C_n),C_alpha*C_fck),0)))*'Geometry'!$H$47*'Geometry'!$F$47+((MAX(MIN(S_1_Es*($R25+$S25*'Geometry'!$G$48+$T25*'Geometry'!$F$48),S_1_fy),-S_1_fy))-(IF(($R25+$S25*'Geometry'!$G$48+$T25*'Geometry'!$F$48)&gt;0,IF(($R25+$S25*'Geometry'!$G$48+$T25*'Geometry'!$F$48)&lt;=C_eco,C_alpha*C_fck*(1-(1-($R25+$S25*'Geometry'!$G$48+$T25*'Geometry'!$F$48)/C_eco)^C_n),C_alpha*C_fck),0)))*'Geometry'!$H$48*'Geometry'!$F$48+((MAX(MIN(S_1_Es*($R25+$S25*'Geometry'!$G$49+$T25*'Geometry'!$F$49),S_1_fy),-S_1_fy))-(IF(($R25+$S25*'Geometry'!$G$49+$T25*'Geometry'!$F$49)&gt;0,IF(($R25+$S25*'Geometry'!$G$49+$T25*'Geometry'!$F$49)&lt;=C_eco,C_alpha*C_fck*(1-(1-($R25+$S25*'Geometry'!$G$49+$T25*'Geometry'!$F$49)/C_eco)^C_n),C_alpha*C_fck),0)))*'Geometry'!$H$49*'Geometry'!$F$49+((MAX(MIN(S_1_Es*($R25+$S25*'Geometry'!$G$50+$T25*'Geometry'!$F$50),S_1_fy),-S_1_fy))-(IF(($R25+$S25*'Geometry'!$G$50+$T25*'Geometry'!$F$50)&gt;0,IF(($R25+$S25*'Geometry'!$G$50+$T25*'Geometry'!$F$50)&lt;=C_eco,C_alpha*C_fck*(1-(1-($R25+$S25*'Geometry'!$G$50+$T25*'Geometry'!$F$50)/C_eco)^C_n),C_alpha*C_fck),0)))*'Geometry'!$H$50*'Geometry'!$F$50+((MAX(MIN(S_1_Es*($R25+$S25*'Geometry'!$G$51+$T25*'Geometry'!$F$51),S_1_fy),-S_1_fy))-(IF(($R25+$S25*'Geometry'!$G$51+$T25*'Geometry'!$F$51)&gt;0,IF(($R25+$S25*'Geometry'!$G$51+$T25*'Geometry'!$F$51)&lt;=C_eco,C_alpha*C_fck*(1-(1-($R25+$S25*'Geometry'!$G$51+$T25*'Geometry'!$F$51)/C_eco)^C_n),C_alpha*C_fck),0)))*'Geometry'!$H$51*'Geometry'!$F$51+((MAX(MIN(S_1_Es*($R25+$S25*'Geometry'!$G$52+$T25*'Geometry'!$F$52),S_1_fy),-S_1_fy))-(IF(($R25+$S25*'Geometry'!$G$52+$T25*'Geometry'!$F$52)&gt;0,IF(($R25+$S25*'Geometry'!$G$52+$T25*'Geometry'!$F$52)&lt;=C_eco,C_alpha*C_fck*(1-(1-($R25+$S25*'Geometry'!$G$52+$T25*'Geometry'!$F$52)/C_eco)^C_n),C_alpha*C_fck),0)))*'Geometry'!$H$52*'Geometry'!$F$52+((MAX(MIN(S_1_Es*($R25+$S25*'Geometry'!$G$53+$T25*'Geometry'!$F$53),S_1_fy),-S_1_fy))-(IF(($R25+$S25*'Geometry'!$G$53+$T25*'Geometry'!$F$53)&gt;0,IF(($R25+$S25*'Geometry'!$G$53+$T25*'Geometry'!$F$53)&lt;=C_eco,C_alpha*C_fck*(1-(1-($R25+$S25*'Geometry'!$G$53+$T25*'Geometry'!$F$53)/C_eco)^C_n),C_alpha*C_fck),0)))*'Geometry'!$H$53*'Geometry'!$F$53+((MAX(MIN(S_1_Es*($R25+$S25*'Geometry'!$G$54+$T25*'Geometry'!$F$54),S_1_fy),-S_1_fy))-(IF(($R25+$S25*'Geometry'!$G$54+$T25*'Geometry'!$F$54)&gt;0,IF(($R25+$S25*'Geometry'!$G$54+$T25*'Geometry'!$F$54)&lt;=C_eco,C_alpha*C_fck*(1-(1-($R25+$S25*'Geometry'!$G$54+$T25*'Geometry'!$F$54)/C_eco)^C_n),C_alpha*C_fck),0)))*'Geometry'!$H$54*'Geometry'!$F$54+((MAX(MIN(S_1_Es*($R25+$S25*'Geometry'!$G$55+$T25*'Geometry'!$F$55),S_1_fy),-S_1_fy))-(IF(($R25+$S25*'Geometry'!$G$55+$T25*'Geometry'!$F$55)&gt;0,IF(($R25+$S25*'Geometry'!$G$55+$T25*'Geometry'!$F$55)&lt;=C_eco,C_alpha*C_fck*(1-(1-($R25+$S25*'Geometry'!$G$55+$T25*'Geometry'!$F$55)/C_eco)^C_n),C_alpha*C_fck),0)))*'Geometry'!$H$55*'Geometry'!$F$55+((MAX(MIN(S_1_Es*($R25+$S25*'Geometry'!$G$56+$T25*'Geometry'!$F$56),S_1_fy),-S_1_fy))-(IF(($R25+$S25*'Geometry'!$G$56+$T25*'Geometry'!$F$56)&gt;0,IF(($R25+$S25*'Geometry'!$G$56+$T25*'Geometry'!$F$56)&lt;=C_eco,C_alpha*C_fck*(1-(1-($R25+$S25*'Geometry'!$G$56+$T25*'Geometry'!$F$56)/C_eco)^C_n),C_alpha*C_fck),0)))*'Geometry'!$H$56*'Geometry'!$F$56+((MAX(MIN(S_1_Es*($R25+$S25*'Geometry'!$G$57+$T25*'Geometry'!$F$57),S_1_fy),-S_1_fy))-(IF(($R25+$S25*'Geometry'!$G$57+$T25*'Geometry'!$F$57)&gt;0,IF(($R25+$S25*'Geometry'!$G$57+$T25*'Geometry'!$F$57)&lt;=C_eco,C_alpha*C_fck*(1-(1-($R25+$S25*'Geometry'!$G$57+$T25*'Geometry'!$F$57)/C_eco)^C_n),C_alpha*C_fck),0)))*'Geometry'!$H$57*'Geometry'!$F$57)/1000000</f>
        <v>473.56219874996236</v>
      </c>
      <c r="AA25" s="10">
        <f>U25+X25</f>
        <v>10238.049764651809</v>
      </c>
      <c r="AB25" s="10">
        <f>V25+Y25</f>
        <v>6344.897836565409</v>
      </c>
      <c r="AC25" s="10">
        <f>W25+Z25</f>
        <v>1271.4830779506512</v>
      </c>
      <c r="AD25" s="7">
        <v>0.75</v>
      </c>
      <c r="AE25" s="7">
        <v>0.7499999999999999</v>
      </c>
      <c r="AF25" s="10">
        <f>AA25*AD25</f>
        <v>7678.537323488857</v>
      </c>
      <c r="AG25" s="10">
        <f>AB25*AE25</f>
        <v>4758.673377424057</v>
      </c>
      <c r="AH25" s="10">
        <f>AC25*AE25</f>
        <v>953.6123084629884</v>
      </c>
      <c r="AI25" s="7">
        <v>7678.537323488857</v>
      </c>
      <c r="AJ25" s="7">
        <v>4758.673377424057</v>
      </c>
      <c r="AK25" s="7">
        <v>953.6123084629884</v>
      </c>
      <c r="AL25" s="15">
        <f>AF25-AI25</f>
        <v>0</v>
      </c>
      <c r="AM25" s="15">
        <f>SQRT((AG25-AJ25)^2+(AH25-AK25)^2)</f>
        <v>0</v>
      </c>
      <c r="AN25" s="7" t="s">
        <v>189</v>
      </c>
      <c r="AO25" s="7">
        <v>10238.049764651809</v>
      </c>
      <c r="AP25" s="7">
        <v>6344.897836565409</v>
      </c>
      <c r="AQ25" s="7">
        <v>1271.4830779506512</v>
      </c>
      <c r="AR25" s="7">
        <v>10749.324978342775</v>
      </c>
      <c r="AS25" s="7">
        <v>4394.27819101173</v>
      </c>
      <c r="AT25" s="7">
        <v>797.9208792006888</v>
      </c>
      <c r="AU25" s="7">
        <v>-511.2752136909657</v>
      </c>
      <c r="AV25" s="7">
        <v>1950.6196455536794</v>
      </c>
      <c r="AW25" s="7">
        <v>473.56219874996236</v>
      </c>
    </row>
    <row r="26" spans="1:49" x14ac:dyDescent="0.25">
      <c r="A26" s="17">
        <v>19</v>
      </c>
      <c r="B26" s="17" t="s">
        <v>226</v>
      </c>
      <c r="C26" s="18">
        <f>$AF$26</f>
        <v>7292.46618203011</v>
      </c>
      <c r="D26" s="19">
        <f>$AG$26*COS(RADIANS($C$5))+$AH$26*SIN(RADIANS($C$5))</f>
        <v>4958.929448157142</v>
      </c>
      <c r="G26" s="7" t="s">
        <v>227</v>
      </c>
      <c r="H26" s="7" t="s">
        <v>226</v>
      </c>
      <c r="I26" s="12">
        <v>10</v>
      </c>
      <c r="J26" s="7" t="s">
        <v>205</v>
      </c>
      <c r="K26" s="12">
        <v>2</v>
      </c>
      <c r="L26" s="10">
        <f>MAX(('Geometry'!$G$13*COS(RADIANS(I26))+'Geometry'!$F$13*SIN(RADIANS(I26))),('Geometry'!$G$14*COS(RADIANS(I26))+'Geometry'!$F$14*SIN(RADIANS(I26))),('Geometry'!$G$15*COS(RADIANS(I26))+'Geometry'!$F$15*SIN(RADIANS(I26))),('Geometry'!$G$16*COS(RADIANS(I26))+'Geometry'!$F$16*SIN(RADIANS(I26))),('Geometry'!$G$17*COS(RADIANS(I26))+'Geometry'!$F$17*SIN(RADIANS(I26))),('Geometry'!$G$18*COS(RADIANS(I26))+'Geometry'!$F$18*SIN(RADIANS(I26))),('Geometry'!$G$19*COS(RADIANS(I26))+'Geometry'!$F$19*SIN(RADIANS(I26))),('Geometry'!$G$20*COS(RADIANS(I26))+'Geometry'!$F$20*SIN(RADIANS(I26))))</f>
        <v>686.3911495241364</v>
      </c>
      <c r="M26" s="10">
        <f>MIN(('Geometry'!$G$40*COS(RADIANS(I26))+'Geometry'!$F$40*SIN(RADIANS(I26))),('Geometry'!$G$41*COS(RADIANS(I26))+'Geometry'!$F$41*SIN(RADIANS(I26))),('Geometry'!$G$42*COS(RADIANS(I26))+'Geometry'!$F$42*SIN(RADIANS(I26))),('Geometry'!$G$43*COS(RADIANS(I26))+'Geometry'!$F$43*SIN(RADIANS(I26))),('Geometry'!$G$44*COS(RADIANS(I26))+'Geometry'!$F$44*SIN(RADIANS(I26))),('Geometry'!$G$45*COS(RADIANS(I26))+'Geometry'!$F$45*SIN(RADIANS(I26))),('Geometry'!$G$46*COS(RADIANS(I26))+'Geometry'!$F$46*SIN(RADIANS(I26))),('Geometry'!$G$47*COS(RADIANS(I26))+'Geometry'!$F$47*SIN(RADIANS(I26))),('Geometry'!$G$48*COS(RADIANS(I26))+'Geometry'!$F$48*SIN(RADIANS(I26))),('Geometry'!$G$49*COS(RADIANS(I26))+'Geometry'!$F$49*SIN(RADIANS(I26))),('Geometry'!$G$50*COS(RADIANS(I26))+'Geometry'!$F$50*SIN(RADIANS(I26))),('Geometry'!$G$51*COS(RADIANS(I26))+'Geometry'!$F$51*SIN(RADIANS(I26))),('Geometry'!$G$52*COS(RADIANS(I26))+'Geometry'!$F$52*SIN(RADIANS(I26))),('Geometry'!$G$53*COS(RADIANS(I26))+'Geometry'!$F$53*SIN(RADIANS(I26))),('Geometry'!$G$54*COS(RADIANS(I26))+'Geometry'!$F$54*SIN(RADIANS(I26))),('Geometry'!$G$55*COS(RADIANS(I26))+'Geometry'!$F$55*SIN(RADIANS(I26))),('Geometry'!$G$56*COS(RADIANS(I26))+'Geometry'!$F$56*SIN(RADIANS(I26))),('Geometry'!$G$57*COS(RADIANS(I26))+'Geometry'!$F$57*SIN(RADIANS(I26))))</f>
        <v>-591.4073801632424</v>
      </c>
      <c r="N26" s="10">
        <f>L26-MIN(('Geometry'!$G$13*COS(RADIANS(I26))+'Geometry'!$F$13*SIN(RADIANS(I26))),('Geometry'!$G$14*COS(RADIANS(I26))+'Geometry'!$F$14*SIN(RADIANS(I26))),('Geometry'!$G$15*COS(RADIANS(I26))+'Geometry'!$F$15*SIN(RADIANS(I26))),('Geometry'!$G$16*COS(RADIANS(I26))+'Geometry'!$F$16*SIN(RADIANS(I26))),('Geometry'!$G$17*COS(RADIANS(I26))+'Geometry'!$F$17*SIN(RADIANS(I26))),('Geometry'!$G$18*COS(RADIANS(I26))+'Geometry'!$F$18*SIN(RADIANS(I26))),('Geometry'!$G$19*COS(RADIANS(I26))+'Geometry'!$F$19*SIN(RADIANS(I26))),('Geometry'!$G$20*COS(RADIANS(I26))+'Geometry'!$F$20*SIN(RADIANS(I26))))</f>
        <v>1372.7822990482728</v>
      </c>
      <c r="O26" s="15">
        <f>C_ecu</f>
        <v>0.003299999999999999</v>
      </c>
      <c r="P26" s="15">
        <f>-K26*S_1_fy/S_1_Es</f>
        <v>-0.004</v>
      </c>
      <c r="Q26" s="20">
        <f>IF(ABS(L26-M26)&lt;0.000000000001,0,(O26-P26)/(L26-M26))</f>
        <v>0.000005712950696371508</v>
      </c>
      <c r="R26" s="15">
        <f>O26-Q26*L26</f>
        <v>-0.0006213187956571557</v>
      </c>
      <c r="S26" s="20">
        <f>Q26*COS(RADIANS(I26))</f>
        <v>0.000005626158138363154</v>
      </c>
      <c r="T26" s="20">
        <f>Q26*SIN(RADIANS(I26))</f>
        <v>9.920434775259332e-7</v>
      </c>
      <c r="U26" s="10">
        <f>SUMPRODUCT(C_alpha*C_fck*(1-(1-((($R26+$S26*Mesh_Y+$T26*Mesh_X))*(($R26+$S26*Mesh_Y+$T26*Mesh_X)&gt;0)*(($R26+$S26*Mesh_Y+$T26*Mesh_X)&lt;C_eco)+C_eco*(($R26+$S26*Mesh_Y+$T26*Mesh_X)&gt;=C_eco))/C_eco)^C_n)*((($R26+$S26*Mesh_Y+$T26*Mesh_X))&gt;0),Mesh_A)/1000</f>
        <v>10097.275738384391</v>
      </c>
      <c r="V26" s="10">
        <f>SUMPRODUCT(C_alpha*C_fck*(1-(1-((($R26+$S26*Mesh_Y+$T26*Mesh_X))*(($R26+$S26*Mesh_Y+$T26*Mesh_X)&gt;0)*(($R26+$S26*Mesh_Y+$T26*Mesh_X)&lt;C_eco)+C_eco*(($R26+$S26*Mesh_Y+$T26*Mesh_X)&gt;=C_eco))/C_eco)^C_n)*((($R26+$S26*Mesh_Y+$T26*Mesh_X))&gt;0),Mesh_A,Mesh_Y)/1000000</f>
        <v>4260.389608946012</v>
      </c>
      <c r="W26" s="10">
        <f>SUMPRODUCT(C_alpha*C_fck*(1-(1-((($R26+$S26*Mesh_Y+$T26*Mesh_X))*(($R26+$S26*Mesh_Y+$T26*Mesh_X)&gt;0)*(($R26+$S26*Mesh_Y+$T26*Mesh_X)&lt;C_eco)+C_eco*(($R26+$S26*Mesh_Y+$T26*Mesh_X)&gt;=C_eco))/C_eco)^C_n)*((($R26+$S26*Mesh_Y+$T26*Mesh_X))&gt;0),Mesh_A,Mesh_X)/1000000</f>
        <v>802.4909084428818</v>
      </c>
      <c r="X26" s="10">
        <f>(((MAX(MIN(S_1_Es*($R26+$S26*'Geometry'!$G$40+$T26*'Geometry'!$F$40),S_1_fy),-S_1_fy))-(IF(($R26+$S26*'Geometry'!$G$40+$T26*'Geometry'!$F$40)&gt;0,IF(($R26+$S26*'Geometry'!$G$40+$T26*'Geometry'!$F$40)&lt;=C_eco,C_alpha*C_fck*(1-(1-($R26+$S26*'Geometry'!$G$40+$T26*'Geometry'!$F$40)/C_eco)^C_n),C_alpha*C_fck),0)))*'Geometry'!$H$40+((MAX(MIN(S_1_Es*($R26+$S26*'Geometry'!$G$41+$T26*'Geometry'!$F$41),S_1_fy),-S_1_fy))-(IF(($R26+$S26*'Geometry'!$G$41+$T26*'Geometry'!$F$41)&gt;0,IF(($R26+$S26*'Geometry'!$G$41+$T26*'Geometry'!$F$41)&lt;=C_eco,C_alpha*C_fck*(1-(1-($R26+$S26*'Geometry'!$G$41+$T26*'Geometry'!$F$41)/C_eco)^C_n),C_alpha*C_fck),0)))*'Geometry'!$H$41+((MAX(MIN(S_1_Es*($R26+$S26*'Geometry'!$G$42+$T26*'Geometry'!$F$42),S_1_fy),-S_1_fy))-(IF(($R26+$S26*'Geometry'!$G$42+$T26*'Geometry'!$F$42)&gt;0,IF(($R26+$S26*'Geometry'!$G$42+$T26*'Geometry'!$F$42)&lt;=C_eco,C_alpha*C_fck*(1-(1-($R26+$S26*'Geometry'!$G$42+$T26*'Geometry'!$F$42)/C_eco)^C_n),C_alpha*C_fck),0)))*'Geometry'!$H$42+((MAX(MIN(S_1_Es*($R26+$S26*'Geometry'!$G$43+$T26*'Geometry'!$F$43),S_1_fy),-S_1_fy))-(IF(($R26+$S26*'Geometry'!$G$43+$T26*'Geometry'!$F$43)&gt;0,IF(($R26+$S26*'Geometry'!$G$43+$T26*'Geometry'!$F$43)&lt;=C_eco,C_alpha*C_fck*(1-(1-($R26+$S26*'Geometry'!$G$43+$T26*'Geometry'!$F$43)/C_eco)^C_n),C_alpha*C_fck),0)))*'Geometry'!$H$43+((MAX(MIN(S_1_Es*($R26+$S26*'Geometry'!$G$44+$T26*'Geometry'!$F$44),S_1_fy),-S_1_fy))-(IF(($R26+$S26*'Geometry'!$G$44+$T26*'Geometry'!$F$44)&gt;0,IF(($R26+$S26*'Geometry'!$G$44+$T26*'Geometry'!$F$44)&lt;=C_eco,C_alpha*C_fck*(1-(1-($R26+$S26*'Geometry'!$G$44+$T26*'Geometry'!$F$44)/C_eco)^C_n),C_alpha*C_fck),0)))*'Geometry'!$H$44+((MAX(MIN(S_1_Es*($R26+$S26*'Geometry'!$G$45+$T26*'Geometry'!$F$45),S_1_fy),-S_1_fy))-(IF(($R26+$S26*'Geometry'!$G$45+$T26*'Geometry'!$F$45)&gt;0,IF(($R26+$S26*'Geometry'!$G$45+$T26*'Geometry'!$F$45)&lt;=C_eco,C_alpha*C_fck*(1-(1-($R26+$S26*'Geometry'!$G$45+$T26*'Geometry'!$F$45)/C_eco)^C_n),C_alpha*C_fck),0)))*'Geometry'!$H$45+((MAX(MIN(S_1_Es*($R26+$S26*'Geometry'!$G$46+$T26*'Geometry'!$F$46),S_1_fy),-S_1_fy))-(IF(($R26+$S26*'Geometry'!$G$46+$T26*'Geometry'!$F$46)&gt;0,IF(($R26+$S26*'Geometry'!$G$46+$T26*'Geometry'!$F$46)&lt;=C_eco,C_alpha*C_fck*(1-(1-($R26+$S26*'Geometry'!$G$46+$T26*'Geometry'!$F$46)/C_eco)^C_n),C_alpha*C_fck),0)))*'Geometry'!$H$46+((MAX(MIN(S_1_Es*($R26+$S26*'Geometry'!$G$47+$T26*'Geometry'!$F$47),S_1_fy),-S_1_fy))-(IF(($R26+$S26*'Geometry'!$G$47+$T26*'Geometry'!$F$47)&gt;0,IF(($R26+$S26*'Geometry'!$G$47+$T26*'Geometry'!$F$47)&lt;=C_eco,C_alpha*C_fck*(1-(1-($R26+$S26*'Geometry'!$G$47+$T26*'Geometry'!$F$47)/C_eco)^C_n),C_alpha*C_fck),0)))*'Geometry'!$H$47+((MAX(MIN(S_1_Es*($R26+$S26*'Geometry'!$G$48+$T26*'Geometry'!$F$48),S_1_fy),-S_1_fy))-(IF(($R26+$S26*'Geometry'!$G$48+$T26*'Geometry'!$F$48)&gt;0,IF(($R26+$S26*'Geometry'!$G$48+$T26*'Geometry'!$F$48)&lt;=C_eco,C_alpha*C_fck*(1-(1-($R26+$S26*'Geometry'!$G$48+$T26*'Geometry'!$F$48)/C_eco)^C_n),C_alpha*C_fck),0)))*'Geometry'!$H$48+((MAX(MIN(S_1_Es*($R26+$S26*'Geometry'!$G$49+$T26*'Geometry'!$F$49),S_1_fy),-S_1_fy))-(IF(($R26+$S26*'Geometry'!$G$49+$T26*'Geometry'!$F$49)&gt;0,IF(($R26+$S26*'Geometry'!$G$49+$T26*'Geometry'!$F$49)&lt;=C_eco,C_alpha*C_fck*(1-(1-($R26+$S26*'Geometry'!$G$49+$T26*'Geometry'!$F$49)/C_eco)^C_n),C_alpha*C_fck),0)))*'Geometry'!$H$49+((MAX(MIN(S_1_Es*($R26+$S26*'Geometry'!$G$50+$T26*'Geometry'!$F$50),S_1_fy),-S_1_fy))-(IF(($R26+$S26*'Geometry'!$G$50+$T26*'Geometry'!$F$50)&gt;0,IF(($R26+$S26*'Geometry'!$G$50+$T26*'Geometry'!$F$50)&lt;=C_eco,C_alpha*C_fck*(1-(1-($R26+$S26*'Geometry'!$G$50+$T26*'Geometry'!$F$50)/C_eco)^C_n),C_alpha*C_fck),0)))*'Geometry'!$H$50+((MAX(MIN(S_1_Es*($R26+$S26*'Geometry'!$G$51+$T26*'Geometry'!$F$51),S_1_fy),-S_1_fy))-(IF(($R26+$S26*'Geometry'!$G$51+$T26*'Geometry'!$F$51)&gt;0,IF(($R26+$S26*'Geometry'!$G$51+$T26*'Geometry'!$F$51)&lt;=C_eco,C_alpha*C_fck*(1-(1-($R26+$S26*'Geometry'!$G$51+$T26*'Geometry'!$F$51)/C_eco)^C_n),C_alpha*C_fck),0)))*'Geometry'!$H$51+((MAX(MIN(S_1_Es*($R26+$S26*'Geometry'!$G$52+$T26*'Geometry'!$F$52),S_1_fy),-S_1_fy))-(IF(($R26+$S26*'Geometry'!$G$52+$T26*'Geometry'!$F$52)&gt;0,IF(($R26+$S26*'Geometry'!$G$52+$T26*'Geometry'!$F$52)&lt;=C_eco,C_alpha*C_fck*(1-(1-($R26+$S26*'Geometry'!$G$52+$T26*'Geometry'!$F$52)/C_eco)^C_n),C_alpha*C_fck),0)))*'Geometry'!$H$52+((MAX(MIN(S_1_Es*($R26+$S26*'Geometry'!$G$53+$T26*'Geometry'!$F$53),S_1_fy),-S_1_fy))-(IF(($R26+$S26*'Geometry'!$G$53+$T26*'Geometry'!$F$53)&gt;0,IF(($R26+$S26*'Geometry'!$G$53+$T26*'Geometry'!$F$53)&lt;=C_eco,C_alpha*C_fck*(1-(1-($R26+$S26*'Geometry'!$G$53+$T26*'Geometry'!$F$53)/C_eco)^C_n),C_alpha*C_fck),0)))*'Geometry'!$H$53+((MAX(MIN(S_1_Es*($R26+$S26*'Geometry'!$G$54+$T26*'Geometry'!$F$54),S_1_fy),-S_1_fy))-(IF(($R26+$S26*'Geometry'!$G$54+$T26*'Geometry'!$F$54)&gt;0,IF(($R26+$S26*'Geometry'!$G$54+$T26*'Geometry'!$F$54)&lt;=C_eco,C_alpha*C_fck*(1-(1-($R26+$S26*'Geometry'!$G$54+$T26*'Geometry'!$F$54)/C_eco)^C_n),C_alpha*C_fck),0)))*'Geometry'!$H$54+((MAX(MIN(S_1_Es*($R26+$S26*'Geometry'!$G$55+$T26*'Geometry'!$F$55),S_1_fy),-S_1_fy))-(IF(($R26+$S26*'Geometry'!$G$55+$T26*'Geometry'!$F$55)&gt;0,IF(($R26+$S26*'Geometry'!$G$55+$T26*'Geometry'!$F$55)&lt;=C_eco,C_alpha*C_fck*(1-(1-($R26+$S26*'Geometry'!$G$55+$T26*'Geometry'!$F$55)/C_eco)^C_n),C_alpha*C_fck),0)))*'Geometry'!$H$55+((MAX(MIN(S_1_Es*($R26+$S26*'Geometry'!$G$56+$T26*'Geometry'!$F$56),S_1_fy),-S_1_fy))-(IF(($R26+$S26*'Geometry'!$G$56+$T26*'Geometry'!$F$56)&gt;0,IF(($R26+$S26*'Geometry'!$G$56+$T26*'Geometry'!$F$56)&lt;=C_eco,C_alpha*C_fck*(1-(1-($R26+$S26*'Geometry'!$G$56+$T26*'Geometry'!$F$56)/C_eco)^C_n),C_alpha*C_fck),0)))*'Geometry'!$H$56+((MAX(MIN(S_1_Es*($R26+$S26*'Geometry'!$G$57+$T26*'Geometry'!$F$57),S_1_fy),-S_1_fy))-(IF(($R26+$S26*'Geometry'!$G$57+$T26*'Geometry'!$F$57)&gt;0,IF(($R26+$S26*'Geometry'!$G$57+$T26*'Geometry'!$F$57)&lt;=C_eco,C_alpha*C_fck*(1-(1-($R26+$S26*'Geometry'!$G$57+$T26*'Geometry'!$F$57)/C_eco)^C_n),C_alpha*C_fck),0)))*'Geometry'!$H$57)/1000</f>
        <v>-787.744442175741</v>
      </c>
      <c r="Y26" s="10">
        <f>(((MAX(MIN(S_1_Es*($R26+$S26*'Geometry'!$G$40+$T26*'Geometry'!$F$40),S_1_fy),-S_1_fy))-(IF(($R26+$S26*'Geometry'!$G$40+$T26*'Geometry'!$F$40)&gt;0,IF(($R26+$S26*'Geometry'!$G$40+$T26*'Geometry'!$F$40)&lt;=C_eco,C_alpha*C_fck*(1-(1-($R26+$S26*'Geometry'!$G$40+$T26*'Geometry'!$F$40)/C_eco)^C_n),C_alpha*C_fck),0)))*'Geometry'!$H$40*'Geometry'!$G$40+((MAX(MIN(S_1_Es*($R26+$S26*'Geometry'!$G$41+$T26*'Geometry'!$F$41),S_1_fy),-S_1_fy))-(IF(($R26+$S26*'Geometry'!$G$41+$T26*'Geometry'!$F$41)&gt;0,IF(($R26+$S26*'Geometry'!$G$41+$T26*'Geometry'!$F$41)&lt;=C_eco,C_alpha*C_fck*(1-(1-($R26+$S26*'Geometry'!$G$41+$T26*'Geometry'!$F$41)/C_eco)^C_n),C_alpha*C_fck),0)))*'Geometry'!$H$41*'Geometry'!$G$41+((MAX(MIN(S_1_Es*($R26+$S26*'Geometry'!$G$42+$T26*'Geometry'!$F$42),S_1_fy),-S_1_fy))-(IF(($R26+$S26*'Geometry'!$G$42+$T26*'Geometry'!$F$42)&gt;0,IF(($R26+$S26*'Geometry'!$G$42+$T26*'Geometry'!$F$42)&lt;=C_eco,C_alpha*C_fck*(1-(1-($R26+$S26*'Geometry'!$G$42+$T26*'Geometry'!$F$42)/C_eco)^C_n),C_alpha*C_fck),0)))*'Geometry'!$H$42*'Geometry'!$G$42+((MAX(MIN(S_1_Es*($R26+$S26*'Geometry'!$G$43+$T26*'Geometry'!$F$43),S_1_fy),-S_1_fy))-(IF(($R26+$S26*'Geometry'!$G$43+$T26*'Geometry'!$F$43)&gt;0,IF(($R26+$S26*'Geometry'!$G$43+$T26*'Geometry'!$F$43)&lt;=C_eco,C_alpha*C_fck*(1-(1-($R26+$S26*'Geometry'!$G$43+$T26*'Geometry'!$F$43)/C_eco)^C_n),C_alpha*C_fck),0)))*'Geometry'!$H$43*'Geometry'!$G$43+((MAX(MIN(S_1_Es*($R26+$S26*'Geometry'!$G$44+$T26*'Geometry'!$F$44),S_1_fy),-S_1_fy))-(IF(($R26+$S26*'Geometry'!$G$44+$T26*'Geometry'!$F$44)&gt;0,IF(($R26+$S26*'Geometry'!$G$44+$T26*'Geometry'!$F$44)&lt;=C_eco,C_alpha*C_fck*(1-(1-($R26+$S26*'Geometry'!$G$44+$T26*'Geometry'!$F$44)/C_eco)^C_n),C_alpha*C_fck),0)))*'Geometry'!$H$44*'Geometry'!$G$44+((MAX(MIN(S_1_Es*($R26+$S26*'Geometry'!$G$45+$T26*'Geometry'!$F$45),S_1_fy),-S_1_fy))-(IF(($R26+$S26*'Geometry'!$G$45+$T26*'Geometry'!$F$45)&gt;0,IF(($R26+$S26*'Geometry'!$G$45+$T26*'Geometry'!$F$45)&lt;=C_eco,C_alpha*C_fck*(1-(1-($R26+$S26*'Geometry'!$G$45+$T26*'Geometry'!$F$45)/C_eco)^C_n),C_alpha*C_fck),0)))*'Geometry'!$H$45*'Geometry'!$G$45+((MAX(MIN(S_1_Es*($R26+$S26*'Geometry'!$G$46+$T26*'Geometry'!$F$46),S_1_fy),-S_1_fy))-(IF(($R26+$S26*'Geometry'!$G$46+$T26*'Geometry'!$F$46)&gt;0,IF(($R26+$S26*'Geometry'!$G$46+$T26*'Geometry'!$F$46)&lt;=C_eco,C_alpha*C_fck*(1-(1-($R26+$S26*'Geometry'!$G$46+$T26*'Geometry'!$F$46)/C_eco)^C_n),C_alpha*C_fck),0)))*'Geometry'!$H$46*'Geometry'!$G$46+((MAX(MIN(S_1_Es*($R26+$S26*'Geometry'!$G$47+$T26*'Geometry'!$F$47),S_1_fy),-S_1_fy))-(IF(($R26+$S26*'Geometry'!$G$47+$T26*'Geometry'!$F$47)&gt;0,IF(($R26+$S26*'Geometry'!$G$47+$T26*'Geometry'!$F$47)&lt;=C_eco,C_alpha*C_fck*(1-(1-($R26+$S26*'Geometry'!$G$47+$T26*'Geometry'!$F$47)/C_eco)^C_n),C_alpha*C_fck),0)))*'Geometry'!$H$47*'Geometry'!$G$47+((MAX(MIN(S_1_Es*($R26+$S26*'Geometry'!$G$48+$T26*'Geometry'!$F$48),S_1_fy),-S_1_fy))-(IF(($R26+$S26*'Geometry'!$G$48+$T26*'Geometry'!$F$48)&gt;0,IF(($R26+$S26*'Geometry'!$G$48+$T26*'Geometry'!$F$48)&lt;=C_eco,C_alpha*C_fck*(1-(1-($R26+$S26*'Geometry'!$G$48+$T26*'Geometry'!$F$48)/C_eco)^C_n),C_alpha*C_fck),0)))*'Geometry'!$H$48*'Geometry'!$G$48+((MAX(MIN(S_1_Es*($R26+$S26*'Geometry'!$G$49+$T26*'Geometry'!$F$49),S_1_fy),-S_1_fy))-(IF(($R26+$S26*'Geometry'!$G$49+$T26*'Geometry'!$F$49)&gt;0,IF(($R26+$S26*'Geometry'!$G$49+$T26*'Geometry'!$F$49)&lt;=C_eco,C_alpha*C_fck*(1-(1-($R26+$S26*'Geometry'!$G$49+$T26*'Geometry'!$F$49)/C_eco)^C_n),C_alpha*C_fck),0)))*'Geometry'!$H$49*'Geometry'!$G$49+((MAX(MIN(S_1_Es*($R26+$S26*'Geometry'!$G$50+$T26*'Geometry'!$F$50),S_1_fy),-S_1_fy))-(IF(($R26+$S26*'Geometry'!$G$50+$T26*'Geometry'!$F$50)&gt;0,IF(($R26+$S26*'Geometry'!$G$50+$T26*'Geometry'!$F$50)&lt;=C_eco,C_alpha*C_fck*(1-(1-($R26+$S26*'Geometry'!$G$50+$T26*'Geometry'!$F$50)/C_eco)^C_n),C_alpha*C_fck),0)))*'Geometry'!$H$50*'Geometry'!$G$50+((MAX(MIN(S_1_Es*($R26+$S26*'Geometry'!$G$51+$T26*'Geometry'!$F$51),S_1_fy),-S_1_fy))-(IF(($R26+$S26*'Geometry'!$G$51+$T26*'Geometry'!$F$51)&gt;0,IF(($R26+$S26*'Geometry'!$G$51+$T26*'Geometry'!$F$51)&lt;=C_eco,C_alpha*C_fck*(1-(1-($R26+$S26*'Geometry'!$G$51+$T26*'Geometry'!$F$51)/C_eco)^C_n),C_alpha*C_fck),0)))*'Geometry'!$H$51*'Geometry'!$G$51+((MAX(MIN(S_1_Es*($R26+$S26*'Geometry'!$G$52+$T26*'Geometry'!$F$52),S_1_fy),-S_1_fy))-(IF(($R26+$S26*'Geometry'!$G$52+$T26*'Geometry'!$F$52)&gt;0,IF(($R26+$S26*'Geometry'!$G$52+$T26*'Geometry'!$F$52)&lt;=C_eco,C_alpha*C_fck*(1-(1-($R26+$S26*'Geometry'!$G$52+$T26*'Geometry'!$F$52)/C_eco)^C_n),C_alpha*C_fck),0)))*'Geometry'!$H$52*'Geometry'!$G$52+((MAX(MIN(S_1_Es*($R26+$S26*'Geometry'!$G$53+$T26*'Geometry'!$F$53),S_1_fy),-S_1_fy))-(IF(($R26+$S26*'Geometry'!$G$53+$T26*'Geometry'!$F$53)&gt;0,IF(($R26+$S26*'Geometry'!$G$53+$T26*'Geometry'!$F$53)&lt;=C_eco,C_alpha*C_fck*(1-(1-($R26+$S26*'Geometry'!$G$53+$T26*'Geometry'!$F$53)/C_eco)^C_n),C_alpha*C_fck),0)))*'Geometry'!$H$53*'Geometry'!$G$53+((MAX(MIN(S_1_Es*($R26+$S26*'Geometry'!$G$54+$T26*'Geometry'!$F$54),S_1_fy),-S_1_fy))-(IF(($R26+$S26*'Geometry'!$G$54+$T26*'Geometry'!$F$54)&gt;0,IF(($R26+$S26*'Geometry'!$G$54+$T26*'Geometry'!$F$54)&lt;=C_eco,C_alpha*C_fck*(1-(1-($R26+$S26*'Geometry'!$G$54+$T26*'Geometry'!$F$54)/C_eco)^C_n),C_alpha*C_fck),0)))*'Geometry'!$H$54*'Geometry'!$G$54+((MAX(MIN(S_1_Es*($R26+$S26*'Geometry'!$G$55+$T26*'Geometry'!$F$55),S_1_fy),-S_1_fy))-(IF(($R26+$S26*'Geometry'!$G$55+$T26*'Geometry'!$F$55)&gt;0,IF(($R26+$S26*'Geometry'!$G$55+$T26*'Geometry'!$F$55)&lt;=C_eco,C_alpha*C_fck*(1-(1-($R26+$S26*'Geometry'!$G$55+$T26*'Geometry'!$F$55)/C_eco)^C_n),C_alpha*C_fck),0)))*'Geometry'!$H$55*'Geometry'!$G$55+((MAX(MIN(S_1_Es*($R26+$S26*'Geometry'!$G$56+$T26*'Geometry'!$F$56),S_1_fy),-S_1_fy))-(IF(($R26+$S26*'Geometry'!$G$56+$T26*'Geometry'!$F$56)&gt;0,IF(($R26+$S26*'Geometry'!$G$56+$T26*'Geometry'!$F$56)&lt;=C_eco,C_alpha*C_fck*(1-(1-($R26+$S26*'Geometry'!$G$56+$T26*'Geometry'!$F$56)/C_eco)^C_n),C_alpha*C_fck),0)))*'Geometry'!$H$56*'Geometry'!$G$56+((MAX(MIN(S_1_Es*($R26+$S26*'Geometry'!$G$57+$T26*'Geometry'!$F$57),S_1_fy),-S_1_fy))-(IF(($R26+$S26*'Geometry'!$G$57+$T26*'Geometry'!$F$57)&gt;0,IF(($R26+$S26*'Geometry'!$G$57+$T26*'Geometry'!$F$57)&lt;=C_eco,C_alpha*C_fck*(1-(1-($R26+$S26*'Geometry'!$G$57+$T26*'Geometry'!$F$57)/C_eco)^C_n),C_alpha*C_fck),0)))*'Geometry'!$H$57*'Geometry'!$G$57)/1000000</f>
        <v>1952.7913237574026</v>
      </c>
      <c r="Z26" s="10">
        <f>(((MAX(MIN(S_1_Es*($R26+$S26*'Geometry'!$G$40+$T26*'Geometry'!$F$40),S_1_fy),-S_1_fy))-(IF(($R26+$S26*'Geometry'!$G$40+$T26*'Geometry'!$F$40)&gt;0,IF(($R26+$S26*'Geometry'!$G$40+$T26*'Geometry'!$F$40)&lt;=C_eco,C_alpha*C_fck*(1-(1-($R26+$S26*'Geometry'!$G$40+$T26*'Geometry'!$F$40)/C_eco)^C_n),C_alpha*C_fck),0)))*'Geometry'!$H$40*'Geometry'!$F$40+((MAX(MIN(S_1_Es*($R26+$S26*'Geometry'!$G$41+$T26*'Geometry'!$F$41),S_1_fy),-S_1_fy))-(IF(($R26+$S26*'Geometry'!$G$41+$T26*'Geometry'!$F$41)&gt;0,IF(($R26+$S26*'Geometry'!$G$41+$T26*'Geometry'!$F$41)&lt;=C_eco,C_alpha*C_fck*(1-(1-($R26+$S26*'Geometry'!$G$41+$T26*'Geometry'!$F$41)/C_eco)^C_n),C_alpha*C_fck),0)))*'Geometry'!$H$41*'Geometry'!$F$41+((MAX(MIN(S_1_Es*($R26+$S26*'Geometry'!$G$42+$T26*'Geometry'!$F$42),S_1_fy),-S_1_fy))-(IF(($R26+$S26*'Geometry'!$G$42+$T26*'Geometry'!$F$42)&gt;0,IF(($R26+$S26*'Geometry'!$G$42+$T26*'Geometry'!$F$42)&lt;=C_eco,C_alpha*C_fck*(1-(1-($R26+$S26*'Geometry'!$G$42+$T26*'Geometry'!$F$42)/C_eco)^C_n),C_alpha*C_fck),0)))*'Geometry'!$H$42*'Geometry'!$F$42+((MAX(MIN(S_1_Es*($R26+$S26*'Geometry'!$G$43+$T26*'Geometry'!$F$43),S_1_fy),-S_1_fy))-(IF(($R26+$S26*'Geometry'!$G$43+$T26*'Geometry'!$F$43)&gt;0,IF(($R26+$S26*'Geometry'!$G$43+$T26*'Geometry'!$F$43)&lt;=C_eco,C_alpha*C_fck*(1-(1-($R26+$S26*'Geometry'!$G$43+$T26*'Geometry'!$F$43)/C_eco)^C_n),C_alpha*C_fck),0)))*'Geometry'!$H$43*'Geometry'!$F$43+((MAX(MIN(S_1_Es*($R26+$S26*'Geometry'!$G$44+$T26*'Geometry'!$F$44),S_1_fy),-S_1_fy))-(IF(($R26+$S26*'Geometry'!$G$44+$T26*'Geometry'!$F$44)&gt;0,IF(($R26+$S26*'Geometry'!$G$44+$T26*'Geometry'!$F$44)&lt;=C_eco,C_alpha*C_fck*(1-(1-($R26+$S26*'Geometry'!$G$44+$T26*'Geometry'!$F$44)/C_eco)^C_n),C_alpha*C_fck),0)))*'Geometry'!$H$44*'Geometry'!$F$44+((MAX(MIN(S_1_Es*($R26+$S26*'Geometry'!$G$45+$T26*'Geometry'!$F$45),S_1_fy),-S_1_fy))-(IF(($R26+$S26*'Geometry'!$G$45+$T26*'Geometry'!$F$45)&gt;0,IF(($R26+$S26*'Geometry'!$G$45+$T26*'Geometry'!$F$45)&lt;=C_eco,C_alpha*C_fck*(1-(1-($R26+$S26*'Geometry'!$G$45+$T26*'Geometry'!$F$45)/C_eco)^C_n),C_alpha*C_fck),0)))*'Geometry'!$H$45*'Geometry'!$F$45+((MAX(MIN(S_1_Es*($R26+$S26*'Geometry'!$G$46+$T26*'Geometry'!$F$46),S_1_fy),-S_1_fy))-(IF(($R26+$S26*'Geometry'!$G$46+$T26*'Geometry'!$F$46)&gt;0,IF(($R26+$S26*'Geometry'!$G$46+$T26*'Geometry'!$F$46)&lt;=C_eco,C_alpha*C_fck*(1-(1-($R26+$S26*'Geometry'!$G$46+$T26*'Geometry'!$F$46)/C_eco)^C_n),C_alpha*C_fck),0)))*'Geometry'!$H$46*'Geometry'!$F$46+((MAX(MIN(S_1_Es*($R26+$S26*'Geometry'!$G$47+$T26*'Geometry'!$F$47),S_1_fy),-S_1_fy))-(IF(($R26+$S26*'Geometry'!$G$47+$T26*'Geometry'!$F$47)&gt;0,IF(($R26+$S26*'Geometry'!$G$47+$T26*'Geometry'!$F$47)&lt;=C_eco,C_alpha*C_fck*(1-(1-($R26+$S26*'Geometry'!$G$47+$T26*'Geometry'!$F$47)/C_eco)^C_n),C_alpha*C_fck),0)))*'Geometry'!$H$47*'Geometry'!$F$47+((MAX(MIN(S_1_Es*($R26+$S26*'Geometry'!$G$48+$T26*'Geometry'!$F$48),S_1_fy),-S_1_fy))-(IF(($R26+$S26*'Geometry'!$G$48+$T26*'Geometry'!$F$48)&gt;0,IF(($R26+$S26*'Geometry'!$G$48+$T26*'Geometry'!$F$48)&lt;=C_eco,C_alpha*C_fck*(1-(1-($R26+$S26*'Geometry'!$G$48+$T26*'Geometry'!$F$48)/C_eco)^C_n),C_alpha*C_fck),0)))*'Geometry'!$H$48*'Geometry'!$F$48+((MAX(MIN(S_1_Es*($R26+$S26*'Geometry'!$G$49+$T26*'Geometry'!$F$49),S_1_fy),-S_1_fy))-(IF(($R26+$S26*'Geometry'!$G$49+$T26*'Geometry'!$F$49)&gt;0,IF(($R26+$S26*'Geometry'!$G$49+$T26*'Geometry'!$F$49)&lt;=C_eco,C_alpha*C_fck*(1-(1-($R26+$S26*'Geometry'!$G$49+$T26*'Geometry'!$F$49)/C_eco)^C_n),C_alpha*C_fck),0)))*'Geometry'!$H$49*'Geometry'!$F$49+((MAX(MIN(S_1_Es*($R26+$S26*'Geometry'!$G$50+$T26*'Geometry'!$F$50),S_1_fy),-S_1_fy))-(IF(($R26+$S26*'Geometry'!$G$50+$T26*'Geometry'!$F$50)&gt;0,IF(($R26+$S26*'Geometry'!$G$50+$T26*'Geometry'!$F$50)&lt;=C_eco,C_alpha*C_fck*(1-(1-($R26+$S26*'Geometry'!$G$50+$T26*'Geometry'!$F$50)/C_eco)^C_n),C_alpha*C_fck),0)))*'Geometry'!$H$50*'Geometry'!$F$50+((MAX(MIN(S_1_Es*($R26+$S26*'Geometry'!$G$51+$T26*'Geometry'!$F$51),S_1_fy),-S_1_fy))-(IF(($R26+$S26*'Geometry'!$G$51+$T26*'Geometry'!$F$51)&gt;0,IF(($R26+$S26*'Geometry'!$G$51+$T26*'Geometry'!$F$51)&lt;=C_eco,C_alpha*C_fck*(1-(1-($R26+$S26*'Geometry'!$G$51+$T26*'Geometry'!$F$51)/C_eco)^C_n),C_alpha*C_fck),0)))*'Geometry'!$H$51*'Geometry'!$F$51+((MAX(MIN(S_1_Es*($R26+$S26*'Geometry'!$G$52+$T26*'Geometry'!$F$52),S_1_fy),-S_1_fy))-(IF(($R26+$S26*'Geometry'!$G$52+$T26*'Geometry'!$F$52)&gt;0,IF(($R26+$S26*'Geometry'!$G$52+$T26*'Geometry'!$F$52)&lt;=C_eco,C_alpha*C_fck*(1-(1-($R26+$S26*'Geometry'!$G$52+$T26*'Geometry'!$F$52)/C_eco)^C_n),C_alpha*C_fck),0)))*'Geometry'!$H$52*'Geometry'!$F$52+((MAX(MIN(S_1_Es*($R26+$S26*'Geometry'!$G$53+$T26*'Geometry'!$F$53),S_1_fy),-S_1_fy))-(IF(($R26+$S26*'Geometry'!$G$53+$T26*'Geometry'!$F$53)&gt;0,IF(($R26+$S26*'Geometry'!$G$53+$T26*'Geometry'!$F$53)&lt;=C_eco,C_alpha*C_fck*(1-(1-($R26+$S26*'Geometry'!$G$53+$T26*'Geometry'!$F$53)/C_eco)^C_n),C_alpha*C_fck),0)))*'Geometry'!$H$53*'Geometry'!$F$53+((MAX(MIN(S_1_Es*($R26+$S26*'Geometry'!$G$54+$T26*'Geometry'!$F$54),S_1_fy),-S_1_fy))-(IF(($R26+$S26*'Geometry'!$G$54+$T26*'Geometry'!$F$54)&gt;0,IF(($R26+$S26*'Geometry'!$G$54+$T26*'Geometry'!$F$54)&lt;=C_eco,C_alpha*C_fck*(1-(1-($R26+$S26*'Geometry'!$G$54+$T26*'Geometry'!$F$54)/C_eco)^C_n),C_alpha*C_fck),0)))*'Geometry'!$H$54*'Geometry'!$F$54+((MAX(MIN(S_1_Es*($R26+$S26*'Geometry'!$G$55+$T26*'Geometry'!$F$55),S_1_fy),-S_1_fy))-(IF(($R26+$S26*'Geometry'!$G$55+$T26*'Geometry'!$F$55)&gt;0,IF(($R26+$S26*'Geometry'!$G$55+$T26*'Geometry'!$F$55)&lt;=C_eco,C_alpha*C_fck*(1-(1-($R26+$S26*'Geometry'!$G$55+$T26*'Geometry'!$F$55)/C_eco)^C_n),C_alpha*C_fck),0)))*'Geometry'!$H$55*'Geometry'!$F$55+((MAX(MIN(S_1_Es*($R26+$S26*'Geometry'!$G$56+$T26*'Geometry'!$F$56),S_1_fy),-S_1_fy))-(IF(($R26+$S26*'Geometry'!$G$56+$T26*'Geometry'!$F$56)&gt;0,IF(($R26+$S26*'Geometry'!$G$56+$T26*'Geometry'!$F$56)&lt;=C_eco,C_alpha*C_fck*(1-(1-($R26+$S26*'Geometry'!$G$56+$T26*'Geometry'!$F$56)/C_eco)^C_n),C_alpha*C_fck),0)))*'Geometry'!$H$56*'Geometry'!$F$56+((MAX(MIN(S_1_Es*($R26+$S26*'Geometry'!$G$57+$T26*'Geometry'!$F$57),S_1_fy),-S_1_fy))-(IF(($R26+$S26*'Geometry'!$G$57+$T26*'Geometry'!$F$57)&gt;0,IF(($R26+$S26*'Geometry'!$G$57+$T26*'Geometry'!$F$57)&lt;=C_eco,C_alpha*C_fck*(1-(1-($R26+$S26*'Geometry'!$G$57+$T26*'Geometry'!$F$57)/C_eco)^C_n),C_alpha*C_fck),0)))*'Geometry'!$H$57*'Geometry'!$F$57)/1000000</f>
        <v>468.962300321519</v>
      </c>
      <c r="AA26" s="10">
        <f>U26+X26</f>
        <v>9309.53129620865</v>
      </c>
      <c r="AB26" s="10">
        <f>V26+Y26</f>
        <v>6213.180932703415</v>
      </c>
      <c r="AC26" s="10">
        <f>W26+Z26</f>
        <v>1271.4532087644009</v>
      </c>
      <c r="AD26" s="7">
        <v>0.7833333333333334</v>
      </c>
      <c r="AE26" s="7">
        <v>0.7833333333333335</v>
      </c>
      <c r="AF26" s="10">
        <f>AA26*AD26</f>
        <v>7292.46618203011</v>
      </c>
      <c r="AG26" s="10">
        <f>AB26*AE26</f>
        <v>4866.991730617676</v>
      </c>
      <c r="AH26" s="10">
        <f>AC26*AE26</f>
        <v>995.9716801987809</v>
      </c>
      <c r="AI26" s="7">
        <v>7292.46618203011</v>
      </c>
      <c r="AJ26" s="7">
        <v>4866.991730617676</v>
      </c>
      <c r="AK26" s="7">
        <v>995.9716801987809</v>
      </c>
      <c r="AL26" s="15">
        <f>AF26-AI26</f>
        <v>0</v>
      </c>
      <c r="AM26" s="15">
        <f>SQRT((AG26-AJ26)^2+(AH26-AK26)^2)</f>
        <v>0</v>
      </c>
      <c r="AN26" s="7" t="s">
        <v>189</v>
      </c>
      <c r="AO26" s="7">
        <v>9309.53129620865</v>
      </c>
      <c r="AP26" s="7">
        <v>6213.180932703415</v>
      </c>
      <c r="AQ26" s="7">
        <v>1271.4532087644009</v>
      </c>
      <c r="AR26" s="7">
        <v>10097.275738384391</v>
      </c>
      <c r="AS26" s="7">
        <v>4260.389608946012</v>
      </c>
      <c r="AT26" s="7">
        <v>802.4909084428818</v>
      </c>
      <c r="AU26" s="7">
        <v>-787.744442175741</v>
      </c>
      <c r="AV26" s="7">
        <v>1952.7913237574026</v>
      </c>
      <c r="AW26" s="7">
        <v>468.962300321519</v>
      </c>
    </row>
    <row r="27" spans="1:49" x14ac:dyDescent="0.25">
      <c r="A27">
        <v>20</v>
      </c>
      <c r="B27" t="s">
        <v>228</v>
      </c>
      <c r="C27" s="21">
        <f>$AF$27</f>
        <v>6603.084035627625</v>
      </c>
      <c r="D27" s="22">
        <f>$AG$27*COS(RADIANS($C$5))+$AH$27*SIN(RADIANS($C$5))</f>
        <v>5122.410345119368</v>
      </c>
      <c r="G27" s="7" t="s">
        <v>229</v>
      </c>
      <c r="H27" s="7" t="s">
        <v>228</v>
      </c>
      <c r="I27" s="12">
        <v>10</v>
      </c>
      <c r="J27" s="7" t="s">
        <v>205</v>
      </c>
      <c r="K27" s="12">
        <v>2.4999999999999996</v>
      </c>
      <c r="L27" s="10">
        <f>MAX(('Geometry'!$G$13*COS(RADIANS(I27))+'Geometry'!$F$13*SIN(RADIANS(I27))),('Geometry'!$G$14*COS(RADIANS(I27))+'Geometry'!$F$14*SIN(RADIANS(I27))),('Geometry'!$G$15*COS(RADIANS(I27))+'Geometry'!$F$15*SIN(RADIANS(I27))),('Geometry'!$G$16*COS(RADIANS(I27))+'Geometry'!$F$16*SIN(RADIANS(I27))),('Geometry'!$G$17*COS(RADIANS(I27))+'Geometry'!$F$17*SIN(RADIANS(I27))),('Geometry'!$G$18*COS(RADIANS(I27))+'Geometry'!$F$18*SIN(RADIANS(I27))),('Geometry'!$G$19*COS(RADIANS(I27))+'Geometry'!$F$19*SIN(RADIANS(I27))),('Geometry'!$G$20*COS(RADIANS(I27))+'Geometry'!$F$20*SIN(RADIANS(I27))))</f>
        <v>686.3911495241364</v>
      </c>
      <c r="M27" s="10">
        <f>MIN(('Geometry'!$G$40*COS(RADIANS(I27))+'Geometry'!$F$40*SIN(RADIANS(I27))),('Geometry'!$G$41*COS(RADIANS(I27))+'Geometry'!$F$41*SIN(RADIANS(I27))),('Geometry'!$G$42*COS(RADIANS(I27))+'Geometry'!$F$42*SIN(RADIANS(I27))),('Geometry'!$G$43*COS(RADIANS(I27))+'Geometry'!$F$43*SIN(RADIANS(I27))),('Geometry'!$G$44*COS(RADIANS(I27))+'Geometry'!$F$44*SIN(RADIANS(I27))),('Geometry'!$G$45*COS(RADIANS(I27))+'Geometry'!$F$45*SIN(RADIANS(I27))),('Geometry'!$G$46*COS(RADIANS(I27))+'Geometry'!$F$46*SIN(RADIANS(I27))),('Geometry'!$G$47*COS(RADIANS(I27))+'Geometry'!$F$47*SIN(RADIANS(I27))),('Geometry'!$G$48*COS(RADIANS(I27))+'Geometry'!$F$48*SIN(RADIANS(I27))),('Geometry'!$G$49*COS(RADIANS(I27))+'Geometry'!$F$49*SIN(RADIANS(I27))),('Geometry'!$G$50*COS(RADIANS(I27))+'Geometry'!$F$50*SIN(RADIANS(I27))),('Geometry'!$G$51*COS(RADIANS(I27))+'Geometry'!$F$51*SIN(RADIANS(I27))),('Geometry'!$G$52*COS(RADIANS(I27))+'Geometry'!$F$52*SIN(RADIANS(I27))),('Geometry'!$G$53*COS(RADIANS(I27))+'Geometry'!$F$53*SIN(RADIANS(I27))),('Geometry'!$G$54*COS(RADIANS(I27))+'Geometry'!$F$54*SIN(RADIANS(I27))),('Geometry'!$G$55*COS(RADIANS(I27))+'Geometry'!$F$55*SIN(RADIANS(I27))),('Geometry'!$G$56*COS(RADIANS(I27))+'Geometry'!$F$56*SIN(RADIANS(I27))),('Geometry'!$G$57*COS(RADIANS(I27))+'Geometry'!$F$57*SIN(RADIANS(I27))))</f>
        <v>-591.4073801632424</v>
      </c>
      <c r="N27" s="10">
        <f>L27-MIN(('Geometry'!$G$13*COS(RADIANS(I27))+'Geometry'!$F$13*SIN(RADIANS(I27))),('Geometry'!$G$14*COS(RADIANS(I27))+'Geometry'!$F$14*SIN(RADIANS(I27))),('Geometry'!$G$15*COS(RADIANS(I27))+'Geometry'!$F$15*SIN(RADIANS(I27))),('Geometry'!$G$16*COS(RADIANS(I27))+'Geometry'!$F$16*SIN(RADIANS(I27))),('Geometry'!$G$17*COS(RADIANS(I27))+'Geometry'!$F$17*SIN(RADIANS(I27))),('Geometry'!$G$18*COS(RADIANS(I27))+'Geometry'!$F$18*SIN(RADIANS(I27))),('Geometry'!$G$19*COS(RADIANS(I27))+'Geometry'!$F$19*SIN(RADIANS(I27))),('Geometry'!$G$20*COS(RADIANS(I27))+'Geometry'!$F$20*SIN(RADIANS(I27))))</f>
        <v>1372.7822990482728</v>
      </c>
      <c r="O27" s="15">
        <f>C_ecu</f>
        <v>0.0033</v>
      </c>
      <c r="P27" s="15">
        <f>-K27*S_1_fy/S_1_Es</f>
        <v>-0.004999999999999999</v>
      </c>
      <c r="Q27" s="20">
        <f>IF(ABS(L27-M27)&lt;0.000000000001,0,(O27-P27)/(L27-M27))</f>
        <v>0.000006495546682175824</v>
      </c>
      <c r="R27" s="15">
        <f>O27-Q27*L27</f>
        <v>-0.0011584857539663545</v>
      </c>
      <c r="S27" s="20">
        <f>Q27*COS(RADIANS(I27))</f>
        <v>0.000006396864732659477</v>
      </c>
      <c r="T27" s="20">
        <f>Q27*SIN(RADIANS(I27))</f>
        <v>0.0000011279398443103075</v>
      </c>
      <c r="U27" s="10">
        <f>SUMPRODUCT(C_alpha*C_fck*(1-(1-((($R27+$S27*Mesh_Y+$T27*Mesh_X))*(($R27+$S27*Mesh_Y+$T27*Mesh_X)&gt;0)*(($R27+$S27*Mesh_Y+$T27*Mesh_X)&lt;C_eco)+C_eco*(($R27+$S27*Mesh_Y+$T27*Mesh_X)&gt;=C_eco))/C_eco)^C_n)*((($R27+$S27*Mesh_Y+$T27*Mesh_X))&gt;0),Mesh_A)/1000</f>
        <v>8983.227908577053</v>
      </c>
      <c r="V27" s="10">
        <f>SUMPRODUCT(C_alpha*C_fck*(1-(1-((($R27+$S27*Mesh_Y+$T27*Mesh_X))*(($R27+$S27*Mesh_Y+$T27*Mesh_X)&gt;0)*(($R27+$S27*Mesh_Y+$T27*Mesh_X)&lt;C_eco)+C_eco*(($R27+$S27*Mesh_Y+$T27*Mesh_X)&gt;=C_eco))/C_eco)^C_n)*((($R27+$S27*Mesh_Y+$T27*Mesh_X))&gt;0),Mesh_A,Mesh_Y)/1000000</f>
        <v>3973.6327771438055</v>
      </c>
      <c r="W27" s="10">
        <f>SUMPRODUCT(C_alpha*C_fck*(1-(1-((($R27+$S27*Mesh_Y+$T27*Mesh_X))*(($R27+$S27*Mesh_Y+$T27*Mesh_X)&gt;0)*(($R27+$S27*Mesh_Y+$T27*Mesh_X)&lt;C_eco)+C_eco*(($R27+$S27*Mesh_Y+$T27*Mesh_X)&gt;=C_eco))/C_eco)^C_n)*((($R27+$S27*Mesh_Y+$T27*Mesh_X))&gt;0),Mesh_A,Mesh_X)/1000000</f>
        <v>833.5890269455778</v>
      </c>
      <c r="X27" s="10">
        <f>(((MAX(MIN(S_1_Es*($R27+$S27*'Geometry'!$G$40+$T27*'Geometry'!$F$40),S_1_fy),-S_1_fy))-(IF(($R27+$S27*'Geometry'!$G$40+$T27*'Geometry'!$F$40)&gt;0,IF(($R27+$S27*'Geometry'!$G$40+$T27*'Geometry'!$F$40)&lt;=C_eco,C_alpha*C_fck*(1-(1-($R27+$S27*'Geometry'!$G$40+$T27*'Geometry'!$F$40)/C_eco)^C_n),C_alpha*C_fck),0)))*'Geometry'!$H$40+((MAX(MIN(S_1_Es*($R27+$S27*'Geometry'!$G$41+$T27*'Geometry'!$F$41),S_1_fy),-S_1_fy))-(IF(($R27+$S27*'Geometry'!$G$41+$T27*'Geometry'!$F$41)&gt;0,IF(($R27+$S27*'Geometry'!$G$41+$T27*'Geometry'!$F$41)&lt;=C_eco,C_alpha*C_fck*(1-(1-($R27+$S27*'Geometry'!$G$41+$T27*'Geometry'!$F$41)/C_eco)^C_n),C_alpha*C_fck),0)))*'Geometry'!$H$41+((MAX(MIN(S_1_Es*($R27+$S27*'Geometry'!$G$42+$T27*'Geometry'!$F$42),S_1_fy),-S_1_fy))-(IF(($R27+$S27*'Geometry'!$G$42+$T27*'Geometry'!$F$42)&gt;0,IF(($R27+$S27*'Geometry'!$G$42+$T27*'Geometry'!$F$42)&lt;=C_eco,C_alpha*C_fck*(1-(1-($R27+$S27*'Geometry'!$G$42+$T27*'Geometry'!$F$42)/C_eco)^C_n),C_alpha*C_fck),0)))*'Geometry'!$H$42+((MAX(MIN(S_1_Es*($R27+$S27*'Geometry'!$G$43+$T27*'Geometry'!$F$43),S_1_fy),-S_1_fy))-(IF(($R27+$S27*'Geometry'!$G$43+$T27*'Geometry'!$F$43)&gt;0,IF(($R27+$S27*'Geometry'!$G$43+$T27*'Geometry'!$F$43)&lt;=C_eco,C_alpha*C_fck*(1-(1-($R27+$S27*'Geometry'!$G$43+$T27*'Geometry'!$F$43)/C_eco)^C_n),C_alpha*C_fck),0)))*'Geometry'!$H$43+((MAX(MIN(S_1_Es*($R27+$S27*'Geometry'!$G$44+$T27*'Geometry'!$F$44),S_1_fy),-S_1_fy))-(IF(($R27+$S27*'Geometry'!$G$44+$T27*'Geometry'!$F$44)&gt;0,IF(($R27+$S27*'Geometry'!$G$44+$T27*'Geometry'!$F$44)&lt;=C_eco,C_alpha*C_fck*(1-(1-($R27+$S27*'Geometry'!$G$44+$T27*'Geometry'!$F$44)/C_eco)^C_n),C_alpha*C_fck),0)))*'Geometry'!$H$44+((MAX(MIN(S_1_Es*($R27+$S27*'Geometry'!$G$45+$T27*'Geometry'!$F$45),S_1_fy),-S_1_fy))-(IF(($R27+$S27*'Geometry'!$G$45+$T27*'Geometry'!$F$45)&gt;0,IF(($R27+$S27*'Geometry'!$G$45+$T27*'Geometry'!$F$45)&lt;=C_eco,C_alpha*C_fck*(1-(1-($R27+$S27*'Geometry'!$G$45+$T27*'Geometry'!$F$45)/C_eco)^C_n),C_alpha*C_fck),0)))*'Geometry'!$H$45+((MAX(MIN(S_1_Es*($R27+$S27*'Geometry'!$G$46+$T27*'Geometry'!$F$46),S_1_fy),-S_1_fy))-(IF(($R27+$S27*'Geometry'!$G$46+$T27*'Geometry'!$F$46)&gt;0,IF(($R27+$S27*'Geometry'!$G$46+$T27*'Geometry'!$F$46)&lt;=C_eco,C_alpha*C_fck*(1-(1-($R27+$S27*'Geometry'!$G$46+$T27*'Geometry'!$F$46)/C_eco)^C_n),C_alpha*C_fck),0)))*'Geometry'!$H$46+((MAX(MIN(S_1_Es*($R27+$S27*'Geometry'!$G$47+$T27*'Geometry'!$F$47),S_1_fy),-S_1_fy))-(IF(($R27+$S27*'Geometry'!$G$47+$T27*'Geometry'!$F$47)&gt;0,IF(($R27+$S27*'Geometry'!$G$47+$T27*'Geometry'!$F$47)&lt;=C_eco,C_alpha*C_fck*(1-(1-($R27+$S27*'Geometry'!$G$47+$T27*'Geometry'!$F$47)/C_eco)^C_n),C_alpha*C_fck),0)))*'Geometry'!$H$47+((MAX(MIN(S_1_Es*($R27+$S27*'Geometry'!$G$48+$T27*'Geometry'!$F$48),S_1_fy),-S_1_fy))-(IF(($R27+$S27*'Geometry'!$G$48+$T27*'Geometry'!$F$48)&gt;0,IF(($R27+$S27*'Geometry'!$G$48+$T27*'Geometry'!$F$48)&lt;=C_eco,C_alpha*C_fck*(1-(1-($R27+$S27*'Geometry'!$G$48+$T27*'Geometry'!$F$48)/C_eco)^C_n),C_alpha*C_fck),0)))*'Geometry'!$H$48+((MAX(MIN(S_1_Es*($R27+$S27*'Geometry'!$G$49+$T27*'Geometry'!$F$49),S_1_fy),-S_1_fy))-(IF(($R27+$S27*'Geometry'!$G$49+$T27*'Geometry'!$F$49)&gt;0,IF(($R27+$S27*'Geometry'!$G$49+$T27*'Geometry'!$F$49)&lt;=C_eco,C_alpha*C_fck*(1-(1-($R27+$S27*'Geometry'!$G$49+$T27*'Geometry'!$F$49)/C_eco)^C_n),C_alpha*C_fck),0)))*'Geometry'!$H$49+((MAX(MIN(S_1_Es*($R27+$S27*'Geometry'!$G$50+$T27*'Geometry'!$F$50),S_1_fy),-S_1_fy))-(IF(($R27+$S27*'Geometry'!$G$50+$T27*'Geometry'!$F$50)&gt;0,IF(($R27+$S27*'Geometry'!$G$50+$T27*'Geometry'!$F$50)&lt;=C_eco,C_alpha*C_fck*(1-(1-($R27+$S27*'Geometry'!$G$50+$T27*'Geometry'!$F$50)/C_eco)^C_n),C_alpha*C_fck),0)))*'Geometry'!$H$50+((MAX(MIN(S_1_Es*($R27+$S27*'Geometry'!$G$51+$T27*'Geometry'!$F$51),S_1_fy),-S_1_fy))-(IF(($R27+$S27*'Geometry'!$G$51+$T27*'Geometry'!$F$51)&gt;0,IF(($R27+$S27*'Geometry'!$G$51+$T27*'Geometry'!$F$51)&lt;=C_eco,C_alpha*C_fck*(1-(1-($R27+$S27*'Geometry'!$G$51+$T27*'Geometry'!$F$51)/C_eco)^C_n),C_alpha*C_fck),0)))*'Geometry'!$H$51+((MAX(MIN(S_1_Es*($R27+$S27*'Geometry'!$G$52+$T27*'Geometry'!$F$52),S_1_fy),-S_1_fy))-(IF(($R27+$S27*'Geometry'!$G$52+$T27*'Geometry'!$F$52)&gt;0,IF(($R27+$S27*'Geometry'!$G$52+$T27*'Geometry'!$F$52)&lt;=C_eco,C_alpha*C_fck*(1-(1-($R27+$S27*'Geometry'!$G$52+$T27*'Geometry'!$F$52)/C_eco)^C_n),C_alpha*C_fck),0)))*'Geometry'!$H$52+((MAX(MIN(S_1_Es*($R27+$S27*'Geometry'!$G$53+$T27*'Geometry'!$F$53),S_1_fy),-S_1_fy))-(IF(($R27+$S27*'Geometry'!$G$53+$T27*'Geometry'!$F$53)&gt;0,IF(($R27+$S27*'Geometry'!$G$53+$T27*'Geometry'!$F$53)&lt;=C_eco,C_alpha*C_fck*(1-(1-($R27+$S27*'Geometry'!$G$53+$T27*'Geometry'!$F$53)/C_eco)^C_n),C_alpha*C_fck),0)))*'Geometry'!$H$53+((MAX(MIN(S_1_Es*($R27+$S27*'Geometry'!$G$54+$T27*'Geometry'!$F$54),S_1_fy),-S_1_fy))-(IF(($R27+$S27*'Geometry'!$G$54+$T27*'Geometry'!$F$54)&gt;0,IF(($R27+$S27*'Geometry'!$G$54+$T27*'Geometry'!$F$54)&lt;=C_eco,C_alpha*C_fck*(1-(1-($R27+$S27*'Geometry'!$G$54+$T27*'Geometry'!$F$54)/C_eco)^C_n),C_alpha*C_fck),0)))*'Geometry'!$H$54+((MAX(MIN(S_1_Es*($R27+$S27*'Geometry'!$G$55+$T27*'Geometry'!$F$55),S_1_fy),-S_1_fy))-(IF(($R27+$S27*'Geometry'!$G$55+$T27*'Geometry'!$F$55)&gt;0,IF(($R27+$S27*'Geometry'!$G$55+$T27*'Geometry'!$F$55)&lt;=C_eco,C_alpha*C_fck*(1-(1-($R27+$S27*'Geometry'!$G$55+$T27*'Geometry'!$F$55)/C_eco)^C_n),C_alpha*C_fck),0)))*'Geometry'!$H$55+((MAX(MIN(S_1_Es*($R27+$S27*'Geometry'!$G$56+$T27*'Geometry'!$F$56),S_1_fy),-S_1_fy))-(IF(($R27+$S27*'Geometry'!$G$56+$T27*'Geometry'!$F$56)&gt;0,IF(($R27+$S27*'Geometry'!$G$56+$T27*'Geometry'!$F$56)&lt;=C_eco,C_alpha*C_fck*(1-(1-($R27+$S27*'Geometry'!$G$56+$T27*'Geometry'!$F$56)/C_eco)^C_n),C_alpha*C_fck),0)))*'Geometry'!$H$56+((MAX(MIN(S_1_Es*($R27+$S27*'Geometry'!$G$57+$T27*'Geometry'!$F$57),S_1_fy),-S_1_fy))-(IF(($R27+$S27*'Geometry'!$G$57+$T27*'Geometry'!$F$57)&gt;0,IF(($R27+$S27*'Geometry'!$G$57+$T27*'Geometry'!$F$57)&lt;=C_eco,C_alpha*C_fck*(1-(1-($R27+$S27*'Geometry'!$G$57+$T27*'Geometry'!$F$57)/C_eco)^C_n),C_alpha*C_fck),0)))*'Geometry'!$H$57)/1000</f>
        <v>-1214.893749015141</v>
      </c>
      <c r="Y27" s="10">
        <f>(((MAX(MIN(S_1_Es*($R27+$S27*'Geometry'!$G$40+$T27*'Geometry'!$F$40),S_1_fy),-S_1_fy))-(IF(($R27+$S27*'Geometry'!$G$40+$T27*'Geometry'!$F$40)&gt;0,IF(($R27+$S27*'Geometry'!$G$40+$T27*'Geometry'!$F$40)&lt;=C_eco,C_alpha*C_fck*(1-(1-($R27+$S27*'Geometry'!$G$40+$T27*'Geometry'!$F$40)/C_eco)^C_n),C_alpha*C_fck),0)))*'Geometry'!$H$40*'Geometry'!$G$40+((MAX(MIN(S_1_Es*($R27+$S27*'Geometry'!$G$41+$T27*'Geometry'!$F$41),S_1_fy),-S_1_fy))-(IF(($R27+$S27*'Geometry'!$G$41+$T27*'Geometry'!$F$41)&gt;0,IF(($R27+$S27*'Geometry'!$G$41+$T27*'Geometry'!$F$41)&lt;=C_eco,C_alpha*C_fck*(1-(1-($R27+$S27*'Geometry'!$G$41+$T27*'Geometry'!$F$41)/C_eco)^C_n),C_alpha*C_fck),0)))*'Geometry'!$H$41*'Geometry'!$G$41+((MAX(MIN(S_1_Es*($R27+$S27*'Geometry'!$G$42+$T27*'Geometry'!$F$42),S_1_fy),-S_1_fy))-(IF(($R27+$S27*'Geometry'!$G$42+$T27*'Geometry'!$F$42)&gt;0,IF(($R27+$S27*'Geometry'!$G$42+$T27*'Geometry'!$F$42)&lt;=C_eco,C_alpha*C_fck*(1-(1-($R27+$S27*'Geometry'!$G$42+$T27*'Geometry'!$F$42)/C_eco)^C_n),C_alpha*C_fck),0)))*'Geometry'!$H$42*'Geometry'!$G$42+((MAX(MIN(S_1_Es*($R27+$S27*'Geometry'!$G$43+$T27*'Geometry'!$F$43),S_1_fy),-S_1_fy))-(IF(($R27+$S27*'Geometry'!$G$43+$T27*'Geometry'!$F$43)&gt;0,IF(($R27+$S27*'Geometry'!$G$43+$T27*'Geometry'!$F$43)&lt;=C_eco,C_alpha*C_fck*(1-(1-($R27+$S27*'Geometry'!$G$43+$T27*'Geometry'!$F$43)/C_eco)^C_n),C_alpha*C_fck),0)))*'Geometry'!$H$43*'Geometry'!$G$43+((MAX(MIN(S_1_Es*($R27+$S27*'Geometry'!$G$44+$T27*'Geometry'!$F$44),S_1_fy),-S_1_fy))-(IF(($R27+$S27*'Geometry'!$G$44+$T27*'Geometry'!$F$44)&gt;0,IF(($R27+$S27*'Geometry'!$G$44+$T27*'Geometry'!$F$44)&lt;=C_eco,C_alpha*C_fck*(1-(1-($R27+$S27*'Geometry'!$G$44+$T27*'Geometry'!$F$44)/C_eco)^C_n),C_alpha*C_fck),0)))*'Geometry'!$H$44*'Geometry'!$G$44+((MAX(MIN(S_1_Es*($R27+$S27*'Geometry'!$G$45+$T27*'Geometry'!$F$45),S_1_fy),-S_1_fy))-(IF(($R27+$S27*'Geometry'!$G$45+$T27*'Geometry'!$F$45)&gt;0,IF(($R27+$S27*'Geometry'!$G$45+$T27*'Geometry'!$F$45)&lt;=C_eco,C_alpha*C_fck*(1-(1-($R27+$S27*'Geometry'!$G$45+$T27*'Geometry'!$F$45)/C_eco)^C_n),C_alpha*C_fck),0)))*'Geometry'!$H$45*'Geometry'!$G$45+((MAX(MIN(S_1_Es*($R27+$S27*'Geometry'!$G$46+$T27*'Geometry'!$F$46),S_1_fy),-S_1_fy))-(IF(($R27+$S27*'Geometry'!$G$46+$T27*'Geometry'!$F$46)&gt;0,IF(($R27+$S27*'Geometry'!$G$46+$T27*'Geometry'!$F$46)&lt;=C_eco,C_alpha*C_fck*(1-(1-($R27+$S27*'Geometry'!$G$46+$T27*'Geometry'!$F$46)/C_eco)^C_n),C_alpha*C_fck),0)))*'Geometry'!$H$46*'Geometry'!$G$46+((MAX(MIN(S_1_Es*($R27+$S27*'Geometry'!$G$47+$T27*'Geometry'!$F$47),S_1_fy),-S_1_fy))-(IF(($R27+$S27*'Geometry'!$G$47+$T27*'Geometry'!$F$47)&gt;0,IF(($R27+$S27*'Geometry'!$G$47+$T27*'Geometry'!$F$47)&lt;=C_eco,C_alpha*C_fck*(1-(1-($R27+$S27*'Geometry'!$G$47+$T27*'Geometry'!$F$47)/C_eco)^C_n),C_alpha*C_fck),0)))*'Geometry'!$H$47*'Geometry'!$G$47+((MAX(MIN(S_1_Es*($R27+$S27*'Geometry'!$G$48+$T27*'Geometry'!$F$48),S_1_fy),-S_1_fy))-(IF(($R27+$S27*'Geometry'!$G$48+$T27*'Geometry'!$F$48)&gt;0,IF(($R27+$S27*'Geometry'!$G$48+$T27*'Geometry'!$F$48)&lt;=C_eco,C_alpha*C_fck*(1-(1-($R27+$S27*'Geometry'!$G$48+$T27*'Geometry'!$F$48)/C_eco)^C_n),C_alpha*C_fck),0)))*'Geometry'!$H$48*'Geometry'!$G$48+((MAX(MIN(S_1_Es*($R27+$S27*'Geometry'!$G$49+$T27*'Geometry'!$F$49),S_1_fy),-S_1_fy))-(IF(($R27+$S27*'Geometry'!$G$49+$T27*'Geometry'!$F$49)&gt;0,IF(($R27+$S27*'Geometry'!$G$49+$T27*'Geometry'!$F$49)&lt;=C_eco,C_alpha*C_fck*(1-(1-($R27+$S27*'Geometry'!$G$49+$T27*'Geometry'!$F$49)/C_eco)^C_n),C_alpha*C_fck),0)))*'Geometry'!$H$49*'Geometry'!$G$49+((MAX(MIN(S_1_Es*($R27+$S27*'Geometry'!$G$50+$T27*'Geometry'!$F$50),S_1_fy),-S_1_fy))-(IF(($R27+$S27*'Geometry'!$G$50+$T27*'Geometry'!$F$50)&gt;0,IF(($R27+$S27*'Geometry'!$G$50+$T27*'Geometry'!$F$50)&lt;=C_eco,C_alpha*C_fck*(1-(1-($R27+$S27*'Geometry'!$G$50+$T27*'Geometry'!$F$50)/C_eco)^C_n),C_alpha*C_fck),0)))*'Geometry'!$H$50*'Geometry'!$G$50+((MAX(MIN(S_1_Es*($R27+$S27*'Geometry'!$G$51+$T27*'Geometry'!$F$51),S_1_fy),-S_1_fy))-(IF(($R27+$S27*'Geometry'!$G$51+$T27*'Geometry'!$F$51)&gt;0,IF(($R27+$S27*'Geometry'!$G$51+$T27*'Geometry'!$F$51)&lt;=C_eco,C_alpha*C_fck*(1-(1-($R27+$S27*'Geometry'!$G$51+$T27*'Geometry'!$F$51)/C_eco)^C_n),C_alpha*C_fck),0)))*'Geometry'!$H$51*'Geometry'!$G$51+((MAX(MIN(S_1_Es*($R27+$S27*'Geometry'!$G$52+$T27*'Geometry'!$F$52),S_1_fy),-S_1_fy))-(IF(($R27+$S27*'Geometry'!$G$52+$T27*'Geometry'!$F$52)&gt;0,IF(($R27+$S27*'Geometry'!$G$52+$T27*'Geometry'!$F$52)&lt;=C_eco,C_alpha*C_fck*(1-(1-($R27+$S27*'Geometry'!$G$52+$T27*'Geometry'!$F$52)/C_eco)^C_n),C_alpha*C_fck),0)))*'Geometry'!$H$52*'Geometry'!$G$52+((MAX(MIN(S_1_Es*($R27+$S27*'Geometry'!$G$53+$T27*'Geometry'!$F$53),S_1_fy),-S_1_fy))-(IF(($R27+$S27*'Geometry'!$G$53+$T27*'Geometry'!$F$53)&gt;0,IF(($R27+$S27*'Geometry'!$G$53+$T27*'Geometry'!$F$53)&lt;=C_eco,C_alpha*C_fck*(1-(1-($R27+$S27*'Geometry'!$G$53+$T27*'Geometry'!$F$53)/C_eco)^C_n),C_alpha*C_fck),0)))*'Geometry'!$H$53*'Geometry'!$G$53+((MAX(MIN(S_1_Es*($R27+$S27*'Geometry'!$G$54+$T27*'Geometry'!$F$54),S_1_fy),-S_1_fy))-(IF(($R27+$S27*'Geometry'!$G$54+$T27*'Geometry'!$F$54)&gt;0,IF(($R27+$S27*'Geometry'!$G$54+$T27*'Geometry'!$F$54)&lt;=C_eco,C_alpha*C_fck*(1-(1-($R27+$S27*'Geometry'!$G$54+$T27*'Geometry'!$F$54)/C_eco)^C_n),C_alpha*C_fck),0)))*'Geometry'!$H$54*'Geometry'!$G$54+((MAX(MIN(S_1_Es*($R27+$S27*'Geometry'!$G$55+$T27*'Geometry'!$F$55),S_1_fy),-S_1_fy))-(IF(($R27+$S27*'Geometry'!$G$55+$T27*'Geometry'!$F$55)&gt;0,IF(($R27+$S27*'Geometry'!$G$55+$T27*'Geometry'!$F$55)&lt;=C_eco,C_alpha*C_fck*(1-(1-($R27+$S27*'Geometry'!$G$55+$T27*'Geometry'!$F$55)/C_eco)^C_n),C_alpha*C_fck),0)))*'Geometry'!$H$55*'Geometry'!$G$55+((MAX(MIN(S_1_Es*($R27+$S27*'Geometry'!$G$56+$T27*'Geometry'!$F$56),S_1_fy),-S_1_fy))-(IF(($R27+$S27*'Geometry'!$G$56+$T27*'Geometry'!$F$56)&gt;0,IF(($R27+$S27*'Geometry'!$G$56+$T27*'Geometry'!$F$56)&lt;=C_eco,C_alpha*C_fck*(1-(1-($R27+$S27*'Geometry'!$G$56+$T27*'Geometry'!$F$56)/C_eco)^C_n),C_alpha*C_fck),0)))*'Geometry'!$H$56*'Geometry'!$G$56+((MAX(MIN(S_1_Es*($R27+$S27*'Geometry'!$G$57+$T27*'Geometry'!$F$57),S_1_fy),-S_1_fy))-(IF(($R27+$S27*'Geometry'!$G$57+$T27*'Geometry'!$F$57)&gt;0,IF(($R27+$S27*'Geometry'!$G$57+$T27*'Geometry'!$F$57)&lt;=C_eco,C_alpha*C_fck*(1-(1-($R27+$S27*'Geometry'!$G$57+$T27*'Geometry'!$F$57)/C_eco)^C_n),C_alpha*C_fck),0)))*'Geometry'!$H$57*'Geometry'!$G$57)/1000000</f>
        <v>1924.2935906866815</v>
      </c>
      <c r="Z27" s="10">
        <f>(((MAX(MIN(S_1_Es*($R27+$S27*'Geometry'!$G$40+$T27*'Geometry'!$F$40),S_1_fy),-S_1_fy))-(IF(($R27+$S27*'Geometry'!$G$40+$T27*'Geometry'!$F$40)&gt;0,IF(($R27+$S27*'Geometry'!$G$40+$T27*'Geometry'!$F$40)&lt;=C_eco,C_alpha*C_fck*(1-(1-($R27+$S27*'Geometry'!$G$40+$T27*'Geometry'!$F$40)/C_eco)^C_n),C_alpha*C_fck),0)))*'Geometry'!$H$40*'Geometry'!$F$40+((MAX(MIN(S_1_Es*($R27+$S27*'Geometry'!$G$41+$T27*'Geometry'!$F$41),S_1_fy),-S_1_fy))-(IF(($R27+$S27*'Geometry'!$G$41+$T27*'Geometry'!$F$41)&gt;0,IF(($R27+$S27*'Geometry'!$G$41+$T27*'Geometry'!$F$41)&lt;=C_eco,C_alpha*C_fck*(1-(1-($R27+$S27*'Geometry'!$G$41+$T27*'Geometry'!$F$41)/C_eco)^C_n),C_alpha*C_fck),0)))*'Geometry'!$H$41*'Geometry'!$F$41+((MAX(MIN(S_1_Es*($R27+$S27*'Geometry'!$G$42+$T27*'Geometry'!$F$42),S_1_fy),-S_1_fy))-(IF(($R27+$S27*'Geometry'!$G$42+$T27*'Geometry'!$F$42)&gt;0,IF(($R27+$S27*'Geometry'!$G$42+$T27*'Geometry'!$F$42)&lt;=C_eco,C_alpha*C_fck*(1-(1-($R27+$S27*'Geometry'!$G$42+$T27*'Geometry'!$F$42)/C_eco)^C_n),C_alpha*C_fck),0)))*'Geometry'!$H$42*'Geometry'!$F$42+((MAX(MIN(S_1_Es*($R27+$S27*'Geometry'!$G$43+$T27*'Geometry'!$F$43),S_1_fy),-S_1_fy))-(IF(($R27+$S27*'Geometry'!$G$43+$T27*'Geometry'!$F$43)&gt;0,IF(($R27+$S27*'Geometry'!$G$43+$T27*'Geometry'!$F$43)&lt;=C_eco,C_alpha*C_fck*(1-(1-($R27+$S27*'Geometry'!$G$43+$T27*'Geometry'!$F$43)/C_eco)^C_n),C_alpha*C_fck),0)))*'Geometry'!$H$43*'Geometry'!$F$43+((MAX(MIN(S_1_Es*($R27+$S27*'Geometry'!$G$44+$T27*'Geometry'!$F$44),S_1_fy),-S_1_fy))-(IF(($R27+$S27*'Geometry'!$G$44+$T27*'Geometry'!$F$44)&gt;0,IF(($R27+$S27*'Geometry'!$G$44+$T27*'Geometry'!$F$44)&lt;=C_eco,C_alpha*C_fck*(1-(1-($R27+$S27*'Geometry'!$G$44+$T27*'Geometry'!$F$44)/C_eco)^C_n),C_alpha*C_fck),0)))*'Geometry'!$H$44*'Geometry'!$F$44+((MAX(MIN(S_1_Es*($R27+$S27*'Geometry'!$G$45+$T27*'Geometry'!$F$45),S_1_fy),-S_1_fy))-(IF(($R27+$S27*'Geometry'!$G$45+$T27*'Geometry'!$F$45)&gt;0,IF(($R27+$S27*'Geometry'!$G$45+$T27*'Geometry'!$F$45)&lt;=C_eco,C_alpha*C_fck*(1-(1-($R27+$S27*'Geometry'!$G$45+$T27*'Geometry'!$F$45)/C_eco)^C_n),C_alpha*C_fck),0)))*'Geometry'!$H$45*'Geometry'!$F$45+((MAX(MIN(S_1_Es*($R27+$S27*'Geometry'!$G$46+$T27*'Geometry'!$F$46),S_1_fy),-S_1_fy))-(IF(($R27+$S27*'Geometry'!$G$46+$T27*'Geometry'!$F$46)&gt;0,IF(($R27+$S27*'Geometry'!$G$46+$T27*'Geometry'!$F$46)&lt;=C_eco,C_alpha*C_fck*(1-(1-($R27+$S27*'Geometry'!$G$46+$T27*'Geometry'!$F$46)/C_eco)^C_n),C_alpha*C_fck),0)))*'Geometry'!$H$46*'Geometry'!$F$46+((MAX(MIN(S_1_Es*($R27+$S27*'Geometry'!$G$47+$T27*'Geometry'!$F$47),S_1_fy),-S_1_fy))-(IF(($R27+$S27*'Geometry'!$G$47+$T27*'Geometry'!$F$47)&gt;0,IF(($R27+$S27*'Geometry'!$G$47+$T27*'Geometry'!$F$47)&lt;=C_eco,C_alpha*C_fck*(1-(1-($R27+$S27*'Geometry'!$G$47+$T27*'Geometry'!$F$47)/C_eco)^C_n),C_alpha*C_fck),0)))*'Geometry'!$H$47*'Geometry'!$F$47+((MAX(MIN(S_1_Es*($R27+$S27*'Geometry'!$G$48+$T27*'Geometry'!$F$48),S_1_fy),-S_1_fy))-(IF(($R27+$S27*'Geometry'!$G$48+$T27*'Geometry'!$F$48)&gt;0,IF(($R27+$S27*'Geometry'!$G$48+$T27*'Geometry'!$F$48)&lt;=C_eco,C_alpha*C_fck*(1-(1-($R27+$S27*'Geometry'!$G$48+$T27*'Geometry'!$F$48)/C_eco)^C_n),C_alpha*C_fck),0)))*'Geometry'!$H$48*'Geometry'!$F$48+((MAX(MIN(S_1_Es*($R27+$S27*'Geometry'!$G$49+$T27*'Geometry'!$F$49),S_1_fy),-S_1_fy))-(IF(($R27+$S27*'Geometry'!$G$49+$T27*'Geometry'!$F$49)&gt;0,IF(($R27+$S27*'Geometry'!$G$49+$T27*'Geometry'!$F$49)&lt;=C_eco,C_alpha*C_fck*(1-(1-($R27+$S27*'Geometry'!$G$49+$T27*'Geometry'!$F$49)/C_eco)^C_n),C_alpha*C_fck),0)))*'Geometry'!$H$49*'Geometry'!$F$49+((MAX(MIN(S_1_Es*($R27+$S27*'Geometry'!$G$50+$T27*'Geometry'!$F$50),S_1_fy),-S_1_fy))-(IF(($R27+$S27*'Geometry'!$G$50+$T27*'Geometry'!$F$50)&gt;0,IF(($R27+$S27*'Geometry'!$G$50+$T27*'Geometry'!$F$50)&lt;=C_eco,C_alpha*C_fck*(1-(1-($R27+$S27*'Geometry'!$G$50+$T27*'Geometry'!$F$50)/C_eco)^C_n),C_alpha*C_fck),0)))*'Geometry'!$H$50*'Geometry'!$F$50+((MAX(MIN(S_1_Es*($R27+$S27*'Geometry'!$G$51+$T27*'Geometry'!$F$51),S_1_fy),-S_1_fy))-(IF(($R27+$S27*'Geometry'!$G$51+$T27*'Geometry'!$F$51)&gt;0,IF(($R27+$S27*'Geometry'!$G$51+$T27*'Geometry'!$F$51)&lt;=C_eco,C_alpha*C_fck*(1-(1-($R27+$S27*'Geometry'!$G$51+$T27*'Geometry'!$F$51)/C_eco)^C_n),C_alpha*C_fck),0)))*'Geometry'!$H$51*'Geometry'!$F$51+((MAX(MIN(S_1_Es*($R27+$S27*'Geometry'!$G$52+$T27*'Geometry'!$F$52),S_1_fy),-S_1_fy))-(IF(($R27+$S27*'Geometry'!$G$52+$T27*'Geometry'!$F$52)&gt;0,IF(($R27+$S27*'Geometry'!$G$52+$T27*'Geometry'!$F$52)&lt;=C_eco,C_alpha*C_fck*(1-(1-($R27+$S27*'Geometry'!$G$52+$T27*'Geometry'!$F$52)/C_eco)^C_n),C_alpha*C_fck),0)))*'Geometry'!$H$52*'Geometry'!$F$52+((MAX(MIN(S_1_Es*($R27+$S27*'Geometry'!$G$53+$T27*'Geometry'!$F$53),S_1_fy),-S_1_fy))-(IF(($R27+$S27*'Geometry'!$G$53+$T27*'Geometry'!$F$53)&gt;0,IF(($R27+$S27*'Geometry'!$G$53+$T27*'Geometry'!$F$53)&lt;=C_eco,C_alpha*C_fck*(1-(1-($R27+$S27*'Geometry'!$G$53+$T27*'Geometry'!$F$53)/C_eco)^C_n),C_alpha*C_fck),0)))*'Geometry'!$H$53*'Geometry'!$F$53+((MAX(MIN(S_1_Es*($R27+$S27*'Geometry'!$G$54+$T27*'Geometry'!$F$54),S_1_fy),-S_1_fy))-(IF(($R27+$S27*'Geometry'!$G$54+$T27*'Geometry'!$F$54)&gt;0,IF(($R27+$S27*'Geometry'!$G$54+$T27*'Geometry'!$F$54)&lt;=C_eco,C_alpha*C_fck*(1-(1-($R27+$S27*'Geometry'!$G$54+$T27*'Geometry'!$F$54)/C_eco)^C_n),C_alpha*C_fck),0)))*'Geometry'!$H$54*'Geometry'!$F$54+((MAX(MIN(S_1_Es*($R27+$S27*'Geometry'!$G$55+$T27*'Geometry'!$F$55),S_1_fy),-S_1_fy))-(IF(($R27+$S27*'Geometry'!$G$55+$T27*'Geometry'!$F$55)&gt;0,IF(($R27+$S27*'Geometry'!$G$55+$T27*'Geometry'!$F$55)&lt;=C_eco,C_alpha*C_fck*(1-(1-($R27+$S27*'Geometry'!$G$55+$T27*'Geometry'!$F$55)/C_eco)^C_n),C_alpha*C_fck),0)))*'Geometry'!$H$55*'Geometry'!$F$55+((MAX(MIN(S_1_Es*($R27+$S27*'Geometry'!$G$56+$T27*'Geometry'!$F$56),S_1_fy),-S_1_fy))-(IF(($R27+$S27*'Geometry'!$G$56+$T27*'Geometry'!$F$56)&gt;0,IF(($R27+$S27*'Geometry'!$G$56+$T27*'Geometry'!$F$56)&lt;=C_eco,C_alpha*C_fck*(1-(1-($R27+$S27*'Geometry'!$G$56+$T27*'Geometry'!$F$56)/C_eco)^C_n),C_alpha*C_fck),0)))*'Geometry'!$H$56*'Geometry'!$F$56+((MAX(MIN(S_1_Es*($R27+$S27*'Geometry'!$G$57+$T27*'Geometry'!$F$57),S_1_fy),-S_1_fy))-(IF(($R27+$S27*'Geometry'!$G$57+$T27*'Geometry'!$F$57)&gt;0,IF(($R27+$S27*'Geometry'!$G$57+$T27*'Geometry'!$F$57)&lt;=C_eco,C_alpha*C_fck*(1-(1-($R27+$S27*'Geometry'!$G$57+$T27*'Geometry'!$F$57)/C_eco)^C_n),C_alpha*C_fck),0)))*'Geometry'!$H$57*'Geometry'!$F$57)/1000000</f>
        <v>439.13690995721316</v>
      </c>
      <c r="AA27" s="10">
        <f>U27+X27</f>
        <v>7768.334159561911</v>
      </c>
      <c r="AB27" s="10">
        <f>V27+Y27</f>
        <v>5897.926367830487</v>
      </c>
      <c r="AC27" s="10">
        <f>W27+Z27</f>
        <v>1272.725936902791</v>
      </c>
      <c r="AD27" s="7">
        <v>0.85</v>
      </c>
      <c r="AE27" s="7">
        <v>0.8500000000000001</v>
      </c>
      <c r="AF27" s="10">
        <f>AA27*AD27</f>
        <v>6603.084035627625</v>
      </c>
      <c r="AG27" s="10">
        <f>AB27*AE27</f>
        <v>5013.237412655914</v>
      </c>
      <c r="AH27" s="10">
        <f>AC27*AE27</f>
        <v>1081.8170463673723</v>
      </c>
      <c r="AI27" s="7">
        <v>6603.084035627625</v>
      </c>
      <c r="AJ27" s="7">
        <v>5013.237412655914</v>
      </c>
      <c r="AK27" s="7">
        <v>1081.8170463673723</v>
      </c>
      <c r="AL27" s="15">
        <f>AF27-AI27</f>
        <v>0</v>
      </c>
      <c r="AM27" s="15">
        <f>SQRT((AG27-AJ27)^2+(AH27-AK27)^2)</f>
        <v>0</v>
      </c>
      <c r="AN27" s="7" t="s">
        <v>189</v>
      </c>
      <c r="AO27" s="7">
        <v>7768.334159561911</v>
      </c>
      <c r="AP27" s="7">
        <v>5897.926367830487</v>
      </c>
      <c r="AQ27" s="7">
        <v>1272.725936902791</v>
      </c>
      <c r="AR27" s="7">
        <v>8983.227908577053</v>
      </c>
      <c r="AS27" s="7">
        <v>3973.6327771438055</v>
      </c>
      <c r="AT27" s="7">
        <v>833.5890269455778</v>
      </c>
      <c r="AU27" s="7">
        <v>-1214.893749015141</v>
      </c>
      <c r="AV27" s="7">
        <v>1924.2935906866815</v>
      </c>
      <c r="AW27" s="7">
        <v>439.13690995721316</v>
      </c>
    </row>
    <row r="28" spans="1:49" x14ac:dyDescent="0.25">
      <c r="A28" s="17">
        <v>21</v>
      </c>
      <c r="B28" s="17" t="s">
        <v>230</v>
      </c>
      <c r="C28" s="18">
        <f>$AF$28</f>
        <v>5483.522094166472</v>
      </c>
      <c r="D28" s="19">
        <f>$AG$28*COS(RADIANS($C$5))+$AH$28*SIN(RADIANS($C$5))</f>
        <v>4837.348314729219</v>
      </c>
      <c r="G28" s="7" t="s">
        <v>231</v>
      </c>
      <c r="H28" s="7" t="s">
        <v>230</v>
      </c>
      <c r="I28" s="12">
        <v>10</v>
      </c>
      <c r="J28" s="7" t="s">
        <v>205</v>
      </c>
      <c r="K28" s="12">
        <v>2.999999999999999</v>
      </c>
      <c r="L28" s="10">
        <f>MAX(('Geometry'!$G$13*COS(RADIANS(I28))+'Geometry'!$F$13*SIN(RADIANS(I28))),('Geometry'!$G$14*COS(RADIANS(I28))+'Geometry'!$F$14*SIN(RADIANS(I28))),('Geometry'!$G$15*COS(RADIANS(I28))+'Geometry'!$F$15*SIN(RADIANS(I28))),('Geometry'!$G$16*COS(RADIANS(I28))+'Geometry'!$F$16*SIN(RADIANS(I28))),('Geometry'!$G$17*COS(RADIANS(I28))+'Geometry'!$F$17*SIN(RADIANS(I28))),('Geometry'!$G$18*COS(RADIANS(I28))+'Geometry'!$F$18*SIN(RADIANS(I28))),('Geometry'!$G$19*COS(RADIANS(I28))+'Geometry'!$F$19*SIN(RADIANS(I28))),('Geometry'!$G$20*COS(RADIANS(I28))+'Geometry'!$F$20*SIN(RADIANS(I28))))</f>
        <v>686.3911495241364</v>
      </c>
      <c r="M28" s="10">
        <f>MIN(('Geometry'!$G$40*COS(RADIANS(I28))+'Geometry'!$F$40*SIN(RADIANS(I28))),('Geometry'!$G$41*COS(RADIANS(I28))+'Geometry'!$F$41*SIN(RADIANS(I28))),('Geometry'!$G$42*COS(RADIANS(I28))+'Geometry'!$F$42*SIN(RADIANS(I28))),('Geometry'!$G$43*COS(RADIANS(I28))+'Geometry'!$F$43*SIN(RADIANS(I28))),('Geometry'!$G$44*COS(RADIANS(I28))+'Geometry'!$F$44*SIN(RADIANS(I28))),('Geometry'!$G$45*COS(RADIANS(I28))+'Geometry'!$F$45*SIN(RADIANS(I28))),('Geometry'!$G$46*COS(RADIANS(I28))+'Geometry'!$F$46*SIN(RADIANS(I28))),('Geometry'!$G$47*COS(RADIANS(I28))+'Geometry'!$F$47*SIN(RADIANS(I28))),('Geometry'!$G$48*COS(RADIANS(I28))+'Geometry'!$F$48*SIN(RADIANS(I28))),('Geometry'!$G$49*COS(RADIANS(I28))+'Geometry'!$F$49*SIN(RADIANS(I28))),('Geometry'!$G$50*COS(RADIANS(I28))+'Geometry'!$F$50*SIN(RADIANS(I28))),('Geometry'!$G$51*COS(RADIANS(I28))+'Geometry'!$F$51*SIN(RADIANS(I28))),('Geometry'!$G$52*COS(RADIANS(I28))+'Geometry'!$F$52*SIN(RADIANS(I28))),('Geometry'!$G$53*COS(RADIANS(I28))+'Geometry'!$F$53*SIN(RADIANS(I28))),('Geometry'!$G$54*COS(RADIANS(I28))+'Geometry'!$F$54*SIN(RADIANS(I28))),('Geometry'!$G$55*COS(RADIANS(I28))+'Geometry'!$F$55*SIN(RADIANS(I28))),('Geometry'!$G$56*COS(RADIANS(I28))+'Geometry'!$F$56*SIN(RADIANS(I28))),('Geometry'!$G$57*COS(RADIANS(I28))+'Geometry'!$F$57*SIN(RADIANS(I28))))</f>
        <v>-591.4073801632424</v>
      </c>
      <c r="N28" s="10">
        <f>L28-MIN(('Geometry'!$G$13*COS(RADIANS(I28))+'Geometry'!$F$13*SIN(RADIANS(I28))),('Geometry'!$G$14*COS(RADIANS(I28))+'Geometry'!$F$14*SIN(RADIANS(I28))),('Geometry'!$G$15*COS(RADIANS(I28))+'Geometry'!$F$15*SIN(RADIANS(I28))),('Geometry'!$G$16*COS(RADIANS(I28))+'Geometry'!$F$16*SIN(RADIANS(I28))),('Geometry'!$G$17*COS(RADIANS(I28))+'Geometry'!$F$17*SIN(RADIANS(I28))),('Geometry'!$G$18*COS(RADIANS(I28))+'Geometry'!$F$18*SIN(RADIANS(I28))),('Geometry'!$G$19*COS(RADIANS(I28))+'Geometry'!$F$19*SIN(RADIANS(I28))),('Geometry'!$G$20*COS(RADIANS(I28))+'Geometry'!$F$20*SIN(RADIANS(I28))))</f>
        <v>1372.7822990482728</v>
      </c>
      <c r="O28" s="15">
        <f>C_ecu</f>
        <v>0.003299999999999999</v>
      </c>
      <c r="P28" s="15">
        <f>-K28*S_1_fy/S_1_Es</f>
        <v>-0.005999999999999998</v>
      </c>
      <c r="Q28" s="20">
        <f>IF(ABS(L28-M28)&lt;0.000000000001,0,(O28-P28)/(L28-M28))</f>
        <v>0.00000727814266798014</v>
      </c>
      <c r="R28" s="15">
        <f>O28-Q28*L28</f>
        <v>-0.0016956527122755534</v>
      </c>
      <c r="S28" s="20">
        <f>Q28*COS(RADIANS(I28))</f>
        <v>0.000007167571326955799</v>
      </c>
      <c r="T28" s="20">
        <f>Q28*SIN(RADIANS(I28))</f>
        <v>0.0000012638362110946818</v>
      </c>
      <c r="U28" s="10">
        <f>SUMPRODUCT(C_alpha*C_fck*(1-(1-((($R28+$S28*Mesh_Y+$T28*Mesh_X))*(($R28+$S28*Mesh_Y+$T28*Mesh_X)&gt;0)*(($R28+$S28*Mesh_Y+$T28*Mesh_X)&lt;C_eco)+C_eco*(($R28+$S28*Mesh_Y+$T28*Mesh_X)&gt;=C_eco))/C_eco)^C_n)*((($R28+$S28*Mesh_Y+$T28*Mesh_X))&gt;0),Mesh_A)/1000</f>
        <v>8043.237096934823</v>
      </c>
      <c r="V28" s="10">
        <f>SUMPRODUCT(C_alpha*C_fck*(1-(1-((($R28+$S28*Mesh_Y+$T28*Mesh_X))*(($R28+$S28*Mesh_Y+$T28*Mesh_X)&gt;0)*(($R28+$S28*Mesh_Y+$T28*Mesh_X)&lt;C_eco)+C_eco*(($R28+$S28*Mesh_Y+$T28*Mesh_X)&gt;=C_eco))/C_eco)^C_n)*((($R28+$S28*Mesh_Y+$T28*Mesh_X))&gt;0),Mesh_A,Mesh_Y)/1000000</f>
        <v>3680.7185420839146</v>
      </c>
      <c r="W28" s="10">
        <f>SUMPRODUCT(C_alpha*C_fck*(1-(1-((($R28+$S28*Mesh_Y+$T28*Mesh_X))*(($R28+$S28*Mesh_Y+$T28*Mesh_X)&gt;0)*(($R28+$S28*Mesh_Y+$T28*Mesh_X)&lt;C_eco)+C_eco*(($R28+$S28*Mesh_Y+$T28*Mesh_X)&gt;=C_eco))/C_eco)^C_n)*((($R28+$S28*Mesh_Y+$T28*Mesh_X))&gt;0),Mesh_A,Mesh_X)/1000000</f>
        <v>862.5715773245599</v>
      </c>
      <c r="X28" s="10">
        <f>(((MAX(MIN(S_1_Es*($R28+$S28*'Geometry'!$G$40+$T28*'Geometry'!$F$40),S_1_fy),-S_1_fy))-(IF(($R28+$S28*'Geometry'!$G$40+$T28*'Geometry'!$F$40)&gt;0,IF(($R28+$S28*'Geometry'!$G$40+$T28*'Geometry'!$F$40)&lt;=C_eco,C_alpha*C_fck*(1-(1-($R28+$S28*'Geometry'!$G$40+$T28*'Geometry'!$F$40)/C_eco)^C_n),C_alpha*C_fck),0)))*'Geometry'!$H$40+((MAX(MIN(S_1_Es*($R28+$S28*'Geometry'!$G$41+$T28*'Geometry'!$F$41),S_1_fy),-S_1_fy))-(IF(($R28+$S28*'Geometry'!$G$41+$T28*'Geometry'!$F$41)&gt;0,IF(($R28+$S28*'Geometry'!$G$41+$T28*'Geometry'!$F$41)&lt;=C_eco,C_alpha*C_fck*(1-(1-($R28+$S28*'Geometry'!$G$41+$T28*'Geometry'!$F$41)/C_eco)^C_n),C_alpha*C_fck),0)))*'Geometry'!$H$41+((MAX(MIN(S_1_Es*($R28+$S28*'Geometry'!$G$42+$T28*'Geometry'!$F$42),S_1_fy),-S_1_fy))-(IF(($R28+$S28*'Geometry'!$G$42+$T28*'Geometry'!$F$42)&gt;0,IF(($R28+$S28*'Geometry'!$G$42+$T28*'Geometry'!$F$42)&lt;=C_eco,C_alpha*C_fck*(1-(1-($R28+$S28*'Geometry'!$G$42+$T28*'Geometry'!$F$42)/C_eco)^C_n),C_alpha*C_fck),0)))*'Geometry'!$H$42+((MAX(MIN(S_1_Es*($R28+$S28*'Geometry'!$G$43+$T28*'Geometry'!$F$43),S_1_fy),-S_1_fy))-(IF(($R28+$S28*'Geometry'!$G$43+$T28*'Geometry'!$F$43)&gt;0,IF(($R28+$S28*'Geometry'!$G$43+$T28*'Geometry'!$F$43)&lt;=C_eco,C_alpha*C_fck*(1-(1-($R28+$S28*'Geometry'!$G$43+$T28*'Geometry'!$F$43)/C_eco)^C_n),C_alpha*C_fck),0)))*'Geometry'!$H$43+((MAX(MIN(S_1_Es*($R28+$S28*'Geometry'!$G$44+$T28*'Geometry'!$F$44),S_1_fy),-S_1_fy))-(IF(($R28+$S28*'Geometry'!$G$44+$T28*'Geometry'!$F$44)&gt;0,IF(($R28+$S28*'Geometry'!$G$44+$T28*'Geometry'!$F$44)&lt;=C_eco,C_alpha*C_fck*(1-(1-($R28+$S28*'Geometry'!$G$44+$T28*'Geometry'!$F$44)/C_eco)^C_n),C_alpha*C_fck),0)))*'Geometry'!$H$44+((MAX(MIN(S_1_Es*($R28+$S28*'Geometry'!$G$45+$T28*'Geometry'!$F$45),S_1_fy),-S_1_fy))-(IF(($R28+$S28*'Geometry'!$G$45+$T28*'Geometry'!$F$45)&gt;0,IF(($R28+$S28*'Geometry'!$G$45+$T28*'Geometry'!$F$45)&lt;=C_eco,C_alpha*C_fck*(1-(1-($R28+$S28*'Geometry'!$G$45+$T28*'Geometry'!$F$45)/C_eco)^C_n),C_alpha*C_fck),0)))*'Geometry'!$H$45+((MAX(MIN(S_1_Es*($R28+$S28*'Geometry'!$G$46+$T28*'Geometry'!$F$46),S_1_fy),-S_1_fy))-(IF(($R28+$S28*'Geometry'!$G$46+$T28*'Geometry'!$F$46)&gt;0,IF(($R28+$S28*'Geometry'!$G$46+$T28*'Geometry'!$F$46)&lt;=C_eco,C_alpha*C_fck*(1-(1-($R28+$S28*'Geometry'!$G$46+$T28*'Geometry'!$F$46)/C_eco)^C_n),C_alpha*C_fck),0)))*'Geometry'!$H$46+((MAX(MIN(S_1_Es*($R28+$S28*'Geometry'!$G$47+$T28*'Geometry'!$F$47),S_1_fy),-S_1_fy))-(IF(($R28+$S28*'Geometry'!$G$47+$T28*'Geometry'!$F$47)&gt;0,IF(($R28+$S28*'Geometry'!$G$47+$T28*'Geometry'!$F$47)&lt;=C_eco,C_alpha*C_fck*(1-(1-($R28+$S28*'Geometry'!$G$47+$T28*'Geometry'!$F$47)/C_eco)^C_n),C_alpha*C_fck),0)))*'Geometry'!$H$47+((MAX(MIN(S_1_Es*($R28+$S28*'Geometry'!$G$48+$T28*'Geometry'!$F$48),S_1_fy),-S_1_fy))-(IF(($R28+$S28*'Geometry'!$G$48+$T28*'Geometry'!$F$48)&gt;0,IF(($R28+$S28*'Geometry'!$G$48+$T28*'Geometry'!$F$48)&lt;=C_eco,C_alpha*C_fck*(1-(1-($R28+$S28*'Geometry'!$G$48+$T28*'Geometry'!$F$48)/C_eco)^C_n),C_alpha*C_fck),0)))*'Geometry'!$H$48+((MAX(MIN(S_1_Es*($R28+$S28*'Geometry'!$G$49+$T28*'Geometry'!$F$49),S_1_fy),-S_1_fy))-(IF(($R28+$S28*'Geometry'!$G$49+$T28*'Geometry'!$F$49)&gt;0,IF(($R28+$S28*'Geometry'!$G$49+$T28*'Geometry'!$F$49)&lt;=C_eco,C_alpha*C_fck*(1-(1-($R28+$S28*'Geometry'!$G$49+$T28*'Geometry'!$F$49)/C_eco)^C_n),C_alpha*C_fck),0)))*'Geometry'!$H$49+((MAX(MIN(S_1_Es*($R28+$S28*'Geometry'!$G$50+$T28*'Geometry'!$F$50),S_1_fy),-S_1_fy))-(IF(($R28+$S28*'Geometry'!$G$50+$T28*'Geometry'!$F$50)&gt;0,IF(($R28+$S28*'Geometry'!$G$50+$T28*'Geometry'!$F$50)&lt;=C_eco,C_alpha*C_fck*(1-(1-($R28+$S28*'Geometry'!$G$50+$T28*'Geometry'!$F$50)/C_eco)^C_n),C_alpha*C_fck),0)))*'Geometry'!$H$50+((MAX(MIN(S_1_Es*($R28+$S28*'Geometry'!$G$51+$T28*'Geometry'!$F$51),S_1_fy),-S_1_fy))-(IF(($R28+$S28*'Geometry'!$G$51+$T28*'Geometry'!$F$51)&gt;0,IF(($R28+$S28*'Geometry'!$G$51+$T28*'Geometry'!$F$51)&lt;=C_eco,C_alpha*C_fck*(1-(1-($R28+$S28*'Geometry'!$G$51+$T28*'Geometry'!$F$51)/C_eco)^C_n),C_alpha*C_fck),0)))*'Geometry'!$H$51+((MAX(MIN(S_1_Es*($R28+$S28*'Geometry'!$G$52+$T28*'Geometry'!$F$52),S_1_fy),-S_1_fy))-(IF(($R28+$S28*'Geometry'!$G$52+$T28*'Geometry'!$F$52)&gt;0,IF(($R28+$S28*'Geometry'!$G$52+$T28*'Geometry'!$F$52)&lt;=C_eco,C_alpha*C_fck*(1-(1-($R28+$S28*'Geometry'!$G$52+$T28*'Geometry'!$F$52)/C_eco)^C_n),C_alpha*C_fck),0)))*'Geometry'!$H$52+((MAX(MIN(S_1_Es*($R28+$S28*'Geometry'!$G$53+$T28*'Geometry'!$F$53),S_1_fy),-S_1_fy))-(IF(($R28+$S28*'Geometry'!$G$53+$T28*'Geometry'!$F$53)&gt;0,IF(($R28+$S28*'Geometry'!$G$53+$T28*'Geometry'!$F$53)&lt;=C_eco,C_alpha*C_fck*(1-(1-($R28+$S28*'Geometry'!$G$53+$T28*'Geometry'!$F$53)/C_eco)^C_n),C_alpha*C_fck),0)))*'Geometry'!$H$53+((MAX(MIN(S_1_Es*($R28+$S28*'Geometry'!$G$54+$T28*'Geometry'!$F$54),S_1_fy),-S_1_fy))-(IF(($R28+$S28*'Geometry'!$G$54+$T28*'Geometry'!$F$54)&gt;0,IF(($R28+$S28*'Geometry'!$G$54+$T28*'Geometry'!$F$54)&lt;=C_eco,C_alpha*C_fck*(1-(1-($R28+$S28*'Geometry'!$G$54+$T28*'Geometry'!$F$54)/C_eco)^C_n),C_alpha*C_fck),0)))*'Geometry'!$H$54+((MAX(MIN(S_1_Es*($R28+$S28*'Geometry'!$G$55+$T28*'Geometry'!$F$55),S_1_fy),-S_1_fy))-(IF(($R28+$S28*'Geometry'!$G$55+$T28*'Geometry'!$F$55)&gt;0,IF(($R28+$S28*'Geometry'!$G$55+$T28*'Geometry'!$F$55)&lt;=C_eco,C_alpha*C_fck*(1-(1-($R28+$S28*'Geometry'!$G$55+$T28*'Geometry'!$F$55)/C_eco)^C_n),C_alpha*C_fck),0)))*'Geometry'!$H$55+((MAX(MIN(S_1_Es*($R28+$S28*'Geometry'!$G$56+$T28*'Geometry'!$F$56),S_1_fy),-S_1_fy))-(IF(($R28+$S28*'Geometry'!$G$56+$T28*'Geometry'!$F$56)&gt;0,IF(($R28+$S28*'Geometry'!$G$56+$T28*'Geometry'!$F$56)&lt;=C_eco,C_alpha*C_fck*(1-(1-($R28+$S28*'Geometry'!$G$56+$T28*'Geometry'!$F$56)/C_eco)^C_n),C_alpha*C_fck),0)))*'Geometry'!$H$56+((MAX(MIN(S_1_Es*($R28+$S28*'Geometry'!$G$57+$T28*'Geometry'!$F$57),S_1_fy),-S_1_fy))-(IF(($R28+$S28*'Geometry'!$G$57+$T28*'Geometry'!$F$57)&gt;0,IF(($R28+$S28*'Geometry'!$G$57+$T28*'Geometry'!$F$57)&lt;=C_eco,C_alpha*C_fck*(1-(1-($R28+$S28*'Geometry'!$G$57+$T28*'Geometry'!$F$57)/C_eco)^C_n),C_alpha*C_fck),0)))*'Geometry'!$H$57)/1000</f>
        <v>-1592.0346332095628</v>
      </c>
      <c r="Y28" s="10">
        <f>(((MAX(MIN(S_1_Es*($R28+$S28*'Geometry'!$G$40+$T28*'Geometry'!$F$40),S_1_fy),-S_1_fy))-(IF(($R28+$S28*'Geometry'!$G$40+$T28*'Geometry'!$F$40)&gt;0,IF(($R28+$S28*'Geometry'!$G$40+$T28*'Geometry'!$F$40)&lt;=C_eco,C_alpha*C_fck*(1-(1-($R28+$S28*'Geometry'!$G$40+$T28*'Geometry'!$F$40)/C_eco)^C_n),C_alpha*C_fck),0)))*'Geometry'!$H$40*'Geometry'!$G$40+((MAX(MIN(S_1_Es*($R28+$S28*'Geometry'!$G$41+$T28*'Geometry'!$F$41),S_1_fy),-S_1_fy))-(IF(($R28+$S28*'Geometry'!$G$41+$T28*'Geometry'!$F$41)&gt;0,IF(($R28+$S28*'Geometry'!$G$41+$T28*'Geometry'!$F$41)&lt;=C_eco,C_alpha*C_fck*(1-(1-($R28+$S28*'Geometry'!$G$41+$T28*'Geometry'!$F$41)/C_eco)^C_n),C_alpha*C_fck),0)))*'Geometry'!$H$41*'Geometry'!$G$41+((MAX(MIN(S_1_Es*($R28+$S28*'Geometry'!$G$42+$T28*'Geometry'!$F$42),S_1_fy),-S_1_fy))-(IF(($R28+$S28*'Geometry'!$G$42+$T28*'Geometry'!$F$42)&gt;0,IF(($R28+$S28*'Geometry'!$G$42+$T28*'Geometry'!$F$42)&lt;=C_eco,C_alpha*C_fck*(1-(1-($R28+$S28*'Geometry'!$G$42+$T28*'Geometry'!$F$42)/C_eco)^C_n),C_alpha*C_fck),0)))*'Geometry'!$H$42*'Geometry'!$G$42+((MAX(MIN(S_1_Es*($R28+$S28*'Geometry'!$G$43+$T28*'Geometry'!$F$43),S_1_fy),-S_1_fy))-(IF(($R28+$S28*'Geometry'!$G$43+$T28*'Geometry'!$F$43)&gt;0,IF(($R28+$S28*'Geometry'!$G$43+$T28*'Geometry'!$F$43)&lt;=C_eco,C_alpha*C_fck*(1-(1-($R28+$S28*'Geometry'!$G$43+$T28*'Geometry'!$F$43)/C_eco)^C_n),C_alpha*C_fck),0)))*'Geometry'!$H$43*'Geometry'!$G$43+((MAX(MIN(S_1_Es*($R28+$S28*'Geometry'!$G$44+$T28*'Geometry'!$F$44),S_1_fy),-S_1_fy))-(IF(($R28+$S28*'Geometry'!$G$44+$T28*'Geometry'!$F$44)&gt;0,IF(($R28+$S28*'Geometry'!$G$44+$T28*'Geometry'!$F$44)&lt;=C_eco,C_alpha*C_fck*(1-(1-($R28+$S28*'Geometry'!$G$44+$T28*'Geometry'!$F$44)/C_eco)^C_n),C_alpha*C_fck),0)))*'Geometry'!$H$44*'Geometry'!$G$44+((MAX(MIN(S_1_Es*($R28+$S28*'Geometry'!$G$45+$T28*'Geometry'!$F$45),S_1_fy),-S_1_fy))-(IF(($R28+$S28*'Geometry'!$G$45+$T28*'Geometry'!$F$45)&gt;0,IF(($R28+$S28*'Geometry'!$G$45+$T28*'Geometry'!$F$45)&lt;=C_eco,C_alpha*C_fck*(1-(1-($R28+$S28*'Geometry'!$G$45+$T28*'Geometry'!$F$45)/C_eco)^C_n),C_alpha*C_fck),0)))*'Geometry'!$H$45*'Geometry'!$G$45+((MAX(MIN(S_1_Es*($R28+$S28*'Geometry'!$G$46+$T28*'Geometry'!$F$46),S_1_fy),-S_1_fy))-(IF(($R28+$S28*'Geometry'!$G$46+$T28*'Geometry'!$F$46)&gt;0,IF(($R28+$S28*'Geometry'!$G$46+$T28*'Geometry'!$F$46)&lt;=C_eco,C_alpha*C_fck*(1-(1-($R28+$S28*'Geometry'!$G$46+$T28*'Geometry'!$F$46)/C_eco)^C_n),C_alpha*C_fck),0)))*'Geometry'!$H$46*'Geometry'!$G$46+((MAX(MIN(S_1_Es*($R28+$S28*'Geometry'!$G$47+$T28*'Geometry'!$F$47),S_1_fy),-S_1_fy))-(IF(($R28+$S28*'Geometry'!$G$47+$T28*'Geometry'!$F$47)&gt;0,IF(($R28+$S28*'Geometry'!$G$47+$T28*'Geometry'!$F$47)&lt;=C_eco,C_alpha*C_fck*(1-(1-($R28+$S28*'Geometry'!$G$47+$T28*'Geometry'!$F$47)/C_eco)^C_n),C_alpha*C_fck),0)))*'Geometry'!$H$47*'Geometry'!$G$47+((MAX(MIN(S_1_Es*($R28+$S28*'Geometry'!$G$48+$T28*'Geometry'!$F$48),S_1_fy),-S_1_fy))-(IF(($R28+$S28*'Geometry'!$G$48+$T28*'Geometry'!$F$48)&gt;0,IF(($R28+$S28*'Geometry'!$G$48+$T28*'Geometry'!$F$48)&lt;=C_eco,C_alpha*C_fck*(1-(1-($R28+$S28*'Geometry'!$G$48+$T28*'Geometry'!$F$48)/C_eco)^C_n),C_alpha*C_fck),0)))*'Geometry'!$H$48*'Geometry'!$G$48+((MAX(MIN(S_1_Es*($R28+$S28*'Geometry'!$G$49+$T28*'Geometry'!$F$49),S_1_fy),-S_1_fy))-(IF(($R28+$S28*'Geometry'!$G$49+$T28*'Geometry'!$F$49)&gt;0,IF(($R28+$S28*'Geometry'!$G$49+$T28*'Geometry'!$F$49)&lt;=C_eco,C_alpha*C_fck*(1-(1-($R28+$S28*'Geometry'!$G$49+$T28*'Geometry'!$F$49)/C_eco)^C_n),C_alpha*C_fck),0)))*'Geometry'!$H$49*'Geometry'!$G$49+((MAX(MIN(S_1_Es*($R28+$S28*'Geometry'!$G$50+$T28*'Geometry'!$F$50),S_1_fy),-S_1_fy))-(IF(($R28+$S28*'Geometry'!$G$50+$T28*'Geometry'!$F$50)&gt;0,IF(($R28+$S28*'Geometry'!$G$50+$T28*'Geometry'!$F$50)&lt;=C_eco,C_alpha*C_fck*(1-(1-($R28+$S28*'Geometry'!$G$50+$T28*'Geometry'!$F$50)/C_eco)^C_n),C_alpha*C_fck),0)))*'Geometry'!$H$50*'Geometry'!$G$50+((MAX(MIN(S_1_Es*($R28+$S28*'Geometry'!$G$51+$T28*'Geometry'!$F$51),S_1_fy),-S_1_fy))-(IF(($R28+$S28*'Geometry'!$G$51+$T28*'Geometry'!$F$51)&gt;0,IF(($R28+$S28*'Geometry'!$G$51+$T28*'Geometry'!$F$51)&lt;=C_eco,C_alpha*C_fck*(1-(1-($R28+$S28*'Geometry'!$G$51+$T28*'Geometry'!$F$51)/C_eco)^C_n),C_alpha*C_fck),0)))*'Geometry'!$H$51*'Geometry'!$G$51+((MAX(MIN(S_1_Es*($R28+$S28*'Geometry'!$G$52+$T28*'Geometry'!$F$52),S_1_fy),-S_1_fy))-(IF(($R28+$S28*'Geometry'!$G$52+$T28*'Geometry'!$F$52)&gt;0,IF(($R28+$S28*'Geometry'!$G$52+$T28*'Geometry'!$F$52)&lt;=C_eco,C_alpha*C_fck*(1-(1-($R28+$S28*'Geometry'!$G$52+$T28*'Geometry'!$F$52)/C_eco)^C_n),C_alpha*C_fck),0)))*'Geometry'!$H$52*'Geometry'!$G$52+((MAX(MIN(S_1_Es*($R28+$S28*'Geometry'!$G$53+$T28*'Geometry'!$F$53),S_1_fy),-S_1_fy))-(IF(($R28+$S28*'Geometry'!$G$53+$T28*'Geometry'!$F$53)&gt;0,IF(($R28+$S28*'Geometry'!$G$53+$T28*'Geometry'!$F$53)&lt;=C_eco,C_alpha*C_fck*(1-(1-($R28+$S28*'Geometry'!$G$53+$T28*'Geometry'!$F$53)/C_eco)^C_n),C_alpha*C_fck),0)))*'Geometry'!$H$53*'Geometry'!$G$53+((MAX(MIN(S_1_Es*($R28+$S28*'Geometry'!$G$54+$T28*'Geometry'!$F$54),S_1_fy),-S_1_fy))-(IF(($R28+$S28*'Geometry'!$G$54+$T28*'Geometry'!$F$54)&gt;0,IF(($R28+$S28*'Geometry'!$G$54+$T28*'Geometry'!$F$54)&lt;=C_eco,C_alpha*C_fck*(1-(1-($R28+$S28*'Geometry'!$G$54+$T28*'Geometry'!$F$54)/C_eco)^C_n),C_alpha*C_fck),0)))*'Geometry'!$H$54*'Geometry'!$G$54+((MAX(MIN(S_1_Es*($R28+$S28*'Geometry'!$G$55+$T28*'Geometry'!$F$55),S_1_fy),-S_1_fy))-(IF(($R28+$S28*'Geometry'!$G$55+$T28*'Geometry'!$F$55)&gt;0,IF(($R28+$S28*'Geometry'!$G$55+$T28*'Geometry'!$F$55)&lt;=C_eco,C_alpha*C_fck*(1-(1-($R28+$S28*'Geometry'!$G$55+$T28*'Geometry'!$F$55)/C_eco)^C_n),C_alpha*C_fck),0)))*'Geometry'!$H$55*'Geometry'!$G$55+((MAX(MIN(S_1_Es*($R28+$S28*'Geometry'!$G$56+$T28*'Geometry'!$F$56),S_1_fy),-S_1_fy))-(IF(($R28+$S28*'Geometry'!$G$56+$T28*'Geometry'!$F$56)&gt;0,IF(($R28+$S28*'Geometry'!$G$56+$T28*'Geometry'!$F$56)&lt;=C_eco,C_alpha*C_fck*(1-(1-($R28+$S28*'Geometry'!$G$56+$T28*'Geometry'!$F$56)/C_eco)^C_n),C_alpha*C_fck),0)))*'Geometry'!$H$56*'Geometry'!$G$56+((MAX(MIN(S_1_Es*($R28+$S28*'Geometry'!$G$57+$T28*'Geometry'!$F$57),S_1_fy),-S_1_fy))-(IF(($R28+$S28*'Geometry'!$G$57+$T28*'Geometry'!$F$57)&gt;0,IF(($R28+$S28*'Geometry'!$G$57+$T28*'Geometry'!$F$57)&lt;=C_eco,C_alpha*C_fck*(1-(1-($R28+$S28*'Geometry'!$G$57+$T28*'Geometry'!$F$57)/C_eco)^C_n),C_alpha*C_fck),0)))*'Geometry'!$H$57*'Geometry'!$G$57)/1000000</f>
        <v>1861.2270708478575</v>
      </c>
      <c r="Z28" s="10">
        <f>(((MAX(MIN(S_1_Es*($R28+$S28*'Geometry'!$G$40+$T28*'Geometry'!$F$40),S_1_fy),-S_1_fy))-(IF(($R28+$S28*'Geometry'!$G$40+$T28*'Geometry'!$F$40)&gt;0,IF(($R28+$S28*'Geometry'!$G$40+$T28*'Geometry'!$F$40)&lt;=C_eco,C_alpha*C_fck*(1-(1-($R28+$S28*'Geometry'!$G$40+$T28*'Geometry'!$F$40)/C_eco)^C_n),C_alpha*C_fck),0)))*'Geometry'!$H$40*'Geometry'!$F$40+((MAX(MIN(S_1_Es*($R28+$S28*'Geometry'!$G$41+$T28*'Geometry'!$F$41),S_1_fy),-S_1_fy))-(IF(($R28+$S28*'Geometry'!$G$41+$T28*'Geometry'!$F$41)&gt;0,IF(($R28+$S28*'Geometry'!$G$41+$T28*'Geometry'!$F$41)&lt;=C_eco,C_alpha*C_fck*(1-(1-($R28+$S28*'Geometry'!$G$41+$T28*'Geometry'!$F$41)/C_eco)^C_n),C_alpha*C_fck),0)))*'Geometry'!$H$41*'Geometry'!$F$41+((MAX(MIN(S_1_Es*($R28+$S28*'Geometry'!$G$42+$T28*'Geometry'!$F$42),S_1_fy),-S_1_fy))-(IF(($R28+$S28*'Geometry'!$G$42+$T28*'Geometry'!$F$42)&gt;0,IF(($R28+$S28*'Geometry'!$G$42+$T28*'Geometry'!$F$42)&lt;=C_eco,C_alpha*C_fck*(1-(1-($R28+$S28*'Geometry'!$G$42+$T28*'Geometry'!$F$42)/C_eco)^C_n),C_alpha*C_fck),0)))*'Geometry'!$H$42*'Geometry'!$F$42+((MAX(MIN(S_1_Es*($R28+$S28*'Geometry'!$G$43+$T28*'Geometry'!$F$43),S_1_fy),-S_1_fy))-(IF(($R28+$S28*'Geometry'!$G$43+$T28*'Geometry'!$F$43)&gt;0,IF(($R28+$S28*'Geometry'!$G$43+$T28*'Geometry'!$F$43)&lt;=C_eco,C_alpha*C_fck*(1-(1-($R28+$S28*'Geometry'!$G$43+$T28*'Geometry'!$F$43)/C_eco)^C_n),C_alpha*C_fck),0)))*'Geometry'!$H$43*'Geometry'!$F$43+((MAX(MIN(S_1_Es*($R28+$S28*'Geometry'!$G$44+$T28*'Geometry'!$F$44),S_1_fy),-S_1_fy))-(IF(($R28+$S28*'Geometry'!$G$44+$T28*'Geometry'!$F$44)&gt;0,IF(($R28+$S28*'Geometry'!$G$44+$T28*'Geometry'!$F$44)&lt;=C_eco,C_alpha*C_fck*(1-(1-($R28+$S28*'Geometry'!$G$44+$T28*'Geometry'!$F$44)/C_eco)^C_n),C_alpha*C_fck),0)))*'Geometry'!$H$44*'Geometry'!$F$44+((MAX(MIN(S_1_Es*($R28+$S28*'Geometry'!$G$45+$T28*'Geometry'!$F$45),S_1_fy),-S_1_fy))-(IF(($R28+$S28*'Geometry'!$G$45+$T28*'Geometry'!$F$45)&gt;0,IF(($R28+$S28*'Geometry'!$G$45+$T28*'Geometry'!$F$45)&lt;=C_eco,C_alpha*C_fck*(1-(1-($R28+$S28*'Geometry'!$G$45+$T28*'Geometry'!$F$45)/C_eco)^C_n),C_alpha*C_fck),0)))*'Geometry'!$H$45*'Geometry'!$F$45+((MAX(MIN(S_1_Es*($R28+$S28*'Geometry'!$G$46+$T28*'Geometry'!$F$46),S_1_fy),-S_1_fy))-(IF(($R28+$S28*'Geometry'!$G$46+$T28*'Geometry'!$F$46)&gt;0,IF(($R28+$S28*'Geometry'!$G$46+$T28*'Geometry'!$F$46)&lt;=C_eco,C_alpha*C_fck*(1-(1-($R28+$S28*'Geometry'!$G$46+$T28*'Geometry'!$F$46)/C_eco)^C_n),C_alpha*C_fck),0)))*'Geometry'!$H$46*'Geometry'!$F$46+((MAX(MIN(S_1_Es*($R28+$S28*'Geometry'!$G$47+$T28*'Geometry'!$F$47),S_1_fy),-S_1_fy))-(IF(($R28+$S28*'Geometry'!$G$47+$T28*'Geometry'!$F$47)&gt;0,IF(($R28+$S28*'Geometry'!$G$47+$T28*'Geometry'!$F$47)&lt;=C_eco,C_alpha*C_fck*(1-(1-($R28+$S28*'Geometry'!$G$47+$T28*'Geometry'!$F$47)/C_eco)^C_n),C_alpha*C_fck),0)))*'Geometry'!$H$47*'Geometry'!$F$47+((MAX(MIN(S_1_Es*($R28+$S28*'Geometry'!$G$48+$T28*'Geometry'!$F$48),S_1_fy),-S_1_fy))-(IF(($R28+$S28*'Geometry'!$G$48+$T28*'Geometry'!$F$48)&gt;0,IF(($R28+$S28*'Geometry'!$G$48+$T28*'Geometry'!$F$48)&lt;=C_eco,C_alpha*C_fck*(1-(1-($R28+$S28*'Geometry'!$G$48+$T28*'Geometry'!$F$48)/C_eco)^C_n),C_alpha*C_fck),0)))*'Geometry'!$H$48*'Geometry'!$F$48+((MAX(MIN(S_1_Es*($R28+$S28*'Geometry'!$G$49+$T28*'Geometry'!$F$49),S_1_fy),-S_1_fy))-(IF(($R28+$S28*'Geometry'!$G$49+$T28*'Geometry'!$F$49)&gt;0,IF(($R28+$S28*'Geometry'!$G$49+$T28*'Geometry'!$F$49)&lt;=C_eco,C_alpha*C_fck*(1-(1-($R28+$S28*'Geometry'!$G$49+$T28*'Geometry'!$F$49)/C_eco)^C_n),C_alpha*C_fck),0)))*'Geometry'!$H$49*'Geometry'!$F$49+((MAX(MIN(S_1_Es*($R28+$S28*'Geometry'!$G$50+$T28*'Geometry'!$F$50),S_1_fy),-S_1_fy))-(IF(($R28+$S28*'Geometry'!$G$50+$T28*'Geometry'!$F$50)&gt;0,IF(($R28+$S28*'Geometry'!$G$50+$T28*'Geometry'!$F$50)&lt;=C_eco,C_alpha*C_fck*(1-(1-($R28+$S28*'Geometry'!$G$50+$T28*'Geometry'!$F$50)/C_eco)^C_n),C_alpha*C_fck),0)))*'Geometry'!$H$50*'Geometry'!$F$50+((MAX(MIN(S_1_Es*($R28+$S28*'Geometry'!$G$51+$T28*'Geometry'!$F$51),S_1_fy),-S_1_fy))-(IF(($R28+$S28*'Geometry'!$G$51+$T28*'Geometry'!$F$51)&gt;0,IF(($R28+$S28*'Geometry'!$G$51+$T28*'Geometry'!$F$51)&lt;=C_eco,C_alpha*C_fck*(1-(1-($R28+$S28*'Geometry'!$G$51+$T28*'Geometry'!$F$51)/C_eco)^C_n),C_alpha*C_fck),0)))*'Geometry'!$H$51*'Geometry'!$F$51+((MAX(MIN(S_1_Es*($R28+$S28*'Geometry'!$G$52+$T28*'Geometry'!$F$52),S_1_fy),-S_1_fy))-(IF(($R28+$S28*'Geometry'!$G$52+$T28*'Geometry'!$F$52)&gt;0,IF(($R28+$S28*'Geometry'!$G$52+$T28*'Geometry'!$F$52)&lt;=C_eco,C_alpha*C_fck*(1-(1-($R28+$S28*'Geometry'!$G$52+$T28*'Geometry'!$F$52)/C_eco)^C_n),C_alpha*C_fck),0)))*'Geometry'!$H$52*'Geometry'!$F$52+((MAX(MIN(S_1_Es*($R28+$S28*'Geometry'!$G$53+$T28*'Geometry'!$F$53),S_1_fy),-S_1_fy))-(IF(($R28+$S28*'Geometry'!$G$53+$T28*'Geometry'!$F$53)&gt;0,IF(($R28+$S28*'Geometry'!$G$53+$T28*'Geometry'!$F$53)&lt;=C_eco,C_alpha*C_fck*(1-(1-($R28+$S28*'Geometry'!$G$53+$T28*'Geometry'!$F$53)/C_eco)^C_n),C_alpha*C_fck),0)))*'Geometry'!$H$53*'Geometry'!$F$53+((MAX(MIN(S_1_Es*($R28+$S28*'Geometry'!$G$54+$T28*'Geometry'!$F$54),S_1_fy),-S_1_fy))-(IF(($R28+$S28*'Geometry'!$G$54+$T28*'Geometry'!$F$54)&gt;0,IF(($R28+$S28*'Geometry'!$G$54+$T28*'Geometry'!$F$54)&lt;=C_eco,C_alpha*C_fck*(1-(1-($R28+$S28*'Geometry'!$G$54+$T28*'Geometry'!$F$54)/C_eco)^C_n),C_alpha*C_fck),0)))*'Geometry'!$H$54*'Geometry'!$F$54+((MAX(MIN(S_1_Es*($R28+$S28*'Geometry'!$G$55+$T28*'Geometry'!$F$55),S_1_fy),-S_1_fy))-(IF(($R28+$S28*'Geometry'!$G$55+$T28*'Geometry'!$F$55)&gt;0,IF(($R28+$S28*'Geometry'!$G$55+$T28*'Geometry'!$F$55)&lt;=C_eco,C_alpha*C_fck*(1-(1-($R28+$S28*'Geometry'!$G$55+$T28*'Geometry'!$F$55)/C_eco)^C_n),C_alpha*C_fck),0)))*'Geometry'!$H$55*'Geometry'!$F$55+((MAX(MIN(S_1_Es*($R28+$S28*'Geometry'!$G$56+$T28*'Geometry'!$F$56),S_1_fy),-S_1_fy))-(IF(($R28+$S28*'Geometry'!$G$56+$T28*'Geometry'!$F$56)&gt;0,IF(($R28+$S28*'Geometry'!$G$56+$T28*'Geometry'!$F$56)&lt;=C_eco,C_alpha*C_fck*(1-(1-($R28+$S28*'Geometry'!$G$56+$T28*'Geometry'!$F$56)/C_eco)^C_n),C_alpha*C_fck),0)))*'Geometry'!$H$56*'Geometry'!$F$56+((MAX(MIN(S_1_Es*($R28+$S28*'Geometry'!$G$57+$T28*'Geometry'!$F$57),S_1_fy),-S_1_fy))-(IF(($R28+$S28*'Geometry'!$G$57+$T28*'Geometry'!$F$57)&gt;0,IF(($R28+$S28*'Geometry'!$G$57+$T28*'Geometry'!$F$57)&lt;=C_eco,C_alpha*C_fck*(1-(1-($R28+$S28*'Geometry'!$G$57+$T28*'Geometry'!$F$57)/C_eco)^C_n),C_alpha*C_fck),0)))*'Geometry'!$H$57*'Geometry'!$F$57)/1000000</f>
        <v>442.93367162052033</v>
      </c>
      <c r="AA28" s="10">
        <f>U28+X28</f>
        <v>6451.202463725261</v>
      </c>
      <c r="AB28" s="10">
        <f>V28+Y28</f>
        <v>5541.945612931772</v>
      </c>
      <c r="AC28" s="10">
        <f>W28+Z28</f>
        <v>1305.5052489450802</v>
      </c>
      <c r="AD28" s="7">
        <v>0.8500000000000001</v>
      </c>
      <c r="AE28" s="7">
        <v>0.85</v>
      </c>
      <c r="AF28" s="10">
        <f>AA28*AD28</f>
        <v>5483.522094166472</v>
      </c>
      <c r="AG28" s="10">
        <f>AB28*AE28</f>
        <v>4710.653770992007</v>
      </c>
      <c r="AH28" s="10">
        <f>AC28*AE28</f>
        <v>1109.6794616033183</v>
      </c>
      <c r="AI28" s="7">
        <v>5483.522094166472</v>
      </c>
      <c r="AJ28" s="7">
        <v>4710.653770992007</v>
      </c>
      <c r="AK28" s="7">
        <v>1109.6794616033183</v>
      </c>
      <c r="AL28" s="15">
        <f>AF28-AI28</f>
        <v>0</v>
      </c>
      <c r="AM28" s="15">
        <f>SQRT((AG28-AJ28)^2+(AH28-AK28)^2)</f>
        <v>0</v>
      </c>
      <c r="AN28" s="7" t="s">
        <v>189</v>
      </c>
      <c r="AO28" s="7">
        <v>6451.202463725261</v>
      </c>
      <c r="AP28" s="7">
        <v>5541.945612931772</v>
      </c>
      <c r="AQ28" s="7">
        <v>1305.5052489450802</v>
      </c>
      <c r="AR28" s="7">
        <v>8043.237096934823</v>
      </c>
      <c r="AS28" s="7">
        <v>3680.7185420839146</v>
      </c>
      <c r="AT28" s="7">
        <v>862.5715773245599</v>
      </c>
      <c r="AU28" s="7">
        <v>-1592.0346332095628</v>
      </c>
      <c r="AV28" s="7">
        <v>1861.2270708478575</v>
      </c>
      <c r="AW28" s="7">
        <v>442.93367162052033</v>
      </c>
    </row>
    <row r="29" spans="1:49" x14ac:dyDescent="0.25">
      <c r="A29">
        <v>22</v>
      </c>
      <c r="B29" t="s">
        <v>232</v>
      </c>
      <c r="C29" s="21">
        <f>$AF$29</f>
        <v>3687.7551912135177</v>
      </c>
      <c r="D29" s="22">
        <f>$AG$29*COS(RADIANS($C$5))+$AH$29*SIN(RADIANS($C$5))</f>
        <v>4258.919257659979</v>
      </c>
      <c r="G29" s="7" t="s">
        <v>233</v>
      </c>
      <c r="H29" s="7" t="s">
        <v>232</v>
      </c>
      <c r="I29" s="12">
        <v>10</v>
      </c>
      <c r="J29" s="7" t="s">
        <v>205</v>
      </c>
      <c r="K29" s="12">
        <v>4</v>
      </c>
      <c r="L29" s="10">
        <f>MAX(('Geometry'!$G$13*COS(RADIANS(I29))+'Geometry'!$F$13*SIN(RADIANS(I29))),('Geometry'!$G$14*COS(RADIANS(I29))+'Geometry'!$F$14*SIN(RADIANS(I29))),('Geometry'!$G$15*COS(RADIANS(I29))+'Geometry'!$F$15*SIN(RADIANS(I29))),('Geometry'!$G$16*COS(RADIANS(I29))+'Geometry'!$F$16*SIN(RADIANS(I29))),('Geometry'!$G$17*COS(RADIANS(I29))+'Geometry'!$F$17*SIN(RADIANS(I29))),('Geometry'!$G$18*COS(RADIANS(I29))+'Geometry'!$F$18*SIN(RADIANS(I29))),('Geometry'!$G$19*COS(RADIANS(I29))+'Geometry'!$F$19*SIN(RADIANS(I29))),('Geometry'!$G$20*COS(RADIANS(I29))+'Geometry'!$F$20*SIN(RADIANS(I29))))</f>
        <v>686.3911495241364</v>
      </c>
      <c r="M29" s="10">
        <f>MIN(('Geometry'!$G$40*COS(RADIANS(I29))+'Geometry'!$F$40*SIN(RADIANS(I29))),('Geometry'!$G$41*COS(RADIANS(I29))+'Geometry'!$F$41*SIN(RADIANS(I29))),('Geometry'!$G$42*COS(RADIANS(I29))+'Geometry'!$F$42*SIN(RADIANS(I29))),('Geometry'!$G$43*COS(RADIANS(I29))+'Geometry'!$F$43*SIN(RADIANS(I29))),('Geometry'!$G$44*COS(RADIANS(I29))+'Geometry'!$F$44*SIN(RADIANS(I29))),('Geometry'!$G$45*COS(RADIANS(I29))+'Geometry'!$F$45*SIN(RADIANS(I29))),('Geometry'!$G$46*COS(RADIANS(I29))+'Geometry'!$F$46*SIN(RADIANS(I29))),('Geometry'!$G$47*COS(RADIANS(I29))+'Geometry'!$F$47*SIN(RADIANS(I29))),('Geometry'!$G$48*COS(RADIANS(I29))+'Geometry'!$F$48*SIN(RADIANS(I29))),('Geometry'!$G$49*COS(RADIANS(I29))+'Geometry'!$F$49*SIN(RADIANS(I29))),('Geometry'!$G$50*COS(RADIANS(I29))+'Geometry'!$F$50*SIN(RADIANS(I29))),('Geometry'!$G$51*COS(RADIANS(I29))+'Geometry'!$F$51*SIN(RADIANS(I29))),('Geometry'!$G$52*COS(RADIANS(I29))+'Geometry'!$F$52*SIN(RADIANS(I29))),('Geometry'!$G$53*COS(RADIANS(I29))+'Geometry'!$F$53*SIN(RADIANS(I29))),('Geometry'!$G$54*COS(RADIANS(I29))+'Geometry'!$F$54*SIN(RADIANS(I29))),('Geometry'!$G$55*COS(RADIANS(I29))+'Geometry'!$F$55*SIN(RADIANS(I29))),('Geometry'!$G$56*COS(RADIANS(I29))+'Geometry'!$F$56*SIN(RADIANS(I29))),('Geometry'!$G$57*COS(RADIANS(I29))+'Geometry'!$F$57*SIN(RADIANS(I29))))</f>
        <v>-591.4073801632424</v>
      </c>
      <c r="N29" s="10">
        <f>L29-MIN(('Geometry'!$G$13*COS(RADIANS(I29))+'Geometry'!$F$13*SIN(RADIANS(I29))),('Geometry'!$G$14*COS(RADIANS(I29))+'Geometry'!$F$14*SIN(RADIANS(I29))),('Geometry'!$G$15*COS(RADIANS(I29))+'Geometry'!$F$15*SIN(RADIANS(I29))),('Geometry'!$G$16*COS(RADIANS(I29))+'Geometry'!$F$16*SIN(RADIANS(I29))),('Geometry'!$G$17*COS(RADIANS(I29))+'Geometry'!$F$17*SIN(RADIANS(I29))),('Geometry'!$G$18*COS(RADIANS(I29))+'Geometry'!$F$18*SIN(RADIANS(I29))),('Geometry'!$G$19*COS(RADIANS(I29))+'Geometry'!$F$19*SIN(RADIANS(I29))),('Geometry'!$G$20*COS(RADIANS(I29))+'Geometry'!$F$20*SIN(RADIANS(I29))))</f>
        <v>1372.7822990482728</v>
      </c>
      <c r="O29" s="15">
        <f>C_ecu</f>
        <v>0.0032999999999999982</v>
      </c>
      <c r="P29" s="15">
        <f>-K29*S_1_fy/S_1_Es</f>
        <v>-0.008</v>
      </c>
      <c r="Q29" s="20">
        <f>IF(ABS(L29-M29)&lt;0.000000000001,0,(O29-P29)/(L29-M29))</f>
        <v>0.000008843334639588773</v>
      </c>
      <c r="R29" s="15">
        <f>O29-Q29*L29</f>
        <v>-0.0027699866288939537</v>
      </c>
      <c r="S29" s="20">
        <f>Q29*COS(RADIANS(I29))</f>
        <v>0.000008708984515548445</v>
      </c>
      <c r="T29" s="20">
        <f>Q29*SIN(RADIANS(I29))</f>
        <v>0.0000015356289446634309</v>
      </c>
      <c r="U29" s="10">
        <f>SUMPRODUCT(C_alpha*C_fck*(1-(1-((($R29+$S29*Mesh_Y+$T29*Mesh_X))*(($R29+$S29*Mesh_Y+$T29*Mesh_X)&gt;0)*(($R29+$S29*Mesh_Y+$T29*Mesh_X)&lt;C_eco)+C_eco*(($R29+$S29*Mesh_Y+$T29*Mesh_X)&gt;=C_eco))/C_eco)^C_n)*((($R29+$S29*Mesh_Y+$T29*Mesh_X))&gt;0),Mesh_A)/1000</f>
        <v>6470.216312292819</v>
      </c>
      <c r="V29" s="10">
        <f>SUMPRODUCT(C_alpha*C_fck*(1-(1-((($R29+$S29*Mesh_Y+$T29*Mesh_X))*(($R29+$S29*Mesh_Y+$T29*Mesh_X)&gt;0)*(($R29+$S29*Mesh_Y+$T29*Mesh_X)&lt;C_eco)+C_eco*(($R29+$S29*Mesh_Y+$T29*Mesh_X)&gt;=C_eco))/C_eco)^C_n)*((($R29+$S29*Mesh_Y+$T29*Mesh_X))&gt;0),Mesh_A,Mesh_Y)/1000000</f>
        <v>3104.4093335646544</v>
      </c>
      <c r="W29" s="10">
        <f>SUMPRODUCT(C_alpha*C_fck*(1-(1-((($R29+$S29*Mesh_Y+$T29*Mesh_X))*(($R29+$S29*Mesh_Y+$T29*Mesh_X)&gt;0)*(($R29+$S29*Mesh_Y+$T29*Mesh_X)&lt;C_eco)+C_eco*(($R29+$S29*Mesh_Y+$T29*Mesh_X)&gt;=C_eco))/C_eco)^C_n)*((($R29+$S29*Mesh_Y+$T29*Mesh_X))&gt;0),Mesh_A,Mesh_X)/1000000</f>
        <v>921.3538231508923</v>
      </c>
      <c r="X29" s="10">
        <f>(((MAX(MIN(S_1_Es*($R29+$S29*'Geometry'!$G$40+$T29*'Geometry'!$F$40),S_1_fy),-S_1_fy))-(IF(($R29+$S29*'Geometry'!$G$40+$T29*'Geometry'!$F$40)&gt;0,IF(($R29+$S29*'Geometry'!$G$40+$T29*'Geometry'!$F$40)&lt;=C_eco,C_alpha*C_fck*(1-(1-($R29+$S29*'Geometry'!$G$40+$T29*'Geometry'!$F$40)/C_eco)^C_n),C_alpha*C_fck),0)))*'Geometry'!$H$40+((MAX(MIN(S_1_Es*($R29+$S29*'Geometry'!$G$41+$T29*'Geometry'!$F$41),S_1_fy),-S_1_fy))-(IF(($R29+$S29*'Geometry'!$G$41+$T29*'Geometry'!$F$41)&gt;0,IF(($R29+$S29*'Geometry'!$G$41+$T29*'Geometry'!$F$41)&lt;=C_eco,C_alpha*C_fck*(1-(1-($R29+$S29*'Geometry'!$G$41+$T29*'Geometry'!$F$41)/C_eco)^C_n),C_alpha*C_fck),0)))*'Geometry'!$H$41+((MAX(MIN(S_1_Es*($R29+$S29*'Geometry'!$G$42+$T29*'Geometry'!$F$42),S_1_fy),-S_1_fy))-(IF(($R29+$S29*'Geometry'!$G$42+$T29*'Geometry'!$F$42)&gt;0,IF(($R29+$S29*'Geometry'!$G$42+$T29*'Geometry'!$F$42)&lt;=C_eco,C_alpha*C_fck*(1-(1-($R29+$S29*'Geometry'!$G$42+$T29*'Geometry'!$F$42)/C_eco)^C_n),C_alpha*C_fck),0)))*'Geometry'!$H$42+((MAX(MIN(S_1_Es*($R29+$S29*'Geometry'!$G$43+$T29*'Geometry'!$F$43),S_1_fy),-S_1_fy))-(IF(($R29+$S29*'Geometry'!$G$43+$T29*'Geometry'!$F$43)&gt;0,IF(($R29+$S29*'Geometry'!$G$43+$T29*'Geometry'!$F$43)&lt;=C_eco,C_alpha*C_fck*(1-(1-($R29+$S29*'Geometry'!$G$43+$T29*'Geometry'!$F$43)/C_eco)^C_n),C_alpha*C_fck),0)))*'Geometry'!$H$43+((MAX(MIN(S_1_Es*($R29+$S29*'Geometry'!$G$44+$T29*'Geometry'!$F$44),S_1_fy),-S_1_fy))-(IF(($R29+$S29*'Geometry'!$G$44+$T29*'Geometry'!$F$44)&gt;0,IF(($R29+$S29*'Geometry'!$G$44+$T29*'Geometry'!$F$44)&lt;=C_eco,C_alpha*C_fck*(1-(1-($R29+$S29*'Geometry'!$G$44+$T29*'Geometry'!$F$44)/C_eco)^C_n),C_alpha*C_fck),0)))*'Geometry'!$H$44+((MAX(MIN(S_1_Es*($R29+$S29*'Geometry'!$G$45+$T29*'Geometry'!$F$45),S_1_fy),-S_1_fy))-(IF(($R29+$S29*'Geometry'!$G$45+$T29*'Geometry'!$F$45)&gt;0,IF(($R29+$S29*'Geometry'!$G$45+$T29*'Geometry'!$F$45)&lt;=C_eco,C_alpha*C_fck*(1-(1-($R29+$S29*'Geometry'!$G$45+$T29*'Geometry'!$F$45)/C_eco)^C_n),C_alpha*C_fck),0)))*'Geometry'!$H$45+((MAX(MIN(S_1_Es*($R29+$S29*'Geometry'!$G$46+$T29*'Geometry'!$F$46),S_1_fy),-S_1_fy))-(IF(($R29+$S29*'Geometry'!$G$46+$T29*'Geometry'!$F$46)&gt;0,IF(($R29+$S29*'Geometry'!$G$46+$T29*'Geometry'!$F$46)&lt;=C_eco,C_alpha*C_fck*(1-(1-($R29+$S29*'Geometry'!$G$46+$T29*'Geometry'!$F$46)/C_eco)^C_n),C_alpha*C_fck),0)))*'Geometry'!$H$46+((MAX(MIN(S_1_Es*($R29+$S29*'Geometry'!$G$47+$T29*'Geometry'!$F$47),S_1_fy),-S_1_fy))-(IF(($R29+$S29*'Geometry'!$G$47+$T29*'Geometry'!$F$47)&gt;0,IF(($R29+$S29*'Geometry'!$G$47+$T29*'Geometry'!$F$47)&lt;=C_eco,C_alpha*C_fck*(1-(1-($R29+$S29*'Geometry'!$G$47+$T29*'Geometry'!$F$47)/C_eco)^C_n),C_alpha*C_fck),0)))*'Geometry'!$H$47+((MAX(MIN(S_1_Es*($R29+$S29*'Geometry'!$G$48+$T29*'Geometry'!$F$48),S_1_fy),-S_1_fy))-(IF(($R29+$S29*'Geometry'!$G$48+$T29*'Geometry'!$F$48)&gt;0,IF(($R29+$S29*'Geometry'!$G$48+$T29*'Geometry'!$F$48)&lt;=C_eco,C_alpha*C_fck*(1-(1-($R29+$S29*'Geometry'!$G$48+$T29*'Geometry'!$F$48)/C_eco)^C_n),C_alpha*C_fck),0)))*'Geometry'!$H$48+((MAX(MIN(S_1_Es*($R29+$S29*'Geometry'!$G$49+$T29*'Geometry'!$F$49),S_1_fy),-S_1_fy))-(IF(($R29+$S29*'Geometry'!$G$49+$T29*'Geometry'!$F$49)&gt;0,IF(($R29+$S29*'Geometry'!$G$49+$T29*'Geometry'!$F$49)&lt;=C_eco,C_alpha*C_fck*(1-(1-($R29+$S29*'Geometry'!$G$49+$T29*'Geometry'!$F$49)/C_eco)^C_n),C_alpha*C_fck),0)))*'Geometry'!$H$49+((MAX(MIN(S_1_Es*($R29+$S29*'Geometry'!$G$50+$T29*'Geometry'!$F$50),S_1_fy),-S_1_fy))-(IF(($R29+$S29*'Geometry'!$G$50+$T29*'Geometry'!$F$50)&gt;0,IF(($R29+$S29*'Geometry'!$G$50+$T29*'Geometry'!$F$50)&lt;=C_eco,C_alpha*C_fck*(1-(1-($R29+$S29*'Geometry'!$G$50+$T29*'Geometry'!$F$50)/C_eco)^C_n),C_alpha*C_fck),0)))*'Geometry'!$H$50+((MAX(MIN(S_1_Es*($R29+$S29*'Geometry'!$G$51+$T29*'Geometry'!$F$51),S_1_fy),-S_1_fy))-(IF(($R29+$S29*'Geometry'!$G$51+$T29*'Geometry'!$F$51)&gt;0,IF(($R29+$S29*'Geometry'!$G$51+$T29*'Geometry'!$F$51)&lt;=C_eco,C_alpha*C_fck*(1-(1-($R29+$S29*'Geometry'!$G$51+$T29*'Geometry'!$F$51)/C_eco)^C_n),C_alpha*C_fck),0)))*'Geometry'!$H$51+((MAX(MIN(S_1_Es*($R29+$S29*'Geometry'!$G$52+$T29*'Geometry'!$F$52),S_1_fy),-S_1_fy))-(IF(($R29+$S29*'Geometry'!$G$52+$T29*'Geometry'!$F$52)&gt;0,IF(($R29+$S29*'Geometry'!$G$52+$T29*'Geometry'!$F$52)&lt;=C_eco,C_alpha*C_fck*(1-(1-($R29+$S29*'Geometry'!$G$52+$T29*'Geometry'!$F$52)/C_eco)^C_n),C_alpha*C_fck),0)))*'Geometry'!$H$52+((MAX(MIN(S_1_Es*($R29+$S29*'Geometry'!$G$53+$T29*'Geometry'!$F$53),S_1_fy),-S_1_fy))-(IF(($R29+$S29*'Geometry'!$G$53+$T29*'Geometry'!$F$53)&gt;0,IF(($R29+$S29*'Geometry'!$G$53+$T29*'Geometry'!$F$53)&lt;=C_eco,C_alpha*C_fck*(1-(1-($R29+$S29*'Geometry'!$G$53+$T29*'Geometry'!$F$53)/C_eco)^C_n),C_alpha*C_fck),0)))*'Geometry'!$H$53+((MAX(MIN(S_1_Es*($R29+$S29*'Geometry'!$G$54+$T29*'Geometry'!$F$54),S_1_fy),-S_1_fy))-(IF(($R29+$S29*'Geometry'!$G$54+$T29*'Geometry'!$F$54)&gt;0,IF(($R29+$S29*'Geometry'!$G$54+$T29*'Geometry'!$F$54)&lt;=C_eco,C_alpha*C_fck*(1-(1-($R29+$S29*'Geometry'!$G$54+$T29*'Geometry'!$F$54)/C_eco)^C_n),C_alpha*C_fck),0)))*'Geometry'!$H$54+((MAX(MIN(S_1_Es*($R29+$S29*'Geometry'!$G$55+$T29*'Geometry'!$F$55),S_1_fy),-S_1_fy))-(IF(($R29+$S29*'Geometry'!$G$55+$T29*'Geometry'!$F$55)&gt;0,IF(($R29+$S29*'Geometry'!$G$55+$T29*'Geometry'!$F$55)&lt;=C_eco,C_alpha*C_fck*(1-(1-($R29+$S29*'Geometry'!$G$55+$T29*'Geometry'!$F$55)/C_eco)^C_n),C_alpha*C_fck),0)))*'Geometry'!$H$55+((MAX(MIN(S_1_Es*($R29+$S29*'Geometry'!$G$56+$T29*'Geometry'!$F$56),S_1_fy),-S_1_fy))-(IF(($R29+$S29*'Geometry'!$G$56+$T29*'Geometry'!$F$56)&gt;0,IF(($R29+$S29*'Geometry'!$G$56+$T29*'Geometry'!$F$56)&lt;=C_eco,C_alpha*C_fck*(1-(1-($R29+$S29*'Geometry'!$G$56+$T29*'Geometry'!$F$56)/C_eco)^C_n),C_alpha*C_fck),0)))*'Geometry'!$H$56+((MAX(MIN(S_1_Es*($R29+$S29*'Geometry'!$G$57+$T29*'Geometry'!$F$57),S_1_fy),-S_1_fy))-(IF(($R29+$S29*'Geometry'!$G$57+$T29*'Geometry'!$F$57)&gt;0,IF(($R29+$S29*'Geometry'!$G$57+$T29*'Geometry'!$F$57)&lt;=C_eco,C_alpha*C_fck*(1-(1-($R29+$S29*'Geometry'!$G$57+$T29*'Geometry'!$F$57)/C_eco)^C_n),C_alpha*C_fck),0)))*'Geometry'!$H$57)/1000</f>
        <v>-2131.6807932180927</v>
      </c>
      <c r="Y29" s="10">
        <f>(((MAX(MIN(S_1_Es*($R29+$S29*'Geometry'!$G$40+$T29*'Geometry'!$F$40),S_1_fy),-S_1_fy))-(IF(($R29+$S29*'Geometry'!$G$40+$T29*'Geometry'!$F$40)&gt;0,IF(($R29+$S29*'Geometry'!$G$40+$T29*'Geometry'!$F$40)&lt;=C_eco,C_alpha*C_fck*(1-(1-($R29+$S29*'Geometry'!$G$40+$T29*'Geometry'!$F$40)/C_eco)^C_n),C_alpha*C_fck),0)))*'Geometry'!$H$40*'Geometry'!$G$40+((MAX(MIN(S_1_Es*($R29+$S29*'Geometry'!$G$41+$T29*'Geometry'!$F$41),S_1_fy),-S_1_fy))-(IF(($R29+$S29*'Geometry'!$G$41+$T29*'Geometry'!$F$41)&gt;0,IF(($R29+$S29*'Geometry'!$G$41+$T29*'Geometry'!$F$41)&lt;=C_eco,C_alpha*C_fck*(1-(1-($R29+$S29*'Geometry'!$G$41+$T29*'Geometry'!$F$41)/C_eco)^C_n),C_alpha*C_fck),0)))*'Geometry'!$H$41*'Geometry'!$G$41+((MAX(MIN(S_1_Es*($R29+$S29*'Geometry'!$G$42+$T29*'Geometry'!$F$42),S_1_fy),-S_1_fy))-(IF(($R29+$S29*'Geometry'!$G$42+$T29*'Geometry'!$F$42)&gt;0,IF(($R29+$S29*'Geometry'!$G$42+$T29*'Geometry'!$F$42)&lt;=C_eco,C_alpha*C_fck*(1-(1-($R29+$S29*'Geometry'!$G$42+$T29*'Geometry'!$F$42)/C_eco)^C_n),C_alpha*C_fck),0)))*'Geometry'!$H$42*'Geometry'!$G$42+((MAX(MIN(S_1_Es*($R29+$S29*'Geometry'!$G$43+$T29*'Geometry'!$F$43),S_1_fy),-S_1_fy))-(IF(($R29+$S29*'Geometry'!$G$43+$T29*'Geometry'!$F$43)&gt;0,IF(($R29+$S29*'Geometry'!$G$43+$T29*'Geometry'!$F$43)&lt;=C_eco,C_alpha*C_fck*(1-(1-($R29+$S29*'Geometry'!$G$43+$T29*'Geometry'!$F$43)/C_eco)^C_n),C_alpha*C_fck),0)))*'Geometry'!$H$43*'Geometry'!$G$43+((MAX(MIN(S_1_Es*($R29+$S29*'Geometry'!$G$44+$T29*'Geometry'!$F$44),S_1_fy),-S_1_fy))-(IF(($R29+$S29*'Geometry'!$G$44+$T29*'Geometry'!$F$44)&gt;0,IF(($R29+$S29*'Geometry'!$G$44+$T29*'Geometry'!$F$44)&lt;=C_eco,C_alpha*C_fck*(1-(1-($R29+$S29*'Geometry'!$G$44+$T29*'Geometry'!$F$44)/C_eco)^C_n),C_alpha*C_fck),0)))*'Geometry'!$H$44*'Geometry'!$G$44+((MAX(MIN(S_1_Es*($R29+$S29*'Geometry'!$G$45+$T29*'Geometry'!$F$45),S_1_fy),-S_1_fy))-(IF(($R29+$S29*'Geometry'!$G$45+$T29*'Geometry'!$F$45)&gt;0,IF(($R29+$S29*'Geometry'!$G$45+$T29*'Geometry'!$F$45)&lt;=C_eco,C_alpha*C_fck*(1-(1-($R29+$S29*'Geometry'!$G$45+$T29*'Geometry'!$F$45)/C_eco)^C_n),C_alpha*C_fck),0)))*'Geometry'!$H$45*'Geometry'!$G$45+((MAX(MIN(S_1_Es*($R29+$S29*'Geometry'!$G$46+$T29*'Geometry'!$F$46),S_1_fy),-S_1_fy))-(IF(($R29+$S29*'Geometry'!$G$46+$T29*'Geometry'!$F$46)&gt;0,IF(($R29+$S29*'Geometry'!$G$46+$T29*'Geometry'!$F$46)&lt;=C_eco,C_alpha*C_fck*(1-(1-($R29+$S29*'Geometry'!$G$46+$T29*'Geometry'!$F$46)/C_eco)^C_n),C_alpha*C_fck),0)))*'Geometry'!$H$46*'Geometry'!$G$46+((MAX(MIN(S_1_Es*($R29+$S29*'Geometry'!$G$47+$T29*'Geometry'!$F$47),S_1_fy),-S_1_fy))-(IF(($R29+$S29*'Geometry'!$G$47+$T29*'Geometry'!$F$47)&gt;0,IF(($R29+$S29*'Geometry'!$G$47+$T29*'Geometry'!$F$47)&lt;=C_eco,C_alpha*C_fck*(1-(1-($R29+$S29*'Geometry'!$G$47+$T29*'Geometry'!$F$47)/C_eco)^C_n),C_alpha*C_fck),0)))*'Geometry'!$H$47*'Geometry'!$G$47+((MAX(MIN(S_1_Es*($R29+$S29*'Geometry'!$G$48+$T29*'Geometry'!$F$48),S_1_fy),-S_1_fy))-(IF(($R29+$S29*'Geometry'!$G$48+$T29*'Geometry'!$F$48)&gt;0,IF(($R29+$S29*'Geometry'!$G$48+$T29*'Geometry'!$F$48)&lt;=C_eco,C_alpha*C_fck*(1-(1-($R29+$S29*'Geometry'!$G$48+$T29*'Geometry'!$F$48)/C_eco)^C_n),C_alpha*C_fck),0)))*'Geometry'!$H$48*'Geometry'!$G$48+((MAX(MIN(S_1_Es*($R29+$S29*'Geometry'!$G$49+$T29*'Geometry'!$F$49),S_1_fy),-S_1_fy))-(IF(($R29+$S29*'Geometry'!$G$49+$T29*'Geometry'!$F$49)&gt;0,IF(($R29+$S29*'Geometry'!$G$49+$T29*'Geometry'!$F$49)&lt;=C_eco,C_alpha*C_fck*(1-(1-($R29+$S29*'Geometry'!$G$49+$T29*'Geometry'!$F$49)/C_eco)^C_n),C_alpha*C_fck),0)))*'Geometry'!$H$49*'Geometry'!$G$49+((MAX(MIN(S_1_Es*($R29+$S29*'Geometry'!$G$50+$T29*'Geometry'!$F$50),S_1_fy),-S_1_fy))-(IF(($R29+$S29*'Geometry'!$G$50+$T29*'Geometry'!$F$50)&gt;0,IF(($R29+$S29*'Geometry'!$G$50+$T29*'Geometry'!$F$50)&lt;=C_eco,C_alpha*C_fck*(1-(1-($R29+$S29*'Geometry'!$G$50+$T29*'Geometry'!$F$50)/C_eco)^C_n),C_alpha*C_fck),0)))*'Geometry'!$H$50*'Geometry'!$G$50+((MAX(MIN(S_1_Es*($R29+$S29*'Geometry'!$G$51+$T29*'Geometry'!$F$51),S_1_fy),-S_1_fy))-(IF(($R29+$S29*'Geometry'!$G$51+$T29*'Geometry'!$F$51)&gt;0,IF(($R29+$S29*'Geometry'!$G$51+$T29*'Geometry'!$F$51)&lt;=C_eco,C_alpha*C_fck*(1-(1-($R29+$S29*'Geometry'!$G$51+$T29*'Geometry'!$F$51)/C_eco)^C_n),C_alpha*C_fck),0)))*'Geometry'!$H$51*'Geometry'!$G$51+((MAX(MIN(S_1_Es*($R29+$S29*'Geometry'!$G$52+$T29*'Geometry'!$F$52),S_1_fy),-S_1_fy))-(IF(($R29+$S29*'Geometry'!$G$52+$T29*'Geometry'!$F$52)&gt;0,IF(($R29+$S29*'Geometry'!$G$52+$T29*'Geometry'!$F$52)&lt;=C_eco,C_alpha*C_fck*(1-(1-($R29+$S29*'Geometry'!$G$52+$T29*'Geometry'!$F$52)/C_eco)^C_n),C_alpha*C_fck),0)))*'Geometry'!$H$52*'Geometry'!$G$52+((MAX(MIN(S_1_Es*($R29+$S29*'Geometry'!$G$53+$T29*'Geometry'!$F$53),S_1_fy),-S_1_fy))-(IF(($R29+$S29*'Geometry'!$G$53+$T29*'Geometry'!$F$53)&gt;0,IF(($R29+$S29*'Geometry'!$G$53+$T29*'Geometry'!$F$53)&lt;=C_eco,C_alpha*C_fck*(1-(1-($R29+$S29*'Geometry'!$G$53+$T29*'Geometry'!$F$53)/C_eco)^C_n),C_alpha*C_fck),0)))*'Geometry'!$H$53*'Geometry'!$G$53+((MAX(MIN(S_1_Es*($R29+$S29*'Geometry'!$G$54+$T29*'Geometry'!$F$54),S_1_fy),-S_1_fy))-(IF(($R29+$S29*'Geometry'!$G$54+$T29*'Geometry'!$F$54)&gt;0,IF(($R29+$S29*'Geometry'!$G$54+$T29*'Geometry'!$F$54)&lt;=C_eco,C_alpha*C_fck*(1-(1-($R29+$S29*'Geometry'!$G$54+$T29*'Geometry'!$F$54)/C_eco)^C_n),C_alpha*C_fck),0)))*'Geometry'!$H$54*'Geometry'!$G$54+((MAX(MIN(S_1_Es*($R29+$S29*'Geometry'!$G$55+$T29*'Geometry'!$F$55),S_1_fy),-S_1_fy))-(IF(($R29+$S29*'Geometry'!$G$55+$T29*'Geometry'!$F$55)&gt;0,IF(($R29+$S29*'Geometry'!$G$55+$T29*'Geometry'!$F$55)&lt;=C_eco,C_alpha*C_fck*(1-(1-($R29+$S29*'Geometry'!$G$55+$T29*'Geometry'!$F$55)/C_eco)^C_n),C_alpha*C_fck),0)))*'Geometry'!$H$55*'Geometry'!$G$55+((MAX(MIN(S_1_Es*($R29+$S29*'Geometry'!$G$56+$T29*'Geometry'!$F$56),S_1_fy),-S_1_fy))-(IF(($R29+$S29*'Geometry'!$G$56+$T29*'Geometry'!$F$56)&gt;0,IF(($R29+$S29*'Geometry'!$G$56+$T29*'Geometry'!$F$56)&lt;=C_eco,C_alpha*C_fck*(1-(1-($R29+$S29*'Geometry'!$G$56+$T29*'Geometry'!$F$56)/C_eco)^C_n),C_alpha*C_fck),0)))*'Geometry'!$H$56*'Geometry'!$G$56+((MAX(MIN(S_1_Es*($R29+$S29*'Geometry'!$G$57+$T29*'Geometry'!$F$57),S_1_fy),-S_1_fy))-(IF(($R29+$S29*'Geometry'!$G$57+$T29*'Geometry'!$F$57)&gt;0,IF(($R29+$S29*'Geometry'!$G$57+$T29*'Geometry'!$F$57)&lt;=C_eco,C_alpha*C_fck*(1-(1-($R29+$S29*'Geometry'!$G$57+$T29*'Geometry'!$F$57)/C_eco)^C_n),C_alpha*C_fck),0)))*'Geometry'!$H$57*'Geometry'!$G$57)/1000000</f>
        <v>1726.92703458182</v>
      </c>
      <c r="Z29" s="10">
        <f>(((MAX(MIN(S_1_Es*($R29+$S29*'Geometry'!$G$40+$T29*'Geometry'!$F$40),S_1_fy),-S_1_fy))-(IF(($R29+$S29*'Geometry'!$G$40+$T29*'Geometry'!$F$40)&gt;0,IF(($R29+$S29*'Geometry'!$G$40+$T29*'Geometry'!$F$40)&lt;=C_eco,C_alpha*C_fck*(1-(1-($R29+$S29*'Geometry'!$G$40+$T29*'Geometry'!$F$40)/C_eco)^C_n),C_alpha*C_fck),0)))*'Geometry'!$H$40*'Geometry'!$F$40+((MAX(MIN(S_1_Es*($R29+$S29*'Geometry'!$G$41+$T29*'Geometry'!$F$41),S_1_fy),-S_1_fy))-(IF(($R29+$S29*'Geometry'!$G$41+$T29*'Geometry'!$F$41)&gt;0,IF(($R29+$S29*'Geometry'!$G$41+$T29*'Geometry'!$F$41)&lt;=C_eco,C_alpha*C_fck*(1-(1-($R29+$S29*'Geometry'!$G$41+$T29*'Geometry'!$F$41)/C_eco)^C_n),C_alpha*C_fck),0)))*'Geometry'!$H$41*'Geometry'!$F$41+((MAX(MIN(S_1_Es*($R29+$S29*'Geometry'!$G$42+$T29*'Geometry'!$F$42),S_1_fy),-S_1_fy))-(IF(($R29+$S29*'Geometry'!$G$42+$T29*'Geometry'!$F$42)&gt;0,IF(($R29+$S29*'Geometry'!$G$42+$T29*'Geometry'!$F$42)&lt;=C_eco,C_alpha*C_fck*(1-(1-($R29+$S29*'Geometry'!$G$42+$T29*'Geometry'!$F$42)/C_eco)^C_n),C_alpha*C_fck),0)))*'Geometry'!$H$42*'Geometry'!$F$42+((MAX(MIN(S_1_Es*($R29+$S29*'Geometry'!$G$43+$T29*'Geometry'!$F$43),S_1_fy),-S_1_fy))-(IF(($R29+$S29*'Geometry'!$G$43+$T29*'Geometry'!$F$43)&gt;0,IF(($R29+$S29*'Geometry'!$G$43+$T29*'Geometry'!$F$43)&lt;=C_eco,C_alpha*C_fck*(1-(1-($R29+$S29*'Geometry'!$G$43+$T29*'Geometry'!$F$43)/C_eco)^C_n),C_alpha*C_fck),0)))*'Geometry'!$H$43*'Geometry'!$F$43+((MAX(MIN(S_1_Es*($R29+$S29*'Geometry'!$G$44+$T29*'Geometry'!$F$44),S_1_fy),-S_1_fy))-(IF(($R29+$S29*'Geometry'!$G$44+$T29*'Geometry'!$F$44)&gt;0,IF(($R29+$S29*'Geometry'!$G$44+$T29*'Geometry'!$F$44)&lt;=C_eco,C_alpha*C_fck*(1-(1-($R29+$S29*'Geometry'!$G$44+$T29*'Geometry'!$F$44)/C_eco)^C_n),C_alpha*C_fck),0)))*'Geometry'!$H$44*'Geometry'!$F$44+((MAX(MIN(S_1_Es*($R29+$S29*'Geometry'!$G$45+$T29*'Geometry'!$F$45),S_1_fy),-S_1_fy))-(IF(($R29+$S29*'Geometry'!$G$45+$T29*'Geometry'!$F$45)&gt;0,IF(($R29+$S29*'Geometry'!$G$45+$T29*'Geometry'!$F$45)&lt;=C_eco,C_alpha*C_fck*(1-(1-($R29+$S29*'Geometry'!$G$45+$T29*'Geometry'!$F$45)/C_eco)^C_n),C_alpha*C_fck),0)))*'Geometry'!$H$45*'Geometry'!$F$45+((MAX(MIN(S_1_Es*($R29+$S29*'Geometry'!$G$46+$T29*'Geometry'!$F$46),S_1_fy),-S_1_fy))-(IF(($R29+$S29*'Geometry'!$G$46+$T29*'Geometry'!$F$46)&gt;0,IF(($R29+$S29*'Geometry'!$G$46+$T29*'Geometry'!$F$46)&lt;=C_eco,C_alpha*C_fck*(1-(1-($R29+$S29*'Geometry'!$G$46+$T29*'Geometry'!$F$46)/C_eco)^C_n),C_alpha*C_fck),0)))*'Geometry'!$H$46*'Geometry'!$F$46+((MAX(MIN(S_1_Es*($R29+$S29*'Geometry'!$G$47+$T29*'Geometry'!$F$47),S_1_fy),-S_1_fy))-(IF(($R29+$S29*'Geometry'!$G$47+$T29*'Geometry'!$F$47)&gt;0,IF(($R29+$S29*'Geometry'!$G$47+$T29*'Geometry'!$F$47)&lt;=C_eco,C_alpha*C_fck*(1-(1-($R29+$S29*'Geometry'!$G$47+$T29*'Geometry'!$F$47)/C_eco)^C_n),C_alpha*C_fck),0)))*'Geometry'!$H$47*'Geometry'!$F$47+((MAX(MIN(S_1_Es*($R29+$S29*'Geometry'!$G$48+$T29*'Geometry'!$F$48),S_1_fy),-S_1_fy))-(IF(($R29+$S29*'Geometry'!$G$48+$T29*'Geometry'!$F$48)&gt;0,IF(($R29+$S29*'Geometry'!$G$48+$T29*'Geometry'!$F$48)&lt;=C_eco,C_alpha*C_fck*(1-(1-($R29+$S29*'Geometry'!$G$48+$T29*'Geometry'!$F$48)/C_eco)^C_n),C_alpha*C_fck),0)))*'Geometry'!$H$48*'Geometry'!$F$48+((MAX(MIN(S_1_Es*($R29+$S29*'Geometry'!$G$49+$T29*'Geometry'!$F$49),S_1_fy),-S_1_fy))-(IF(($R29+$S29*'Geometry'!$G$49+$T29*'Geometry'!$F$49)&gt;0,IF(($R29+$S29*'Geometry'!$G$49+$T29*'Geometry'!$F$49)&lt;=C_eco,C_alpha*C_fck*(1-(1-($R29+$S29*'Geometry'!$G$49+$T29*'Geometry'!$F$49)/C_eco)^C_n),C_alpha*C_fck),0)))*'Geometry'!$H$49*'Geometry'!$F$49+((MAX(MIN(S_1_Es*($R29+$S29*'Geometry'!$G$50+$T29*'Geometry'!$F$50),S_1_fy),-S_1_fy))-(IF(($R29+$S29*'Geometry'!$G$50+$T29*'Geometry'!$F$50)&gt;0,IF(($R29+$S29*'Geometry'!$G$50+$T29*'Geometry'!$F$50)&lt;=C_eco,C_alpha*C_fck*(1-(1-($R29+$S29*'Geometry'!$G$50+$T29*'Geometry'!$F$50)/C_eco)^C_n),C_alpha*C_fck),0)))*'Geometry'!$H$50*'Geometry'!$F$50+((MAX(MIN(S_1_Es*($R29+$S29*'Geometry'!$G$51+$T29*'Geometry'!$F$51),S_1_fy),-S_1_fy))-(IF(($R29+$S29*'Geometry'!$G$51+$T29*'Geometry'!$F$51)&gt;0,IF(($R29+$S29*'Geometry'!$G$51+$T29*'Geometry'!$F$51)&lt;=C_eco,C_alpha*C_fck*(1-(1-($R29+$S29*'Geometry'!$G$51+$T29*'Geometry'!$F$51)/C_eco)^C_n),C_alpha*C_fck),0)))*'Geometry'!$H$51*'Geometry'!$F$51+((MAX(MIN(S_1_Es*($R29+$S29*'Geometry'!$G$52+$T29*'Geometry'!$F$52),S_1_fy),-S_1_fy))-(IF(($R29+$S29*'Geometry'!$G$52+$T29*'Geometry'!$F$52)&gt;0,IF(($R29+$S29*'Geometry'!$G$52+$T29*'Geometry'!$F$52)&lt;=C_eco,C_alpha*C_fck*(1-(1-($R29+$S29*'Geometry'!$G$52+$T29*'Geometry'!$F$52)/C_eco)^C_n),C_alpha*C_fck),0)))*'Geometry'!$H$52*'Geometry'!$F$52+((MAX(MIN(S_1_Es*($R29+$S29*'Geometry'!$G$53+$T29*'Geometry'!$F$53),S_1_fy),-S_1_fy))-(IF(($R29+$S29*'Geometry'!$G$53+$T29*'Geometry'!$F$53)&gt;0,IF(($R29+$S29*'Geometry'!$G$53+$T29*'Geometry'!$F$53)&lt;=C_eco,C_alpha*C_fck*(1-(1-($R29+$S29*'Geometry'!$G$53+$T29*'Geometry'!$F$53)/C_eco)^C_n),C_alpha*C_fck),0)))*'Geometry'!$H$53*'Geometry'!$F$53+((MAX(MIN(S_1_Es*($R29+$S29*'Geometry'!$G$54+$T29*'Geometry'!$F$54),S_1_fy),-S_1_fy))-(IF(($R29+$S29*'Geometry'!$G$54+$T29*'Geometry'!$F$54)&gt;0,IF(($R29+$S29*'Geometry'!$G$54+$T29*'Geometry'!$F$54)&lt;=C_eco,C_alpha*C_fck*(1-(1-($R29+$S29*'Geometry'!$G$54+$T29*'Geometry'!$F$54)/C_eco)^C_n),C_alpha*C_fck),0)))*'Geometry'!$H$54*'Geometry'!$F$54+((MAX(MIN(S_1_Es*($R29+$S29*'Geometry'!$G$55+$T29*'Geometry'!$F$55),S_1_fy),-S_1_fy))-(IF(($R29+$S29*'Geometry'!$G$55+$T29*'Geometry'!$F$55)&gt;0,IF(($R29+$S29*'Geometry'!$G$55+$T29*'Geometry'!$F$55)&lt;=C_eco,C_alpha*C_fck*(1-(1-($R29+$S29*'Geometry'!$G$55+$T29*'Geometry'!$F$55)/C_eco)^C_n),C_alpha*C_fck),0)))*'Geometry'!$H$55*'Geometry'!$F$55+((MAX(MIN(S_1_Es*($R29+$S29*'Geometry'!$G$56+$T29*'Geometry'!$F$56),S_1_fy),-S_1_fy))-(IF(($R29+$S29*'Geometry'!$G$56+$T29*'Geometry'!$F$56)&gt;0,IF(($R29+$S29*'Geometry'!$G$56+$T29*'Geometry'!$F$56)&lt;=C_eco,C_alpha*C_fck*(1-(1-($R29+$S29*'Geometry'!$G$56+$T29*'Geometry'!$F$56)/C_eco)^C_n),C_alpha*C_fck),0)))*'Geometry'!$H$56*'Geometry'!$F$56+((MAX(MIN(S_1_Es*($R29+$S29*'Geometry'!$G$57+$T29*'Geometry'!$F$57),S_1_fy),-S_1_fy))-(IF(($R29+$S29*'Geometry'!$G$57+$T29*'Geometry'!$F$57)&gt;0,IF(($R29+$S29*'Geometry'!$G$57+$T29*'Geometry'!$F$57)&lt;=C_eco,C_alpha*C_fck*(1-(1-($R29+$S29*'Geometry'!$G$57+$T29*'Geometry'!$F$57)/C_eco)^C_n),C_alpha*C_fck),0)))*'Geometry'!$H$57*'Geometry'!$F$57)/1000000</f>
        <v>406.91269095889186</v>
      </c>
      <c r="AA29" s="10">
        <f>U29+X29</f>
        <v>4338.535519074727</v>
      </c>
      <c r="AB29" s="10">
        <f>V29+Y29</f>
        <v>4831.336368146475</v>
      </c>
      <c r="AC29" s="10">
        <f>W29+Z29</f>
        <v>1328.266514109784</v>
      </c>
      <c r="AD29" s="7">
        <v>0.85</v>
      </c>
      <c r="AE29" s="7">
        <v>0.8499999999999999</v>
      </c>
      <c r="AF29" s="10">
        <f>AA29*AD29</f>
        <v>3687.7551912135177</v>
      </c>
      <c r="AG29" s="10">
        <f>AB29*AE29</f>
        <v>4106.635912924503</v>
      </c>
      <c r="AH29" s="10">
        <f>AC29*AE29</f>
        <v>1129.0265369933163</v>
      </c>
      <c r="AI29" s="7">
        <v>3687.7551912135177</v>
      </c>
      <c r="AJ29" s="7">
        <v>4106.635912924503</v>
      </c>
      <c r="AK29" s="7">
        <v>1129.0265369933163</v>
      </c>
      <c r="AL29" s="15">
        <f>AF29-AI29</f>
        <v>0</v>
      </c>
      <c r="AM29" s="15">
        <f>SQRT((AG29-AJ29)^2+(AH29-AK29)^2)</f>
        <v>0</v>
      </c>
      <c r="AN29" s="7" t="s">
        <v>189</v>
      </c>
      <c r="AO29" s="7">
        <v>4338.535519074727</v>
      </c>
      <c r="AP29" s="7">
        <v>4831.336368146475</v>
      </c>
      <c r="AQ29" s="7">
        <v>1328.266514109784</v>
      </c>
      <c r="AR29" s="7">
        <v>6470.216312292819</v>
      </c>
      <c r="AS29" s="7">
        <v>3104.4093335646544</v>
      </c>
      <c r="AT29" s="7">
        <v>921.3538231508923</v>
      </c>
      <c r="AU29" s="7">
        <v>-2131.6807932180927</v>
      </c>
      <c r="AV29" s="7">
        <v>1726.92703458182</v>
      </c>
      <c r="AW29" s="7">
        <v>406.91269095889186</v>
      </c>
    </row>
    <row r="30" spans="1:49" x14ac:dyDescent="0.25">
      <c r="A30" s="17">
        <v>23</v>
      </c>
      <c r="B30" s="17" t="s">
        <v>234</v>
      </c>
      <c r="C30" s="18">
        <f>$AF$30</f>
        <v>2235.1550300496638</v>
      </c>
      <c r="D30" s="19">
        <f>$AG$30*COS(RADIANS($C$5))+$AH$30*SIN(RADIANS($C$5))</f>
        <v>3712.454391582864</v>
      </c>
      <c r="G30" s="7" t="s">
        <v>235</v>
      </c>
      <c r="H30" s="7" t="s">
        <v>234</v>
      </c>
      <c r="I30" s="12">
        <v>10</v>
      </c>
      <c r="J30" s="7" t="s">
        <v>205</v>
      </c>
      <c r="K30" s="12">
        <v>4.999999999999999</v>
      </c>
      <c r="L30" s="10">
        <f>MAX(('Geometry'!$G$13*COS(RADIANS(I30))+'Geometry'!$F$13*SIN(RADIANS(I30))),('Geometry'!$G$14*COS(RADIANS(I30))+'Geometry'!$F$14*SIN(RADIANS(I30))),('Geometry'!$G$15*COS(RADIANS(I30))+'Geometry'!$F$15*SIN(RADIANS(I30))),('Geometry'!$G$16*COS(RADIANS(I30))+'Geometry'!$F$16*SIN(RADIANS(I30))),('Geometry'!$G$17*COS(RADIANS(I30))+'Geometry'!$F$17*SIN(RADIANS(I30))),('Geometry'!$G$18*COS(RADIANS(I30))+'Geometry'!$F$18*SIN(RADIANS(I30))),('Geometry'!$G$19*COS(RADIANS(I30))+'Geometry'!$F$19*SIN(RADIANS(I30))),('Geometry'!$G$20*COS(RADIANS(I30))+'Geometry'!$F$20*SIN(RADIANS(I30))))</f>
        <v>686.3911495241364</v>
      </c>
      <c r="M30" s="10">
        <f>MIN(('Geometry'!$G$40*COS(RADIANS(I30))+'Geometry'!$F$40*SIN(RADIANS(I30))),('Geometry'!$G$41*COS(RADIANS(I30))+'Geometry'!$F$41*SIN(RADIANS(I30))),('Geometry'!$G$42*COS(RADIANS(I30))+'Geometry'!$F$42*SIN(RADIANS(I30))),('Geometry'!$G$43*COS(RADIANS(I30))+'Geometry'!$F$43*SIN(RADIANS(I30))),('Geometry'!$G$44*COS(RADIANS(I30))+'Geometry'!$F$44*SIN(RADIANS(I30))),('Geometry'!$G$45*COS(RADIANS(I30))+'Geometry'!$F$45*SIN(RADIANS(I30))),('Geometry'!$G$46*COS(RADIANS(I30))+'Geometry'!$F$46*SIN(RADIANS(I30))),('Geometry'!$G$47*COS(RADIANS(I30))+'Geometry'!$F$47*SIN(RADIANS(I30))),('Geometry'!$G$48*COS(RADIANS(I30))+'Geometry'!$F$48*SIN(RADIANS(I30))),('Geometry'!$G$49*COS(RADIANS(I30))+'Geometry'!$F$49*SIN(RADIANS(I30))),('Geometry'!$G$50*COS(RADIANS(I30))+'Geometry'!$F$50*SIN(RADIANS(I30))),('Geometry'!$G$51*COS(RADIANS(I30))+'Geometry'!$F$51*SIN(RADIANS(I30))),('Geometry'!$G$52*COS(RADIANS(I30))+'Geometry'!$F$52*SIN(RADIANS(I30))),('Geometry'!$G$53*COS(RADIANS(I30))+'Geometry'!$F$53*SIN(RADIANS(I30))),('Geometry'!$G$54*COS(RADIANS(I30))+'Geometry'!$F$54*SIN(RADIANS(I30))),('Geometry'!$G$55*COS(RADIANS(I30))+'Geometry'!$F$55*SIN(RADIANS(I30))),('Geometry'!$G$56*COS(RADIANS(I30))+'Geometry'!$F$56*SIN(RADIANS(I30))),('Geometry'!$G$57*COS(RADIANS(I30))+'Geometry'!$F$57*SIN(RADIANS(I30))))</f>
        <v>-591.4073801632424</v>
      </c>
      <c r="N30" s="10">
        <f>L30-MIN(('Geometry'!$G$13*COS(RADIANS(I30))+'Geometry'!$F$13*SIN(RADIANS(I30))),('Geometry'!$G$14*COS(RADIANS(I30))+'Geometry'!$F$14*SIN(RADIANS(I30))),('Geometry'!$G$15*COS(RADIANS(I30))+'Geometry'!$F$15*SIN(RADIANS(I30))),('Geometry'!$G$16*COS(RADIANS(I30))+'Geometry'!$F$16*SIN(RADIANS(I30))),('Geometry'!$G$17*COS(RADIANS(I30))+'Geometry'!$F$17*SIN(RADIANS(I30))),('Geometry'!$G$18*COS(RADIANS(I30))+'Geometry'!$F$18*SIN(RADIANS(I30))),('Geometry'!$G$19*COS(RADIANS(I30))+'Geometry'!$F$19*SIN(RADIANS(I30))),('Geometry'!$G$20*COS(RADIANS(I30))+'Geometry'!$F$20*SIN(RADIANS(I30))))</f>
        <v>1372.7822990482728</v>
      </c>
      <c r="O30" s="15">
        <f>C_ecu</f>
        <v>0.0032999999999999982</v>
      </c>
      <c r="P30" s="15">
        <f>-K30*S_1_fy/S_1_Es</f>
        <v>-0.009999999999999998</v>
      </c>
      <c r="Q30" s="20">
        <f>IF(ABS(L30-M30)&lt;0.000000000001,0,(O30-P30)/(L30-M30))</f>
        <v>0.000010408526611197404</v>
      </c>
      <c r="R30" s="15">
        <f>O30-Q30*L30</f>
        <v>-0.0038443205455123515</v>
      </c>
      <c r="S30" s="20">
        <f>Q30*COS(RADIANS(I30))</f>
        <v>0.000010250397704141089</v>
      </c>
      <c r="T30" s="20">
        <f>Q30*SIN(RADIANS(I30))</f>
        <v>0.0000018074216782321795</v>
      </c>
      <c r="U30" s="10">
        <f>SUMPRODUCT(C_alpha*C_fck*(1-(1-((($R30+$S30*Mesh_Y+$T30*Mesh_X))*(($R30+$S30*Mesh_Y+$T30*Mesh_X)&gt;0)*(($R30+$S30*Mesh_Y+$T30*Mesh_X)&lt;C_eco)+C_eco*(($R30+$S30*Mesh_Y+$T30*Mesh_X)&gt;=C_eco))/C_eco)^C_n)*((($R30+$S30*Mesh_Y+$T30*Mesh_X))&gt;0),Mesh_A)/1000</f>
        <v>5222.789801544822</v>
      </c>
      <c r="V30" s="10">
        <f>SUMPRODUCT(C_alpha*C_fck*(1-(1-((($R30+$S30*Mesh_Y+$T30*Mesh_X))*(($R30+$S30*Mesh_Y+$T30*Mesh_X)&gt;0)*(($R30+$S30*Mesh_Y+$T30*Mesh_X)&lt;C_eco)+C_eco*(($R30+$S30*Mesh_Y+$T30*Mesh_X)&gt;=C_eco))/C_eco)^C_n)*((($R30+$S30*Mesh_Y+$T30*Mesh_X))&gt;0),Mesh_A,Mesh_Y)/1000000</f>
        <v>2586.78088179627</v>
      </c>
      <c r="W30" s="10">
        <f>SUMPRODUCT(C_alpha*C_fck*(1-(1-((($R30+$S30*Mesh_Y+$T30*Mesh_X))*(($R30+$S30*Mesh_Y+$T30*Mesh_X)&gt;0)*(($R30+$S30*Mesh_Y+$T30*Mesh_X)&lt;C_eco)+C_eco*(($R30+$S30*Mesh_Y+$T30*Mesh_X)&gt;=C_eco))/C_eco)^C_n)*((($R30+$S30*Mesh_Y+$T30*Mesh_X))&gt;0),Mesh_A,Mesh_X)/1000000</f>
        <v>934.1628878958867</v>
      </c>
      <c r="X30" s="10">
        <f>(((MAX(MIN(S_1_Es*($R30+$S30*'Geometry'!$G$40+$T30*'Geometry'!$F$40),S_1_fy),-S_1_fy))-(IF(($R30+$S30*'Geometry'!$G$40+$T30*'Geometry'!$F$40)&gt;0,IF(($R30+$S30*'Geometry'!$G$40+$T30*'Geometry'!$F$40)&lt;=C_eco,C_alpha*C_fck*(1-(1-($R30+$S30*'Geometry'!$G$40+$T30*'Geometry'!$F$40)/C_eco)^C_n),C_alpha*C_fck),0)))*'Geometry'!$H$40+((MAX(MIN(S_1_Es*($R30+$S30*'Geometry'!$G$41+$T30*'Geometry'!$F$41),S_1_fy),-S_1_fy))-(IF(($R30+$S30*'Geometry'!$G$41+$T30*'Geometry'!$F$41)&gt;0,IF(($R30+$S30*'Geometry'!$G$41+$T30*'Geometry'!$F$41)&lt;=C_eco,C_alpha*C_fck*(1-(1-($R30+$S30*'Geometry'!$G$41+$T30*'Geometry'!$F$41)/C_eco)^C_n),C_alpha*C_fck),0)))*'Geometry'!$H$41+((MAX(MIN(S_1_Es*($R30+$S30*'Geometry'!$G$42+$T30*'Geometry'!$F$42),S_1_fy),-S_1_fy))-(IF(($R30+$S30*'Geometry'!$G$42+$T30*'Geometry'!$F$42)&gt;0,IF(($R30+$S30*'Geometry'!$G$42+$T30*'Geometry'!$F$42)&lt;=C_eco,C_alpha*C_fck*(1-(1-($R30+$S30*'Geometry'!$G$42+$T30*'Geometry'!$F$42)/C_eco)^C_n),C_alpha*C_fck),0)))*'Geometry'!$H$42+((MAX(MIN(S_1_Es*($R30+$S30*'Geometry'!$G$43+$T30*'Geometry'!$F$43),S_1_fy),-S_1_fy))-(IF(($R30+$S30*'Geometry'!$G$43+$T30*'Geometry'!$F$43)&gt;0,IF(($R30+$S30*'Geometry'!$G$43+$T30*'Geometry'!$F$43)&lt;=C_eco,C_alpha*C_fck*(1-(1-($R30+$S30*'Geometry'!$G$43+$T30*'Geometry'!$F$43)/C_eco)^C_n),C_alpha*C_fck),0)))*'Geometry'!$H$43+((MAX(MIN(S_1_Es*($R30+$S30*'Geometry'!$G$44+$T30*'Geometry'!$F$44),S_1_fy),-S_1_fy))-(IF(($R30+$S30*'Geometry'!$G$44+$T30*'Geometry'!$F$44)&gt;0,IF(($R30+$S30*'Geometry'!$G$44+$T30*'Geometry'!$F$44)&lt;=C_eco,C_alpha*C_fck*(1-(1-($R30+$S30*'Geometry'!$G$44+$T30*'Geometry'!$F$44)/C_eco)^C_n),C_alpha*C_fck),0)))*'Geometry'!$H$44+((MAX(MIN(S_1_Es*($R30+$S30*'Geometry'!$G$45+$T30*'Geometry'!$F$45),S_1_fy),-S_1_fy))-(IF(($R30+$S30*'Geometry'!$G$45+$T30*'Geometry'!$F$45)&gt;0,IF(($R30+$S30*'Geometry'!$G$45+$T30*'Geometry'!$F$45)&lt;=C_eco,C_alpha*C_fck*(1-(1-($R30+$S30*'Geometry'!$G$45+$T30*'Geometry'!$F$45)/C_eco)^C_n),C_alpha*C_fck),0)))*'Geometry'!$H$45+((MAX(MIN(S_1_Es*($R30+$S30*'Geometry'!$G$46+$T30*'Geometry'!$F$46),S_1_fy),-S_1_fy))-(IF(($R30+$S30*'Geometry'!$G$46+$T30*'Geometry'!$F$46)&gt;0,IF(($R30+$S30*'Geometry'!$G$46+$T30*'Geometry'!$F$46)&lt;=C_eco,C_alpha*C_fck*(1-(1-($R30+$S30*'Geometry'!$G$46+$T30*'Geometry'!$F$46)/C_eco)^C_n),C_alpha*C_fck),0)))*'Geometry'!$H$46+((MAX(MIN(S_1_Es*($R30+$S30*'Geometry'!$G$47+$T30*'Geometry'!$F$47),S_1_fy),-S_1_fy))-(IF(($R30+$S30*'Geometry'!$G$47+$T30*'Geometry'!$F$47)&gt;0,IF(($R30+$S30*'Geometry'!$G$47+$T30*'Geometry'!$F$47)&lt;=C_eco,C_alpha*C_fck*(1-(1-($R30+$S30*'Geometry'!$G$47+$T30*'Geometry'!$F$47)/C_eco)^C_n),C_alpha*C_fck),0)))*'Geometry'!$H$47+((MAX(MIN(S_1_Es*($R30+$S30*'Geometry'!$G$48+$T30*'Geometry'!$F$48),S_1_fy),-S_1_fy))-(IF(($R30+$S30*'Geometry'!$G$48+$T30*'Geometry'!$F$48)&gt;0,IF(($R30+$S30*'Geometry'!$G$48+$T30*'Geometry'!$F$48)&lt;=C_eco,C_alpha*C_fck*(1-(1-($R30+$S30*'Geometry'!$G$48+$T30*'Geometry'!$F$48)/C_eco)^C_n),C_alpha*C_fck),0)))*'Geometry'!$H$48+((MAX(MIN(S_1_Es*($R30+$S30*'Geometry'!$G$49+$T30*'Geometry'!$F$49),S_1_fy),-S_1_fy))-(IF(($R30+$S30*'Geometry'!$G$49+$T30*'Geometry'!$F$49)&gt;0,IF(($R30+$S30*'Geometry'!$G$49+$T30*'Geometry'!$F$49)&lt;=C_eco,C_alpha*C_fck*(1-(1-($R30+$S30*'Geometry'!$G$49+$T30*'Geometry'!$F$49)/C_eco)^C_n),C_alpha*C_fck),0)))*'Geometry'!$H$49+((MAX(MIN(S_1_Es*($R30+$S30*'Geometry'!$G$50+$T30*'Geometry'!$F$50),S_1_fy),-S_1_fy))-(IF(($R30+$S30*'Geometry'!$G$50+$T30*'Geometry'!$F$50)&gt;0,IF(($R30+$S30*'Geometry'!$G$50+$T30*'Geometry'!$F$50)&lt;=C_eco,C_alpha*C_fck*(1-(1-($R30+$S30*'Geometry'!$G$50+$T30*'Geometry'!$F$50)/C_eco)^C_n),C_alpha*C_fck),0)))*'Geometry'!$H$50+((MAX(MIN(S_1_Es*($R30+$S30*'Geometry'!$G$51+$T30*'Geometry'!$F$51),S_1_fy),-S_1_fy))-(IF(($R30+$S30*'Geometry'!$G$51+$T30*'Geometry'!$F$51)&gt;0,IF(($R30+$S30*'Geometry'!$G$51+$T30*'Geometry'!$F$51)&lt;=C_eco,C_alpha*C_fck*(1-(1-($R30+$S30*'Geometry'!$G$51+$T30*'Geometry'!$F$51)/C_eco)^C_n),C_alpha*C_fck),0)))*'Geometry'!$H$51+((MAX(MIN(S_1_Es*($R30+$S30*'Geometry'!$G$52+$T30*'Geometry'!$F$52),S_1_fy),-S_1_fy))-(IF(($R30+$S30*'Geometry'!$G$52+$T30*'Geometry'!$F$52)&gt;0,IF(($R30+$S30*'Geometry'!$G$52+$T30*'Geometry'!$F$52)&lt;=C_eco,C_alpha*C_fck*(1-(1-($R30+$S30*'Geometry'!$G$52+$T30*'Geometry'!$F$52)/C_eco)^C_n),C_alpha*C_fck),0)))*'Geometry'!$H$52+((MAX(MIN(S_1_Es*($R30+$S30*'Geometry'!$G$53+$T30*'Geometry'!$F$53),S_1_fy),-S_1_fy))-(IF(($R30+$S30*'Geometry'!$G$53+$T30*'Geometry'!$F$53)&gt;0,IF(($R30+$S30*'Geometry'!$G$53+$T30*'Geometry'!$F$53)&lt;=C_eco,C_alpha*C_fck*(1-(1-($R30+$S30*'Geometry'!$G$53+$T30*'Geometry'!$F$53)/C_eco)^C_n),C_alpha*C_fck),0)))*'Geometry'!$H$53+((MAX(MIN(S_1_Es*($R30+$S30*'Geometry'!$G$54+$T30*'Geometry'!$F$54),S_1_fy),-S_1_fy))-(IF(($R30+$S30*'Geometry'!$G$54+$T30*'Geometry'!$F$54)&gt;0,IF(($R30+$S30*'Geometry'!$G$54+$T30*'Geometry'!$F$54)&lt;=C_eco,C_alpha*C_fck*(1-(1-($R30+$S30*'Geometry'!$G$54+$T30*'Geometry'!$F$54)/C_eco)^C_n),C_alpha*C_fck),0)))*'Geometry'!$H$54+((MAX(MIN(S_1_Es*($R30+$S30*'Geometry'!$G$55+$T30*'Geometry'!$F$55),S_1_fy),-S_1_fy))-(IF(($R30+$S30*'Geometry'!$G$55+$T30*'Geometry'!$F$55)&gt;0,IF(($R30+$S30*'Geometry'!$G$55+$T30*'Geometry'!$F$55)&lt;=C_eco,C_alpha*C_fck*(1-(1-($R30+$S30*'Geometry'!$G$55+$T30*'Geometry'!$F$55)/C_eco)^C_n),C_alpha*C_fck),0)))*'Geometry'!$H$55+((MAX(MIN(S_1_Es*($R30+$S30*'Geometry'!$G$56+$T30*'Geometry'!$F$56),S_1_fy),-S_1_fy))-(IF(($R30+$S30*'Geometry'!$G$56+$T30*'Geometry'!$F$56)&gt;0,IF(($R30+$S30*'Geometry'!$G$56+$T30*'Geometry'!$F$56)&lt;=C_eco,C_alpha*C_fck*(1-(1-($R30+$S30*'Geometry'!$G$56+$T30*'Geometry'!$F$56)/C_eco)^C_n),C_alpha*C_fck),0)))*'Geometry'!$H$56+((MAX(MIN(S_1_Es*($R30+$S30*'Geometry'!$G$57+$T30*'Geometry'!$F$57),S_1_fy),-S_1_fy))-(IF(($R30+$S30*'Geometry'!$G$57+$T30*'Geometry'!$F$57)&gt;0,IF(($R30+$S30*'Geometry'!$G$57+$T30*'Geometry'!$F$57)&lt;=C_eco,C_alpha*C_fck*(1-(1-($R30+$S30*'Geometry'!$G$57+$T30*'Geometry'!$F$57)/C_eco)^C_n),C_alpha*C_fck),0)))*'Geometry'!$H$57)/1000</f>
        <v>-2593.1956485452174</v>
      </c>
      <c r="Y30" s="10">
        <f>(((MAX(MIN(S_1_Es*($R30+$S30*'Geometry'!$G$40+$T30*'Geometry'!$F$40),S_1_fy),-S_1_fy))-(IF(($R30+$S30*'Geometry'!$G$40+$T30*'Geometry'!$F$40)&gt;0,IF(($R30+$S30*'Geometry'!$G$40+$T30*'Geometry'!$F$40)&lt;=C_eco,C_alpha*C_fck*(1-(1-($R30+$S30*'Geometry'!$G$40+$T30*'Geometry'!$F$40)/C_eco)^C_n),C_alpha*C_fck),0)))*'Geometry'!$H$40*'Geometry'!$G$40+((MAX(MIN(S_1_Es*($R30+$S30*'Geometry'!$G$41+$T30*'Geometry'!$F$41),S_1_fy),-S_1_fy))-(IF(($R30+$S30*'Geometry'!$G$41+$T30*'Geometry'!$F$41)&gt;0,IF(($R30+$S30*'Geometry'!$G$41+$T30*'Geometry'!$F$41)&lt;=C_eco,C_alpha*C_fck*(1-(1-($R30+$S30*'Geometry'!$G$41+$T30*'Geometry'!$F$41)/C_eco)^C_n),C_alpha*C_fck),0)))*'Geometry'!$H$41*'Geometry'!$G$41+((MAX(MIN(S_1_Es*($R30+$S30*'Geometry'!$G$42+$T30*'Geometry'!$F$42),S_1_fy),-S_1_fy))-(IF(($R30+$S30*'Geometry'!$G$42+$T30*'Geometry'!$F$42)&gt;0,IF(($R30+$S30*'Geometry'!$G$42+$T30*'Geometry'!$F$42)&lt;=C_eco,C_alpha*C_fck*(1-(1-($R30+$S30*'Geometry'!$G$42+$T30*'Geometry'!$F$42)/C_eco)^C_n),C_alpha*C_fck),0)))*'Geometry'!$H$42*'Geometry'!$G$42+((MAX(MIN(S_1_Es*($R30+$S30*'Geometry'!$G$43+$T30*'Geometry'!$F$43),S_1_fy),-S_1_fy))-(IF(($R30+$S30*'Geometry'!$G$43+$T30*'Geometry'!$F$43)&gt;0,IF(($R30+$S30*'Geometry'!$G$43+$T30*'Geometry'!$F$43)&lt;=C_eco,C_alpha*C_fck*(1-(1-($R30+$S30*'Geometry'!$G$43+$T30*'Geometry'!$F$43)/C_eco)^C_n),C_alpha*C_fck),0)))*'Geometry'!$H$43*'Geometry'!$G$43+((MAX(MIN(S_1_Es*($R30+$S30*'Geometry'!$G$44+$T30*'Geometry'!$F$44),S_1_fy),-S_1_fy))-(IF(($R30+$S30*'Geometry'!$G$44+$T30*'Geometry'!$F$44)&gt;0,IF(($R30+$S30*'Geometry'!$G$44+$T30*'Geometry'!$F$44)&lt;=C_eco,C_alpha*C_fck*(1-(1-($R30+$S30*'Geometry'!$G$44+$T30*'Geometry'!$F$44)/C_eco)^C_n),C_alpha*C_fck),0)))*'Geometry'!$H$44*'Geometry'!$G$44+((MAX(MIN(S_1_Es*($R30+$S30*'Geometry'!$G$45+$T30*'Geometry'!$F$45),S_1_fy),-S_1_fy))-(IF(($R30+$S30*'Geometry'!$G$45+$T30*'Geometry'!$F$45)&gt;0,IF(($R30+$S30*'Geometry'!$G$45+$T30*'Geometry'!$F$45)&lt;=C_eco,C_alpha*C_fck*(1-(1-($R30+$S30*'Geometry'!$G$45+$T30*'Geometry'!$F$45)/C_eco)^C_n),C_alpha*C_fck),0)))*'Geometry'!$H$45*'Geometry'!$G$45+((MAX(MIN(S_1_Es*($R30+$S30*'Geometry'!$G$46+$T30*'Geometry'!$F$46),S_1_fy),-S_1_fy))-(IF(($R30+$S30*'Geometry'!$G$46+$T30*'Geometry'!$F$46)&gt;0,IF(($R30+$S30*'Geometry'!$G$46+$T30*'Geometry'!$F$46)&lt;=C_eco,C_alpha*C_fck*(1-(1-($R30+$S30*'Geometry'!$G$46+$T30*'Geometry'!$F$46)/C_eco)^C_n),C_alpha*C_fck),0)))*'Geometry'!$H$46*'Geometry'!$G$46+((MAX(MIN(S_1_Es*($R30+$S30*'Geometry'!$G$47+$T30*'Geometry'!$F$47),S_1_fy),-S_1_fy))-(IF(($R30+$S30*'Geometry'!$G$47+$T30*'Geometry'!$F$47)&gt;0,IF(($R30+$S30*'Geometry'!$G$47+$T30*'Geometry'!$F$47)&lt;=C_eco,C_alpha*C_fck*(1-(1-($R30+$S30*'Geometry'!$G$47+$T30*'Geometry'!$F$47)/C_eco)^C_n),C_alpha*C_fck),0)))*'Geometry'!$H$47*'Geometry'!$G$47+((MAX(MIN(S_1_Es*($R30+$S30*'Geometry'!$G$48+$T30*'Geometry'!$F$48),S_1_fy),-S_1_fy))-(IF(($R30+$S30*'Geometry'!$G$48+$T30*'Geometry'!$F$48)&gt;0,IF(($R30+$S30*'Geometry'!$G$48+$T30*'Geometry'!$F$48)&lt;=C_eco,C_alpha*C_fck*(1-(1-($R30+$S30*'Geometry'!$G$48+$T30*'Geometry'!$F$48)/C_eco)^C_n),C_alpha*C_fck),0)))*'Geometry'!$H$48*'Geometry'!$G$48+((MAX(MIN(S_1_Es*($R30+$S30*'Geometry'!$G$49+$T30*'Geometry'!$F$49),S_1_fy),-S_1_fy))-(IF(($R30+$S30*'Geometry'!$G$49+$T30*'Geometry'!$F$49)&gt;0,IF(($R30+$S30*'Geometry'!$G$49+$T30*'Geometry'!$F$49)&lt;=C_eco,C_alpha*C_fck*(1-(1-($R30+$S30*'Geometry'!$G$49+$T30*'Geometry'!$F$49)/C_eco)^C_n),C_alpha*C_fck),0)))*'Geometry'!$H$49*'Geometry'!$G$49+((MAX(MIN(S_1_Es*($R30+$S30*'Geometry'!$G$50+$T30*'Geometry'!$F$50),S_1_fy),-S_1_fy))-(IF(($R30+$S30*'Geometry'!$G$50+$T30*'Geometry'!$F$50)&gt;0,IF(($R30+$S30*'Geometry'!$G$50+$T30*'Geometry'!$F$50)&lt;=C_eco,C_alpha*C_fck*(1-(1-($R30+$S30*'Geometry'!$G$50+$T30*'Geometry'!$F$50)/C_eco)^C_n),C_alpha*C_fck),0)))*'Geometry'!$H$50*'Geometry'!$G$50+((MAX(MIN(S_1_Es*($R30+$S30*'Geometry'!$G$51+$T30*'Geometry'!$F$51),S_1_fy),-S_1_fy))-(IF(($R30+$S30*'Geometry'!$G$51+$T30*'Geometry'!$F$51)&gt;0,IF(($R30+$S30*'Geometry'!$G$51+$T30*'Geometry'!$F$51)&lt;=C_eco,C_alpha*C_fck*(1-(1-($R30+$S30*'Geometry'!$G$51+$T30*'Geometry'!$F$51)/C_eco)^C_n),C_alpha*C_fck),0)))*'Geometry'!$H$51*'Geometry'!$G$51+((MAX(MIN(S_1_Es*($R30+$S30*'Geometry'!$G$52+$T30*'Geometry'!$F$52),S_1_fy),-S_1_fy))-(IF(($R30+$S30*'Geometry'!$G$52+$T30*'Geometry'!$F$52)&gt;0,IF(($R30+$S30*'Geometry'!$G$52+$T30*'Geometry'!$F$52)&lt;=C_eco,C_alpha*C_fck*(1-(1-($R30+$S30*'Geometry'!$G$52+$T30*'Geometry'!$F$52)/C_eco)^C_n),C_alpha*C_fck),0)))*'Geometry'!$H$52*'Geometry'!$G$52+((MAX(MIN(S_1_Es*($R30+$S30*'Geometry'!$G$53+$T30*'Geometry'!$F$53),S_1_fy),-S_1_fy))-(IF(($R30+$S30*'Geometry'!$G$53+$T30*'Geometry'!$F$53)&gt;0,IF(($R30+$S30*'Geometry'!$G$53+$T30*'Geometry'!$F$53)&lt;=C_eco,C_alpha*C_fck*(1-(1-($R30+$S30*'Geometry'!$G$53+$T30*'Geometry'!$F$53)/C_eco)^C_n),C_alpha*C_fck),0)))*'Geometry'!$H$53*'Geometry'!$G$53+((MAX(MIN(S_1_Es*($R30+$S30*'Geometry'!$G$54+$T30*'Geometry'!$F$54),S_1_fy),-S_1_fy))-(IF(($R30+$S30*'Geometry'!$G$54+$T30*'Geometry'!$F$54)&gt;0,IF(($R30+$S30*'Geometry'!$G$54+$T30*'Geometry'!$F$54)&lt;=C_eco,C_alpha*C_fck*(1-(1-($R30+$S30*'Geometry'!$G$54+$T30*'Geometry'!$F$54)/C_eco)^C_n),C_alpha*C_fck),0)))*'Geometry'!$H$54*'Geometry'!$G$54+((MAX(MIN(S_1_Es*($R30+$S30*'Geometry'!$G$55+$T30*'Geometry'!$F$55),S_1_fy),-S_1_fy))-(IF(($R30+$S30*'Geometry'!$G$55+$T30*'Geometry'!$F$55)&gt;0,IF(($R30+$S30*'Geometry'!$G$55+$T30*'Geometry'!$F$55)&lt;=C_eco,C_alpha*C_fck*(1-(1-($R30+$S30*'Geometry'!$G$55+$T30*'Geometry'!$F$55)/C_eco)^C_n),C_alpha*C_fck),0)))*'Geometry'!$H$55*'Geometry'!$G$55+((MAX(MIN(S_1_Es*($R30+$S30*'Geometry'!$G$56+$T30*'Geometry'!$F$56),S_1_fy),-S_1_fy))-(IF(($R30+$S30*'Geometry'!$G$56+$T30*'Geometry'!$F$56)&gt;0,IF(($R30+$S30*'Geometry'!$G$56+$T30*'Geometry'!$F$56)&lt;=C_eco,C_alpha*C_fck*(1-(1-($R30+$S30*'Geometry'!$G$56+$T30*'Geometry'!$F$56)/C_eco)^C_n),C_alpha*C_fck),0)))*'Geometry'!$H$56*'Geometry'!$G$56+((MAX(MIN(S_1_Es*($R30+$S30*'Geometry'!$G$57+$T30*'Geometry'!$F$57),S_1_fy),-S_1_fy))-(IF(($R30+$S30*'Geometry'!$G$57+$T30*'Geometry'!$F$57)&gt;0,IF(($R30+$S30*'Geometry'!$G$57+$T30*'Geometry'!$F$57)&lt;=C_eco,C_alpha*C_fck*(1-(1-($R30+$S30*'Geometry'!$G$57+$T30*'Geometry'!$F$57)/C_eco)^C_n),C_alpha*C_fck),0)))*'Geometry'!$H$57*'Geometry'!$G$57)/1000000</f>
        <v>1577.125936489673</v>
      </c>
      <c r="Z30" s="10">
        <f>(((MAX(MIN(S_1_Es*($R30+$S30*'Geometry'!$G$40+$T30*'Geometry'!$F$40),S_1_fy),-S_1_fy))-(IF(($R30+$S30*'Geometry'!$G$40+$T30*'Geometry'!$F$40)&gt;0,IF(($R30+$S30*'Geometry'!$G$40+$T30*'Geometry'!$F$40)&lt;=C_eco,C_alpha*C_fck*(1-(1-($R30+$S30*'Geometry'!$G$40+$T30*'Geometry'!$F$40)/C_eco)^C_n),C_alpha*C_fck),0)))*'Geometry'!$H$40*'Geometry'!$F$40+((MAX(MIN(S_1_Es*($R30+$S30*'Geometry'!$G$41+$T30*'Geometry'!$F$41),S_1_fy),-S_1_fy))-(IF(($R30+$S30*'Geometry'!$G$41+$T30*'Geometry'!$F$41)&gt;0,IF(($R30+$S30*'Geometry'!$G$41+$T30*'Geometry'!$F$41)&lt;=C_eco,C_alpha*C_fck*(1-(1-($R30+$S30*'Geometry'!$G$41+$T30*'Geometry'!$F$41)/C_eco)^C_n),C_alpha*C_fck),0)))*'Geometry'!$H$41*'Geometry'!$F$41+((MAX(MIN(S_1_Es*($R30+$S30*'Geometry'!$G$42+$T30*'Geometry'!$F$42),S_1_fy),-S_1_fy))-(IF(($R30+$S30*'Geometry'!$G$42+$T30*'Geometry'!$F$42)&gt;0,IF(($R30+$S30*'Geometry'!$G$42+$T30*'Geometry'!$F$42)&lt;=C_eco,C_alpha*C_fck*(1-(1-($R30+$S30*'Geometry'!$G$42+$T30*'Geometry'!$F$42)/C_eco)^C_n),C_alpha*C_fck),0)))*'Geometry'!$H$42*'Geometry'!$F$42+((MAX(MIN(S_1_Es*($R30+$S30*'Geometry'!$G$43+$T30*'Geometry'!$F$43),S_1_fy),-S_1_fy))-(IF(($R30+$S30*'Geometry'!$G$43+$T30*'Geometry'!$F$43)&gt;0,IF(($R30+$S30*'Geometry'!$G$43+$T30*'Geometry'!$F$43)&lt;=C_eco,C_alpha*C_fck*(1-(1-($R30+$S30*'Geometry'!$G$43+$T30*'Geometry'!$F$43)/C_eco)^C_n),C_alpha*C_fck),0)))*'Geometry'!$H$43*'Geometry'!$F$43+((MAX(MIN(S_1_Es*($R30+$S30*'Geometry'!$G$44+$T30*'Geometry'!$F$44),S_1_fy),-S_1_fy))-(IF(($R30+$S30*'Geometry'!$G$44+$T30*'Geometry'!$F$44)&gt;0,IF(($R30+$S30*'Geometry'!$G$44+$T30*'Geometry'!$F$44)&lt;=C_eco,C_alpha*C_fck*(1-(1-($R30+$S30*'Geometry'!$G$44+$T30*'Geometry'!$F$44)/C_eco)^C_n),C_alpha*C_fck),0)))*'Geometry'!$H$44*'Geometry'!$F$44+((MAX(MIN(S_1_Es*($R30+$S30*'Geometry'!$G$45+$T30*'Geometry'!$F$45),S_1_fy),-S_1_fy))-(IF(($R30+$S30*'Geometry'!$G$45+$T30*'Geometry'!$F$45)&gt;0,IF(($R30+$S30*'Geometry'!$G$45+$T30*'Geometry'!$F$45)&lt;=C_eco,C_alpha*C_fck*(1-(1-($R30+$S30*'Geometry'!$G$45+$T30*'Geometry'!$F$45)/C_eco)^C_n),C_alpha*C_fck),0)))*'Geometry'!$H$45*'Geometry'!$F$45+((MAX(MIN(S_1_Es*($R30+$S30*'Geometry'!$G$46+$T30*'Geometry'!$F$46),S_1_fy),-S_1_fy))-(IF(($R30+$S30*'Geometry'!$G$46+$T30*'Geometry'!$F$46)&gt;0,IF(($R30+$S30*'Geometry'!$G$46+$T30*'Geometry'!$F$46)&lt;=C_eco,C_alpha*C_fck*(1-(1-($R30+$S30*'Geometry'!$G$46+$T30*'Geometry'!$F$46)/C_eco)^C_n),C_alpha*C_fck),0)))*'Geometry'!$H$46*'Geometry'!$F$46+((MAX(MIN(S_1_Es*($R30+$S30*'Geometry'!$G$47+$T30*'Geometry'!$F$47),S_1_fy),-S_1_fy))-(IF(($R30+$S30*'Geometry'!$G$47+$T30*'Geometry'!$F$47)&gt;0,IF(($R30+$S30*'Geometry'!$G$47+$T30*'Geometry'!$F$47)&lt;=C_eco,C_alpha*C_fck*(1-(1-($R30+$S30*'Geometry'!$G$47+$T30*'Geometry'!$F$47)/C_eco)^C_n),C_alpha*C_fck),0)))*'Geometry'!$H$47*'Geometry'!$F$47+((MAX(MIN(S_1_Es*($R30+$S30*'Geometry'!$G$48+$T30*'Geometry'!$F$48),S_1_fy),-S_1_fy))-(IF(($R30+$S30*'Geometry'!$G$48+$T30*'Geometry'!$F$48)&gt;0,IF(($R30+$S30*'Geometry'!$G$48+$T30*'Geometry'!$F$48)&lt;=C_eco,C_alpha*C_fck*(1-(1-($R30+$S30*'Geometry'!$G$48+$T30*'Geometry'!$F$48)/C_eco)^C_n),C_alpha*C_fck),0)))*'Geometry'!$H$48*'Geometry'!$F$48+((MAX(MIN(S_1_Es*($R30+$S30*'Geometry'!$G$49+$T30*'Geometry'!$F$49),S_1_fy),-S_1_fy))-(IF(($R30+$S30*'Geometry'!$G$49+$T30*'Geometry'!$F$49)&gt;0,IF(($R30+$S30*'Geometry'!$G$49+$T30*'Geometry'!$F$49)&lt;=C_eco,C_alpha*C_fck*(1-(1-($R30+$S30*'Geometry'!$G$49+$T30*'Geometry'!$F$49)/C_eco)^C_n),C_alpha*C_fck),0)))*'Geometry'!$H$49*'Geometry'!$F$49+((MAX(MIN(S_1_Es*($R30+$S30*'Geometry'!$G$50+$T30*'Geometry'!$F$50),S_1_fy),-S_1_fy))-(IF(($R30+$S30*'Geometry'!$G$50+$T30*'Geometry'!$F$50)&gt;0,IF(($R30+$S30*'Geometry'!$G$50+$T30*'Geometry'!$F$50)&lt;=C_eco,C_alpha*C_fck*(1-(1-($R30+$S30*'Geometry'!$G$50+$T30*'Geometry'!$F$50)/C_eco)^C_n),C_alpha*C_fck),0)))*'Geometry'!$H$50*'Geometry'!$F$50+((MAX(MIN(S_1_Es*($R30+$S30*'Geometry'!$G$51+$T30*'Geometry'!$F$51),S_1_fy),-S_1_fy))-(IF(($R30+$S30*'Geometry'!$G$51+$T30*'Geometry'!$F$51)&gt;0,IF(($R30+$S30*'Geometry'!$G$51+$T30*'Geometry'!$F$51)&lt;=C_eco,C_alpha*C_fck*(1-(1-($R30+$S30*'Geometry'!$G$51+$T30*'Geometry'!$F$51)/C_eco)^C_n),C_alpha*C_fck),0)))*'Geometry'!$H$51*'Geometry'!$F$51+((MAX(MIN(S_1_Es*($R30+$S30*'Geometry'!$G$52+$T30*'Geometry'!$F$52),S_1_fy),-S_1_fy))-(IF(($R30+$S30*'Geometry'!$G$52+$T30*'Geometry'!$F$52)&gt;0,IF(($R30+$S30*'Geometry'!$G$52+$T30*'Geometry'!$F$52)&lt;=C_eco,C_alpha*C_fck*(1-(1-($R30+$S30*'Geometry'!$G$52+$T30*'Geometry'!$F$52)/C_eco)^C_n),C_alpha*C_fck),0)))*'Geometry'!$H$52*'Geometry'!$F$52+((MAX(MIN(S_1_Es*($R30+$S30*'Geometry'!$G$53+$T30*'Geometry'!$F$53),S_1_fy),-S_1_fy))-(IF(($R30+$S30*'Geometry'!$G$53+$T30*'Geometry'!$F$53)&gt;0,IF(($R30+$S30*'Geometry'!$G$53+$T30*'Geometry'!$F$53)&lt;=C_eco,C_alpha*C_fck*(1-(1-($R30+$S30*'Geometry'!$G$53+$T30*'Geometry'!$F$53)/C_eco)^C_n),C_alpha*C_fck),0)))*'Geometry'!$H$53*'Geometry'!$F$53+((MAX(MIN(S_1_Es*($R30+$S30*'Geometry'!$G$54+$T30*'Geometry'!$F$54),S_1_fy),-S_1_fy))-(IF(($R30+$S30*'Geometry'!$G$54+$T30*'Geometry'!$F$54)&gt;0,IF(($R30+$S30*'Geometry'!$G$54+$T30*'Geometry'!$F$54)&lt;=C_eco,C_alpha*C_fck*(1-(1-($R30+$S30*'Geometry'!$G$54+$T30*'Geometry'!$F$54)/C_eco)^C_n),C_alpha*C_fck),0)))*'Geometry'!$H$54*'Geometry'!$F$54+((MAX(MIN(S_1_Es*($R30+$S30*'Geometry'!$G$55+$T30*'Geometry'!$F$55),S_1_fy),-S_1_fy))-(IF(($R30+$S30*'Geometry'!$G$55+$T30*'Geometry'!$F$55)&gt;0,IF(($R30+$S30*'Geometry'!$G$55+$T30*'Geometry'!$F$55)&lt;=C_eco,C_alpha*C_fck*(1-(1-($R30+$S30*'Geometry'!$G$55+$T30*'Geometry'!$F$55)/C_eco)^C_n),C_alpha*C_fck),0)))*'Geometry'!$H$55*'Geometry'!$F$55+((MAX(MIN(S_1_Es*($R30+$S30*'Geometry'!$G$56+$T30*'Geometry'!$F$56),S_1_fy),-S_1_fy))-(IF(($R30+$S30*'Geometry'!$G$56+$T30*'Geometry'!$F$56)&gt;0,IF(($R30+$S30*'Geometry'!$G$56+$T30*'Geometry'!$F$56)&lt;=C_eco,C_alpha*C_fck*(1-(1-($R30+$S30*'Geometry'!$G$56+$T30*'Geometry'!$F$56)/C_eco)^C_n),C_alpha*C_fck),0)))*'Geometry'!$H$56*'Geometry'!$F$56+((MAX(MIN(S_1_Es*($R30+$S30*'Geometry'!$G$57+$T30*'Geometry'!$F$57),S_1_fy),-S_1_fy))-(IF(($R30+$S30*'Geometry'!$G$57+$T30*'Geometry'!$F$57)&gt;0,IF(($R30+$S30*'Geometry'!$G$57+$T30*'Geometry'!$F$57)&lt;=C_eco,C_alpha*C_fck*(1-(1-($R30+$S30*'Geometry'!$G$57+$T30*'Geometry'!$F$57)/C_eco)^C_n),C_alpha*C_fck),0)))*'Geometry'!$H$57*'Geometry'!$F$57)/1000000</f>
        <v>401.01037063218826</v>
      </c>
      <c r="AA30" s="10">
        <f>U30+X30</f>
        <v>2629.5941529996044</v>
      </c>
      <c r="AB30" s="10">
        <f>V30+Y30</f>
        <v>4163.906818285943</v>
      </c>
      <c r="AC30" s="10">
        <f>W30+Z30</f>
        <v>1335.173258528075</v>
      </c>
      <c r="AD30" s="7">
        <v>0.85</v>
      </c>
      <c r="AE30" s="7">
        <v>0.8500000000000001</v>
      </c>
      <c r="AF30" s="10">
        <f>AA30*AD30</f>
        <v>2235.1550300496638</v>
      </c>
      <c r="AG30" s="10">
        <f>AB30*AE30</f>
        <v>3539.3207955430516</v>
      </c>
      <c r="AH30" s="10">
        <f>AC30*AE30</f>
        <v>1134.8972697488637</v>
      </c>
      <c r="AI30" s="7">
        <v>2235.1550300496638</v>
      </c>
      <c r="AJ30" s="7">
        <v>3539.3207955430516</v>
      </c>
      <c r="AK30" s="7">
        <v>1134.8972697488637</v>
      </c>
      <c r="AL30" s="15">
        <f>AF30-AI30</f>
        <v>0</v>
      </c>
      <c r="AM30" s="15">
        <f>SQRT((AG30-AJ30)^2+(AH30-AK30)^2)</f>
        <v>0</v>
      </c>
      <c r="AN30" s="7" t="s">
        <v>189</v>
      </c>
      <c r="AO30" s="7">
        <v>2629.5941529996044</v>
      </c>
      <c r="AP30" s="7">
        <v>4163.906818285943</v>
      </c>
      <c r="AQ30" s="7">
        <v>1335.173258528075</v>
      </c>
      <c r="AR30" s="7">
        <v>5222.789801544822</v>
      </c>
      <c r="AS30" s="7">
        <v>2586.78088179627</v>
      </c>
      <c r="AT30" s="7">
        <v>934.1628878958867</v>
      </c>
      <c r="AU30" s="7">
        <v>-2593.1956485452174</v>
      </c>
      <c r="AV30" s="7">
        <v>1577.125936489673</v>
      </c>
      <c r="AW30" s="7">
        <v>401.01037063218826</v>
      </c>
    </row>
    <row r="31" spans="1:49" x14ac:dyDescent="0.25">
      <c r="A31">
        <v>24</v>
      </c>
      <c r="B31" t="s">
        <v>236</v>
      </c>
      <c r="C31" s="21">
        <f>$AF$31</f>
        <v>-110.72789530268886</v>
      </c>
      <c r="D31" s="22">
        <f>$AG$31*COS(RADIANS($C$5))+$AH$31*SIN(RADIANS($C$5))</f>
        <v>2639.867188372479</v>
      </c>
      <c r="G31" s="7" t="s">
        <v>237</v>
      </c>
      <c r="H31" s="7" t="s">
        <v>236</v>
      </c>
      <c r="I31" s="12">
        <v>10</v>
      </c>
      <c r="J31" s="7" t="s">
        <v>205</v>
      </c>
      <c r="K31" s="12">
        <v>7.5</v>
      </c>
      <c r="L31" s="10">
        <f>MAX(('Geometry'!$G$13*COS(RADIANS(I31))+'Geometry'!$F$13*SIN(RADIANS(I31))),('Geometry'!$G$14*COS(RADIANS(I31))+'Geometry'!$F$14*SIN(RADIANS(I31))),('Geometry'!$G$15*COS(RADIANS(I31))+'Geometry'!$F$15*SIN(RADIANS(I31))),('Geometry'!$G$16*COS(RADIANS(I31))+'Geometry'!$F$16*SIN(RADIANS(I31))),('Geometry'!$G$17*COS(RADIANS(I31))+'Geometry'!$F$17*SIN(RADIANS(I31))),('Geometry'!$G$18*COS(RADIANS(I31))+'Geometry'!$F$18*SIN(RADIANS(I31))),('Geometry'!$G$19*COS(RADIANS(I31))+'Geometry'!$F$19*SIN(RADIANS(I31))),('Geometry'!$G$20*COS(RADIANS(I31))+'Geometry'!$F$20*SIN(RADIANS(I31))))</f>
        <v>686.3911495241364</v>
      </c>
      <c r="M31" s="10">
        <f>MIN(('Geometry'!$G$40*COS(RADIANS(I31))+'Geometry'!$F$40*SIN(RADIANS(I31))),('Geometry'!$G$41*COS(RADIANS(I31))+'Geometry'!$F$41*SIN(RADIANS(I31))),('Geometry'!$G$42*COS(RADIANS(I31))+'Geometry'!$F$42*SIN(RADIANS(I31))),('Geometry'!$G$43*COS(RADIANS(I31))+'Geometry'!$F$43*SIN(RADIANS(I31))),('Geometry'!$G$44*COS(RADIANS(I31))+'Geometry'!$F$44*SIN(RADIANS(I31))),('Geometry'!$G$45*COS(RADIANS(I31))+'Geometry'!$F$45*SIN(RADIANS(I31))),('Geometry'!$G$46*COS(RADIANS(I31))+'Geometry'!$F$46*SIN(RADIANS(I31))),('Geometry'!$G$47*COS(RADIANS(I31))+'Geometry'!$F$47*SIN(RADIANS(I31))),('Geometry'!$G$48*COS(RADIANS(I31))+'Geometry'!$F$48*SIN(RADIANS(I31))),('Geometry'!$G$49*COS(RADIANS(I31))+'Geometry'!$F$49*SIN(RADIANS(I31))),('Geometry'!$G$50*COS(RADIANS(I31))+'Geometry'!$F$50*SIN(RADIANS(I31))),('Geometry'!$G$51*COS(RADIANS(I31))+'Geometry'!$F$51*SIN(RADIANS(I31))),('Geometry'!$G$52*COS(RADIANS(I31))+'Geometry'!$F$52*SIN(RADIANS(I31))),('Geometry'!$G$53*COS(RADIANS(I31))+'Geometry'!$F$53*SIN(RADIANS(I31))),('Geometry'!$G$54*COS(RADIANS(I31))+'Geometry'!$F$54*SIN(RADIANS(I31))),('Geometry'!$G$55*COS(RADIANS(I31))+'Geometry'!$F$55*SIN(RADIANS(I31))),('Geometry'!$G$56*COS(RADIANS(I31))+'Geometry'!$F$56*SIN(RADIANS(I31))),('Geometry'!$G$57*COS(RADIANS(I31))+'Geometry'!$F$57*SIN(RADIANS(I31))))</f>
        <v>-591.4073801632424</v>
      </c>
      <c r="N31" s="10">
        <f>L31-MIN(('Geometry'!$G$13*COS(RADIANS(I31))+'Geometry'!$F$13*SIN(RADIANS(I31))),('Geometry'!$G$14*COS(RADIANS(I31))+'Geometry'!$F$14*SIN(RADIANS(I31))),('Geometry'!$G$15*COS(RADIANS(I31))+'Geometry'!$F$15*SIN(RADIANS(I31))),('Geometry'!$G$16*COS(RADIANS(I31))+'Geometry'!$F$16*SIN(RADIANS(I31))),('Geometry'!$G$17*COS(RADIANS(I31))+'Geometry'!$F$17*SIN(RADIANS(I31))),('Geometry'!$G$18*COS(RADIANS(I31))+'Geometry'!$F$18*SIN(RADIANS(I31))),('Geometry'!$G$19*COS(RADIANS(I31))+'Geometry'!$F$19*SIN(RADIANS(I31))),('Geometry'!$G$20*COS(RADIANS(I31))+'Geometry'!$F$20*SIN(RADIANS(I31))))</f>
        <v>1372.7822990482728</v>
      </c>
      <c r="O31" s="15">
        <f>C_ecu</f>
        <v>0.0032999999999999982</v>
      </c>
      <c r="P31" s="15">
        <f>-K31*S_1_fy/S_1_Es</f>
        <v>-0.015</v>
      </c>
      <c r="Q31" s="20">
        <f>IF(ABS(L31-M31)&lt;0.000000000001,0,(O31-P31)/(L31-M31))</f>
        <v>0.000014321506540218986</v>
      </c>
      <c r="R31" s="15">
        <f>O31-Q31*L31</f>
        <v>-0.006530155337058348</v>
      </c>
      <c r="S31" s="20">
        <f>Q31*COS(RADIANS(I31))</f>
        <v>0.000014103930675622702</v>
      </c>
      <c r="T31" s="20">
        <f>Q31*SIN(RADIANS(I31))</f>
        <v>0.0000024869035121540515</v>
      </c>
      <c r="U31" s="10">
        <f>SUMPRODUCT(C_alpha*C_fck*(1-(1-((($R31+$S31*Mesh_Y+$T31*Mesh_X))*(($R31+$S31*Mesh_Y+$T31*Mesh_X)&gt;0)*(($R31+$S31*Mesh_Y+$T31*Mesh_X)&lt;C_eco)+C_eco*(($R31+$S31*Mesh_Y+$T31*Mesh_X)&gt;=C_eco))/C_eco)^C_n)*((($R31+$S31*Mesh_Y+$T31*Mesh_X))&gt;0),Mesh_A)/1000</f>
        <v>3130.2981424005684</v>
      </c>
      <c r="V31" s="10">
        <f>SUMPRODUCT(C_alpha*C_fck*(1-(1-((($R31+$S31*Mesh_Y+$T31*Mesh_X))*(($R31+$S31*Mesh_Y+$T31*Mesh_X)&gt;0)*(($R31+$S31*Mesh_Y+$T31*Mesh_X)&lt;C_eco)+C_eco*(($R31+$S31*Mesh_Y+$T31*Mesh_X)&gt;=C_eco))/C_eco)^C_n)*((($R31+$S31*Mesh_Y+$T31*Mesh_X))&gt;0),Mesh_A,Mesh_Y)/1000000</f>
        <v>1630.8065176059933</v>
      </c>
      <c r="W31" s="10">
        <f>SUMPRODUCT(C_alpha*C_fck*(1-(1-((($R31+$S31*Mesh_Y+$T31*Mesh_X))*(($R31+$S31*Mesh_Y+$T31*Mesh_X)&gt;0)*(($R31+$S31*Mesh_Y+$T31*Mesh_X)&lt;C_eco)+C_eco*(($R31+$S31*Mesh_Y+$T31*Mesh_X)&gt;=C_eco))/C_eco)^C_n)*((($R31+$S31*Mesh_Y+$T31*Mesh_X))&gt;0),Mesh_A,Mesh_X)/1000000</f>
        <v>799.292895900424</v>
      </c>
      <c r="X31" s="10">
        <f>(((MAX(MIN(S_1_Es*($R31+$S31*'Geometry'!$G$40+$T31*'Geometry'!$F$40),S_1_fy),-S_1_fy))-(IF(($R31+$S31*'Geometry'!$G$40+$T31*'Geometry'!$F$40)&gt;0,IF(($R31+$S31*'Geometry'!$G$40+$T31*'Geometry'!$F$40)&lt;=C_eco,C_alpha*C_fck*(1-(1-($R31+$S31*'Geometry'!$G$40+$T31*'Geometry'!$F$40)/C_eco)^C_n),C_alpha*C_fck),0)))*'Geometry'!$H$40+((MAX(MIN(S_1_Es*($R31+$S31*'Geometry'!$G$41+$T31*'Geometry'!$F$41),S_1_fy),-S_1_fy))-(IF(($R31+$S31*'Geometry'!$G$41+$T31*'Geometry'!$F$41)&gt;0,IF(($R31+$S31*'Geometry'!$G$41+$T31*'Geometry'!$F$41)&lt;=C_eco,C_alpha*C_fck*(1-(1-($R31+$S31*'Geometry'!$G$41+$T31*'Geometry'!$F$41)/C_eco)^C_n),C_alpha*C_fck),0)))*'Geometry'!$H$41+((MAX(MIN(S_1_Es*($R31+$S31*'Geometry'!$G$42+$T31*'Geometry'!$F$42),S_1_fy),-S_1_fy))-(IF(($R31+$S31*'Geometry'!$G$42+$T31*'Geometry'!$F$42)&gt;0,IF(($R31+$S31*'Geometry'!$G$42+$T31*'Geometry'!$F$42)&lt;=C_eco,C_alpha*C_fck*(1-(1-($R31+$S31*'Geometry'!$G$42+$T31*'Geometry'!$F$42)/C_eco)^C_n),C_alpha*C_fck),0)))*'Geometry'!$H$42+((MAX(MIN(S_1_Es*($R31+$S31*'Geometry'!$G$43+$T31*'Geometry'!$F$43),S_1_fy),-S_1_fy))-(IF(($R31+$S31*'Geometry'!$G$43+$T31*'Geometry'!$F$43)&gt;0,IF(($R31+$S31*'Geometry'!$G$43+$T31*'Geometry'!$F$43)&lt;=C_eco,C_alpha*C_fck*(1-(1-($R31+$S31*'Geometry'!$G$43+$T31*'Geometry'!$F$43)/C_eco)^C_n),C_alpha*C_fck),0)))*'Geometry'!$H$43+((MAX(MIN(S_1_Es*($R31+$S31*'Geometry'!$G$44+$T31*'Geometry'!$F$44),S_1_fy),-S_1_fy))-(IF(($R31+$S31*'Geometry'!$G$44+$T31*'Geometry'!$F$44)&gt;0,IF(($R31+$S31*'Geometry'!$G$44+$T31*'Geometry'!$F$44)&lt;=C_eco,C_alpha*C_fck*(1-(1-($R31+$S31*'Geometry'!$G$44+$T31*'Geometry'!$F$44)/C_eco)^C_n),C_alpha*C_fck),0)))*'Geometry'!$H$44+((MAX(MIN(S_1_Es*($R31+$S31*'Geometry'!$G$45+$T31*'Geometry'!$F$45),S_1_fy),-S_1_fy))-(IF(($R31+$S31*'Geometry'!$G$45+$T31*'Geometry'!$F$45)&gt;0,IF(($R31+$S31*'Geometry'!$G$45+$T31*'Geometry'!$F$45)&lt;=C_eco,C_alpha*C_fck*(1-(1-($R31+$S31*'Geometry'!$G$45+$T31*'Geometry'!$F$45)/C_eco)^C_n),C_alpha*C_fck),0)))*'Geometry'!$H$45+((MAX(MIN(S_1_Es*($R31+$S31*'Geometry'!$G$46+$T31*'Geometry'!$F$46),S_1_fy),-S_1_fy))-(IF(($R31+$S31*'Geometry'!$G$46+$T31*'Geometry'!$F$46)&gt;0,IF(($R31+$S31*'Geometry'!$G$46+$T31*'Geometry'!$F$46)&lt;=C_eco,C_alpha*C_fck*(1-(1-($R31+$S31*'Geometry'!$G$46+$T31*'Geometry'!$F$46)/C_eco)^C_n),C_alpha*C_fck),0)))*'Geometry'!$H$46+((MAX(MIN(S_1_Es*($R31+$S31*'Geometry'!$G$47+$T31*'Geometry'!$F$47),S_1_fy),-S_1_fy))-(IF(($R31+$S31*'Geometry'!$G$47+$T31*'Geometry'!$F$47)&gt;0,IF(($R31+$S31*'Geometry'!$G$47+$T31*'Geometry'!$F$47)&lt;=C_eco,C_alpha*C_fck*(1-(1-($R31+$S31*'Geometry'!$G$47+$T31*'Geometry'!$F$47)/C_eco)^C_n),C_alpha*C_fck),0)))*'Geometry'!$H$47+((MAX(MIN(S_1_Es*($R31+$S31*'Geometry'!$G$48+$T31*'Geometry'!$F$48),S_1_fy),-S_1_fy))-(IF(($R31+$S31*'Geometry'!$G$48+$T31*'Geometry'!$F$48)&gt;0,IF(($R31+$S31*'Geometry'!$G$48+$T31*'Geometry'!$F$48)&lt;=C_eco,C_alpha*C_fck*(1-(1-($R31+$S31*'Geometry'!$G$48+$T31*'Geometry'!$F$48)/C_eco)^C_n),C_alpha*C_fck),0)))*'Geometry'!$H$48+((MAX(MIN(S_1_Es*($R31+$S31*'Geometry'!$G$49+$T31*'Geometry'!$F$49),S_1_fy),-S_1_fy))-(IF(($R31+$S31*'Geometry'!$G$49+$T31*'Geometry'!$F$49)&gt;0,IF(($R31+$S31*'Geometry'!$G$49+$T31*'Geometry'!$F$49)&lt;=C_eco,C_alpha*C_fck*(1-(1-($R31+$S31*'Geometry'!$G$49+$T31*'Geometry'!$F$49)/C_eco)^C_n),C_alpha*C_fck),0)))*'Geometry'!$H$49+((MAX(MIN(S_1_Es*($R31+$S31*'Geometry'!$G$50+$T31*'Geometry'!$F$50),S_1_fy),-S_1_fy))-(IF(($R31+$S31*'Geometry'!$G$50+$T31*'Geometry'!$F$50)&gt;0,IF(($R31+$S31*'Geometry'!$G$50+$T31*'Geometry'!$F$50)&lt;=C_eco,C_alpha*C_fck*(1-(1-($R31+$S31*'Geometry'!$G$50+$T31*'Geometry'!$F$50)/C_eco)^C_n),C_alpha*C_fck),0)))*'Geometry'!$H$50+((MAX(MIN(S_1_Es*($R31+$S31*'Geometry'!$G$51+$T31*'Geometry'!$F$51),S_1_fy),-S_1_fy))-(IF(($R31+$S31*'Geometry'!$G$51+$T31*'Geometry'!$F$51)&gt;0,IF(($R31+$S31*'Geometry'!$G$51+$T31*'Geometry'!$F$51)&lt;=C_eco,C_alpha*C_fck*(1-(1-($R31+$S31*'Geometry'!$G$51+$T31*'Geometry'!$F$51)/C_eco)^C_n),C_alpha*C_fck),0)))*'Geometry'!$H$51+((MAX(MIN(S_1_Es*($R31+$S31*'Geometry'!$G$52+$T31*'Geometry'!$F$52),S_1_fy),-S_1_fy))-(IF(($R31+$S31*'Geometry'!$G$52+$T31*'Geometry'!$F$52)&gt;0,IF(($R31+$S31*'Geometry'!$G$52+$T31*'Geometry'!$F$52)&lt;=C_eco,C_alpha*C_fck*(1-(1-($R31+$S31*'Geometry'!$G$52+$T31*'Geometry'!$F$52)/C_eco)^C_n),C_alpha*C_fck),0)))*'Geometry'!$H$52+((MAX(MIN(S_1_Es*($R31+$S31*'Geometry'!$G$53+$T31*'Geometry'!$F$53),S_1_fy),-S_1_fy))-(IF(($R31+$S31*'Geometry'!$G$53+$T31*'Geometry'!$F$53)&gt;0,IF(($R31+$S31*'Geometry'!$G$53+$T31*'Geometry'!$F$53)&lt;=C_eco,C_alpha*C_fck*(1-(1-($R31+$S31*'Geometry'!$G$53+$T31*'Geometry'!$F$53)/C_eco)^C_n),C_alpha*C_fck),0)))*'Geometry'!$H$53+((MAX(MIN(S_1_Es*($R31+$S31*'Geometry'!$G$54+$T31*'Geometry'!$F$54),S_1_fy),-S_1_fy))-(IF(($R31+$S31*'Geometry'!$G$54+$T31*'Geometry'!$F$54)&gt;0,IF(($R31+$S31*'Geometry'!$G$54+$T31*'Geometry'!$F$54)&lt;=C_eco,C_alpha*C_fck*(1-(1-($R31+$S31*'Geometry'!$G$54+$T31*'Geometry'!$F$54)/C_eco)^C_n),C_alpha*C_fck),0)))*'Geometry'!$H$54+((MAX(MIN(S_1_Es*($R31+$S31*'Geometry'!$G$55+$T31*'Geometry'!$F$55),S_1_fy),-S_1_fy))-(IF(($R31+$S31*'Geometry'!$G$55+$T31*'Geometry'!$F$55)&gt;0,IF(($R31+$S31*'Geometry'!$G$55+$T31*'Geometry'!$F$55)&lt;=C_eco,C_alpha*C_fck*(1-(1-($R31+$S31*'Geometry'!$G$55+$T31*'Geometry'!$F$55)/C_eco)^C_n),C_alpha*C_fck),0)))*'Geometry'!$H$55+((MAX(MIN(S_1_Es*($R31+$S31*'Geometry'!$G$56+$T31*'Geometry'!$F$56),S_1_fy),-S_1_fy))-(IF(($R31+$S31*'Geometry'!$G$56+$T31*'Geometry'!$F$56)&gt;0,IF(($R31+$S31*'Geometry'!$G$56+$T31*'Geometry'!$F$56)&lt;=C_eco,C_alpha*C_fck*(1-(1-($R31+$S31*'Geometry'!$G$56+$T31*'Geometry'!$F$56)/C_eco)^C_n),C_alpha*C_fck),0)))*'Geometry'!$H$56+((MAX(MIN(S_1_Es*($R31+$S31*'Geometry'!$G$57+$T31*'Geometry'!$F$57),S_1_fy),-S_1_fy))-(IF(($R31+$S31*'Geometry'!$G$57+$T31*'Geometry'!$F$57)&gt;0,IF(($R31+$S31*'Geometry'!$G$57+$T31*'Geometry'!$F$57)&lt;=C_eco,C_alpha*C_fck*(1-(1-($R31+$S31*'Geometry'!$G$57+$T31*'Geometry'!$F$57)/C_eco)^C_n),C_alpha*C_fck),0)))*'Geometry'!$H$57)/1000</f>
        <v>-3260.5662545213786</v>
      </c>
      <c r="Y31" s="10">
        <f>(((MAX(MIN(S_1_Es*($R31+$S31*'Geometry'!$G$40+$T31*'Geometry'!$F$40),S_1_fy),-S_1_fy))-(IF(($R31+$S31*'Geometry'!$G$40+$T31*'Geometry'!$F$40)&gt;0,IF(($R31+$S31*'Geometry'!$G$40+$T31*'Geometry'!$F$40)&lt;=C_eco,C_alpha*C_fck*(1-(1-($R31+$S31*'Geometry'!$G$40+$T31*'Geometry'!$F$40)/C_eco)^C_n),C_alpha*C_fck),0)))*'Geometry'!$H$40*'Geometry'!$G$40+((MAX(MIN(S_1_Es*($R31+$S31*'Geometry'!$G$41+$T31*'Geometry'!$F$41),S_1_fy),-S_1_fy))-(IF(($R31+$S31*'Geometry'!$G$41+$T31*'Geometry'!$F$41)&gt;0,IF(($R31+$S31*'Geometry'!$G$41+$T31*'Geometry'!$F$41)&lt;=C_eco,C_alpha*C_fck*(1-(1-($R31+$S31*'Geometry'!$G$41+$T31*'Geometry'!$F$41)/C_eco)^C_n),C_alpha*C_fck),0)))*'Geometry'!$H$41*'Geometry'!$G$41+((MAX(MIN(S_1_Es*($R31+$S31*'Geometry'!$G$42+$T31*'Geometry'!$F$42),S_1_fy),-S_1_fy))-(IF(($R31+$S31*'Geometry'!$G$42+$T31*'Geometry'!$F$42)&gt;0,IF(($R31+$S31*'Geometry'!$G$42+$T31*'Geometry'!$F$42)&lt;=C_eco,C_alpha*C_fck*(1-(1-($R31+$S31*'Geometry'!$G$42+$T31*'Geometry'!$F$42)/C_eco)^C_n),C_alpha*C_fck),0)))*'Geometry'!$H$42*'Geometry'!$G$42+((MAX(MIN(S_1_Es*($R31+$S31*'Geometry'!$G$43+$T31*'Geometry'!$F$43),S_1_fy),-S_1_fy))-(IF(($R31+$S31*'Geometry'!$G$43+$T31*'Geometry'!$F$43)&gt;0,IF(($R31+$S31*'Geometry'!$G$43+$T31*'Geometry'!$F$43)&lt;=C_eco,C_alpha*C_fck*(1-(1-($R31+$S31*'Geometry'!$G$43+$T31*'Geometry'!$F$43)/C_eco)^C_n),C_alpha*C_fck),0)))*'Geometry'!$H$43*'Geometry'!$G$43+((MAX(MIN(S_1_Es*($R31+$S31*'Geometry'!$G$44+$T31*'Geometry'!$F$44),S_1_fy),-S_1_fy))-(IF(($R31+$S31*'Geometry'!$G$44+$T31*'Geometry'!$F$44)&gt;0,IF(($R31+$S31*'Geometry'!$G$44+$T31*'Geometry'!$F$44)&lt;=C_eco,C_alpha*C_fck*(1-(1-($R31+$S31*'Geometry'!$G$44+$T31*'Geometry'!$F$44)/C_eco)^C_n),C_alpha*C_fck),0)))*'Geometry'!$H$44*'Geometry'!$G$44+((MAX(MIN(S_1_Es*($R31+$S31*'Geometry'!$G$45+$T31*'Geometry'!$F$45),S_1_fy),-S_1_fy))-(IF(($R31+$S31*'Geometry'!$G$45+$T31*'Geometry'!$F$45)&gt;0,IF(($R31+$S31*'Geometry'!$G$45+$T31*'Geometry'!$F$45)&lt;=C_eco,C_alpha*C_fck*(1-(1-($R31+$S31*'Geometry'!$G$45+$T31*'Geometry'!$F$45)/C_eco)^C_n),C_alpha*C_fck),0)))*'Geometry'!$H$45*'Geometry'!$G$45+((MAX(MIN(S_1_Es*($R31+$S31*'Geometry'!$G$46+$T31*'Geometry'!$F$46),S_1_fy),-S_1_fy))-(IF(($R31+$S31*'Geometry'!$G$46+$T31*'Geometry'!$F$46)&gt;0,IF(($R31+$S31*'Geometry'!$G$46+$T31*'Geometry'!$F$46)&lt;=C_eco,C_alpha*C_fck*(1-(1-($R31+$S31*'Geometry'!$G$46+$T31*'Geometry'!$F$46)/C_eco)^C_n),C_alpha*C_fck),0)))*'Geometry'!$H$46*'Geometry'!$G$46+((MAX(MIN(S_1_Es*($R31+$S31*'Geometry'!$G$47+$T31*'Geometry'!$F$47),S_1_fy),-S_1_fy))-(IF(($R31+$S31*'Geometry'!$G$47+$T31*'Geometry'!$F$47)&gt;0,IF(($R31+$S31*'Geometry'!$G$47+$T31*'Geometry'!$F$47)&lt;=C_eco,C_alpha*C_fck*(1-(1-($R31+$S31*'Geometry'!$G$47+$T31*'Geometry'!$F$47)/C_eco)^C_n),C_alpha*C_fck),0)))*'Geometry'!$H$47*'Geometry'!$G$47+((MAX(MIN(S_1_Es*($R31+$S31*'Geometry'!$G$48+$T31*'Geometry'!$F$48),S_1_fy),-S_1_fy))-(IF(($R31+$S31*'Geometry'!$G$48+$T31*'Geometry'!$F$48)&gt;0,IF(($R31+$S31*'Geometry'!$G$48+$T31*'Geometry'!$F$48)&lt;=C_eco,C_alpha*C_fck*(1-(1-($R31+$S31*'Geometry'!$G$48+$T31*'Geometry'!$F$48)/C_eco)^C_n),C_alpha*C_fck),0)))*'Geometry'!$H$48*'Geometry'!$G$48+((MAX(MIN(S_1_Es*($R31+$S31*'Geometry'!$G$49+$T31*'Geometry'!$F$49),S_1_fy),-S_1_fy))-(IF(($R31+$S31*'Geometry'!$G$49+$T31*'Geometry'!$F$49)&gt;0,IF(($R31+$S31*'Geometry'!$G$49+$T31*'Geometry'!$F$49)&lt;=C_eco,C_alpha*C_fck*(1-(1-($R31+$S31*'Geometry'!$G$49+$T31*'Geometry'!$F$49)/C_eco)^C_n),C_alpha*C_fck),0)))*'Geometry'!$H$49*'Geometry'!$G$49+((MAX(MIN(S_1_Es*($R31+$S31*'Geometry'!$G$50+$T31*'Geometry'!$F$50),S_1_fy),-S_1_fy))-(IF(($R31+$S31*'Geometry'!$G$50+$T31*'Geometry'!$F$50)&gt;0,IF(($R31+$S31*'Geometry'!$G$50+$T31*'Geometry'!$F$50)&lt;=C_eco,C_alpha*C_fck*(1-(1-($R31+$S31*'Geometry'!$G$50+$T31*'Geometry'!$F$50)/C_eco)^C_n),C_alpha*C_fck),0)))*'Geometry'!$H$50*'Geometry'!$G$50+((MAX(MIN(S_1_Es*($R31+$S31*'Geometry'!$G$51+$T31*'Geometry'!$F$51),S_1_fy),-S_1_fy))-(IF(($R31+$S31*'Geometry'!$G$51+$T31*'Geometry'!$F$51)&gt;0,IF(($R31+$S31*'Geometry'!$G$51+$T31*'Geometry'!$F$51)&lt;=C_eco,C_alpha*C_fck*(1-(1-($R31+$S31*'Geometry'!$G$51+$T31*'Geometry'!$F$51)/C_eco)^C_n),C_alpha*C_fck),0)))*'Geometry'!$H$51*'Geometry'!$G$51+((MAX(MIN(S_1_Es*($R31+$S31*'Geometry'!$G$52+$T31*'Geometry'!$F$52),S_1_fy),-S_1_fy))-(IF(($R31+$S31*'Geometry'!$G$52+$T31*'Geometry'!$F$52)&gt;0,IF(($R31+$S31*'Geometry'!$G$52+$T31*'Geometry'!$F$52)&lt;=C_eco,C_alpha*C_fck*(1-(1-($R31+$S31*'Geometry'!$G$52+$T31*'Geometry'!$F$52)/C_eco)^C_n),C_alpha*C_fck),0)))*'Geometry'!$H$52*'Geometry'!$G$52+((MAX(MIN(S_1_Es*($R31+$S31*'Geometry'!$G$53+$T31*'Geometry'!$F$53),S_1_fy),-S_1_fy))-(IF(($R31+$S31*'Geometry'!$G$53+$T31*'Geometry'!$F$53)&gt;0,IF(($R31+$S31*'Geometry'!$G$53+$T31*'Geometry'!$F$53)&lt;=C_eco,C_alpha*C_fck*(1-(1-($R31+$S31*'Geometry'!$G$53+$T31*'Geometry'!$F$53)/C_eco)^C_n),C_alpha*C_fck),0)))*'Geometry'!$H$53*'Geometry'!$G$53+((MAX(MIN(S_1_Es*($R31+$S31*'Geometry'!$G$54+$T31*'Geometry'!$F$54),S_1_fy),-S_1_fy))-(IF(($R31+$S31*'Geometry'!$G$54+$T31*'Geometry'!$F$54)&gt;0,IF(($R31+$S31*'Geometry'!$G$54+$T31*'Geometry'!$F$54)&lt;=C_eco,C_alpha*C_fck*(1-(1-($R31+$S31*'Geometry'!$G$54+$T31*'Geometry'!$F$54)/C_eco)^C_n),C_alpha*C_fck),0)))*'Geometry'!$H$54*'Geometry'!$G$54+((MAX(MIN(S_1_Es*($R31+$S31*'Geometry'!$G$55+$T31*'Geometry'!$F$55),S_1_fy),-S_1_fy))-(IF(($R31+$S31*'Geometry'!$G$55+$T31*'Geometry'!$F$55)&gt;0,IF(($R31+$S31*'Geometry'!$G$55+$T31*'Geometry'!$F$55)&lt;=C_eco,C_alpha*C_fck*(1-(1-($R31+$S31*'Geometry'!$G$55+$T31*'Geometry'!$F$55)/C_eco)^C_n),C_alpha*C_fck),0)))*'Geometry'!$H$55*'Geometry'!$G$55+((MAX(MIN(S_1_Es*($R31+$S31*'Geometry'!$G$56+$T31*'Geometry'!$F$56),S_1_fy),-S_1_fy))-(IF(($R31+$S31*'Geometry'!$G$56+$T31*'Geometry'!$F$56)&gt;0,IF(($R31+$S31*'Geometry'!$G$56+$T31*'Geometry'!$F$56)&lt;=C_eco,C_alpha*C_fck*(1-(1-($R31+$S31*'Geometry'!$G$56+$T31*'Geometry'!$F$56)/C_eco)^C_n),C_alpha*C_fck),0)))*'Geometry'!$H$56*'Geometry'!$G$56+((MAX(MIN(S_1_Es*($R31+$S31*'Geometry'!$G$57+$T31*'Geometry'!$F$57),S_1_fy),-S_1_fy))-(IF(($R31+$S31*'Geometry'!$G$57+$T31*'Geometry'!$F$57)&gt;0,IF(($R31+$S31*'Geometry'!$G$57+$T31*'Geometry'!$F$57)&lt;=C_eco,C_alpha*C_fck*(1-(1-($R31+$S31*'Geometry'!$G$57+$T31*'Geometry'!$F$57)/C_eco)^C_n),C_alpha*C_fck),0)))*'Geometry'!$H$57*'Geometry'!$G$57)/1000000</f>
        <v>1289.4072172119902</v>
      </c>
      <c r="Z31" s="10">
        <f>(((MAX(MIN(S_1_Es*($R31+$S31*'Geometry'!$G$40+$T31*'Geometry'!$F$40),S_1_fy),-S_1_fy))-(IF(($R31+$S31*'Geometry'!$G$40+$T31*'Geometry'!$F$40)&gt;0,IF(($R31+$S31*'Geometry'!$G$40+$T31*'Geometry'!$F$40)&lt;=C_eco,C_alpha*C_fck*(1-(1-($R31+$S31*'Geometry'!$G$40+$T31*'Geometry'!$F$40)/C_eco)^C_n),C_alpha*C_fck),0)))*'Geometry'!$H$40*'Geometry'!$F$40+((MAX(MIN(S_1_Es*($R31+$S31*'Geometry'!$G$41+$T31*'Geometry'!$F$41),S_1_fy),-S_1_fy))-(IF(($R31+$S31*'Geometry'!$G$41+$T31*'Geometry'!$F$41)&gt;0,IF(($R31+$S31*'Geometry'!$G$41+$T31*'Geometry'!$F$41)&lt;=C_eco,C_alpha*C_fck*(1-(1-($R31+$S31*'Geometry'!$G$41+$T31*'Geometry'!$F$41)/C_eco)^C_n),C_alpha*C_fck),0)))*'Geometry'!$H$41*'Geometry'!$F$41+((MAX(MIN(S_1_Es*($R31+$S31*'Geometry'!$G$42+$T31*'Geometry'!$F$42),S_1_fy),-S_1_fy))-(IF(($R31+$S31*'Geometry'!$G$42+$T31*'Geometry'!$F$42)&gt;0,IF(($R31+$S31*'Geometry'!$G$42+$T31*'Geometry'!$F$42)&lt;=C_eco,C_alpha*C_fck*(1-(1-($R31+$S31*'Geometry'!$G$42+$T31*'Geometry'!$F$42)/C_eco)^C_n),C_alpha*C_fck),0)))*'Geometry'!$H$42*'Geometry'!$F$42+((MAX(MIN(S_1_Es*($R31+$S31*'Geometry'!$G$43+$T31*'Geometry'!$F$43),S_1_fy),-S_1_fy))-(IF(($R31+$S31*'Geometry'!$G$43+$T31*'Geometry'!$F$43)&gt;0,IF(($R31+$S31*'Geometry'!$G$43+$T31*'Geometry'!$F$43)&lt;=C_eco,C_alpha*C_fck*(1-(1-($R31+$S31*'Geometry'!$G$43+$T31*'Geometry'!$F$43)/C_eco)^C_n),C_alpha*C_fck),0)))*'Geometry'!$H$43*'Geometry'!$F$43+((MAX(MIN(S_1_Es*($R31+$S31*'Geometry'!$G$44+$T31*'Geometry'!$F$44),S_1_fy),-S_1_fy))-(IF(($R31+$S31*'Geometry'!$G$44+$T31*'Geometry'!$F$44)&gt;0,IF(($R31+$S31*'Geometry'!$G$44+$T31*'Geometry'!$F$44)&lt;=C_eco,C_alpha*C_fck*(1-(1-($R31+$S31*'Geometry'!$G$44+$T31*'Geometry'!$F$44)/C_eco)^C_n),C_alpha*C_fck),0)))*'Geometry'!$H$44*'Geometry'!$F$44+((MAX(MIN(S_1_Es*($R31+$S31*'Geometry'!$G$45+$T31*'Geometry'!$F$45),S_1_fy),-S_1_fy))-(IF(($R31+$S31*'Geometry'!$G$45+$T31*'Geometry'!$F$45)&gt;0,IF(($R31+$S31*'Geometry'!$G$45+$T31*'Geometry'!$F$45)&lt;=C_eco,C_alpha*C_fck*(1-(1-($R31+$S31*'Geometry'!$G$45+$T31*'Geometry'!$F$45)/C_eco)^C_n),C_alpha*C_fck),0)))*'Geometry'!$H$45*'Geometry'!$F$45+((MAX(MIN(S_1_Es*($R31+$S31*'Geometry'!$G$46+$T31*'Geometry'!$F$46),S_1_fy),-S_1_fy))-(IF(($R31+$S31*'Geometry'!$G$46+$T31*'Geometry'!$F$46)&gt;0,IF(($R31+$S31*'Geometry'!$G$46+$T31*'Geometry'!$F$46)&lt;=C_eco,C_alpha*C_fck*(1-(1-($R31+$S31*'Geometry'!$G$46+$T31*'Geometry'!$F$46)/C_eco)^C_n),C_alpha*C_fck),0)))*'Geometry'!$H$46*'Geometry'!$F$46+((MAX(MIN(S_1_Es*($R31+$S31*'Geometry'!$G$47+$T31*'Geometry'!$F$47),S_1_fy),-S_1_fy))-(IF(($R31+$S31*'Geometry'!$G$47+$T31*'Geometry'!$F$47)&gt;0,IF(($R31+$S31*'Geometry'!$G$47+$T31*'Geometry'!$F$47)&lt;=C_eco,C_alpha*C_fck*(1-(1-($R31+$S31*'Geometry'!$G$47+$T31*'Geometry'!$F$47)/C_eco)^C_n),C_alpha*C_fck),0)))*'Geometry'!$H$47*'Geometry'!$F$47+((MAX(MIN(S_1_Es*($R31+$S31*'Geometry'!$G$48+$T31*'Geometry'!$F$48),S_1_fy),-S_1_fy))-(IF(($R31+$S31*'Geometry'!$G$48+$T31*'Geometry'!$F$48)&gt;0,IF(($R31+$S31*'Geometry'!$G$48+$T31*'Geometry'!$F$48)&lt;=C_eco,C_alpha*C_fck*(1-(1-($R31+$S31*'Geometry'!$G$48+$T31*'Geometry'!$F$48)/C_eco)^C_n),C_alpha*C_fck),0)))*'Geometry'!$H$48*'Geometry'!$F$48+((MAX(MIN(S_1_Es*($R31+$S31*'Geometry'!$G$49+$T31*'Geometry'!$F$49),S_1_fy),-S_1_fy))-(IF(($R31+$S31*'Geometry'!$G$49+$T31*'Geometry'!$F$49)&gt;0,IF(($R31+$S31*'Geometry'!$G$49+$T31*'Geometry'!$F$49)&lt;=C_eco,C_alpha*C_fck*(1-(1-($R31+$S31*'Geometry'!$G$49+$T31*'Geometry'!$F$49)/C_eco)^C_n),C_alpha*C_fck),0)))*'Geometry'!$H$49*'Geometry'!$F$49+((MAX(MIN(S_1_Es*($R31+$S31*'Geometry'!$G$50+$T31*'Geometry'!$F$50),S_1_fy),-S_1_fy))-(IF(($R31+$S31*'Geometry'!$G$50+$T31*'Geometry'!$F$50)&gt;0,IF(($R31+$S31*'Geometry'!$G$50+$T31*'Geometry'!$F$50)&lt;=C_eco,C_alpha*C_fck*(1-(1-($R31+$S31*'Geometry'!$G$50+$T31*'Geometry'!$F$50)/C_eco)^C_n),C_alpha*C_fck),0)))*'Geometry'!$H$50*'Geometry'!$F$50+((MAX(MIN(S_1_Es*($R31+$S31*'Geometry'!$G$51+$T31*'Geometry'!$F$51),S_1_fy),-S_1_fy))-(IF(($R31+$S31*'Geometry'!$G$51+$T31*'Geometry'!$F$51)&gt;0,IF(($R31+$S31*'Geometry'!$G$51+$T31*'Geometry'!$F$51)&lt;=C_eco,C_alpha*C_fck*(1-(1-($R31+$S31*'Geometry'!$G$51+$T31*'Geometry'!$F$51)/C_eco)^C_n),C_alpha*C_fck),0)))*'Geometry'!$H$51*'Geometry'!$F$51+((MAX(MIN(S_1_Es*($R31+$S31*'Geometry'!$G$52+$T31*'Geometry'!$F$52),S_1_fy),-S_1_fy))-(IF(($R31+$S31*'Geometry'!$G$52+$T31*'Geometry'!$F$52)&gt;0,IF(($R31+$S31*'Geometry'!$G$52+$T31*'Geometry'!$F$52)&lt;=C_eco,C_alpha*C_fck*(1-(1-($R31+$S31*'Geometry'!$G$52+$T31*'Geometry'!$F$52)/C_eco)^C_n),C_alpha*C_fck),0)))*'Geometry'!$H$52*'Geometry'!$F$52+((MAX(MIN(S_1_Es*($R31+$S31*'Geometry'!$G$53+$T31*'Geometry'!$F$53),S_1_fy),-S_1_fy))-(IF(($R31+$S31*'Geometry'!$G$53+$T31*'Geometry'!$F$53)&gt;0,IF(($R31+$S31*'Geometry'!$G$53+$T31*'Geometry'!$F$53)&lt;=C_eco,C_alpha*C_fck*(1-(1-($R31+$S31*'Geometry'!$G$53+$T31*'Geometry'!$F$53)/C_eco)^C_n),C_alpha*C_fck),0)))*'Geometry'!$H$53*'Geometry'!$F$53+((MAX(MIN(S_1_Es*($R31+$S31*'Geometry'!$G$54+$T31*'Geometry'!$F$54),S_1_fy),-S_1_fy))-(IF(($R31+$S31*'Geometry'!$G$54+$T31*'Geometry'!$F$54)&gt;0,IF(($R31+$S31*'Geometry'!$G$54+$T31*'Geometry'!$F$54)&lt;=C_eco,C_alpha*C_fck*(1-(1-($R31+$S31*'Geometry'!$G$54+$T31*'Geometry'!$F$54)/C_eco)^C_n),C_alpha*C_fck),0)))*'Geometry'!$H$54*'Geometry'!$F$54+((MAX(MIN(S_1_Es*($R31+$S31*'Geometry'!$G$55+$T31*'Geometry'!$F$55),S_1_fy),-S_1_fy))-(IF(($R31+$S31*'Geometry'!$G$55+$T31*'Geometry'!$F$55)&gt;0,IF(($R31+$S31*'Geometry'!$G$55+$T31*'Geometry'!$F$55)&lt;=C_eco,C_alpha*C_fck*(1-(1-($R31+$S31*'Geometry'!$G$55+$T31*'Geometry'!$F$55)/C_eco)^C_n),C_alpha*C_fck),0)))*'Geometry'!$H$55*'Geometry'!$F$55+((MAX(MIN(S_1_Es*($R31+$S31*'Geometry'!$G$56+$T31*'Geometry'!$F$56),S_1_fy),-S_1_fy))-(IF(($R31+$S31*'Geometry'!$G$56+$T31*'Geometry'!$F$56)&gt;0,IF(($R31+$S31*'Geometry'!$G$56+$T31*'Geometry'!$F$56)&lt;=C_eco,C_alpha*C_fck*(1-(1-($R31+$S31*'Geometry'!$G$56+$T31*'Geometry'!$F$56)/C_eco)^C_n),C_alpha*C_fck),0)))*'Geometry'!$H$56*'Geometry'!$F$56+((MAX(MIN(S_1_Es*($R31+$S31*'Geometry'!$G$57+$T31*'Geometry'!$F$57),S_1_fy),-S_1_fy))-(IF(($R31+$S31*'Geometry'!$G$57+$T31*'Geometry'!$F$57)&gt;0,IF(($R31+$S31*'Geometry'!$G$57+$T31*'Geometry'!$F$57)&lt;=C_eco,C_alpha*C_fck*(1-(1-($R31+$S31*'Geometry'!$G$57+$T31*'Geometry'!$F$57)/C_eco)^C_n),C_alpha*C_fck),0)))*'Geometry'!$H$57*'Geometry'!$F$57)/1000000</f>
        <v>301.9252896082106</v>
      </c>
      <c r="AA31" s="10">
        <f>U31+X31</f>
        <v>-130.26811212081043</v>
      </c>
      <c r="AB31" s="10">
        <f>V31+Y31</f>
        <v>2920.2137348179835</v>
      </c>
      <c r="AC31" s="10">
        <f>W31+Z31</f>
        <v>1101.2181855086346</v>
      </c>
      <c r="AD31" s="7">
        <v>0.85</v>
      </c>
      <c r="AE31" s="7">
        <v>0.8499999999999999</v>
      </c>
      <c r="AF31" s="10">
        <f>AA31*AD31</f>
        <v>-110.72789530268886</v>
      </c>
      <c r="AG31" s="10">
        <f>AB31*AE31</f>
        <v>2482.181674595286</v>
      </c>
      <c r="AH31" s="10">
        <f>AC31*AE31</f>
        <v>936.0354576823393</v>
      </c>
      <c r="AI31" s="7">
        <v>-110.72789530268886</v>
      </c>
      <c r="AJ31" s="7">
        <v>2482.181674595286</v>
      </c>
      <c r="AK31" s="7">
        <v>936.0354576823393</v>
      </c>
      <c r="AL31" s="15">
        <f>AF31-AI31</f>
        <v>0</v>
      </c>
      <c r="AM31" s="15">
        <f>SQRT((AG31-AJ31)^2+(AH31-AK31)^2)</f>
        <v>0</v>
      </c>
      <c r="AN31" s="7" t="s">
        <v>189</v>
      </c>
      <c r="AO31" s="7">
        <v>-130.26811212081043</v>
      </c>
      <c r="AP31" s="7">
        <v>2920.2137348179835</v>
      </c>
      <c r="AQ31" s="7">
        <v>1101.2181855086346</v>
      </c>
      <c r="AR31" s="7">
        <v>3130.2981424005684</v>
      </c>
      <c r="AS31" s="7">
        <v>1630.8065176059933</v>
      </c>
      <c r="AT31" s="7">
        <v>799.292895900424</v>
      </c>
      <c r="AU31" s="7">
        <v>-3260.5662545213786</v>
      </c>
      <c r="AV31" s="7">
        <v>1289.4072172119902</v>
      </c>
      <c r="AW31" s="7">
        <v>301.9252896082106</v>
      </c>
    </row>
    <row r="32" spans="1:49" x14ac:dyDescent="0.25">
      <c r="A32" s="17">
        <v>25</v>
      </c>
      <c r="B32" s="17" t="s">
        <v>238</v>
      </c>
      <c r="C32" s="18">
        <f>$AF$32</f>
        <v>-1692.6007459980538</v>
      </c>
      <c r="D32" s="19">
        <f>$AG$32*COS(RADIANS($C$5))+$AH$32*SIN(RADIANS($C$5))</f>
        <v>1840.6794927826243</v>
      </c>
      <c r="G32" s="7" t="s">
        <v>239</v>
      </c>
      <c r="H32" s="7" t="s">
        <v>238</v>
      </c>
      <c r="I32" s="12">
        <v>10</v>
      </c>
      <c r="J32" s="7" t="s">
        <v>205</v>
      </c>
      <c r="K32" s="12">
        <v>10</v>
      </c>
      <c r="L32" s="10">
        <f>MAX(('Geometry'!$G$13*COS(RADIANS(I32))+'Geometry'!$F$13*SIN(RADIANS(I32))),('Geometry'!$G$14*COS(RADIANS(I32))+'Geometry'!$F$14*SIN(RADIANS(I32))),('Geometry'!$G$15*COS(RADIANS(I32))+'Geometry'!$F$15*SIN(RADIANS(I32))),('Geometry'!$G$16*COS(RADIANS(I32))+'Geometry'!$F$16*SIN(RADIANS(I32))),('Geometry'!$G$17*COS(RADIANS(I32))+'Geometry'!$F$17*SIN(RADIANS(I32))),('Geometry'!$G$18*COS(RADIANS(I32))+'Geometry'!$F$18*SIN(RADIANS(I32))),('Geometry'!$G$19*COS(RADIANS(I32))+'Geometry'!$F$19*SIN(RADIANS(I32))),('Geometry'!$G$20*COS(RADIANS(I32))+'Geometry'!$F$20*SIN(RADIANS(I32))))</f>
        <v>686.3911495241364</v>
      </c>
      <c r="M32" s="10">
        <f>MIN(('Geometry'!$G$40*COS(RADIANS(I32))+'Geometry'!$F$40*SIN(RADIANS(I32))),('Geometry'!$G$41*COS(RADIANS(I32))+'Geometry'!$F$41*SIN(RADIANS(I32))),('Geometry'!$G$42*COS(RADIANS(I32))+'Geometry'!$F$42*SIN(RADIANS(I32))),('Geometry'!$G$43*COS(RADIANS(I32))+'Geometry'!$F$43*SIN(RADIANS(I32))),('Geometry'!$G$44*COS(RADIANS(I32))+'Geometry'!$F$44*SIN(RADIANS(I32))),('Geometry'!$G$45*COS(RADIANS(I32))+'Geometry'!$F$45*SIN(RADIANS(I32))),('Geometry'!$G$46*COS(RADIANS(I32))+'Geometry'!$F$46*SIN(RADIANS(I32))),('Geometry'!$G$47*COS(RADIANS(I32))+'Geometry'!$F$47*SIN(RADIANS(I32))),('Geometry'!$G$48*COS(RADIANS(I32))+'Geometry'!$F$48*SIN(RADIANS(I32))),('Geometry'!$G$49*COS(RADIANS(I32))+'Geometry'!$F$49*SIN(RADIANS(I32))),('Geometry'!$G$50*COS(RADIANS(I32))+'Geometry'!$F$50*SIN(RADIANS(I32))),('Geometry'!$G$51*COS(RADIANS(I32))+'Geometry'!$F$51*SIN(RADIANS(I32))),('Geometry'!$G$52*COS(RADIANS(I32))+'Geometry'!$F$52*SIN(RADIANS(I32))),('Geometry'!$G$53*COS(RADIANS(I32))+'Geometry'!$F$53*SIN(RADIANS(I32))),('Geometry'!$G$54*COS(RADIANS(I32))+'Geometry'!$F$54*SIN(RADIANS(I32))),('Geometry'!$G$55*COS(RADIANS(I32))+'Geometry'!$F$55*SIN(RADIANS(I32))),('Geometry'!$G$56*COS(RADIANS(I32))+'Geometry'!$F$56*SIN(RADIANS(I32))),('Geometry'!$G$57*COS(RADIANS(I32))+'Geometry'!$F$57*SIN(RADIANS(I32))))</f>
        <v>-591.4073801632424</v>
      </c>
      <c r="N32" s="10">
        <f>L32-MIN(('Geometry'!$G$13*COS(RADIANS(I32))+'Geometry'!$F$13*SIN(RADIANS(I32))),('Geometry'!$G$14*COS(RADIANS(I32))+'Geometry'!$F$14*SIN(RADIANS(I32))),('Geometry'!$G$15*COS(RADIANS(I32))+'Geometry'!$F$15*SIN(RADIANS(I32))),('Geometry'!$G$16*COS(RADIANS(I32))+'Geometry'!$F$16*SIN(RADIANS(I32))),('Geometry'!$G$17*COS(RADIANS(I32))+'Geometry'!$F$17*SIN(RADIANS(I32))),('Geometry'!$G$18*COS(RADIANS(I32))+'Geometry'!$F$18*SIN(RADIANS(I32))),('Geometry'!$G$19*COS(RADIANS(I32))+'Geometry'!$F$19*SIN(RADIANS(I32))),('Geometry'!$G$20*COS(RADIANS(I32))+'Geometry'!$F$20*SIN(RADIANS(I32))))</f>
        <v>1372.7822990482728</v>
      </c>
      <c r="O32" s="15">
        <f>C_ecu</f>
        <v>0.0032999999999999974</v>
      </c>
      <c r="P32" s="15">
        <f>-K32*S_1_fy/S_1_Es</f>
        <v>-0.02</v>
      </c>
      <c r="Q32" s="20">
        <f>IF(ABS(L32-M32)&lt;0.000000000001,0,(O32-P32)/(L32-M32))</f>
        <v>0.000018234486469240567</v>
      </c>
      <c r="R32" s="15">
        <f>O32-Q32*L32</f>
        <v>-0.009215990128604346</v>
      </c>
      <c r="S32" s="20">
        <f>Q32*COS(RADIANS(I32))</f>
        <v>0.000017957463647104316</v>
      </c>
      <c r="T32" s="20">
        <f>Q32*SIN(RADIANS(I32))</f>
        <v>0.0000031663853460759237</v>
      </c>
      <c r="U32" s="10">
        <f>SUMPRODUCT(C_alpha*C_fck*(1-(1-((($R32+$S32*Mesh_Y+$T32*Mesh_X))*(($R32+$S32*Mesh_Y+$T32*Mesh_X)&gt;0)*(($R32+$S32*Mesh_Y+$T32*Mesh_X)&lt;C_eco)+C_eco*(($R32+$S32*Mesh_Y+$T32*Mesh_X)&gt;=C_eco))/C_eco)^C_n)*((($R32+$S32*Mesh_Y+$T32*Mesh_X))&gt;0),Mesh_A)/1000</f>
        <v>1936.1203844853667</v>
      </c>
      <c r="V32" s="10">
        <f>SUMPRODUCT(C_alpha*C_fck*(1-(1-((($R32+$S32*Mesh_Y+$T32*Mesh_X))*(($R32+$S32*Mesh_Y+$T32*Mesh_X)&gt;0)*(($R32+$S32*Mesh_Y+$T32*Mesh_X)&lt;C_eco)+C_eco*(($R32+$S32*Mesh_Y+$T32*Mesh_X)&gt;=C_eco))/C_eco)^C_n)*((($R32+$S32*Mesh_Y+$T32*Mesh_X))&gt;0),Mesh_A,Mesh_Y)/1000000</f>
        <v>1041.2510561406643</v>
      </c>
      <c r="W32" s="10">
        <f>SUMPRODUCT(C_alpha*C_fck*(1-(1-((($R32+$S32*Mesh_Y+$T32*Mesh_X))*(($R32+$S32*Mesh_Y+$T32*Mesh_X)&gt;0)*(($R32+$S32*Mesh_Y+$T32*Mesh_X)&lt;C_eco)+C_eco*(($R32+$S32*Mesh_Y+$T32*Mesh_X)&gt;=C_eco))/C_eco)^C_n)*((($R32+$S32*Mesh_Y+$T32*Mesh_X))&gt;0),Mesh_A,Mesh_X)/1000000</f>
        <v>611.8868659561945</v>
      </c>
      <c r="X32" s="10">
        <f>(((MAX(MIN(S_1_Es*($R32+$S32*'Geometry'!$G$40+$T32*'Geometry'!$F$40),S_1_fy),-S_1_fy))-(IF(($R32+$S32*'Geometry'!$G$40+$T32*'Geometry'!$F$40)&gt;0,IF(($R32+$S32*'Geometry'!$G$40+$T32*'Geometry'!$F$40)&lt;=C_eco,C_alpha*C_fck*(1-(1-($R32+$S32*'Geometry'!$G$40+$T32*'Geometry'!$F$40)/C_eco)^C_n),C_alpha*C_fck),0)))*'Geometry'!$H$40+((MAX(MIN(S_1_Es*($R32+$S32*'Geometry'!$G$41+$T32*'Geometry'!$F$41),S_1_fy),-S_1_fy))-(IF(($R32+$S32*'Geometry'!$G$41+$T32*'Geometry'!$F$41)&gt;0,IF(($R32+$S32*'Geometry'!$G$41+$T32*'Geometry'!$F$41)&lt;=C_eco,C_alpha*C_fck*(1-(1-($R32+$S32*'Geometry'!$G$41+$T32*'Geometry'!$F$41)/C_eco)^C_n),C_alpha*C_fck),0)))*'Geometry'!$H$41+((MAX(MIN(S_1_Es*($R32+$S32*'Geometry'!$G$42+$T32*'Geometry'!$F$42),S_1_fy),-S_1_fy))-(IF(($R32+$S32*'Geometry'!$G$42+$T32*'Geometry'!$F$42)&gt;0,IF(($R32+$S32*'Geometry'!$G$42+$T32*'Geometry'!$F$42)&lt;=C_eco,C_alpha*C_fck*(1-(1-($R32+$S32*'Geometry'!$G$42+$T32*'Geometry'!$F$42)/C_eco)^C_n),C_alpha*C_fck),0)))*'Geometry'!$H$42+((MAX(MIN(S_1_Es*($R32+$S32*'Geometry'!$G$43+$T32*'Geometry'!$F$43),S_1_fy),-S_1_fy))-(IF(($R32+$S32*'Geometry'!$G$43+$T32*'Geometry'!$F$43)&gt;0,IF(($R32+$S32*'Geometry'!$G$43+$T32*'Geometry'!$F$43)&lt;=C_eco,C_alpha*C_fck*(1-(1-($R32+$S32*'Geometry'!$G$43+$T32*'Geometry'!$F$43)/C_eco)^C_n),C_alpha*C_fck),0)))*'Geometry'!$H$43+((MAX(MIN(S_1_Es*($R32+$S32*'Geometry'!$G$44+$T32*'Geometry'!$F$44),S_1_fy),-S_1_fy))-(IF(($R32+$S32*'Geometry'!$G$44+$T32*'Geometry'!$F$44)&gt;0,IF(($R32+$S32*'Geometry'!$G$44+$T32*'Geometry'!$F$44)&lt;=C_eco,C_alpha*C_fck*(1-(1-($R32+$S32*'Geometry'!$G$44+$T32*'Geometry'!$F$44)/C_eco)^C_n),C_alpha*C_fck),0)))*'Geometry'!$H$44+((MAX(MIN(S_1_Es*($R32+$S32*'Geometry'!$G$45+$T32*'Geometry'!$F$45),S_1_fy),-S_1_fy))-(IF(($R32+$S32*'Geometry'!$G$45+$T32*'Geometry'!$F$45)&gt;0,IF(($R32+$S32*'Geometry'!$G$45+$T32*'Geometry'!$F$45)&lt;=C_eco,C_alpha*C_fck*(1-(1-($R32+$S32*'Geometry'!$G$45+$T32*'Geometry'!$F$45)/C_eco)^C_n),C_alpha*C_fck),0)))*'Geometry'!$H$45+((MAX(MIN(S_1_Es*($R32+$S32*'Geometry'!$G$46+$T32*'Geometry'!$F$46),S_1_fy),-S_1_fy))-(IF(($R32+$S32*'Geometry'!$G$46+$T32*'Geometry'!$F$46)&gt;0,IF(($R32+$S32*'Geometry'!$G$46+$T32*'Geometry'!$F$46)&lt;=C_eco,C_alpha*C_fck*(1-(1-($R32+$S32*'Geometry'!$G$46+$T32*'Geometry'!$F$46)/C_eco)^C_n),C_alpha*C_fck),0)))*'Geometry'!$H$46+((MAX(MIN(S_1_Es*($R32+$S32*'Geometry'!$G$47+$T32*'Geometry'!$F$47),S_1_fy),-S_1_fy))-(IF(($R32+$S32*'Geometry'!$G$47+$T32*'Geometry'!$F$47)&gt;0,IF(($R32+$S32*'Geometry'!$G$47+$T32*'Geometry'!$F$47)&lt;=C_eco,C_alpha*C_fck*(1-(1-($R32+$S32*'Geometry'!$G$47+$T32*'Geometry'!$F$47)/C_eco)^C_n),C_alpha*C_fck),0)))*'Geometry'!$H$47+((MAX(MIN(S_1_Es*($R32+$S32*'Geometry'!$G$48+$T32*'Geometry'!$F$48),S_1_fy),-S_1_fy))-(IF(($R32+$S32*'Geometry'!$G$48+$T32*'Geometry'!$F$48)&gt;0,IF(($R32+$S32*'Geometry'!$G$48+$T32*'Geometry'!$F$48)&lt;=C_eco,C_alpha*C_fck*(1-(1-($R32+$S32*'Geometry'!$G$48+$T32*'Geometry'!$F$48)/C_eco)^C_n),C_alpha*C_fck),0)))*'Geometry'!$H$48+((MAX(MIN(S_1_Es*($R32+$S32*'Geometry'!$G$49+$T32*'Geometry'!$F$49),S_1_fy),-S_1_fy))-(IF(($R32+$S32*'Geometry'!$G$49+$T32*'Geometry'!$F$49)&gt;0,IF(($R32+$S32*'Geometry'!$G$49+$T32*'Geometry'!$F$49)&lt;=C_eco,C_alpha*C_fck*(1-(1-($R32+$S32*'Geometry'!$G$49+$T32*'Geometry'!$F$49)/C_eco)^C_n),C_alpha*C_fck),0)))*'Geometry'!$H$49+((MAX(MIN(S_1_Es*($R32+$S32*'Geometry'!$G$50+$T32*'Geometry'!$F$50),S_1_fy),-S_1_fy))-(IF(($R32+$S32*'Geometry'!$G$50+$T32*'Geometry'!$F$50)&gt;0,IF(($R32+$S32*'Geometry'!$G$50+$T32*'Geometry'!$F$50)&lt;=C_eco,C_alpha*C_fck*(1-(1-($R32+$S32*'Geometry'!$G$50+$T32*'Geometry'!$F$50)/C_eco)^C_n),C_alpha*C_fck),0)))*'Geometry'!$H$50+((MAX(MIN(S_1_Es*($R32+$S32*'Geometry'!$G$51+$T32*'Geometry'!$F$51),S_1_fy),-S_1_fy))-(IF(($R32+$S32*'Geometry'!$G$51+$T32*'Geometry'!$F$51)&gt;0,IF(($R32+$S32*'Geometry'!$G$51+$T32*'Geometry'!$F$51)&lt;=C_eco,C_alpha*C_fck*(1-(1-($R32+$S32*'Geometry'!$G$51+$T32*'Geometry'!$F$51)/C_eco)^C_n),C_alpha*C_fck),0)))*'Geometry'!$H$51+((MAX(MIN(S_1_Es*($R32+$S32*'Geometry'!$G$52+$T32*'Geometry'!$F$52),S_1_fy),-S_1_fy))-(IF(($R32+$S32*'Geometry'!$G$52+$T32*'Geometry'!$F$52)&gt;0,IF(($R32+$S32*'Geometry'!$G$52+$T32*'Geometry'!$F$52)&lt;=C_eco,C_alpha*C_fck*(1-(1-($R32+$S32*'Geometry'!$G$52+$T32*'Geometry'!$F$52)/C_eco)^C_n),C_alpha*C_fck),0)))*'Geometry'!$H$52+((MAX(MIN(S_1_Es*($R32+$S32*'Geometry'!$G$53+$T32*'Geometry'!$F$53),S_1_fy),-S_1_fy))-(IF(($R32+$S32*'Geometry'!$G$53+$T32*'Geometry'!$F$53)&gt;0,IF(($R32+$S32*'Geometry'!$G$53+$T32*'Geometry'!$F$53)&lt;=C_eco,C_alpha*C_fck*(1-(1-($R32+$S32*'Geometry'!$G$53+$T32*'Geometry'!$F$53)/C_eco)^C_n),C_alpha*C_fck),0)))*'Geometry'!$H$53+((MAX(MIN(S_1_Es*($R32+$S32*'Geometry'!$G$54+$T32*'Geometry'!$F$54),S_1_fy),-S_1_fy))-(IF(($R32+$S32*'Geometry'!$G$54+$T32*'Geometry'!$F$54)&gt;0,IF(($R32+$S32*'Geometry'!$G$54+$T32*'Geometry'!$F$54)&lt;=C_eco,C_alpha*C_fck*(1-(1-($R32+$S32*'Geometry'!$G$54+$T32*'Geometry'!$F$54)/C_eco)^C_n),C_alpha*C_fck),0)))*'Geometry'!$H$54+((MAX(MIN(S_1_Es*($R32+$S32*'Geometry'!$G$55+$T32*'Geometry'!$F$55),S_1_fy),-S_1_fy))-(IF(($R32+$S32*'Geometry'!$G$55+$T32*'Geometry'!$F$55)&gt;0,IF(($R32+$S32*'Geometry'!$G$55+$T32*'Geometry'!$F$55)&lt;=C_eco,C_alpha*C_fck*(1-(1-($R32+$S32*'Geometry'!$G$55+$T32*'Geometry'!$F$55)/C_eco)^C_n),C_alpha*C_fck),0)))*'Geometry'!$H$55+((MAX(MIN(S_1_Es*($R32+$S32*'Geometry'!$G$56+$T32*'Geometry'!$F$56),S_1_fy),-S_1_fy))-(IF(($R32+$S32*'Geometry'!$G$56+$T32*'Geometry'!$F$56)&gt;0,IF(($R32+$S32*'Geometry'!$G$56+$T32*'Geometry'!$F$56)&lt;=C_eco,C_alpha*C_fck*(1-(1-($R32+$S32*'Geometry'!$G$56+$T32*'Geometry'!$F$56)/C_eco)^C_n),C_alpha*C_fck),0)))*'Geometry'!$H$56+((MAX(MIN(S_1_Es*($R32+$S32*'Geometry'!$G$57+$T32*'Geometry'!$F$57),S_1_fy),-S_1_fy))-(IF(($R32+$S32*'Geometry'!$G$57+$T32*'Geometry'!$F$57)&gt;0,IF(($R32+$S32*'Geometry'!$G$57+$T32*'Geometry'!$F$57)&lt;=C_eco,C_alpha*C_fck*(1-(1-($R32+$S32*'Geometry'!$G$57+$T32*'Geometry'!$F$57)/C_eco)^C_n),C_alpha*C_fck),0)))*'Geometry'!$H$57)/1000</f>
        <v>-3927.415379777195</v>
      </c>
      <c r="Y32" s="10">
        <f>(((MAX(MIN(S_1_Es*($R32+$S32*'Geometry'!$G$40+$T32*'Geometry'!$F$40),S_1_fy),-S_1_fy))-(IF(($R32+$S32*'Geometry'!$G$40+$T32*'Geometry'!$F$40)&gt;0,IF(($R32+$S32*'Geometry'!$G$40+$T32*'Geometry'!$F$40)&lt;=C_eco,C_alpha*C_fck*(1-(1-($R32+$S32*'Geometry'!$G$40+$T32*'Geometry'!$F$40)/C_eco)^C_n),C_alpha*C_fck),0)))*'Geometry'!$H$40*'Geometry'!$G$40+((MAX(MIN(S_1_Es*($R32+$S32*'Geometry'!$G$41+$T32*'Geometry'!$F$41),S_1_fy),-S_1_fy))-(IF(($R32+$S32*'Geometry'!$G$41+$T32*'Geometry'!$F$41)&gt;0,IF(($R32+$S32*'Geometry'!$G$41+$T32*'Geometry'!$F$41)&lt;=C_eco,C_alpha*C_fck*(1-(1-($R32+$S32*'Geometry'!$G$41+$T32*'Geometry'!$F$41)/C_eco)^C_n),C_alpha*C_fck),0)))*'Geometry'!$H$41*'Geometry'!$G$41+((MAX(MIN(S_1_Es*($R32+$S32*'Geometry'!$G$42+$T32*'Geometry'!$F$42),S_1_fy),-S_1_fy))-(IF(($R32+$S32*'Geometry'!$G$42+$T32*'Geometry'!$F$42)&gt;0,IF(($R32+$S32*'Geometry'!$G$42+$T32*'Geometry'!$F$42)&lt;=C_eco,C_alpha*C_fck*(1-(1-($R32+$S32*'Geometry'!$G$42+$T32*'Geometry'!$F$42)/C_eco)^C_n),C_alpha*C_fck),0)))*'Geometry'!$H$42*'Geometry'!$G$42+((MAX(MIN(S_1_Es*($R32+$S32*'Geometry'!$G$43+$T32*'Geometry'!$F$43),S_1_fy),-S_1_fy))-(IF(($R32+$S32*'Geometry'!$G$43+$T32*'Geometry'!$F$43)&gt;0,IF(($R32+$S32*'Geometry'!$G$43+$T32*'Geometry'!$F$43)&lt;=C_eco,C_alpha*C_fck*(1-(1-($R32+$S32*'Geometry'!$G$43+$T32*'Geometry'!$F$43)/C_eco)^C_n),C_alpha*C_fck),0)))*'Geometry'!$H$43*'Geometry'!$G$43+((MAX(MIN(S_1_Es*($R32+$S32*'Geometry'!$G$44+$T32*'Geometry'!$F$44),S_1_fy),-S_1_fy))-(IF(($R32+$S32*'Geometry'!$G$44+$T32*'Geometry'!$F$44)&gt;0,IF(($R32+$S32*'Geometry'!$G$44+$T32*'Geometry'!$F$44)&lt;=C_eco,C_alpha*C_fck*(1-(1-($R32+$S32*'Geometry'!$G$44+$T32*'Geometry'!$F$44)/C_eco)^C_n),C_alpha*C_fck),0)))*'Geometry'!$H$44*'Geometry'!$G$44+((MAX(MIN(S_1_Es*($R32+$S32*'Geometry'!$G$45+$T32*'Geometry'!$F$45),S_1_fy),-S_1_fy))-(IF(($R32+$S32*'Geometry'!$G$45+$T32*'Geometry'!$F$45)&gt;0,IF(($R32+$S32*'Geometry'!$G$45+$T32*'Geometry'!$F$45)&lt;=C_eco,C_alpha*C_fck*(1-(1-($R32+$S32*'Geometry'!$G$45+$T32*'Geometry'!$F$45)/C_eco)^C_n),C_alpha*C_fck),0)))*'Geometry'!$H$45*'Geometry'!$G$45+((MAX(MIN(S_1_Es*($R32+$S32*'Geometry'!$G$46+$T32*'Geometry'!$F$46),S_1_fy),-S_1_fy))-(IF(($R32+$S32*'Geometry'!$G$46+$T32*'Geometry'!$F$46)&gt;0,IF(($R32+$S32*'Geometry'!$G$46+$T32*'Geometry'!$F$46)&lt;=C_eco,C_alpha*C_fck*(1-(1-($R32+$S32*'Geometry'!$G$46+$T32*'Geometry'!$F$46)/C_eco)^C_n),C_alpha*C_fck),0)))*'Geometry'!$H$46*'Geometry'!$G$46+((MAX(MIN(S_1_Es*($R32+$S32*'Geometry'!$G$47+$T32*'Geometry'!$F$47),S_1_fy),-S_1_fy))-(IF(($R32+$S32*'Geometry'!$G$47+$T32*'Geometry'!$F$47)&gt;0,IF(($R32+$S32*'Geometry'!$G$47+$T32*'Geometry'!$F$47)&lt;=C_eco,C_alpha*C_fck*(1-(1-($R32+$S32*'Geometry'!$G$47+$T32*'Geometry'!$F$47)/C_eco)^C_n),C_alpha*C_fck),0)))*'Geometry'!$H$47*'Geometry'!$G$47+((MAX(MIN(S_1_Es*($R32+$S32*'Geometry'!$G$48+$T32*'Geometry'!$F$48),S_1_fy),-S_1_fy))-(IF(($R32+$S32*'Geometry'!$G$48+$T32*'Geometry'!$F$48)&gt;0,IF(($R32+$S32*'Geometry'!$G$48+$T32*'Geometry'!$F$48)&lt;=C_eco,C_alpha*C_fck*(1-(1-($R32+$S32*'Geometry'!$G$48+$T32*'Geometry'!$F$48)/C_eco)^C_n),C_alpha*C_fck),0)))*'Geometry'!$H$48*'Geometry'!$G$48+((MAX(MIN(S_1_Es*($R32+$S32*'Geometry'!$G$49+$T32*'Geometry'!$F$49),S_1_fy),-S_1_fy))-(IF(($R32+$S32*'Geometry'!$G$49+$T32*'Geometry'!$F$49)&gt;0,IF(($R32+$S32*'Geometry'!$G$49+$T32*'Geometry'!$F$49)&lt;=C_eco,C_alpha*C_fck*(1-(1-($R32+$S32*'Geometry'!$G$49+$T32*'Geometry'!$F$49)/C_eco)^C_n),C_alpha*C_fck),0)))*'Geometry'!$H$49*'Geometry'!$G$49+((MAX(MIN(S_1_Es*($R32+$S32*'Geometry'!$G$50+$T32*'Geometry'!$F$50),S_1_fy),-S_1_fy))-(IF(($R32+$S32*'Geometry'!$G$50+$T32*'Geometry'!$F$50)&gt;0,IF(($R32+$S32*'Geometry'!$G$50+$T32*'Geometry'!$F$50)&lt;=C_eco,C_alpha*C_fck*(1-(1-($R32+$S32*'Geometry'!$G$50+$T32*'Geometry'!$F$50)/C_eco)^C_n),C_alpha*C_fck),0)))*'Geometry'!$H$50*'Geometry'!$G$50+((MAX(MIN(S_1_Es*($R32+$S32*'Geometry'!$G$51+$T32*'Geometry'!$F$51),S_1_fy),-S_1_fy))-(IF(($R32+$S32*'Geometry'!$G$51+$T32*'Geometry'!$F$51)&gt;0,IF(($R32+$S32*'Geometry'!$G$51+$T32*'Geometry'!$F$51)&lt;=C_eco,C_alpha*C_fck*(1-(1-($R32+$S32*'Geometry'!$G$51+$T32*'Geometry'!$F$51)/C_eco)^C_n),C_alpha*C_fck),0)))*'Geometry'!$H$51*'Geometry'!$G$51+((MAX(MIN(S_1_Es*($R32+$S32*'Geometry'!$G$52+$T32*'Geometry'!$F$52),S_1_fy),-S_1_fy))-(IF(($R32+$S32*'Geometry'!$G$52+$T32*'Geometry'!$F$52)&gt;0,IF(($R32+$S32*'Geometry'!$G$52+$T32*'Geometry'!$F$52)&lt;=C_eco,C_alpha*C_fck*(1-(1-($R32+$S32*'Geometry'!$G$52+$T32*'Geometry'!$F$52)/C_eco)^C_n),C_alpha*C_fck),0)))*'Geometry'!$H$52*'Geometry'!$G$52+((MAX(MIN(S_1_Es*($R32+$S32*'Geometry'!$G$53+$T32*'Geometry'!$F$53),S_1_fy),-S_1_fy))-(IF(($R32+$S32*'Geometry'!$G$53+$T32*'Geometry'!$F$53)&gt;0,IF(($R32+$S32*'Geometry'!$G$53+$T32*'Geometry'!$F$53)&lt;=C_eco,C_alpha*C_fck*(1-(1-($R32+$S32*'Geometry'!$G$53+$T32*'Geometry'!$F$53)/C_eco)^C_n),C_alpha*C_fck),0)))*'Geometry'!$H$53*'Geometry'!$G$53+((MAX(MIN(S_1_Es*($R32+$S32*'Geometry'!$G$54+$T32*'Geometry'!$F$54),S_1_fy),-S_1_fy))-(IF(($R32+$S32*'Geometry'!$G$54+$T32*'Geometry'!$F$54)&gt;0,IF(($R32+$S32*'Geometry'!$G$54+$T32*'Geometry'!$F$54)&lt;=C_eco,C_alpha*C_fck*(1-(1-($R32+$S32*'Geometry'!$G$54+$T32*'Geometry'!$F$54)/C_eco)^C_n),C_alpha*C_fck),0)))*'Geometry'!$H$54*'Geometry'!$G$54+((MAX(MIN(S_1_Es*($R32+$S32*'Geometry'!$G$55+$T32*'Geometry'!$F$55),S_1_fy),-S_1_fy))-(IF(($R32+$S32*'Geometry'!$G$55+$T32*'Geometry'!$F$55)&gt;0,IF(($R32+$S32*'Geometry'!$G$55+$T32*'Geometry'!$F$55)&lt;=C_eco,C_alpha*C_fck*(1-(1-($R32+$S32*'Geometry'!$G$55+$T32*'Geometry'!$F$55)/C_eco)^C_n),C_alpha*C_fck),0)))*'Geometry'!$H$55*'Geometry'!$G$55+((MAX(MIN(S_1_Es*($R32+$S32*'Geometry'!$G$56+$T32*'Geometry'!$F$56),S_1_fy),-S_1_fy))-(IF(($R32+$S32*'Geometry'!$G$56+$T32*'Geometry'!$F$56)&gt;0,IF(($R32+$S32*'Geometry'!$G$56+$T32*'Geometry'!$F$56)&lt;=C_eco,C_alpha*C_fck*(1-(1-($R32+$S32*'Geometry'!$G$56+$T32*'Geometry'!$F$56)/C_eco)^C_n),C_alpha*C_fck),0)))*'Geometry'!$H$56*'Geometry'!$G$56+((MAX(MIN(S_1_Es*($R32+$S32*'Geometry'!$G$57+$T32*'Geometry'!$F$57),S_1_fy),-S_1_fy))-(IF(($R32+$S32*'Geometry'!$G$57+$T32*'Geometry'!$F$57)&gt;0,IF(($R32+$S32*'Geometry'!$G$57+$T32*'Geometry'!$F$57)&lt;=C_eco,C_alpha*C_fck*(1-(1-($R32+$S32*'Geometry'!$G$57+$T32*'Geometry'!$F$57)/C_eco)^C_n),C_alpha*C_fck),0)))*'Geometry'!$H$57*'Geometry'!$G$57)/1000000</f>
        <v>975.4781723993678</v>
      </c>
      <c r="Z32" s="10">
        <f>(((MAX(MIN(S_1_Es*($R32+$S32*'Geometry'!$G$40+$T32*'Geometry'!$F$40),S_1_fy),-S_1_fy))-(IF(($R32+$S32*'Geometry'!$G$40+$T32*'Geometry'!$F$40)&gt;0,IF(($R32+$S32*'Geometry'!$G$40+$T32*'Geometry'!$F$40)&lt;=C_eco,C_alpha*C_fck*(1-(1-($R32+$S32*'Geometry'!$G$40+$T32*'Geometry'!$F$40)/C_eco)^C_n),C_alpha*C_fck),0)))*'Geometry'!$H$40*'Geometry'!$F$40+((MAX(MIN(S_1_Es*($R32+$S32*'Geometry'!$G$41+$T32*'Geometry'!$F$41),S_1_fy),-S_1_fy))-(IF(($R32+$S32*'Geometry'!$G$41+$T32*'Geometry'!$F$41)&gt;0,IF(($R32+$S32*'Geometry'!$G$41+$T32*'Geometry'!$F$41)&lt;=C_eco,C_alpha*C_fck*(1-(1-($R32+$S32*'Geometry'!$G$41+$T32*'Geometry'!$F$41)/C_eco)^C_n),C_alpha*C_fck),0)))*'Geometry'!$H$41*'Geometry'!$F$41+((MAX(MIN(S_1_Es*($R32+$S32*'Geometry'!$G$42+$T32*'Geometry'!$F$42),S_1_fy),-S_1_fy))-(IF(($R32+$S32*'Geometry'!$G$42+$T32*'Geometry'!$F$42)&gt;0,IF(($R32+$S32*'Geometry'!$G$42+$T32*'Geometry'!$F$42)&lt;=C_eco,C_alpha*C_fck*(1-(1-($R32+$S32*'Geometry'!$G$42+$T32*'Geometry'!$F$42)/C_eco)^C_n),C_alpha*C_fck),0)))*'Geometry'!$H$42*'Geometry'!$F$42+((MAX(MIN(S_1_Es*($R32+$S32*'Geometry'!$G$43+$T32*'Geometry'!$F$43),S_1_fy),-S_1_fy))-(IF(($R32+$S32*'Geometry'!$G$43+$T32*'Geometry'!$F$43)&gt;0,IF(($R32+$S32*'Geometry'!$G$43+$T32*'Geometry'!$F$43)&lt;=C_eco,C_alpha*C_fck*(1-(1-($R32+$S32*'Geometry'!$G$43+$T32*'Geometry'!$F$43)/C_eco)^C_n),C_alpha*C_fck),0)))*'Geometry'!$H$43*'Geometry'!$F$43+((MAX(MIN(S_1_Es*($R32+$S32*'Geometry'!$G$44+$T32*'Geometry'!$F$44),S_1_fy),-S_1_fy))-(IF(($R32+$S32*'Geometry'!$G$44+$T32*'Geometry'!$F$44)&gt;0,IF(($R32+$S32*'Geometry'!$G$44+$T32*'Geometry'!$F$44)&lt;=C_eco,C_alpha*C_fck*(1-(1-($R32+$S32*'Geometry'!$G$44+$T32*'Geometry'!$F$44)/C_eco)^C_n),C_alpha*C_fck),0)))*'Geometry'!$H$44*'Geometry'!$F$44+((MAX(MIN(S_1_Es*($R32+$S32*'Geometry'!$G$45+$T32*'Geometry'!$F$45),S_1_fy),-S_1_fy))-(IF(($R32+$S32*'Geometry'!$G$45+$T32*'Geometry'!$F$45)&gt;0,IF(($R32+$S32*'Geometry'!$G$45+$T32*'Geometry'!$F$45)&lt;=C_eco,C_alpha*C_fck*(1-(1-($R32+$S32*'Geometry'!$G$45+$T32*'Geometry'!$F$45)/C_eco)^C_n),C_alpha*C_fck),0)))*'Geometry'!$H$45*'Geometry'!$F$45+((MAX(MIN(S_1_Es*($R32+$S32*'Geometry'!$G$46+$T32*'Geometry'!$F$46),S_1_fy),-S_1_fy))-(IF(($R32+$S32*'Geometry'!$G$46+$T32*'Geometry'!$F$46)&gt;0,IF(($R32+$S32*'Geometry'!$G$46+$T32*'Geometry'!$F$46)&lt;=C_eco,C_alpha*C_fck*(1-(1-($R32+$S32*'Geometry'!$G$46+$T32*'Geometry'!$F$46)/C_eco)^C_n),C_alpha*C_fck),0)))*'Geometry'!$H$46*'Geometry'!$F$46+((MAX(MIN(S_1_Es*($R32+$S32*'Geometry'!$G$47+$T32*'Geometry'!$F$47),S_1_fy),-S_1_fy))-(IF(($R32+$S32*'Geometry'!$G$47+$T32*'Geometry'!$F$47)&gt;0,IF(($R32+$S32*'Geometry'!$G$47+$T32*'Geometry'!$F$47)&lt;=C_eco,C_alpha*C_fck*(1-(1-($R32+$S32*'Geometry'!$G$47+$T32*'Geometry'!$F$47)/C_eco)^C_n),C_alpha*C_fck),0)))*'Geometry'!$H$47*'Geometry'!$F$47+((MAX(MIN(S_1_Es*($R32+$S32*'Geometry'!$G$48+$T32*'Geometry'!$F$48),S_1_fy),-S_1_fy))-(IF(($R32+$S32*'Geometry'!$G$48+$T32*'Geometry'!$F$48)&gt;0,IF(($R32+$S32*'Geometry'!$G$48+$T32*'Geometry'!$F$48)&lt;=C_eco,C_alpha*C_fck*(1-(1-($R32+$S32*'Geometry'!$G$48+$T32*'Geometry'!$F$48)/C_eco)^C_n),C_alpha*C_fck),0)))*'Geometry'!$H$48*'Geometry'!$F$48+((MAX(MIN(S_1_Es*($R32+$S32*'Geometry'!$G$49+$T32*'Geometry'!$F$49),S_1_fy),-S_1_fy))-(IF(($R32+$S32*'Geometry'!$G$49+$T32*'Geometry'!$F$49)&gt;0,IF(($R32+$S32*'Geometry'!$G$49+$T32*'Geometry'!$F$49)&lt;=C_eco,C_alpha*C_fck*(1-(1-($R32+$S32*'Geometry'!$G$49+$T32*'Geometry'!$F$49)/C_eco)^C_n),C_alpha*C_fck),0)))*'Geometry'!$H$49*'Geometry'!$F$49+((MAX(MIN(S_1_Es*($R32+$S32*'Geometry'!$G$50+$T32*'Geometry'!$F$50),S_1_fy),-S_1_fy))-(IF(($R32+$S32*'Geometry'!$G$50+$T32*'Geometry'!$F$50)&gt;0,IF(($R32+$S32*'Geometry'!$G$50+$T32*'Geometry'!$F$50)&lt;=C_eco,C_alpha*C_fck*(1-(1-($R32+$S32*'Geometry'!$G$50+$T32*'Geometry'!$F$50)/C_eco)^C_n),C_alpha*C_fck),0)))*'Geometry'!$H$50*'Geometry'!$F$50+((MAX(MIN(S_1_Es*($R32+$S32*'Geometry'!$G$51+$T32*'Geometry'!$F$51),S_1_fy),-S_1_fy))-(IF(($R32+$S32*'Geometry'!$G$51+$T32*'Geometry'!$F$51)&gt;0,IF(($R32+$S32*'Geometry'!$G$51+$T32*'Geometry'!$F$51)&lt;=C_eco,C_alpha*C_fck*(1-(1-($R32+$S32*'Geometry'!$G$51+$T32*'Geometry'!$F$51)/C_eco)^C_n),C_alpha*C_fck),0)))*'Geometry'!$H$51*'Geometry'!$F$51+((MAX(MIN(S_1_Es*($R32+$S32*'Geometry'!$G$52+$T32*'Geometry'!$F$52),S_1_fy),-S_1_fy))-(IF(($R32+$S32*'Geometry'!$G$52+$T32*'Geometry'!$F$52)&gt;0,IF(($R32+$S32*'Geometry'!$G$52+$T32*'Geometry'!$F$52)&lt;=C_eco,C_alpha*C_fck*(1-(1-($R32+$S32*'Geometry'!$G$52+$T32*'Geometry'!$F$52)/C_eco)^C_n),C_alpha*C_fck),0)))*'Geometry'!$H$52*'Geometry'!$F$52+((MAX(MIN(S_1_Es*($R32+$S32*'Geometry'!$G$53+$T32*'Geometry'!$F$53),S_1_fy),-S_1_fy))-(IF(($R32+$S32*'Geometry'!$G$53+$T32*'Geometry'!$F$53)&gt;0,IF(($R32+$S32*'Geometry'!$G$53+$T32*'Geometry'!$F$53)&lt;=C_eco,C_alpha*C_fck*(1-(1-($R32+$S32*'Geometry'!$G$53+$T32*'Geometry'!$F$53)/C_eco)^C_n),C_alpha*C_fck),0)))*'Geometry'!$H$53*'Geometry'!$F$53+((MAX(MIN(S_1_Es*($R32+$S32*'Geometry'!$G$54+$T32*'Geometry'!$F$54),S_1_fy),-S_1_fy))-(IF(($R32+$S32*'Geometry'!$G$54+$T32*'Geometry'!$F$54)&gt;0,IF(($R32+$S32*'Geometry'!$G$54+$T32*'Geometry'!$F$54)&lt;=C_eco,C_alpha*C_fck*(1-(1-($R32+$S32*'Geometry'!$G$54+$T32*'Geometry'!$F$54)/C_eco)^C_n),C_alpha*C_fck),0)))*'Geometry'!$H$54*'Geometry'!$F$54+((MAX(MIN(S_1_Es*($R32+$S32*'Geometry'!$G$55+$T32*'Geometry'!$F$55),S_1_fy),-S_1_fy))-(IF(($R32+$S32*'Geometry'!$G$55+$T32*'Geometry'!$F$55)&gt;0,IF(($R32+$S32*'Geometry'!$G$55+$T32*'Geometry'!$F$55)&lt;=C_eco,C_alpha*C_fck*(1-(1-($R32+$S32*'Geometry'!$G$55+$T32*'Geometry'!$F$55)/C_eco)^C_n),C_alpha*C_fck),0)))*'Geometry'!$H$55*'Geometry'!$F$55+((MAX(MIN(S_1_Es*($R32+$S32*'Geometry'!$G$56+$T32*'Geometry'!$F$56),S_1_fy),-S_1_fy))-(IF(($R32+$S32*'Geometry'!$G$56+$T32*'Geometry'!$F$56)&gt;0,IF(($R32+$S32*'Geometry'!$G$56+$T32*'Geometry'!$F$56)&lt;=C_eco,C_alpha*C_fck*(1-(1-($R32+$S32*'Geometry'!$G$56+$T32*'Geometry'!$F$56)/C_eco)^C_n),C_alpha*C_fck),0)))*'Geometry'!$H$56*'Geometry'!$F$56+((MAX(MIN(S_1_Es*($R32+$S32*'Geometry'!$G$57+$T32*'Geometry'!$F$57),S_1_fy),-S_1_fy))-(IF(($R32+$S32*'Geometry'!$G$57+$T32*'Geometry'!$F$57)&gt;0,IF(($R32+$S32*'Geometry'!$G$57+$T32*'Geometry'!$F$57)&lt;=C_eco,C_alpha*C_fck*(1-(1-($R32+$S32*'Geometry'!$G$57+$T32*'Geometry'!$F$57)/C_eco)^C_n),C_alpha*C_fck),0)))*'Geometry'!$H$57*'Geometry'!$F$57)/1000000</f>
        <v>228.44711743215936</v>
      </c>
      <c r="AA32" s="10">
        <f>U32+X32</f>
        <v>-1991.2949952918282</v>
      </c>
      <c r="AB32" s="10">
        <f>V32+Y32</f>
        <v>2016.729228540032</v>
      </c>
      <c r="AC32" s="10">
        <f>W32+Z32</f>
        <v>840.3339833883538</v>
      </c>
      <c r="AD32" s="7">
        <v>0.85</v>
      </c>
      <c r="AE32" s="7">
        <v>0.8499999999999999</v>
      </c>
      <c r="AF32" s="10">
        <f>AA32*AD32</f>
        <v>-1692.6007459980538</v>
      </c>
      <c r="AG32" s="10">
        <f>AB32*AE32</f>
        <v>1714.219844259027</v>
      </c>
      <c r="AH32" s="10">
        <f>AC32*AE32</f>
        <v>714.2838858801007</v>
      </c>
      <c r="AI32" s="7">
        <v>-1692.6007459980538</v>
      </c>
      <c r="AJ32" s="7">
        <v>1714.219844259027</v>
      </c>
      <c r="AK32" s="7">
        <v>714.2838858801007</v>
      </c>
      <c r="AL32" s="15">
        <f>AF32-AI32</f>
        <v>0</v>
      </c>
      <c r="AM32" s="15">
        <f>SQRT((AG32-AJ32)^2+(AH32-AK32)^2)</f>
        <v>0</v>
      </c>
      <c r="AN32" s="7" t="s">
        <v>189</v>
      </c>
      <c r="AO32" s="7">
        <v>-1991.2949952918282</v>
      </c>
      <c r="AP32" s="7">
        <v>2016.729228540032</v>
      </c>
      <c r="AQ32" s="7">
        <v>840.3339833883538</v>
      </c>
      <c r="AR32" s="7">
        <v>1936.1203844853667</v>
      </c>
      <c r="AS32" s="7">
        <v>1041.2510561406643</v>
      </c>
      <c r="AT32" s="7">
        <v>611.8868659561945</v>
      </c>
      <c r="AU32" s="7">
        <v>-3927.415379777195</v>
      </c>
      <c r="AV32" s="7">
        <v>975.4781723993678</v>
      </c>
      <c r="AW32" s="7">
        <v>228.44711743215936</v>
      </c>
    </row>
    <row r="33" spans="1:49" x14ac:dyDescent="0.25">
      <c r="A33">
        <v>26</v>
      </c>
      <c r="B33" t="s">
        <v>240</v>
      </c>
      <c r="C33" s="21">
        <f>$AF$33</f>
        <v>-4004.925713080112</v>
      </c>
      <c r="D33" s="22">
        <f>$AG$33*COS(RADIANS($C$5))+$AH$33*SIN(RADIANS($C$5))</f>
        <v>579.1115627791709</v>
      </c>
      <c r="G33" s="7" t="s">
        <v>241</v>
      </c>
      <c r="H33" s="7" t="s">
        <v>240</v>
      </c>
      <c r="I33" s="12">
        <v>10</v>
      </c>
      <c r="J33" s="7" t="s">
        <v>205</v>
      </c>
      <c r="K33" s="12">
        <v>19.999999999999996</v>
      </c>
      <c r="L33" s="10">
        <f>MAX(('Geometry'!$G$13*COS(RADIANS(I33))+'Geometry'!$F$13*SIN(RADIANS(I33))),('Geometry'!$G$14*COS(RADIANS(I33))+'Geometry'!$F$14*SIN(RADIANS(I33))),('Geometry'!$G$15*COS(RADIANS(I33))+'Geometry'!$F$15*SIN(RADIANS(I33))),('Geometry'!$G$16*COS(RADIANS(I33))+'Geometry'!$F$16*SIN(RADIANS(I33))),('Geometry'!$G$17*COS(RADIANS(I33))+'Geometry'!$F$17*SIN(RADIANS(I33))),('Geometry'!$G$18*COS(RADIANS(I33))+'Geometry'!$F$18*SIN(RADIANS(I33))),('Geometry'!$G$19*COS(RADIANS(I33))+'Geometry'!$F$19*SIN(RADIANS(I33))),('Geometry'!$G$20*COS(RADIANS(I33))+'Geometry'!$F$20*SIN(RADIANS(I33))))</f>
        <v>686.3911495241364</v>
      </c>
      <c r="M33" s="10">
        <f>MIN(('Geometry'!$G$40*COS(RADIANS(I33))+'Geometry'!$F$40*SIN(RADIANS(I33))),('Geometry'!$G$41*COS(RADIANS(I33))+'Geometry'!$F$41*SIN(RADIANS(I33))),('Geometry'!$G$42*COS(RADIANS(I33))+'Geometry'!$F$42*SIN(RADIANS(I33))),('Geometry'!$G$43*COS(RADIANS(I33))+'Geometry'!$F$43*SIN(RADIANS(I33))),('Geometry'!$G$44*COS(RADIANS(I33))+'Geometry'!$F$44*SIN(RADIANS(I33))),('Geometry'!$G$45*COS(RADIANS(I33))+'Geometry'!$F$45*SIN(RADIANS(I33))),('Geometry'!$G$46*COS(RADIANS(I33))+'Geometry'!$F$46*SIN(RADIANS(I33))),('Geometry'!$G$47*COS(RADIANS(I33))+'Geometry'!$F$47*SIN(RADIANS(I33))),('Geometry'!$G$48*COS(RADIANS(I33))+'Geometry'!$F$48*SIN(RADIANS(I33))),('Geometry'!$G$49*COS(RADIANS(I33))+'Geometry'!$F$49*SIN(RADIANS(I33))),('Geometry'!$G$50*COS(RADIANS(I33))+'Geometry'!$F$50*SIN(RADIANS(I33))),('Geometry'!$G$51*COS(RADIANS(I33))+'Geometry'!$F$51*SIN(RADIANS(I33))),('Geometry'!$G$52*COS(RADIANS(I33))+'Geometry'!$F$52*SIN(RADIANS(I33))),('Geometry'!$G$53*COS(RADIANS(I33))+'Geometry'!$F$53*SIN(RADIANS(I33))),('Geometry'!$G$54*COS(RADIANS(I33))+'Geometry'!$F$54*SIN(RADIANS(I33))),('Geometry'!$G$55*COS(RADIANS(I33))+'Geometry'!$F$55*SIN(RADIANS(I33))),('Geometry'!$G$56*COS(RADIANS(I33))+'Geometry'!$F$56*SIN(RADIANS(I33))),('Geometry'!$G$57*COS(RADIANS(I33))+'Geometry'!$F$57*SIN(RADIANS(I33))))</f>
        <v>-591.4073801632424</v>
      </c>
      <c r="N33" s="10">
        <f>L33-MIN(('Geometry'!$G$13*COS(RADIANS(I33))+'Geometry'!$F$13*SIN(RADIANS(I33))),('Geometry'!$G$14*COS(RADIANS(I33))+'Geometry'!$F$14*SIN(RADIANS(I33))),('Geometry'!$G$15*COS(RADIANS(I33))+'Geometry'!$F$15*SIN(RADIANS(I33))),('Geometry'!$G$16*COS(RADIANS(I33))+'Geometry'!$F$16*SIN(RADIANS(I33))),('Geometry'!$G$17*COS(RADIANS(I33))+'Geometry'!$F$17*SIN(RADIANS(I33))),('Geometry'!$G$18*COS(RADIANS(I33))+'Geometry'!$F$18*SIN(RADIANS(I33))),('Geometry'!$G$19*COS(RADIANS(I33))+'Geometry'!$F$19*SIN(RADIANS(I33))),('Geometry'!$G$20*COS(RADIANS(I33))+'Geometry'!$F$20*SIN(RADIANS(I33))))</f>
        <v>1372.7822990482728</v>
      </c>
      <c r="O33" s="15">
        <f>C_ecu</f>
        <v>0.003300000000000001</v>
      </c>
      <c r="P33" s="15">
        <f>-K33*S_1_fy/S_1_Es</f>
        <v>-0.039999999999999994</v>
      </c>
      <c r="Q33" s="20">
        <f>IF(ABS(L33-M33)&lt;0.000000000001,0,(O33-P33)/(L33-M33))</f>
        <v>0.00003388640618532689</v>
      </c>
      <c r="R33" s="15">
        <f>O33-Q33*L33</f>
        <v>-0.019959329294788327</v>
      </c>
      <c r="S33" s="20">
        <f>Q33*COS(RADIANS(I33))</f>
        <v>0.00003337159553303076</v>
      </c>
      <c r="T33" s="20">
        <f>Q33*SIN(RADIANS(I33))</f>
        <v>0.000005884312681763411</v>
      </c>
      <c r="U33" s="10">
        <f>SUMPRODUCT(C_alpha*C_fck*(1-(1-((($R33+$S33*Mesh_Y+$T33*Mesh_X))*(($R33+$S33*Mesh_Y+$T33*Mesh_X)&gt;0)*(($R33+$S33*Mesh_Y+$T33*Mesh_X)&lt;C_eco)+C_eco*(($R33+$S33*Mesh_Y+$T33*Mesh_X)&gt;=C_eco))/C_eco)^C_n)*((($R33+$S33*Mesh_Y+$T33*Mesh_X))&gt;0),Mesh_A)/1000</f>
        <v>600.2726912526276</v>
      </c>
      <c r="V33" s="10">
        <f>SUMPRODUCT(C_alpha*C_fck*(1-(1-((($R33+$S33*Mesh_Y+$T33*Mesh_X))*(($R33+$S33*Mesh_Y+$T33*Mesh_X)&gt;0)*(($R33+$S33*Mesh_Y+$T33*Mesh_X)&lt;C_eco)+C_eco*(($R33+$S33*Mesh_Y+$T33*Mesh_X)&gt;=C_eco))/C_eco)^C_n)*((($R33+$S33*Mesh_Y+$T33*Mesh_X))&gt;0),Mesh_A,Mesh_Y)/1000000</f>
        <v>338.7442138427093</v>
      </c>
      <c r="W33" s="10">
        <f>SUMPRODUCT(C_alpha*C_fck*(1-(1-((($R33+$S33*Mesh_Y+$T33*Mesh_X))*(($R33+$S33*Mesh_Y+$T33*Mesh_X)&gt;0)*(($R33+$S33*Mesh_Y+$T33*Mesh_X)&lt;C_eco)+C_eco*(($R33+$S33*Mesh_Y+$T33*Mesh_X)&gt;=C_eco))/C_eco)^C_n)*((($R33+$S33*Mesh_Y+$T33*Mesh_X))&gt;0),Mesh_A,Mesh_X)/1000000</f>
        <v>259.072886573714</v>
      </c>
      <c r="X33" s="10">
        <f>(((MAX(MIN(S_1_Es*($R33+$S33*'Geometry'!$G$40+$T33*'Geometry'!$F$40),S_1_fy),-S_1_fy))-(IF(($R33+$S33*'Geometry'!$G$40+$T33*'Geometry'!$F$40)&gt;0,IF(($R33+$S33*'Geometry'!$G$40+$T33*'Geometry'!$F$40)&lt;=C_eco,C_alpha*C_fck*(1-(1-($R33+$S33*'Geometry'!$G$40+$T33*'Geometry'!$F$40)/C_eco)^C_n),C_alpha*C_fck),0)))*'Geometry'!$H$40+((MAX(MIN(S_1_Es*($R33+$S33*'Geometry'!$G$41+$T33*'Geometry'!$F$41),S_1_fy),-S_1_fy))-(IF(($R33+$S33*'Geometry'!$G$41+$T33*'Geometry'!$F$41)&gt;0,IF(($R33+$S33*'Geometry'!$G$41+$T33*'Geometry'!$F$41)&lt;=C_eco,C_alpha*C_fck*(1-(1-($R33+$S33*'Geometry'!$G$41+$T33*'Geometry'!$F$41)/C_eco)^C_n),C_alpha*C_fck),0)))*'Geometry'!$H$41+((MAX(MIN(S_1_Es*($R33+$S33*'Geometry'!$G$42+$T33*'Geometry'!$F$42),S_1_fy),-S_1_fy))-(IF(($R33+$S33*'Geometry'!$G$42+$T33*'Geometry'!$F$42)&gt;0,IF(($R33+$S33*'Geometry'!$G$42+$T33*'Geometry'!$F$42)&lt;=C_eco,C_alpha*C_fck*(1-(1-($R33+$S33*'Geometry'!$G$42+$T33*'Geometry'!$F$42)/C_eco)^C_n),C_alpha*C_fck),0)))*'Geometry'!$H$42+((MAX(MIN(S_1_Es*($R33+$S33*'Geometry'!$G$43+$T33*'Geometry'!$F$43),S_1_fy),-S_1_fy))-(IF(($R33+$S33*'Geometry'!$G$43+$T33*'Geometry'!$F$43)&gt;0,IF(($R33+$S33*'Geometry'!$G$43+$T33*'Geometry'!$F$43)&lt;=C_eco,C_alpha*C_fck*(1-(1-($R33+$S33*'Geometry'!$G$43+$T33*'Geometry'!$F$43)/C_eco)^C_n),C_alpha*C_fck),0)))*'Geometry'!$H$43+((MAX(MIN(S_1_Es*($R33+$S33*'Geometry'!$G$44+$T33*'Geometry'!$F$44),S_1_fy),-S_1_fy))-(IF(($R33+$S33*'Geometry'!$G$44+$T33*'Geometry'!$F$44)&gt;0,IF(($R33+$S33*'Geometry'!$G$44+$T33*'Geometry'!$F$44)&lt;=C_eco,C_alpha*C_fck*(1-(1-($R33+$S33*'Geometry'!$G$44+$T33*'Geometry'!$F$44)/C_eco)^C_n),C_alpha*C_fck),0)))*'Geometry'!$H$44+((MAX(MIN(S_1_Es*($R33+$S33*'Geometry'!$G$45+$T33*'Geometry'!$F$45),S_1_fy),-S_1_fy))-(IF(($R33+$S33*'Geometry'!$G$45+$T33*'Geometry'!$F$45)&gt;0,IF(($R33+$S33*'Geometry'!$G$45+$T33*'Geometry'!$F$45)&lt;=C_eco,C_alpha*C_fck*(1-(1-($R33+$S33*'Geometry'!$G$45+$T33*'Geometry'!$F$45)/C_eco)^C_n),C_alpha*C_fck),0)))*'Geometry'!$H$45+((MAX(MIN(S_1_Es*($R33+$S33*'Geometry'!$G$46+$T33*'Geometry'!$F$46),S_1_fy),-S_1_fy))-(IF(($R33+$S33*'Geometry'!$G$46+$T33*'Geometry'!$F$46)&gt;0,IF(($R33+$S33*'Geometry'!$G$46+$T33*'Geometry'!$F$46)&lt;=C_eco,C_alpha*C_fck*(1-(1-($R33+$S33*'Geometry'!$G$46+$T33*'Geometry'!$F$46)/C_eco)^C_n),C_alpha*C_fck),0)))*'Geometry'!$H$46+((MAX(MIN(S_1_Es*($R33+$S33*'Geometry'!$G$47+$T33*'Geometry'!$F$47),S_1_fy),-S_1_fy))-(IF(($R33+$S33*'Geometry'!$G$47+$T33*'Geometry'!$F$47)&gt;0,IF(($R33+$S33*'Geometry'!$G$47+$T33*'Geometry'!$F$47)&lt;=C_eco,C_alpha*C_fck*(1-(1-($R33+$S33*'Geometry'!$G$47+$T33*'Geometry'!$F$47)/C_eco)^C_n),C_alpha*C_fck),0)))*'Geometry'!$H$47+((MAX(MIN(S_1_Es*($R33+$S33*'Geometry'!$G$48+$T33*'Geometry'!$F$48),S_1_fy),-S_1_fy))-(IF(($R33+$S33*'Geometry'!$G$48+$T33*'Geometry'!$F$48)&gt;0,IF(($R33+$S33*'Geometry'!$G$48+$T33*'Geometry'!$F$48)&lt;=C_eco,C_alpha*C_fck*(1-(1-($R33+$S33*'Geometry'!$G$48+$T33*'Geometry'!$F$48)/C_eco)^C_n),C_alpha*C_fck),0)))*'Geometry'!$H$48+((MAX(MIN(S_1_Es*($R33+$S33*'Geometry'!$G$49+$T33*'Geometry'!$F$49),S_1_fy),-S_1_fy))-(IF(($R33+$S33*'Geometry'!$G$49+$T33*'Geometry'!$F$49)&gt;0,IF(($R33+$S33*'Geometry'!$G$49+$T33*'Geometry'!$F$49)&lt;=C_eco,C_alpha*C_fck*(1-(1-($R33+$S33*'Geometry'!$G$49+$T33*'Geometry'!$F$49)/C_eco)^C_n),C_alpha*C_fck),0)))*'Geometry'!$H$49+((MAX(MIN(S_1_Es*($R33+$S33*'Geometry'!$G$50+$T33*'Geometry'!$F$50),S_1_fy),-S_1_fy))-(IF(($R33+$S33*'Geometry'!$G$50+$T33*'Geometry'!$F$50)&gt;0,IF(($R33+$S33*'Geometry'!$G$50+$T33*'Geometry'!$F$50)&lt;=C_eco,C_alpha*C_fck*(1-(1-($R33+$S33*'Geometry'!$G$50+$T33*'Geometry'!$F$50)/C_eco)^C_n),C_alpha*C_fck),0)))*'Geometry'!$H$50+((MAX(MIN(S_1_Es*($R33+$S33*'Geometry'!$G$51+$T33*'Geometry'!$F$51),S_1_fy),-S_1_fy))-(IF(($R33+$S33*'Geometry'!$G$51+$T33*'Geometry'!$F$51)&gt;0,IF(($R33+$S33*'Geometry'!$G$51+$T33*'Geometry'!$F$51)&lt;=C_eco,C_alpha*C_fck*(1-(1-($R33+$S33*'Geometry'!$G$51+$T33*'Geometry'!$F$51)/C_eco)^C_n),C_alpha*C_fck),0)))*'Geometry'!$H$51+((MAX(MIN(S_1_Es*($R33+$S33*'Geometry'!$G$52+$T33*'Geometry'!$F$52),S_1_fy),-S_1_fy))-(IF(($R33+$S33*'Geometry'!$G$52+$T33*'Geometry'!$F$52)&gt;0,IF(($R33+$S33*'Geometry'!$G$52+$T33*'Geometry'!$F$52)&lt;=C_eco,C_alpha*C_fck*(1-(1-($R33+$S33*'Geometry'!$G$52+$T33*'Geometry'!$F$52)/C_eco)^C_n),C_alpha*C_fck),0)))*'Geometry'!$H$52+((MAX(MIN(S_1_Es*($R33+$S33*'Geometry'!$G$53+$T33*'Geometry'!$F$53),S_1_fy),-S_1_fy))-(IF(($R33+$S33*'Geometry'!$G$53+$T33*'Geometry'!$F$53)&gt;0,IF(($R33+$S33*'Geometry'!$G$53+$T33*'Geometry'!$F$53)&lt;=C_eco,C_alpha*C_fck*(1-(1-($R33+$S33*'Geometry'!$G$53+$T33*'Geometry'!$F$53)/C_eco)^C_n),C_alpha*C_fck),0)))*'Geometry'!$H$53+((MAX(MIN(S_1_Es*($R33+$S33*'Geometry'!$G$54+$T33*'Geometry'!$F$54),S_1_fy),-S_1_fy))-(IF(($R33+$S33*'Geometry'!$G$54+$T33*'Geometry'!$F$54)&gt;0,IF(($R33+$S33*'Geometry'!$G$54+$T33*'Geometry'!$F$54)&lt;=C_eco,C_alpha*C_fck*(1-(1-($R33+$S33*'Geometry'!$G$54+$T33*'Geometry'!$F$54)/C_eco)^C_n),C_alpha*C_fck),0)))*'Geometry'!$H$54+((MAX(MIN(S_1_Es*($R33+$S33*'Geometry'!$G$55+$T33*'Geometry'!$F$55),S_1_fy),-S_1_fy))-(IF(($R33+$S33*'Geometry'!$G$55+$T33*'Geometry'!$F$55)&gt;0,IF(($R33+$S33*'Geometry'!$G$55+$T33*'Geometry'!$F$55)&lt;=C_eco,C_alpha*C_fck*(1-(1-($R33+$S33*'Geometry'!$G$55+$T33*'Geometry'!$F$55)/C_eco)^C_n),C_alpha*C_fck),0)))*'Geometry'!$H$55+((MAX(MIN(S_1_Es*($R33+$S33*'Geometry'!$G$56+$T33*'Geometry'!$F$56),S_1_fy),-S_1_fy))-(IF(($R33+$S33*'Geometry'!$G$56+$T33*'Geometry'!$F$56)&gt;0,IF(($R33+$S33*'Geometry'!$G$56+$T33*'Geometry'!$F$56)&lt;=C_eco,C_alpha*C_fck*(1-(1-($R33+$S33*'Geometry'!$G$56+$T33*'Geometry'!$F$56)/C_eco)^C_n),C_alpha*C_fck),0)))*'Geometry'!$H$56+((MAX(MIN(S_1_Es*($R33+$S33*'Geometry'!$G$57+$T33*'Geometry'!$F$57),S_1_fy),-S_1_fy))-(IF(($R33+$S33*'Geometry'!$G$57+$T33*'Geometry'!$F$57)&gt;0,IF(($R33+$S33*'Geometry'!$G$57+$T33*'Geometry'!$F$57)&lt;=C_eco,C_alpha*C_fck*(1-(1-($R33+$S33*'Geometry'!$G$57+$T33*'Geometry'!$F$57)/C_eco)^C_n),C_alpha*C_fck),0)))*'Geometry'!$H$57)/1000</f>
        <v>-5311.950000758641</v>
      </c>
      <c r="Y33" s="10">
        <f>(((MAX(MIN(S_1_Es*($R33+$S33*'Geometry'!$G$40+$T33*'Geometry'!$F$40),S_1_fy),-S_1_fy))-(IF(($R33+$S33*'Geometry'!$G$40+$T33*'Geometry'!$F$40)&gt;0,IF(($R33+$S33*'Geometry'!$G$40+$T33*'Geometry'!$F$40)&lt;=C_eco,C_alpha*C_fck*(1-(1-($R33+$S33*'Geometry'!$G$40+$T33*'Geometry'!$F$40)/C_eco)^C_n),C_alpha*C_fck),0)))*'Geometry'!$H$40*'Geometry'!$G$40+((MAX(MIN(S_1_Es*($R33+$S33*'Geometry'!$G$41+$T33*'Geometry'!$F$41),S_1_fy),-S_1_fy))-(IF(($R33+$S33*'Geometry'!$G$41+$T33*'Geometry'!$F$41)&gt;0,IF(($R33+$S33*'Geometry'!$G$41+$T33*'Geometry'!$F$41)&lt;=C_eco,C_alpha*C_fck*(1-(1-($R33+$S33*'Geometry'!$G$41+$T33*'Geometry'!$F$41)/C_eco)^C_n),C_alpha*C_fck),0)))*'Geometry'!$H$41*'Geometry'!$G$41+((MAX(MIN(S_1_Es*($R33+$S33*'Geometry'!$G$42+$T33*'Geometry'!$F$42),S_1_fy),-S_1_fy))-(IF(($R33+$S33*'Geometry'!$G$42+$T33*'Geometry'!$F$42)&gt;0,IF(($R33+$S33*'Geometry'!$G$42+$T33*'Geometry'!$F$42)&lt;=C_eco,C_alpha*C_fck*(1-(1-($R33+$S33*'Geometry'!$G$42+$T33*'Geometry'!$F$42)/C_eco)^C_n),C_alpha*C_fck),0)))*'Geometry'!$H$42*'Geometry'!$G$42+((MAX(MIN(S_1_Es*($R33+$S33*'Geometry'!$G$43+$T33*'Geometry'!$F$43),S_1_fy),-S_1_fy))-(IF(($R33+$S33*'Geometry'!$G$43+$T33*'Geometry'!$F$43)&gt;0,IF(($R33+$S33*'Geometry'!$G$43+$T33*'Geometry'!$F$43)&lt;=C_eco,C_alpha*C_fck*(1-(1-($R33+$S33*'Geometry'!$G$43+$T33*'Geometry'!$F$43)/C_eco)^C_n),C_alpha*C_fck),0)))*'Geometry'!$H$43*'Geometry'!$G$43+((MAX(MIN(S_1_Es*($R33+$S33*'Geometry'!$G$44+$T33*'Geometry'!$F$44),S_1_fy),-S_1_fy))-(IF(($R33+$S33*'Geometry'!$G$44+$T33*'Geometry'!$F$44)&gt;0,IF(($R33+$S33*'Geometry'!$G$44+$T33*'Geometry'!$F$44)&lt;=C_eco,C_alpha*C_fck*(1-(1-($R33+$S33*'Geometry'!$G$44+$T33*'Geometry'!$F$44)/C_eco)^C_n),C_alpha*C_fck),0)))*'Geometry'!$H$44*'Geometry'!$G$44+((MAX(MIN(S_1_Es*($R33+$S33*'Geometry'!$G$45+$T33*'Geometry'!$F$45),S_1_fy),-S_1_fy))-(IF(($R33+$S33*'Geometry'!$G$45+$T33*'Geometry'!$F$45)&gt;0,IF(($R33+$S33*'Geometry'!$G$45+$T33*'Geometry'!$F$45)&lt;=C_eco,C_alpha*C_fck*(1-(1-($R33+$S33*'Geometry'!$G$45+$T33*'Geometry'!$F$45)/C_eco)^C_n),C_alpha*C_fck),0)))*'Geometry'!$H$45*'Geometry'!$G$45+((MAX(MIN(S_1_Es*($R33+$S33*'Geometry'!$G$46+$T33*'Geometry'!$F$46),S_1_fy),-S_1_fy))-(IF(($R33+$S33*'Geometry'!$G$46+$T33*'Geometry'!$F$46)&gt;0,IF(($R33+$S33*'Geometry'!$G$46+$T33*'Geometry'!$F$46)&lt;=C_eco,C_alpha*C_fck*(1-(1-($R33+$S33*'Geometry'!$G$46+$T33*'Geometry'!$F$46)/C_eco)^C_n),C_alpha*C_fck),0)))*'Geometry'!$H$46*'Geometry'!$G$46+((MAX(MIN(S_1_Es*($R33+$S33*'Geometry'!$G$47+$T33*'Geometry'!$F$47),S_1_fy),-S_1_fy))-(IF(($R33+$S33*'Geometry'!$G$47+$T33*'Geometry'!$F$47)&gt;0,IF(($R33+$S33*'Geometry'!$G$47+$T33*'Geometry'!$F$47)&lt;=C_eco,C_alpha*C_fck*(1-(1-($R33+$S33*'Geometry'!$G$47+$T33*'Geometry'!$F$47)/C_eco)^C_n),C_alpha*C_fck),0)))*'Geometry'!$H$47*'Geometry'!$G$47+((MAX(MIN(S_1_Es*($R33+$S33*'Geometry'!$G$48+$T33*'Geometry'!$F$48),S_1_fy),-S_1_fy))-(IF(($R33+$S33*'Geometry'!$G$48+$T33*'Geometry'!$F$48)&gt;0,IF(($R33+$S33*'Geometry'!$G$48+$T33*'Geometry'!$F$48)&lt;=C_eco,C_alpha*C_fck*(1-(1-($R33+$S33*'Geometry'!$G$48+$T33*'Geometry'!$F$48)/C_eco)^C_n),C_alpha*C_fck),0)))*'Geometry'!$H$48*'Geometry'!$G$48+((MAX(MIN(S_1_Es*($R33+$S33*'Geometry'!$G$49+$T33*'Geometry'!$F$49),S_1_fy),-S_1_fy))-(IF(($R33+$S33*'Geometry'!$G$49+$T33*'Geometry'!$F$49)&gt;0,IF(($R33+$S33*'Geometry'!$G$49+$T33*'Geometry'!$F$49)&lt;=C_eco,C_alpha*C_fck*(1-(1-($R33+$S33*'Geometry'!$G$49+$T33*'Geometry'!$F$49)/C_eco)^C_n),C_alpha*C_fck),0)))*'Geometry'!$H$49*'Geometry'!$G$49+((MAX(MIN(S_1_Es*($R33+$S33*'Geometry'!$G$50+$T33*'Geometry'!$F$50),S_1_fy),-S_1_fy))-(IF(($R33+$S33*'Geometry'!$G$50+$T33*'Geometry'!$F$50)&gt;0,IF(($R33+$S33*'Geometry'!$G$50+$T33*'Geometry'!$F$50)&lt;=C_eco,C_alpha*C_fck*(1-(1-($R33+$S33*'Geometry'!$G$50+$T33*'Geometry'!$F$50)/C_eco)^C_n),C_alpha*C_fck),0)))*'Geometry'!$H$50*'Geometry'!$G$50+((MAX(MIN(S_1_Es*($R33+$S33*'Geometry'!$G$51+$T33*'Geometry'!$F$51),S_1_fy),-S_1_fy))-(IF(($R33+$S33*'Geometry'!$G$51+$T33*'Geometry'!$F$51)&gt;0,IF(($R33+$S33*'Geometry'!$G$51+$T33*'Geometry'!$F$51)&lt;=C_eco,C_alpha*C_fck*(1-(1-($R33+$S33*'Geometry'!$G$51+$T33*'Geometry'!$F$51)/C_eco)^C_n),C_alpha*C_fck),0)))*'Geometry'!$H$51*'Geometry'!$G$51+((MAX(MIN(S_1_Es*($R33+$S33*'Geometry'!$G$52+$T33*'Geometry'!$F$52),S_1_fy),-S_1_fy))-(IF(($R33+$S33*'Geometry'!$G$52+$T33*'Geometry'!$F$52)&gt;0,IF(($R33+$S33*'Geometry'!$G$52+$T33*'Geometry'!$F$52)&lt;=C_eco,C_alpha*C_fck*(1-(1-($R33+$S33*'Geometry'!$G$52+$T33*'Geometry'!$F$52)/C_eco)^C_n),C_alpha*C_fck),0)))*'Geometry'!$H$52*'Geometry'!$G$52+((MAX(MIN(S_1_Es*($R33+$S33*'Geometry'!$G$53+$T33*'Geometry'!$F$53),S_1_fy),-S_1_fy))-(IF(($R33+$S33*'Geometry'!$G$53+$T33*'Geometry'!$F$53)&gt;0,IF(($R33+$S33*'Geometry'!$G$53+$T33*'Geometry'!$F$53)&lt;=C_eco,C_alpha*C_fck*(1-(1-($R33+$S33*'Geometry'!$G$53+$T33*'Geometry'!$F$53)/C_eco)^C_n),C_alpha*C_fck),0)))*'Geometry'!$H$53*'Geometry'!$G$53+((MAX(MIN(S_1_Es*($R33+$S33*'Geometry'!$G$54+$T33*'Geometry'!$F$54),S_1_fy),-S_1_fy))-(IF(($R33+$S33*'Geometry'!$G$54+$T33*'Geometry'!$F$54)&gt;0,IF(($R33+$S33*'Geometry'!$G$54+$T33*'Geometry'!$F$54)&lt;=C_eco,C_alpha*C_fck*(1-(1-($R33+$S33*'Geometry'!$G$54+$T33*'Geometry'!$F$54)/C_eco)^C_n),C_alpha*C_fck),0)))*'Geometry'!$H$54*'Geometry'!$G$54+((MAX(MIN(S_1_Es*($R33+$S33*'Geometry'!$G$55+$T33*'Geometry'!$F$55),S_1_fy),-S_1_fy))-(IF(($R33+$S33*'Geometry'!$G$55+$T33*'Geometry'!$F$55)&gt;0,IF(($R33+$S33*'Geometry'!$G$55+$T33*'Geometry'!$F$55)&lt;=C_eco,C_alpha*C_fck*(1-(1-($R33+$S33*'Geometry'!$G$55+$T33*'Geometry'!$F$55)/C_eco)^C_n),C_alpha*C_fck),0)))*'Geometry'!$H$55*'Geometry'!$G$55+((MAX(MIN(S_1_Es*($R33+$S33*'Geometry'!$G$56+$T33*'Geometry'!$F$56),S_1_fy),-S_1_fy))-(IF(($R33+$S33*'Geometry'!$G$56+$T33*'Geometry'!$F$56)&gt;0,IF(($R33+$S33*'Geometry'!$G$56+$T33*'Geometry'!$F$56)&lt;=C_eco,C_alpha*C_fck*(1-(1-($R33+$S33*'Geometry'!$G$56+$T33*'Geometry'!$F$56)/C_eco)^C_n),C_alpha*C_fck),0)))*'Geometry'!$H$56*'Geometry'!$G$56+((MAX(MIN(S_1_Es*($R33+$S33*'Geometry'!$G$57+$T33*'Geometry'!$F$57),S_1_fy),-S_1_fy))-(IF(($R33+$S33*'Geometry'!$G$57+$T33*'Geometry'!$F$57)&gt;0,IF(($R33+$S33*'Geometry'!$G$57+$T33*'Geometry'!$F$57)&lt;=C_eco,C_alpha*C_fck*(1-(1-($R33+$S33*'Geometry'!$G$57+$T33*'Geometry'!$F$57)/C_eco)^C_n),C_alpha*C_fck),0)))*'Geometry'!$H$57*'Geometry'!$G$57)/1000000</f>
        <v>253.67579651917492</v>
      </c>
      <c r="Z33" s="10">
        <f>(((MAX(MIN(S_1_Es*($R33+$S33*'Geometry'!$G$40+$T33*'Geometry'!$F$40),S_1_fy),-S_1_fy))-(IF(($R33+$S33*'Geometry'!$G$40+$T33*'Geometry'!$F$40)&gt;0,IF(($R33+$S33*'Geometry'!$G$40+$T33*'Geometry'!$F$40)&lt;=C_eco,C_alpha*C_fck*(1-(1-($R33+$S33*'Geometry'!$G$40+$T33*'Geometry'!$F$40)/C_eco)^C_n),C_alpha*C_fck),0)))*'Geometry'!$H$40*'Geometry'!$F$40+((MAX(MIN(S_1_Es*($R33+$S33*'Geometry'!$G$41+$T33*'Geometry'!$F$41),S_1_fy),-S_1_fy))-(IF(($R33+$S33*'Geometry'!$G$41+$T33*'Geometry'!$F$41)&gt;0,IF(($R33+$S33*'Geometry'!$G$41+$T33*'Geometry'!$F$41)&lt;=C_eco,C_alpha*C_fck*(1-(1-($R33+$S33*'Geometry'!$G$41+$T33*'Geometry'!$F$41)/C_eco)^C_n),C_alpha*C_fck),0)))*'Geometry'!$H$41*'Geometry'!$F$41+((MAX(MIN(S_1_Es*($R33+$S33*'Geometry'!$G$42+$T33*'Geometry'!$F$42),S_1_fy),-S_1_fy))-(IF(($R33+$S33*'Geometry'!$G$42+$T33*'Geometry'!$F$42)&gt;0,IF(($R33+$S33*'Geometry'!$G$42+$T33*'Geometry'!$F$42)&lt;=C_eco,C_alpha*C_fck*(1-(1-($R33+$S33*'Geometry'!$G$42+$T33*'Geometry'!$F$42)/C_eco)^C_n),C_alpha*C_fck),0)))*'Geometry'!$H$42*'Geometry'!$F$42+((MAX(MIN(S_1_Es*($R33+$S33*'Geometry'!$G$43+$T33*'Geometry'!$F$43),S_1_fy),-S_1_fy))-(IF(($R33+$S33*'Geometry'!$G$43+$T33*'Geometry'!$F$43)&gt;0,IF(($R33+$S33*'Geometry'!$G$43+$T33*'Geometry'!$F$43)&lt;=C_eco,C_alpha*C_fck*(1-(1-($R33+$S33*'Geometry'!$G$43+$T33*'Geometry'!$F$43)/C_eco)^C_n),C_alpha*C_fck),0)))*'Geometry'!$H$43*'Geometry'!$F$43+((MAX(MIN(S_1_Es*($R33+$S33*'Geometry'!$G$44+$T33*'Geometry'!$F$44),S_1_fy),-S_1_fy))-(IF(($R33+$S33*'Geometry'!$G$44+$T33*'Geometry'!$F$44)&gt;0,IF(($R33+$S33*'Geometry'!$G$44+$T33*'Geometry'!$F$44)&lt;=C_eco,C_alpha*C_fck*(1-(1-($R33+$S33*'Geometry'!$G$44+$T33*'Geometry'!$F$44)/C_eco)^C_n),C_alpha*C_fck),0)))*'Geometry'!$H$44*'Geometry'!$F$44+((MAX(MIN(S_1_Es*($R33+$S33*'Geometry'!$G$45+$T33*'Geometry'!$F$45),S_1_fy),-S_1_fy))-(IF(($R33+$S33*'Geometry'!$G$45+$T33*'Geometry'!$F$45)&gt;0,IF(($R33+$S33*'Geometry'!$G$45+$T33*'Geometry'!$F$45)&lt;=C_eco,C_alpha*C_fck*(1-(1-($R33+$S33*'Geometry'!$G$45+$T33*'Geometry'!$F$45)/C_eco)^C_n),C_alpha*C_fck),0)))*'Geometry'!$H$45*'Geometry'!$F$45+((MAX(MIN(S_1_Es*($R33+$S33*'Geometry'!$G$46+$T33*'Geometry'!$F$46),S_1_fy),-S_1_fy))-(IF(($R33+$S33*'Geometry'!$G$46+$T33*'Geometry'!$F$46)&gt;0,IF(($R33+$S33*'Geometry'!$G$46+$T33*'Geometry'!$F$46)&lt;=C_eco,C_alpha*C_fck*(1-(1-($R33+$S33*'Geometry'!$G$46+$T33*'Geometry'!$F$46)/C_eco)^C_n),C_alpha*C_fck),0)))*'Geometry'!$H$46*'Geometry'!$F$46+((MAX(MIN(S_1_Es*($R33+$S33*'Geometry'!$G$47+$T33*'Geometry'!$F$47),S_1_fy),-S_1_fy))-(IF(($R33+$S33*'Geometry'!$G$47+$T33*'Geometry'!$F$47)&gt;0,IF(($R33+$S33*'Geometry'!$G$47+$T33*'Geometry'!$F$47)&lt;=C_eco,C_alpha*C_fck*(1-(1-($R33+$S33*'Geometry'!$G$47+$T33*'Geometry'!$F$47)/C_eco)^C_n),C_alpha*C_fck),0)))*'Geometry'!$H$47*'Geometry'!$F$47+((MAX(MIN(S_1_Es*($R33+$S33*'Geometry'!$G$48+$T33*'Geometry'!$F$48),S_1_fy),-S_1_fy))-(IF(($R33+$S33*'Geometry'!$G$48+$T33*'Geometry'!$F$48)&gt;0,IF(($R33+$S33*'Geometry'!$G$48+$T33*'Geometry'!$F$48)&lt;=C_eco,C_alpha*C_fck*(1-(1-($R33+$S33*'Geometry'!$G$48+$T33*'Geometry'!$F$48)/C_eco)^C_n),C_alpha*C_fck),0)))*'Geometry'!$H$48*'Geometry'!$F$48+((MAX(MIN(S_1_Es*($R33+$S33*'Geometry'!$G$49+$T33*'Geometry'!$F$49),S_1_fy),-S_1_fy))-(IF(($R33+$S33*'Geometry'!$G$49+$T33*'Geometry'!$F$49)&gt;0,IF(($R33+$S33*'Geometry'!$G$49+$T33*'Geometry'!$F$49)&lt;=C_eco,C_alpha*C_fck*(1-(1-($R33+$S33*'Geometry'!$G$49+$T33*'Geometry'!$F$49)/C_eco)^C_n),C_alpha*C_fck),0)))*'Geometry'!$H$49*'Geometry'!$F$49+((MAX(MIN(S_1_Es*($R33+$S33*'Geometry'!$G$50+$T33*'Geometry'!$F$50),S_1_fy),-S_1_fy))-(IF(($R33+$S33*'Geometry'!$G$50+$T33*'Geometry'!$F$50)&gt;0,IF(($R33+$S33*'Geometry'!$G$50+$T33*'Geometry'!$F$50)&lt;=C_eco,C_alpha*C_fck*(1-(1-($R33+$S33*'Geometry'!$G$50+$T33*'Geometry'!$F$50)/C_eco)^C_n),C_alpha*C_fck),0)))*'Geometry'!$H$50*'Geometry'!$F$50+((MAX(MIN(S_1_Es*($R33+$S33*'Geometry'!$G$51+$T33*'Geometry'!$F$51),S_1_fy),-S_1_fy))-(IF(($R33+$S33*'Geometry'!$G$51+$T33*'Geometry'!$F$51)&gt;0,IF(($R33+$S33*'Geometry'!$G$51+$T33*'Geometry'!$F$51)&lt;=C_eco,C_alpha*C_fck*(1-(1-($R33+$S33*'Geometry'!$G$51+$T33*'Geometry'!$F$51)/C_eco)^C_n),C_alpha*C_fck),0)))*'Geometry'!$H$51*'Geometry'!$F$51+((MAX(MIN(S_1_Es*($R33+$S33*'Geometry'!$G$52+$T33*'Geometry'!$F$52),S_1_fy),-S_1_fy))-(IF(($R33+$S33*'Geometry'!$G$52+$T33*'Geometry'!$F$52)&gt;0,IF(($R33+$S33*'Geometry'!$G$52+$T33*'Geometry'!$F$52)&lt;=C_eco,C_alpha*C_fck*(1-(1-($R33+$S33*'Geometry'!$G$52+$T33*'Geometry'!$F$52)/C_eco)^C_n),C_alpha*C_fck),0)))*'Geometry'!$H$52*'Geometry'!$F$52+((MAX(MIN(S_1_Es*($R33+$S33*'Geometry'!$G$53+$T33*'Geometry'!$F$53),S_1_fy),-S_1_fy))-(IF(($R33+$S33*'Geometry'!$G$53+$T33*'Geometry'!$F$53)&gt;0,IF(($R33+$S33*'Geometry'!$G$53+$T33*'Geometry'!$F$53)&lt;=C_eco,C_alpha*C_fck*(1-(1-($R33+$S33*'Geometry'!$G$53+$T33*'Geometry'!$F$53)/C_eco)^C_n),C_alpha*C_fck),0)))*'Geometry'!$H$53*'Geometry'!$F$53+((MAX(MIN(S_1_Es*($R33+$S33*'Geometry'!$G$54+$T33*'Geometry'!$F$54),S_1_fy),-S_1_fy))-(IF(($R33+$S33*'Geometry'!$G$54+$T33*'Geometry'!$F$54)&gt;0,IF(($R33+$S33*'Geometry'!$G$54+$T33*'Geometry'!$F$54)&lt;=C_eco,C_alpha*C_fck*(1-(1-($R33+$S33*'Geometry'!$G$54+$T33*'Geometry'!$F$54)/C_eco)^C_n),C_alpha*C_fck),0)))*'Geometry'!$H$54*'Geometry'!$F$54+((MAX(MIN(S_1_Es*($R33+$S33*'Geometry'!$G$55+$T33*'Geometry'!$F$55),S_1_fy),-S_1_fy))-(IF(($R33+$S33*'Geometry'!$G$55+$T33*'Geometry'!$F$55)&gt;0,IF(($R33+$S33*'Geometry'!$G$55+$T33*'Geometry'!$F$55)&lt;=C_eco,C_alpha*C_fck*(1-(1-($R33+$S33*'Geometry'!$G$55+$T33*'Geometry'!$F$55)/C_eco)^C_n),C_alpha*C_fck),0)))*'Geometry'!$H$55*'Geometry'!$F$55+((MAX(MIN(S_1_Es*($R33+$S33*'Geometry'!$G$56+$T33*'Geometry'!$F$56),S_1_fy),-S_1_fy))-(IF(($R33+$S33*'Geometry'!$G$56+$T33*'Geometry'!$F$56)&gt;0,IF(($R33+$S33*'Geometry'!$G$56+$T33*'Geometry'!$F$56)&lt;=C_eco,C_alpha*C_fck*(1-(1-($R33+$S33*'Geometry'!$G$56+$T33*'Geometry'!$F$56)/C_eco)^C_n),C_alpha*C_fck),0)))*'Geometry'!$H$56*'Geometry'!$F$56+((MAX(MIN(S_1_Es*($R33+$S33*'Geometry'!$G$57+$T33*'Geometry'!$F$57),S_1_fy),-S_1_fy))-(IF(($R33+$S33*'Geometry'!$G$57+$T33*'Geometry'!$F$57)&gt;0,IF(($R33+$S33*'Geometry'!$G$57+$T33*'Geometry'!$F$57)&lt;=C_eco,C_alpha*C_fck*(1-(1-($R33+$S33*'Geometry'!$G$57+$T33*'Geometry'!$F$57)/C_eco)^C_n),C_alpha*C_fck),0)))*'Geometry'!$H$57*'Geometry'!$F$57)/1000000</f>
        <v>162.35642846948505</v>
      </c>
      <c r="AA33" s="10">
        <f>U33+X33</f>
        <v>-4711.677309506014</v>
      </c>
      <c r="AB33" s="10">
        <f>V33+Y33</f>
        <v>592.4200103618842</v>
      </c>
      <c r="AC33" s="10">
        <f>W33+Z33</f>
        <v>421.42931504319904</v>
      </c>
      <c r="AD33" s="7">
        <v>0.85</v>
      </c>
      <c r="AE33" s="7">
        <v>0.8499999999999999</v>
      </c>
      <c r="AF33" s="10">
        <f>AA33*AD33</f>
        <v>-4004.925713080112</v>
      </c>
      <c r="AG33" s="10">
        <f>AB33*AE33</f>
        <v>503.55700880760156</v>
      </c>
      <c r="AH33" s="10">
        <f>AC33*AE33</f>
        <v>358.2149177867192</v>
      </c>
      <c r="AI33" s="7">
        <v>-4004.925713080112</v>
      </c>
      <c r="AJ33" s="7">
        <v>503.55700880760156</v>
      </c>
      <c r="AK33" s="7">
        <v>358.2149177867192</v>
      </c>
      <c r="AL33" s="15">
        <f>AF33-AI33</f>
        <v>0</v>
      </c>
      <c r="AM33" s="15">
        <f>SQRT((AG33-AJ33)^2+(AH33-AK33)^2)</f>
        <v>0</v>
      </c>
      <c r="AN33" s="7" t="s">
        <v>189</v>
      </c>
      <c r="AO33" s="7">
        <v>-4711.677309506014</v>
      </c>
      <c r="AP33" s="7">
        <v>592.4200103618842</v>
      </c>
      <c r="AQ33" s="7">
        <v>421.42931504319904</v>
      </c>
      <c r="AR33" s="7">
        <v>600.2726912526276</v>
      </c>
      <c r="AS33" s="7">
        <v>338.7442138427093</v>
      </c>
      <c r="AT33" s="7">
        <v>259.072886573714</v>
      </c>
      <c r="AU33" s="7">
        <v>-5311.950000758641</v>
      </c>
      <c r="AV33" s="7">
        <v>253.67579651917492</v>
      </c>
      <c r="AW33" s="7">
        <v>162.35642846948505</v>
      </c>
    </row>
    <row r="34" spans="1:49" x14ac:dyDescent="0.25">
      <c r="A34" s="17">
        <v>27</v>
      </c>
      <c r="B34" s="17" t="s">
        <v>242</v>
      </c>
      <c r="C34" s="18">
        <f>$AF$34</f>
        <v>-4921.996042232201</v>
      </c>
      <c r="D34" s="19">
        <f>$AG$34*COS(RADIANS($C$5))+$AH$34*SIN(RADIANS($C$5))</f>
        <v>1.311279465777532e-14</v>
      </c>
      <c r="G34" s="7" t="s">
        <v>243</v>
      </c>
      <c r="H34" s="7" t="s">
        <v>242</v>
      </c>
      <c r="I34" s="12">
        <v>15</v>
      </c>
      <c r="J34" s="7" t="s">
        <v>188</v>
      </c>
      <c r="K34" s="12">
        <v>-0.05</v>
      </c>
      <c r="L34" s="10">
        <f>MAX(('Geometry'!$G$13*COS(RADIANS(I34))+'Geometry'!$F$13*SIN(RADIANS(I34))),('Geometry'!$G$14*COS(RADIANS(I34))+'Geometry'!$F$14*SIN(RADIANS(I34))),('Geometry'!$G$15*COS(RADIANS(I34))+'Geometry'!$F$15*SIN(RADIANS(I34))),('Geometry'!$G$16*COS(RADIANS(I34))+'Geometry'!$F$16*SIN(RADIANS(I34))),('Geometry'!$G$17*COS(RADIANS(I34))+'Geometry'!$F$17*SIN(RADIANS(I34))),('Geometry'!$G$18*COS(RADIANS(I34))+'Geometry'!$F$18*SIN(RADIANS(I34))),('Geometry'!$G$19*COS(RADIANS(I34))+'Geometry'!$F$19*SIN(RADIANS(I34))),('Geometry'!$G$20*COS(RADIANS(I34))+'Geometry'!$F$20*SIN(RADIANS(I34))))</f>
        <v>721.9059705798273</v>
      </c>
      <c r="M34" s="10">
        <f>L34</f>
        <v>-615.4683059742146</v>
      </c>
      <c r="N34" s="10">
        <f>L34-MIN(('Geometry'!$G$13*COS(RADIANS(I34))+'Geometry'!$F$13*SIN(RADIANS(I34))),('Geometry'!$G$14*COS(RADIANS(I34))+'Geometry'!$F$14*SIN(RADIANS(I34))),('Geometry'!$G$15*COS(RADIANS(I34))+'Geometry'!$F$15*SIN(RADIANS(I34))),('Geometry'!$G$16*COS(RADIANS(I34))+'Geometry'!$F$16*SIN(RADIANS(I34))),('Geometry'!$G$17*COS(RADIANS(I34))+'Geometry'!$F$17*SIN(RADIANS(I34))),('Geometry'!$G$18*COS(RADIANS(I34))+'Geometry'!$F$18*SIN(RADIANS(I34))),('Geometry'!$G$19*COS(RADIANS(I34))+'Geometry'!$F$19*SIN(RADIANS(I34))),('Geometry'!$G$20*COS(RADIANS(I34))+'Geometry'!$F$20*SIN(RADIANS(I34))))</f>
        <v>1443.8119411596547</v>
      </c>
      <c r="O34" s="15">
        <f>K34</f>
        <v>-0.05</v>
      </c>
      <c r="P34" s="15">
        <f>K34</f>
        <v>-0.05</v>
      </c>
      <c r="Q34" s="20">
        <f>0</f>
        <v>0</v>
      </c>
      <c r="R34" s="15">
        <f>K34</f>
        <v>-0.05</v>
      </c>
      <c r="S34" s="20">
        <f>Q34*COS(RADIANS(I34))</f>
        <v>0</v>
      </c>
      <c r="T34" s="20">
        <f>Q34*SIN(RADIANS(I34))</f>
        <v>0</v>
      </c>
      <c r="U34" s="10">
        <f>SUMPRODUCT(C_alpha*C_fck*(1-(1-((($R34+$S34*Mesh_Y+$T34*Mesh_X))*(($R34+$S34*Mesh_Y+$T34*Mesh_X)&gt;0)*(($R34+$S34*Mesh_Y+$T34*Mesh_X)&lt;C_eco)+C_eco*(($R34+$S34*Mesh_Y+$T34*Mesh_X)&gt;=C_eco))/C_eco)^C_n)*((($R34+$S34*Mesh_Y+$T34*Mesh_X))&gt;0),Mesh_A)/1000</f>
        <v>0</v>
      </c>
      <c r="V34" s="10">
        <f>SUMPRODUCT(C_alpha*C_fck*(1-(1-((($R34+$S34*Mesh_Y+$T34*Mesh_X))*(($R34+$S34*Mesh_Y+$T34*Mesh_X)&gt;0)*(($R34+$S34*Mesh_Y+$T34*Mesh_X)&lt;C_eco)+C_eco*(($R34+$S34*Mesh_Y+$T34*Mesh_X)&gt;=C_eco))/C_eco)^C_n)*((($R34+$S34*Mesh_Y+$T34*Mesh_X))&gt;0),Mesh_A,Mesh_Y)/1000000</f>
        <v>0</v>
      </c>
      <c r="W34" s="10">
        <f>SUMPRODUCT(C_alpha*C_fck*(1-(1-((($R34+$S34*Mesh_Y+$T34*Mesh_X))*(($R34+$S34*Mesh_Y+$T34*Mesh_X)&gt;0)*(($R34+$S34*Mesh_Y+$T34*Mesh_X)&lt;C_eco)+C_eco*(($R34+$S34*Mesh_Y+$T34*Mesh_X)&gt;=C_eco))/C_eco)^C_n)*((($R34+$S34*Mesh_Y+$T34*Mesh_X))&gt;0),Mesh_A,Mesh_X)/1000000</f>
        <v>0</v>
      </c>
      <c r="X34" s="10">
        <f>(((MAX(MIN(S_1_Es*($R34+$S34*'Geometry'!$G$40+$T34*'Geometry'!$F$40),S_1_fy),-S_1_fy))-(IF(($R34+$S34*'Geometry'!$G$40+$T34*'Geometry'!$F$40)&gt;0,IF(($R34+$S34*'Geometry'!$G$40+$T34*'Geometry'!$F$40)&lt;=C_eco,C_alpha*C_fck*(1-(1-($R34+$S34*'Geometry'!$G$40+$T34*'Geometry'!$F$40)/C_eco)^C_n),C_alpha*C_fck),0)))*'Geometry'!$H$40+((MAX(MIN(S_1_Es*($R34+$S34*'Geometry'!$G$41+$T34*'Geometry'!$F$41),S_1_fy),-S_1_fy))-(IF(($R34+$S34*'Geometry'!$G$41+$T34*'Geometry'!$F$41)&gt;0,IF(($R34+$S34*'Geometry'!$G$41+$T34*'Geometry'!$F$41)&lt;=C_eco,C_alpha*C_fck*(1-(1-($R34+$S34*'Geometry'!$G$41+$T34*'Geometry'!$F$41)/C_eco)^C_n),C_alpha*C_fck),0)))*'Geometry'!$H$41+((MAX(MIN(S_1_Es*($R34+$S34*'Geometry'!$G$42+$T34*'Geometry'!$F$42),S_1_fy),-S_1_fy))-(IF(($R34+$S34*'Geometry'!$G$42+$T34*'Geometry'!$F$42)&gt;0,IF(($R34+$S34*'Geometry'!$G$42+$T34*'Geometry'!$F$42)&lt;=C_eco,C_alpha*C_fck*(1-(1-($R34+$S34*'Geometry'!$G$42+$T34*'Geometry'!$F$42)/C_eco)^C_n),C_alpha*C_fck),0)))*'Geometry'!$H$42+((MAX(MIN(S_1_Es*($R34+$S34*'Geometry'!$G$43+$T34*'Geometry'!$F$43),S_1_fy),-S_1_fy))-(IF(($R34+$S34*'Geometry'!$G$43+$T34*'Geometry'!$F$43)&gt;0,IF(($R34+$S34*'Geometry'!$G$43+$T34*'Geometry'!$F$43)&lt;=C_eco,C_alpha*C_fck*(1-(1-($R34+$S34*'Geometry'!$G$43+$T34*'Geometry'!$F$43)/C_eco)^C_n),C_alpha*C_fck),0)))*'Geometry'!$H$43+((MAX(MIN(S_1_Es*($R34+$S34*'Geometry'!$G$44+$T34*'Geometry'!$F$44),S_1_fy),-S_1_fy))-(IF(($R34+$S34*'Geometry'!$G$44+$T34*'Geometry'!$F$44)&gt;0,IF(($R34+$S34*'Geometry'!$G$44+$T34*'Geometry'!$F$44)&lt;=C_eco,C_alpha*C_fck*(1-(1-($R34+$S34*'Geometry'!$G$44+$T34*'Geometry'!$F$44)/C_eco)^C_n),C_alpha*C_fck),0)))*'Geometry'!$H$44+((MAX(MIN(S_1_Es*($R34+$S34*'Geometry'!$G$45+$T34*'Geometry'!$F$45),S_1_fy),-S_1_fy))-(IF(($R34+$S34*'Geometry'!$G$45+$T34*'Geometry'!$F$45)&gt;0,IF(($R34+$S34*'Geometry'!$G$45+$T34*'Geometry'!$F$45)&lt;=C_eco,C_alpha*C_fck*(1-(1-($R34+$S34*'Geometry'!$G$45+$T34*'Geometry'!$F$45)/C_eco)^C_n),C_alpha*C_fck),0)))*'Geometry'!$H$45+((MAX(MIN(S_1_Es*($R34+$S34*'Geometry'!$G$46+$T34*'Geometry'!$F$46),S_1_fy),-S_1_fy))-(IF(($R34+$S34*'Geometry'!$G$46+$T34*'Geometry'!$F$46)&gt;0,IF(($R34+$S34*'Geometry'!$G$46+$T34*'Geometry'!$F$46)&lt;=C_eco,C_alpha*C_fck*(1-(1-($R34+$S34*'Geometry'!$G$46+$T34*'Geometry'!$F$46)/C_eco)^C_n),C_alpha*C_fck),0)))*'Geometry'!$H$46+((MAX(MIN(S_1_Es*($R34+$S34*'Geometry'!$G$47+$T34*'Geometry'!$F$47),S_1_fy),-S_1_fy))-(IF(($R34+$S34*'Geometry'!$G$47+$T34*'Geometry'!$F$47)&gt;0,IF(($R34+$S34*'Geometry'!$G$47+$T34*'Geometry'!$F$47)&lt;=C_eco,C_alpha*C_fck*(1-(1-($R34+$S34*'Geometry'!$G$47+$T34*'Geometry'!$F$47)/C_eco)^C_n),C_alpha*C_fck),0)))*'Geometry'!$H$47+((MAX(MIN(S_1_Es*($R34+$S34*'Geometry'!$G$48+$T34*'Geometry'!$F$48),S_1_fy),-S_1_fy))-(IF(($R34+$S34*'Geometry'!$G$48+$T34*'Geometry'!$F$48)&gt;0,IF(($R34+$S34*'Geometry'!$G$48+$T34*'Geometry'!$F$48)&lt;=C_eco,C_alpha*C_fck*(1-(1-($R34+$S34*'Geometry'!$G$48+$T34*'Geometry'!$F$48)/C_eco)^C_n),C_alpha*C_fck),0)))*'Geometry'!$H$48+((MAX(MIN(S_1_Es*($R34+$S34*'Geometry'!$G$49+$T34*'Geometry'!$F$49),S_1_fy),-S_1_fy))-(IF(($R34+$S34*'Geometry'!$G$49+$T34*'Geometry'!$F$49)&gt;0,IF(($R34+$S34*'Geometry'!$G$49+$T34*'Geometry'!$F$49)&lt;=C_eco,C_alpha*C_fck*(1-(1-($R34+$S34*'Geometry'!$G$49+$T34*'Geometry'!$F$49)/C_eco)^C_n),C_alpha*C_fck),0)))*'Geometry'!$H$49+((MAX(MIN(S_1_Es*($R34+$S34*'Geometry'!$G$50+$T34*'Geometry'!$F$50),S_1_fy),-S_1_fy))-(IF(($R34+$S34*'Geometry'!$G$50+$T34*'Geometry'!$F$50)&gt;0,IF(($R34+$S34*'Geometry'!$G$50+$T34*'Geometry'!$F$50)&lt;=C_eco,C_alpha*C_fck*(1-(1-($R34+$S34*'Geometry'!$G$50+$T34*'Geometry'!$F$50)/C_eco)^C_n),C_alpha*C_fck),0)))*'Geometry'!$H$50+((MAX(MIN(S_1_Es*($R34+$S34*'Geometry'!$G$51+$T34*'Geometry'!$F$51),S_1_fy),-S_1_fy))-(IF(($R34+$S34*'Geometry'!$G$51+$T34*'Geometry'!$F$51)&gt;0,IF(($R34+$S34*'Geometry'!$G$51+$T34*'Geometry'!$F$51)&lt;=C_eco,C_alpha*C_fck*(1-(1-($R34+$S34*'Geometry'!$G$51+$T34*'Geometry'!$F$51)/C_eco)^C_n),C_alpha*C_fck),0)))*'Geometry'!$H$51+((MAX(MIN(S_1_Es*($R34+$S34*'Geometry'!$G$52+$T34*'Geometry'!$F$52),S_1_fy),-S_1_fy))-(IF(($R34+$S34*'Geometry'!$G$52+$T34*'Geometry'!$F$52)&gt;0,IF(($R34+$S34*'Geometry'!$G$52+$T34*'Geometry'!$F$52)&lt;=C_eco,C_alpha*C_fck*(1-(1-($R34+$S34*'Geometry'!$G$52+$T34*'Geometry'!$F$52)/C_eco)^C_n),C_alpha*C_fck),0)))*'Geometry'!$H$52+((MAX(MIN(S_1_Es*($R34+$S34*'Geometry'!$G$53+$T34*'Geometry'!$F$53),S_1_fy),-S_1_fy))-(IF(($R34+$S34*'Geometry'!$G$53+$T34*'Geometry'!$F$53)&gt;0,IF(($R34+$S34*'Geometry'!$G$53+$T34*'Geometry'!$F$53)&lt;=C_eco,C_alpha*C_fck*(1-(1-($R34+$S34*'Geometry'!$G$53+$T34*'Geometry'!$F$53)/C_eco)^C_n),C_alpha*C_fck),0)))*'Geometry'!$H$53+((MAX(MIN(S_1_Es*($R34+$S34*'Geometry'!$G$54+$T34*'Geometry'!$F$54),S_1_fy),-S_1_fy))-(IF(($R34+$S34*'Geometry'!$G$54+$T34*'Geometry'!$F$54)&gt;0,IF(($R34+$S34*'Geometry'!$G$54+$T34*'Geometry'!$F$54)&lt;=C_eco,C_alpha*C_fck*(1-(1-($R34+$S34*'Geometry'!$G$54+$T34*'Geometry'!$F$54)/C_eco)^C_n),C_alpha*C_fck),0)))*'Geometry'!$H$54+((MAX(MIN(S_1_Es*($R34+$S34*'Geometry'!$G$55+$T34*'Geometry'!$F$55),S_1_fy),-S_1_fy))-(IF(($R34+$S34*'Geometry'!$G$55+$T34*'Geometry'!$F$55)&gt;0,IF(($R34+$S34*'Geometry'!$G$55+$T34*'Geometry'!$F$55)&lt;=C_eco,C_alpha*C_fck*(1-(1-($R34+$S34*'Geometry'!$G$55+$T34*'Geometry'!$F$55)/C_eco)^C_n),C_alpha*C_fck),0)))*'Geometry'!$H$55+((MAX(MIN(S_1_Es*($R34+$S34*'Geometry'!$G$56+$T34*'Geometry'!$F$56),S_1_fy),-S_1_fy))-(IF(($R34+$S34*'Geometry'!$G$56+$T34*'Geometry'!$F$56)&gt;0,IF(($R34+$S34*'Geometry'!$G$56+$T34*'Geometry'!$F$56)&lt;=C_eco,C_alpha*C_fck*(1-(1-($R34+$S34*'Geometry'!$G$56+$T34*'Geometry'!$F$56)/C_eco)^C_n),C_alpha*C_fck),0)))*'Geometry'!$H$56+((MAX(MIN(S_1_Es*($R34+$S34*'Geometry'!$G$57+$T34*'Geometry'!$F$57),S_1_fy),-S_1_fy))-(IF(($R34+$S34*'Geometry'!$G$57+$T34*'Geometry'!$F$57)&gt;0,IF(($R34+$S34*'Geometry'!$G$57+$T34*'Geometry'!$F$57)&lt;=C_eco,C_alpha*C_fck*(1-(1-($R34+$S34*'Geometry'!$G$57+$T34*'Geometry'!$F$57)/C_eco)^C_n),C_alpha*C_fck),0)))*'Geometry'!$H$57)/1000</f>
        <v>-5790.583579096708</v>
      </c>
      <c r="Y34" s="10">
        <f>(((MAX(MIN(S_1_Es*($R34+$S34*'Geometry'!$G$40+$T34*'Geometry'!$F$40),S_1_fy),-S_1_fy))-(IF(($R34+$S34*'Geometry'!$G$40+$T34*'Geometry'!$F$40)&gt;0,IF(($R34+$S34*'Geometry'!$G$40+$T34*'Geometry'!$F$40)&lt;=C_eco,C_alpha*C_fck*(1-(1-($R34+$S34*'Geometry'!$G$40+$T34*'Geometry'!$F$40)/C_eco)^C_n),C_alpha*C_fck),0)))*'Geometry'!$H$40*'Geometry'!$G$40+((MAX(MIN(S_1_Es*($R34+$S34*'Geometry'!$G$41+$T34*'Geometry'!$F$41),S_1_fy),-S_1_fy))-(IF(($R34+$S34*'Geometry'!$G$41+$T34*'Geometry'!$F$41)&gt;0,IF(($R34+$S34*'Geometry'!$G$41+$T34*'Geometry'!$F$41)&lt;=C_eco,C_alpha*C_fck*(1-(1-($R34+$S34*'Geometry'!$G$41+$T34*'Geometry'!$F$41)/C_eco)^C_n),C_alpha*C_fck),0)))*'Geometry'!$H$41*'Geometry'!$G$41+((MAX(MIN(S_1_Es*($R34+$S34*'Geometry'!$G$42+$T34*'Geometry'!$F$42),S_1_fy),-S_1_fy))-(IF(($R34+$S34*'Geometry'!$G$42+$T34*'Geometry'!$F$42)&gt;0,IF(($R34+$S34*'Geometry'!$G$42+$T34*'Geometry'!$F$42)&lt;=C_eco,C_alpha*C_fck*(1-(1-($R34+$S34*'Geometry'!$G$42+$T34*'Geometry'!$F$42)/C_eco)^C_n),C_alpha*C_fck),0)))*'Geometry'!$H$42*'Geometry'!$G$42+((MAX(MIN(S_1_Es*($R34+$S34*'Geometry'!$G$43+$T34*'Geometry'!$F$43),S_1_fy),-S_1_fy))-(IF(($R34+$S34*'Geometry'!$G$43+$T34*'Geometry'!$F$43)&gt;0,IF(($R34+$S34*'Geometry'!$G$43+$T34*'Geometry'!$F$43)&lt;=C_eco,C_alpha*C_fck*(1-(1-($R34+$S34*'Geometry'!$G$43+$T34*'Geometry'!$F$43)/C_eco)^C_n),C_alpha*C_fck),0)))*'Geometry'!$H$43*'Geometry'!$G$43+((MAX(MIN(S_1_Es*($R34+$S34*'Geometry'!$G$44+$T34*'Geometry'!$F$44),S_1_fy),-S_1_fy))-(IF(($R34+$S34*'Geometry'!$G$44+$T34*'Geometry'!$F$44)&gt;0,IF(($R34+$S34*'Geometry'!$G$44+$T34*'Geometry'!$F$44)&lt;=C_eco,C_alpha*C_fck*(1-(1-($R34+$S34*'Geometry'!$G$44+$T34*'Geometry'!$F$44)/C_eco)^C_n),C_alpha*C_fck),0)))*'Geometry'!$H$44*'Geometry'!$G$44+((MAX(MIN(S_1_Es*($R34+$S34*'Geometry'!$G$45+$T34*'Geometry'!$F$45),S_1_fy),-S_1_fy))-(IF(($R34+$S34*'Geometry'!$G$45+$T34*'Geometry'!$F$45)&gt;0,IF(($R34+$S34*'Geometry'!$G$45+$T34*'Geometry'!$F$45)&lt;=C_eco,C_alpha*C_fck*(1-(1-($R34+$S34*'Geometry'!$G$45+$T34*'Geometry'!$F$45)/C_eco)^C_n),C_alpha*C_fck),0)))*'Geometry'!$H$45*'Geometry'!$G$45+((MAX(MIN(S_1_Es*($R34+$S34*'Geometry'!$G$46+$T34*'Geometry'!$F$46),S_1_fy),-S_1_fy))-(IF(($R34+$S34*'Geometry'!$G$46+$T34*'Geometry'!$F$46)&gt;0,IF(($R34+$S34*'Geometry'!$G$46+$T34*'Geometry'!$F$46)&lt;=C_eco,C_alpha*C_fck*(1-(1-($R34+$S34*'Geometry'!$G$46+$T34*'Geometry'!$F$46)/C_eco)^C_n),C_alpha*C_fck),0)))*'Geometry'!$H$46*'Geometry'!$G$46+((MAX(MIN(S_1_Es*($R34+$S34*'Geometry'!$G$47+$T34*'Geometry'!$F$47),S_1_fy),-S_1_fy))-(IF(($R34+$S34*'Geometry'!$G$47+$T34*'Geometry'!$F$47)&gt;0,IF(($R34+$S34*'Geometry'!$G$47+$T34*'Geometry'!$F$47)&lt;=C_eco,C_alpha*C_fck*(1-(1-($R34+$S34*'Geometry'!$G$47+$T34*'Geometry'!$F$47)/C_eco)^C_n),C_alpha*C_fck),0)))*'Geometry'!$H$47*'Geometry'!$G$47+((MAX(MIN(S_1_Es*($R34+$S34*'Geometry'!$G$48+$T34*'Geometry'!$F$48),S_1_fy),-S_1_fy))-(IF(($R34+$S34*'Geometry'!$G$48+$T34*'Geometry'!$F$48)&gt;0,IF(($R34+$S34*'Geometry'!$G$48+$T34*'Geometry'!$F$48)&lt;=C_eco,C_alpha*C_fck*(1-(1-($R34+$S34*'Geometry'!$G$48+$T34*'Geometry'!$F$48)/C_eco)^C_n),C_alpha*C_fck),0)))*'Geometry'!$H$48*'Geometry'!$G$48+((MAX(MIN(S_1_Es*($R34+$S34*'Geometry'!$G$49+$T34*'Geometry'!$F$49),S_1_fy),-S_1_fy))-(IF(($R34+$S34*'Geometry'!$G$49+$T34*'Geometry'!$F$49)&gt;0,IF(($R34+$S34*'Geometry'!$G$49+$T34*'Geometry'!$F$49)&lt;=C_eco,C_alpha*C_fck*(1-(1-($R34+$S34*'Geometry'!$G$49+$T34*'Geometry'!$F$49)/C_eco)^C_n),C_alpha*C_fck),0)))*'Geometry'!$H$49*'Geometry'!$G$49+((MAX(MIN(S_1_Es*($R34+$S34*'Geometry'!$G$50+$T34*'Geometry'!$F$50),S_1_fy),-S_1_fy))-(IF(($R34+$S34*'Geometry'!$G$50+$T34*'Geometry'!$F$50)&gt;0,IF(($R34+$S34*'Geometry'!$G$50+$T34*'Geometry'!$F$50)&lt;=C_eco,C_alpha*C_fck*(1-(1-($R34+$S34*'Geometry'!$G$50+$T34*'Geometry'!$F$50)/C_eco)^C_n),C_alpha*C_fck),0)))*'Geometry'!$H$50*'Geometry'!$G$50+((MAX(MIN(S_1_Es*($R34+$S34*'Geometry'!$G$51+$T34*'Geometry'!$F$51),S_1_fy),-S_1_fy))-(IF(($R34+$S34*'Geometry'!$G$51+$T34*'Geometry'!$F$51)&gt;0,IF(($R34+$S34*'Geometry'!$G$51+$T34*'Geometry'!$F$51)&lt;=C_eco,C_alpha*C_fck*(1-(1-($R34+$S34*'Geometry'!$G$51+$T34*'Geometry'!$F$51)/C_eco)^C_n),C_alpha*C_fck),0)))*'Geometry'!$H$51*'Geometry'!$G$51+((MAX(MIN(S_1_Es*($R34+$S34*'Geometry'!$G$52+$T34*'Geometry'!$F$52),S_1_fy),-S_1_fy))-(IF(($R34+$S34*'Geometry'!$G$52+$T34*'Geometry'!$F$52)&gt;0,IF(($R34+$S34*'Geometry'!$G$52+$T34*'Geometry'!$F$52)&lt;=C_eco,C_alpha*C_fck*(1-(1-($R34+$S34*'Geometry'!$G$52+$T34*'Geometry'!$F$52)/C_eco)^C_n),C_alpha*C_fck),0)))*'Geometry'!$H$52*'Geometry'!$G$52+((MAX(MIN(S_1_Es*($R34+$S34*'Geometry'!$G$53+$T34*'Geometry'!$F$53),S_1_fy),-S_1_fy))-(IF(($R34+$S34*'Geometry'!$G$53+$T34*'Geometry'!$F$53)&gt;0,IF(($R34+$S34*'Geometry'!$G$53+$T34*'Geometry'!$F$53)&lt;=C_eco,C_alpha*C_fck*(1-(1-($R34+$S34*'Geometry'!$G$53+$T34*'Geometry'!$F$53)/C_eco)^C_n),C_alpha*C_fck),0)))*'Geometry'!$H$53*'Geometry'!$G$53+((MAX(MIN(S_1_Es*($R34+$S34*'Geometry'!$G$54+$T34*'Geometry'!$F$54),S_1_fy),-S_1_fy))-(IF(($R34+$S34*'Geometry'!$G$54+$T34*'Geometry'!$F$54)&gt;0,IF(($R34+$S34*'Geometry'!$G$54+$T34*'Geometry'!$F$54)&lt;=C_eco,C_alpha*C_fck*(1-(1-($R34+$S34*'Geometry'!$G$54+$T34*'Geometry'!$F$54)/C_eco)^C_n),C_alpha*C_fck),0)))*'Geometry'!$H$54*'Geometry'!$G$54+((MAX(MIN(S_1_Es*($R34+$S34*'Geometry'!$G$55+$T34*'Geometry'!$F$55),S_1_fy),-S_1_fy))-(IF(($R34+$S34*'Geometry'!$G$55+$T34*'Geometry'!$F$55)&gt;0,IF(($R34+$S34*'Geometry'!$G$55+$T34*'Geometry'!$F$55)&lt;=C_eco,C_alpha*C_fck*(1-(1-($R34+$S34*'Geometry'!$G$55+$T34*'Geometry'!$F$55)/C_eco)^C_n),C_alpha*C_fck),0)))*'Geometry'!$H$55*'Geometry'!$G$55+((MAX(MIN(S_1_Es*($R34+$S34*'Geometry'!$G$56+$T34*'Geometry'!$F$56),S_1_fy),-S_1_fy))-(IF(($R34+$S34*'Geometry'!$G$56+$T34*'Geometry'!$F$56)&gt;0,IF(($R34+$S34*'Geometry'!$G$56+$T34*'Geometry'!$F$56)&lt;=C_eco,C_alpha*C_fck*(1-(1-($R34+$S34*'Geometry'!$G$56+$T34*'Geometry'!$F$56)/C_eco)^C_n),C_alpha*C_fck),0)))*'Geometry'!$H$56*'Geometry'!$G$56+((MAX(MIN(S_1_Es*($R34+$S34*'Geometry'!$G$57+$T34*'Geometry'!$F$57),S_1_fy),-S_1_fy))-(IF(($R34+$S34*'Geometry'!$G$57+$T34*'Geometry'!$F$57)&gt;0,IF(($R34+$S34*'Geometry'!$G$57+$T34*'Geometry'!$F$57)&lt;=C_eco,C_alpha*C_fck*(1-(1-($R34+$S34*'Geometry'!$G$57+$T34*'Geometry'!$F$57)/C_eco)^C_n),C_alpha*C_fck),0)))*'Geometry'!$H$57*'Geometry'!$G$57)/1000000</f>
        <v>0</v>
      </c>
      <c r="Z34" s="10">
        <f>(((MAX(MIN(S_1_Es*($R34+$S34*'Geometry'!$G$40+$T34*'Geometry'!$F$40),S_1_fy),-S_1_fy))-(IF(($R34+$S34*'Geometry'!$G$40+$T34*'Geometry'!$F$40)&gt;0,IF(($R34+$S34*'Geometry'!$G$40+$T34*'Geometry'!$F$40)&lt;=C_eco,C_alpha*C_fck*(1-(1-($R34+$S34*'Geometry'!$G$40+$T34*'Geometry'!$F$40)/C_eco)^C_n),C_alpha*C_fck),0)))*'Geometry'!$H$40*'Geometry'!$F$40+((MAX(MIN(S_1_Es*($R34+$S34*'Geometry'!$G$41+$T34*'Geometry'!$F$41),S_1_fy),-S_1_fy))-(IF(($R34+$S34*'Geometry'!$G$41+$T34*'Geometry'!$F$41)&gt;0,IF(($R34+$S34*'Geometry'!$G$41+$T34*'Geometry'!$F$41)&lt;=C_eco,C_alpha*C_fck*(1-(1-($R34+$S34*'Geometry'!$G$41+$T34*'Geometry'!$F$41)/C_eco)^C_n),C_alpha*C_fck),0)))*'Geometry'!$H$41*'Geometry'!$F$41+((MAX(MIN(S_1_Es*($R34+$S34*'Geometry'!$G$42+$T34*'Geometry'!$F$42),S_1_fy),-S_1_fy))-(IF(($R34+$S34*'Geometry'!$G$42+$T34*'Geometry'!$F$42)&gt;0,IF(($R34+$S34*'Geometry'!$G$42+$T34*'Geometry'!$F$42)&lt;=C_eco,C_alpha*C_fck*(1-(1-($R34+$S34*'Geometry'!$G$42+$T34*'Geometry'!$F$42)/C_eco)^C_n),C_alpha*C_fck),0)))*'Geometry'!$H$42*'Geometry'!$F$42+((MAX(MIN(S_1_Es*($R34+$S34*'Geometry'!$G$43+$T34*'Geometry'!$F$43),S_1_fy),-S_1_fy))-(IF(($R34+$S34*'Geometry'!$G$43+$T34*'Geometry'!$F$43)&gt;0,IF(($R34+$S34*'Geometry'!$G$43+$T34*'Geometry'!$F$43)&lt;=C_eco,C_alpha*C_fck*(1-(1-($R34+$S34*'Geometry'!$G$43+$T34*'Geometry'!$F$43)/C_eco)^C_n),C_alpha*C_fck),0)))*'Geometry'!$H$43*'Geometry'!$F$43+((MAX(MIN(S_1_Es*($R34+$S34*'Geometry'!$G$44+$T34*'Geometry'!$F$44),S_1_fy),-S_1_fy))-(IF(($R34+$S34*'Geometry'!$G$44+$T34*'Geometry'!$F$44)&gt;0,IF(($R34+$S34*'Geometry'!$G$44+$T34*'Geometry'!$F$44)&lt;=C_eco,C_alpha*C_fck*(1-(1-($R34+$S34*'Geometry'!$G$44+$T34*'Geometry'!$F$44)/C_eco)^C_n),C_alpha*C_fck),0)))*'Geometry'!$H$44*'Geometry'!$F$44+((MAX(MIN(S_1_Es*($R34+$S34*'Geometry'!$G$45+$T34*'Geometry'!$F$45),S_1_fy),-S_1_fy))-(IF(($R34+$S34*'Geometry'!$G$45+$T34*'Geometry'!$F$45)&gt;0,IF(($R34+$S34*'Geometry'!$G$45+$T34*'Geometry'!$F$45)&lt;=C_eco,C_alpha*C_fck*(1-(1-($R34+$S34*'Geometry'!$G$45+$T34*'Geometry'!$F$45)/C_eco)^C_n),C_alpha*C_fck),0)))*'Geometry'!$H$45*'Geometry'!$F$45+((MAX(MIN(S_1_Es*($R34+$S34*'Geometry'!$G$46+$T34*'Geometry'!$F$46),S_1_fy),-S_1_fy))-(IF(($R34+$S34*'Geometry'!$G$46+$T34*'Geometry'!$F$46)&gt;0,IF(($R34+$S34*'Geometry'!$G$46+$T34*'Geometry'!$F$46)&lt;=C_eco,C_alpha*C_fck*(1-(1-($R34+$S34*'Geometry'!$G$46+$T34*'Geometry'!$F$46)/C_eco)^C_n),C_alpha*C_fck),0)))*'Geometry'!$H$46*'Geometry'!$F$46+((MAX(MIN(S_1_Es*($R34+$S34*'Geometry'!$G$47+$T34*'Geometry'!$F$47),S_1_fy),-S_1_fy))-(IF(($R34+$S34*'Geometry'!$G$47+$T34*'Geometry'!$F$47)&gt;0,IF(($R34+$S34*'Geometry'!$G$47+$T34*'Geometry'!$F$47)&lt;=C_eco,C_alpha*C_fck*(1-(1-($R34+$S34*'Geometry'!$G$47+$T34*'Geometry'!$F$47)/C_eco)^C_n),C_alpha*C_fck),0)))*'Geometry'!$H$47*'Geometry'!$F$47+((MAX(MIN(S_1_Es*($R34+$S34*'Geometry'!$G$48+$T34*'Geometry'!$F$48),S_1_fy),-S_1_fy))-(IF(($R34+$S34*'Geometry'!$G$48+$T34*'Geometry'!$F$48)&gt;0,IF(($R34+$S34*'Geometry'!$G$48+$T34*'Geometry'!$F$48)&lt;=C_eco,C_alpha*C_fck*(1-(1-($R34+$S34*'Geometry'!$G$48+$T34*'Geometry'!$F$48)/C_eco)^C_n),C_alpha*C_fck),0)))*'Geometry'!$H$48*'Geometry'!$F$48+((MAX(MIN(S_1_Es*($R34+$S34*'Geometry'!$G$49+$T34*'Geometry'!$F$49),S_1_fy),-S_1_fy))-(IF(($R34+$S34*'Geometry'!$G$49+$T34*'Geometry'!$F$49)&gt;0,IF(($R34+$S34*'Geometry'!$G$49+$T34*'Geometry'!$F$49)&lt;=C_eco,C_alpha*C_fck*(1-(1-($R34+$S34*'Geometry'!$G$49+$T34*'Geometry'!$F$49)/C_eco)^C_n),C_alpha*C_fck),0)))*'Geometry'!$H$49*'Geometry'!$F$49+((MAX(MIN(S_1_Es*($R34+$S34*'Geometry'!$G$50+$T34*'Geometry'!$F$50),S_1_fy),-S_1_fy))-(IF(($R34+$S34*'Geometry'!$G$50+$T34*'Geometry'!$F$50)&gt;0,IF(($R34+$S34*'Geometry'!$G$50+$T34*'Geometry'!$F$50)&lt;=C_eco,C_alpha*C_fck*(1-(1-($R34+$S34*'Geometry'!$G$50+$T34*'Geometry'!$F$50)/C_eco)^C_n),C_alpha*C_fck),0)))*'Geometry'!$H$50*'Geometry'!$F$50+((MAX(MIN(S_1_Es*($R34+$S34*'Geometry'!$G$51+$T34*'Geometry'!$F$51),S_1_fy),-S_1_fy))-(IF(($R34+$S34*'Geometry'!$G$51+$T34*'Geometry'!$F$51)&gt;0,IF(($R34+$S34*'Geometry'!$G$51+$T34*'Geometry'!$F$51)&lt;=C_eco,C_alpha*C_fck*(1-(1-($R34+$S34*'Geometry'!$G$51+$T34*'Geometry'!$F$51)/C_eco)^C_n),C_alpha*C_fck),0)))*'Geometry'!$H$51*'Geometry'!$F$51+((MAX(MIN(S_1_Es*($R34+$S34*'Geometry'!$G$52+$T34*'Geometry'!$F$52),S_1_fy),-S_1_fy))-(IF(($R34+$S34*'Geometry'!$G$52+$T34*'Geometry'!$F$52)&gt;0,IF(($R34+$S34*'Geometry'!$G$52+$T34*'Geometry'!$F$52)&lt;=C_eco,C_alpha*C_fck*(1-(1-($R34+$S34*'Geometry'!$G$52+$T34*'Geometry'!$F$52)/C_eco)^C_n),C_alpha*C_fck),0)))*'Geometry'!$H$52*'Geometry'!$F$52+((MAX(MIN(S_1_Es*($R34+$S34*'Geometry'!$G$53+$T34*'Geometry'!$F$53),S_1_fy),-S_1_fy))-(IF(($R34+$S34*'Geometry'!$G$53+$T34*'Geometry'!$F$53)&gt;0,IF(($R34+$S34*'Geometry'!$G$53+$T34*'Geometry'!$F$53)&lt;=C_eco,C_alpha*C_fck*(1-(1-($R34+$S34*'Geometry'!$G$53+$T34*'Geometry'!$F$53)/C_eco)^C_n),C_alpha*C_fck),0)))*'Geometry'!$H$53*'Geometry'!$F$53+((MAX(MIN(S_1_Es*($R34+$S34*'Geometry'!$G$54+$T34*'Geometry'!$F$54),S_1_fy),-S_1_fy))-(IF(($R34+$S34*'Geometry'!$G$54+$T34*'Geometry'!$F$54)&gt;0,IF(($R34+$S34*'Geometry'!$G$54+$T34*'Geometry'!$F$54)&lt;=C_eco,C_alpha*C_fck*(1-(1-($R34+$S34*'Geometry'!$G$54+$T34*'Geometry'!$F$54)/C_eco)^C_n),C_alpha*C_fck),0)))*'Geometry'!$H$54*'Geometry'!$F$54+((MAX(MIN(S_1_Es*($R34+$S34*'Geometry'!$G$55+$T34*'Geometry'!$F$55),S_1_fy),-S_1_fy))-(IF(($R34+$S34*'Geometry'!$G$55+$T34*'Geometry'!$F$55)&gt;0,IF(($R34+$S34*'Geometry'!$G$55+$T34*'Geometry'!$F$55)&lt;=C_eco,C_alpha*C_fck*(1-(1-($R34+$S34*'Geometry'!$G$55+$T34*'Geometry'!$F$55)/C_eco)^C_n),C_alpha*C_fck),0)))*'Geometry'!$H$55*'Geometry'!$F$55+((MAX(MIN(S_1_Es*($R34+$S34*'Geometry'!$G$56+$T34*'Geometry'!$F$56),S_1_fy),-S_1_fy))-(IF(($R34+$S34*'Geometry'!$G$56+$T34*'Geometry'!$F$56)&gt;0,IF(($R34+$S34*'Geometry'!$G$56+$T34*'Geometry'!$F$56)&lt;=C_eco,C_alpha*C_fck*(1-(1-($R34+$S34*'Geometry'!$G$56+$T34*'Geometry'!$F$56)/C_eco)^C_n),C_alpha*C_fck),0)))*'Geometry'!$H$56*'Geometry'!$F$56+((MAX(MIN(S_1_Es*($R34+$S34*'Geometry'!$G$57+$T34*'Geometry'!$F$57),S_1_fy),-S_1_fy))-(IF(($R34+$S34*'Geometry'!$G$57+$T34*'Geometry'!$F$57)&gt;0,IF(($R34+$S34*'Geometry'!$G$57+$T34*'Geometry'!$F$57)&lt;=C_eco,C_alpha*C_fck*(1-(1-($R34+$S34*'Geometry'!$G$57+$T34*'Geometry'!$F$57)/C_eco)^C_n),C_alpha*C_fck),0)))*'Geometry'!$H$57*'Geometry'!$F$57)/1000000</f>
        <v>5.960464477539062e-14</v>
      </c>
      <c r="AA34" s="10">
        <f>U34+X34</f>
        <v>-5790.583579096708</v>
      </c>
      <c r="AB34" s="10">
        <f>V34+Y34</f>
        <v>0</v>
      </c>
      <c r="AC34" s="10">
        <f>W34+Z34</f>
        <v>5.960464477539062e-14</v>
      </c>
      <c r="AD34" s="7">
        <v>0.85</v>
      </c>
      <c r="AE34" s="7">
        <v>0</v>
      </c>
      <c r="AF34" s="10">
        <f>AA34*AD34</f>
        <v>-4921.996042232201</v>
      </c>
      <c r="AG34" s="10">
        <f>AB34*AE34</f>
        <v>0</v>
      </c>
      <c r="AH34" s="10">
        <f>AC34*AE34</f>
        <v>5.066394805908203e-14</v>
      </c>
      <c r="AI34" s="7">
        <v>-4921.996042232201</v>
      </c>
      <c r="AJ34" s="7">
        <v>0</v>
      </c>
      <c r="AK34" s="7">
        <v>5.066394805908203e-14</v>
      </c>
      <c r="AL34" s="15">
        <f>AF34-AI34</f>
        <v>0</v>
      </c>
      <c r="AM34" s="15">
        <f>SQRT((AG34-AJ34)^2+(AH34-AK34)^2)</f>
        <v>0</v>
      </c>
      <c r="AN34" s="7" t="s">
        <v>189</v>
      </c>
      <c r="AO34" s="7">
        <v>-5790.583579096708</v>
      </c>
      <c r="AP34" s="7">
        <v>0</v>
      </c>
      <c r="AQ34" s="7">
        <v>5.960464477539062e-14</v>
      </c>
      <c r="AR34" s="7">
        <v>0</v>
      </c>
      <c r="AS34" s="7">
        <v>0</v>
      </c>
      <c r="AT34" s="7">
        <v>0</v>
      </c>
      <c r="AU34" s="7">
        <v>-5790.583579096708</v>
      </c>
      <c r="AV34" s="7">
        <v>0</v>
      </c>
      <c r="AW34" s="7">
        <v>5.960464477539062e-14</v>
      </c>
    </row>
  </sheetData>
  <autoFilter ref="A7:D34"/>
  <mergeCells count="2">
    <mergeCell ref="A1:AH1"/>
    <mergeCell ref="B2:A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Geometry</vt:lpstr>
      <vt:lpstr>Materials</vt:lpstr>
      <vt:lpstr>Mesh</vt:lpstr>
      <vt:lpstr>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P-M Column Designer</dc:creator>
  <dc:title/>
  <dc:subject/>
  <dc:description/>
  <cp:keywords/>
  <cp:category/>
  <cp:lastModifiedBy>Unknown</cp:lastModifiedBy>
  <dcterms:created xsi:type="dcterms:W3CDTF">2026-08-10T06:18:14Z</dcterms:created>
  <dcterms:modified xsi:type="dcterms:W3CDTF">2026-08-10T06:18:14Z</dcterms:modified>
</cp:coreProperties>
</file>