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eometry" state="visible" r:id="rId4"/>
    <sheet sheetId="2" name="Materials" state="visible" r:id="rId5"/>
    <sheet sheetId="3" name="Mesh" state="visible" r:id="rId6"/>
    <sheet sheetId="4" name="FixedP_Lower" state="visible" r:id="rId7"/>
    <sheet sheetId="5" name="FixedP_Upper" state="visible" r:id="rId8"/>
    <sheet sheetId="6" name="Result" state="visible" r:id="rId9"/>
  </sheets>
  <definedNames>
    <definedName name="Origin_X">Geometry!$C$6</definedName>
    <definedName name="Origin_Y">Geometry!$C$7</definedName>
    <definedName name="Boundary_X">Geometry!$F$13:$F$36</definedName>
    <definedName name="Boundary_Y">Geometry!$G$13:$G$36</definedName>
    <definedName name="C_fck">Materials!$C$10</definedName>
    <definedName name="C_alpha">Materials!$C$12</definedName>
    <definedName name="C_eco">Materials!$C$13</definedName>
    <definedName name="C_n">Materials!$C$14</definedName>
    <definedName name="C_ecu">Materials!$C$15</definedName>
    <definedName name="S_1_fy">Materials!$D$20</definedName>
    <definedName name="S_1_Es">Materials!$E$20</definedName>
    <definedName name="Mesh_X">Mesh!$B$6:$B$425</definedName>
    <definedName name="Mesh_Y">Mesh!$C$6:$C$425</definedName>
    <definedName name="Mesh_A">Mesh!$D$6:$D$425</definedName>
    <definedName name="Selected_P">Result!$C$5</definedName>
  </definedNames>
  <calcPr calcId="171027" fullCalcOnLoad="1"/>
</workbook>
</file>

<file path=xl/sharedStrings.xml><?xml version="1.0" encoding="utf-8"?>
<sst xmlns="http://schemas.openxmlformats.org/spreadsheetml/2006/main" count="758" uniqueCount="318">
  <si>
    <t>PROJECT GEOMETRY AND LOAD INPUTS</t>
  </si>
  <si>
    <t>Legend</t>
  </si>
  <si>
    <t>Editable calculation input</t>
  </si>
  <si>
    <t>Formula</t>
  </si>
  <si>
    <t>Generated / check</t>
  </si>
  <si>
    <t>Requires re-export / remesh</t>
  </si>
  <si>
    <t>Project</t>
  </si>
  <si>
    <t>PM-advanced (7) 2D reference case</t>
  </si>
  <si>
    <t>Client</t>
  </si>
  <si>
    <t>Engineering review client</t>
  </si>
  <si>
    <t>Section</t>
  </si>
  <si>
    <t>PM-advanced (7) 2D — 1500x1200 chamfered section, two voids</t>
  </si>
  <si>
    <t>Company</t>
  </si>
  <si>
    <t>Audit engineering</t>
  </si>
  <si>
    <t>Calculation profile</t>
  </si>
  <si>
    <t>strain-domain-surface-v1</t>
  </si>
  <si>
    <t>Designed by</t>
  </si>
  <si>
    <t>Engineering example</t>
  </si>
  <si>
    <t>Analysis origin X</t>
  </si>
  <si>
    <t>mm</t>
  </si>
  <si>
    <t>Checked by</t>
  </si>
  <si>
    <t>Independent review</t>
  </si>
  <si>
    <t>Analysis origin Y</t>
  </si>
  <si>
    <t>Address</t>
  </si>
  <si>
    <t>Seoul, Korea</t>
  </si>
  <si>
    <t>Date</t>
  </si>
  <si>
    <t>2026-07-23</t>
  </si>
  <si>
    <t>Ring ID</t>
  </si>
  <si>
    <t>Boundary</t>
  </si>
  <si>
    <t>Point order</t>
  </si>
  <si>
    <t>X input (mm)</t>
  </si>
  <si>
    <t>Y input (mm)</t>
  </si>
  <si>
    <t>x local (mm)</t>
  </si>
  <si>
    <t>y local (mm)</t>
  </si>
  <si>
    <t>R1-OUTER</t>
  </si>
  <si>
    <t>Outer</t>
  </si>
  <si>
    <t>R1-H1</t>
  </si>
  <si>
    <t>Hole</t>
  </si>
  <si>
    <t>R1-H2</t>
  </si>
  <si>
    <t>Reinforcement</t>
  </si>
  <si>
    <t>No.</t>
  </si>
  <si>
    <t>Rebar ID</t>
  </si>
  <si>
    <t>Diameter (mm)</t>
  </si>
  <si>
    <t>X world (mm)</t>
  </si>
  <si>
    <t>Y world (mm)</t>
  </si>
  <si>
    <t>X local (mm)</t>
  </si>
  <si>
    <t>Y local (mm)</t>
  </si>
  <si>
    <t>Area (mm²)</t>
  </si>
  <si>
    <t>Steel material ID</t>
  </si>
  <si>
    <t>Project load cases</t>
  </si>
  <si>
    <t>ID</t>
  </si>
  <si>
    <t>Name</t>
  </si>
  <si>
    <t>P (kN)</t>
  </si>
  <si>
    <t>Mx (kN·m)</t>
  </si>
  <si>
    <t>My (kN·m)</t>
  </si>
  <si>
    <t>Action basis</t>
  </si>
  <si>
    <t>ULS-1 workbook Newton demand (on the 15 deg surface)</t>
  </si>
  <si>
    <t>factoredULS</t>
  </si>
  <si>
    <t>ULS-2 same axial, half moment (inside)</t>
  </si>
  <si>
    <t>ULS-3 low axial, high moment</t>
  </si>
  <si>
    <t>MATERIALS AND RESISTANCE BASIS</t>
  </si>
  <si>
    <t>Active result stage</t>
  </si>
  <si>
    <t>Design resistance</t>
  </si>
  <si>
    <t>KDS 2024 current set · resistance: KDS 14 20 10:2021 + KDS 14 20 20:2022</t>
  </si>
  <si>
    <t>Concrete</t>
  </si>
  <si>
    <t>Symbol</t>
  </si>
  <si>
    <t>Parameter</t>
  </si>
  <si>
    <t>Value</t>
  </si>
  <si>
    <t>Unit</t>
  </si>
  <si>
    <t>Basis / use in calculation</t>
  </si>
  <si>
    <t>Material</t>
  </si>
  <si>
    <t>KDS C30 (workbook Input)</t>
  </si>
  <si>
    <t>Standard</t>
  </si>
  <si>
    <t>KDS</t>
  </si>
  <si>
    <t>Stress–strain law</t>
  </si>
  <si>
    <t>kds-parabolic</t>
  </si>
  <si>
    <t>f′c / fck</t>
  </si>
  <si>
    <t>Specified concrete compressive strength</t>
  </si>
  <si>
    <t>MPa</t>
  </si>
  <si>
    <t>Strength used by the active material law</t>
  </si>
  <si>
    <t>Eᴄ</t>
  </si>
  <si>
    <t>Elastic modulus</t>
  </si>
  <si>
    <t>Concrete elastic modulus reported by the selected standard</t>
  </si>
  <si>
    <t>α</t>
  </si>
  <si>
    <t>Concrete stress coefficient</t>
  </si>
  <si>
    <t>–</t>
  </si>
  <si>
    <t>Multiplier applied to the concrete compression stress</t>
  </si>
  <si>
    <t>εc0</t>
  </si>
  <si>
    <t>Peak / plateau strain</t>
  </si>
  <si>
    <t>End of the parabolic branch</t>
  </si>
  <si>
    <t>n</t>
  </si>
  <si>
    <t>Parabola exponent</t>
  </si>
  <si>
    <t>Exponent of the concrete stress–strain curve</t>
  </si>
  <si>
    <t>εcu</t>
  </si>
  <si>
    <t>Ultimate compression strain</t>
  </si>
  <si>
    <t>Compression strain used at the neutral-axis boundary state</t>
  </si>
  <si>
    <t>Calculation law</t>
  </si>
  <si>
    <t>KDS parabola-rectangle: fc = α·fck·(1−(1−ε/εco)^n) up to εco, then α·fck</t>
  </si>
  <si>
    <t>Reinforcing steel</t>
  </si>
  <si>
    <t>fy (MPa)</t>
  </si>
  <si>
    <t>Eₛ (MPa)</t>
  </si>
  <si>
    <t>εy</t>
  </si>
  <si>
    <t>εu</t>
  </si>
  <si>
    <t>SD400 (workbook Input)</t>
  </si>
  <si>
    <t>elastic-perfectly-plastic</t>
  </si>
  <si>
    <t>Resistance basis</t>
  </si>
  <si>
    <t>Symbol / setting</t>
  </si>
  <si>
    <t>Code basis / note</t>
  </si>
  <si>
    <t>Resistance format</t>
  </si>
  <si>
    <t>globalResultantFactor</t>
  </si>
  <si>
    <t>design</t>
  </si>
  <si>
    <t>Profile</t>
  </si>
  <si>
    <t>kds-2024-current-set</t>
  </si>
  <si>
    <t>Transverse reinforcement</t>
  </si>
  <si>
    <t>other</t>
  </si>
  <si>
    <t>φc</t>
  </si>
  <si>
    <t>Compression-controlled strength factor</t>
  </si>
  <si>
    <t>φt</t>
  </si>
  <si>
    <t>Tension-controlled strength factor</t>
  </si>
  <si>
    <t>Pmax</t>
  </si>
  <si>
    <t>Axial compression limit enabled</t>
  </si>
  <si>
    <t>Yes</t>
  </si>
  <si>
    <t>Pmax/P0</t>
  </si>
  <si>
    <t>Axial compression limit ratio</t>
  </si>
  <si>
    <t>εt</t>
  </si>
  <si>
    <t>Tension-controlled transition rule</t>
  </si>
  <si>
    <t>fixed 0.005; high-strength 2.5·εy</t>
  </si>
  <si>
    <t>Blue text marks editable values that drive formulas. Orange text marks settings that require re-export because they change the generated surface or mesh.</t>
  </si>
  <si>
    <t>CONCRETE INTEGRATION MESH</t>
  </si>
  <si>
    <t>X and Y are measured from the analysis origin. Area is the quadrature weight used directly by Result SUMPRODUCT formulas.</t>
  </si>
  <si>
    <t>Cell size (mm)</t>
  </si>
  <si>
    <t>Points</t>
  </si>
  <si>
    <t>Area error</t>
  </si>
  <si>
    <t>Component</t>
  </si>
  <si>
    <t>FIXED-P LOWER BRACKETING STATIONS</t>
  </si>
  <si>
    <t>Each row is one full strain-plane calculation for the station that brackets Selected_P. Criterion basis and value are direction-specific.</t>
  </si>
  <si>
    <t>Selected P (kN)</t>
  </si>
  <si>
    <t>Bracket role</t>
  </si>
  <si>
    <t>P below or exact</t>
  </si>
  <si>
    <t>Direction ID</t>
  </si>
  <si>
    <t>Branch</t>
  </si>
  <si>
    <t>Chart β (deg)</t>
  </si>
  <si>
    <t>Source key</t>
  </si>
  <si>
    <t>Station / role</t>
  </si>
  <si>
    <t>β strain (deg)</t>
  </si>
  <si>
    <t>Criterion basis</t>
  </si>
  <si>
    <t>Criterion value</t>
  </si>
  <si>
    <t>zc (mm)</t>
  </si>
  <si>
    <t>z control (mm)</t>
  </si>
  <si>
    <t>D (mm)</t>
  </si>
  <si>
    <t>εc</t>
  </si>
  <si>
    <t>ε control</t>
  </si>
  <si>
    <t>κ (1/mm)</t>
  </si>
  <si>
    <t>ε₀</t>
  </si>
  <si>
    <t>κx (1/mm)</t>
  </si>
  <si>
    <t>κy (1/mm)</t>
  </si>
  <si>
    <t>Concrete P</t>
  </si>
  <si>
    <t>Concrete Mx</t>
  </si>
  <si>
    <t>Concrete My</t>
  </si>
  <si>
    <t>Steel P</t>
  </si>
  <si>
    <t>Steel Mx</t>
  </si>
  <si>
    <t>Steel My</t>
  </si>
  <si>
    <t>Base P</t>
  </si>
  <si>
    <t>Base Mx</t>
  </si>
  <si>
    <t>Base My</t>
  </si>
  <si>
    <t>P scale</t>
  </si>
  <si>
    <t>M scale</t>
  </si>
  <si>
    <t>Final P</t>
  </si>
  <si>
    <t>Final Mx</t>
  </si>
  <si>
    <t>Final My</t>
  </si>
  <si>
    <t>Engine P</t>
  </si>
  <si>
    <t>Engine Mx</t>
  </si>
  <si>
    <t>Engine My</t>
  </si>
  <si>
    <t>ΔP</t>
  </si>
  <si>
    <t>ΔM</t>
  </si>
  <si>
    <t>Calculation mode</t>
  </si>
  <si>
    <t>Base engine P</t>
  </si>
  <si>
    <t>Base engine Mx</t>
  </si>
  <si>
    <t>Base engine My</t>
  </si>
  <si>
    <t>Concrete engine P</t>
  </si>
  <si>
    <t>Concrete engine Mx</t>
  </si>
  <si>
    <t>Concrete engine My</t>
  </si>
  <si>
    <t>Steel engine P</t>
  </si>
  <si>
    <t>Steel engine Mx</t>
  </si>
  <si>
    <t>Steel engine My</t>
  </si>
  <si>
    <t>fixedP-b0.000-branch1</t>
  </si>
  <si>
    <t>0-station-25|0|25</t>
  </si>
  <si>
    <t>P below — station-25</t>
  </si>
  <si>
    <t>εₛ/εy</t>
  </si>
  <si>
    <t>mesh formula</t>
  </si>
  <si>
    <t>fixedP-b10.000-branch1</t>
  </si>
  <si>
    <t>10-station-23|0.17453292519943295|23</t>
  </si>
  <si>
    <t>P below — station-23</t>
  </si>
  <si>
    <t>fixedP-b20.000-branch1</t>
  </si>
  <si>
    <t>20-station-23|0.3490658503988659|23</t>
  </si>
  <si>
    <t>fixedP-b30.000-branch1</t>
  </si>
  <si>
    <t>30-station-23|0.5235987755982988|23</t>
  </si>
  <si>
    <t>fixedP-b40.000-branch1</t>
  </si>
  <si>
    <t>40-station-23|0.6981317007977318|23</t>
  </si>
  <si>
    <t>fixedP-b50.000-branch1</t>
  </si>
  <si>
    <t>50-station-23|0.8726646259971648|23</t>
  </si>
  <si>
    <t>fixedP-b60.000-branch1</t>
  </si>
  <si>
    <t>60-station-23|1.0471975511965976|23</t>
  </si>
  <si>
    <t>fixedP-b70.000-branch1</t>
  </si>
  <si>
    <t>70-station-23|1.2217304763960306|23</t>
  </si>
  <si>
    <t>fixedP-b80.000-branch1</t>
  </si>
  <si>
    <t>80-station-24|1.3962634015954636|24</t>
  </si>
  <si>
    <t>P below — station-24</t>
  </si>
  <si>
    <t>fixedP-b90.000-branch1</t>
  </si>
  <si>
    <t>90-station-25|1.5707963267948966|25</t>
  </si>
  <si>
    <t>fixedP-b100.000-branch1</t>
  </si>
  <si>
    <t>100-station-24|1.7453292519943295|24</t>
  </si>
  <si>
    <t>fixedP-b110.000-branch1</t>
  </si>
  <si>
    <t>110-station-23|1.9198621771937623|23</t>
  </si>
  <si>
    <t>fixedP-b120.000-branch1</t>
  </si>
  <si>
    <t>120-station-23|2.0943951023931953|23</t>
  </si>
  <si>
    <t>fixedP-b130.000-branch1</t>
  </si>
  <si>
    <t>130-station-23|2.2689280275926285|23</t>
  </si>
  <si>
    <t>fixedP-b140.000-branch1</t>
  </si>
  <si>
    <t>140-station-23|2.443460952792061|23</t>
  </si>
  <si>
    <t>fixedP-b150.000-branch1</t>
  </si>
  <si>
    <t>150-station-23|2.617993877991494|23</t>
  </si>
  <si>
    <t>fixedP-b160.000-branch1</t>
  </si>
  <si>
    <t>160-station-23|2.792526803190927|23</t>
  </si>
  <si>
    <t>fixedP-b170.000-branch1</t>
  </si>
  <si>
    <t>170-station-23|2.9670597283903604|23</t>
  </si>
  <si>
    <t>fixedP-b180.000-branch1</t>
  </si>
  <si>
    <t>180-station-25|3.141592653589793|25</t>
  </si>
  <si>
    <t>fixedP-b190.000-branch1</t>
  </si>
  <si>
    <t>190-station-23|3.316125578789226|23</t>
  </si>
  <si>
    <t>fixedP-b200.000-branch1</t>
  </si>
  <si>
    <t>200-station-23|3.490658503988659|23</t>
  </si>
  <si>
    <t>fixedP-b210.000-branch1</t>
  </si>
  <si>
    <t>210-station-23|3.6651914291880923|23</t>
  </si>
  <si>
    <t>fixedP-b220.000-branch1</t>
  </si>
  <si>
    <t>220-station-23|3.8397243543875246|23</t>
  </si>
  <si>
    <t>fixedP-b230.000-branch1</t>
  </si>
  <si>
    <t>230-station-23|4.014257279586958|23</t>
  </si>
  <si>
    <t>fixedP-b240.000-branch1</t>
  </si>
  <si>
    <t>240-station-23|4.1887902047863905|23</t>
  </si>
  <si>
    <t>fixedP-b250.000-branch1</t>
  </si>
  <si>
    <t>250-station-23|4.363323129985824|23</t>
  </si>
  <si>
    <t>fixedP-b260.000-branch1</t>
  </si>
  <si>
    <t>260-station-24|4.537856055185257|24</t>
  </si>
  <si>
    <t>fixedP-b270.000-branch1</t>
  </si>
  <si>
    <t>270-station-25|4.71238898038469|25</t>
  </si>
  <si>
    <t>fixedP-b280.000-branch1</t>
  </si>
  <si>
    <t>280-station-24|4.886921905584122|24</t>
  </si>
  <si>
    <t>fixedP-b290.000-branch1</t>
  </si>
  <si>
    <t>290-station-23|5.061454830783556|23</t>
  </si>
  <si>
    <t>fixedP-b300.000-branch1</t>
  </si>
  <si>
    <t>300-station-23|5.235987755982988|23</t>
  </si>
  <si>
    <t>fixedP-b310.000-branch1</t>
  </si>
  <si>
    <t>310-station-23|5.410520681182422|23</t>
  </si>
  <si>
    <t>fixedP-b320.000-branch1</t>
  </si>
  <si>
    <t>320-station-23|5.585053606381854|23</t>
  </si>
  <si>
    <t>fixedP-b330.000-branch1</t>
  </si>
  <si>
    <t>330-station-23|5.759586531581288|23</t>
  </si>
  <si>
    <t>fixedP-b340.000-branch1</t>
  </si>
  <si>
    <t>340-station-23|5.934119456780721|23</t>
  </si>
  <si>
    <t>fixedP-b350.000-branch1</t>
  </si>
  <si>
    <t>350-station-23|6.1086523819801535|23</t>
  </si>
  <si>
    <t>FIXED-P UPPER BRACKETING STATIONS</t>
  </si>
  <si>
    <t>P above or exact</t>
  </si>
  <si>
    <t>0-station-24|0|24</t>
  </si>
  <si>
    <t>P above — station-24</t>
  </si>
  <si>
    <t>10-station-22|0.17453292519943295|22</t>
  </si>
  <si>
    <t>P above — station-22</t>
  </si>
  <si>
    <t>20-station-22|0.3490658503988659|22</t>
  </si>
  <si>
    <t>30-station-22|0.5235987755982988|22</t>
  </si>
  <si>
    <t>40-station-22|0.6981317007977318|22</t>
  </si>
  <si>
    <t>50-station-22|0.8726646259971648|22</t>
  </si>
  <si>
    <t>60-station-22|1.0471975511965976|22</t>
  </si>
  <si>
    <t>70-station-22|1.2217304763960306|22</t>
  </si>
  <si>
    <t>80-station-23|1.3962634015954636|23</t>
  </si>
  <si>
    <t>P above — station-23</t>
  </si>
  <si>
    <t>90-station-24|1.5707963267948966|24</t>
  </si>
  <si>
    <t>100-station-23|1.7453292519943295|23</t>
  </si>
  <si>
    <t>110-station-22|1.9198621771937623|22</t>
  </si>
  <si>
    <t>120-station-22|2.0943951023931953|22</t>
  </si>
  <si>
    <t>130-station-22|2.2689280275926285|22</t>
  </si>
  <si>
    <t>140-station-22|2.443460952792061|22</t>
  </si>
  <si>
    <t>150-station-22|2.617993877991494|22</t>
  </si>
  <si>
    <t>160-station-22|2.792526803190927|22</t>
  </si>
  <si>
    <t>170-station-22|2.9670597283903604|22</t>
  </si>
  <si>
    <t>180-station-24|3.141592653589793|24</t>
  </si>
  <si>
    <t>190-station-22|3.316125578789226|22</t>
  </si>
  <si>
    <t>200-station-22|3.490658503988659|22</t>
  </si>
  <si>
    <t>210-station-22|3.6651914291880923|22</t>
  </si>
  <si>
    <t>220-station-22|3.8397243543875246|22</t>
  </si>
  <si>
    <t>230-station-22|4.014257279586958|22</t>
  </si>
  <si>
    <t>240-station-22|4.1887902047863905|22</t>
  </si>
  <si>
    <t>250-station-22|4.363323129985824|22</t>
  </si>
  <si>
    <t>260-station-23|4.537856055185257|23</t>
  </si>
  <si>
    <t>270-station-24|4.71238898038469|24</t>
  </si>
  <si>
    <t>280-station-23|4.886921905584122|23</t>
  </si>
  <si>
    <t>290-station-22|5.061454830783556|22</t>
  </si>
  <si>
    <t>300-station-22|5.235987755982988|22</t>
  </si>
  <si>
    <t>310-station-22|5.410520681182422|22</t>
  </si>
  <si>
    <t>320-station-22|5.585053606381854|22</t>
  </si>
  <si>
    <t>330-station-22|5.759586531581288|22</t>
  </si>
  <si>
    <t>340-station-22|5.934119456780721|22</t>
  </si>
  <si>
    <t>350-station-22|6.1086523819801535|22</t>
  </si>
  <si>
    <t>FORMULA-DRIVEN CHART AUDIT</t>
  </si>
  <si>
    <t>One result row is interpolated from the matching P-below and P-above station rows. Direction ID and Branch preserve distinct Pmax points.</t>
  </si>
  <si>
    <t>Chart source</t>
  </si>
  <si>
    <t>Fixed-P</t>
  </si>
  <si>
    <t>Resistance stage</t>
  </si>
  <si>
    <t>#</t>
  </si>
  <si>
    <t>β (deg)</t>
  </si>
  <si>
    <t>Lower criterion</t>
  </si>
  <si>
    <t>Lower value</t>
  </si>
  <si>
    <t>P lower (kN)</t>
  </si>
  <si>
    <t>Upper criterion</t>
  </si>
  <si>
    <t>Upper value</t>
  </si>
  <si>
    <t>P upper (kN)</t>
  </si>
  <si>
    <t>Ratio t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</si>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</sst>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.000"/>
    <numFmt numFmtId="165" formatCode="0.000000"/>
    <numFmt numFmtId="166" formatCode="#,##0.0"/>
    <numFmt numFmtId="167" formatCode="0.000"/>
    <numFmt numFmtId="168" formatCode="0.000000000"/>
  </numFmts>
  <fonts count="14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475569"/>
      <sz val="9"/>
    </font>
    <font>
      <color rgb="FF0070C0"/>
      <sz val="9"/>
    </font>
    <font>
      <color rgb="FF008000"/>
      <sz val="9"/>
    </font>
    <font>
      <color rgb="FF64748B"/>
      <sz val="9"/>
    </font>
    <font>
      <color rgb="FFC65911"/>
      <sz val="9"/>
    </font>
    <font>
      <color rgb="FF64748B"/>
    </font>
    <font>
      <b/>
      <color rgb="FF1F2937"/>
      <sz val="10"/>
    </font>
    <font>
      <color rgb="FFC65911"/>
    </font>
    <font>
      <color rgb="FF008000"/>
    </font>
    <font>
      <b/>
      <color rgb="FF1F3864"/>
      <sz val="11"/>
    </font>
    <font>
      <color rgb="FF0070C0"/>
    </font>
    <font>
      <i/>
      <color rgb="FF6B7280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8EEF7"/>
      </patternFill>
    </fill>
    <fill>
      <patternFill patternType="solid">
        <fgColor rgb="FFD6E4F5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94A3B8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0" fontId="9" fillId="0" borderId="0" xfId="0" applyFont="1"/>
    <xf numFmtId="164" fontId="10" fillId="0" borderId="0" xfId="0" applyNumberFormat="1" applyFont="1"/>
    <xf numFmtId="0" fontId="11" fillId="4" borderId="0" xfId="0" applyFont="1" applyFill="1"/>
    <xf numFmtId="0" fontId="12" fillId="0" borderId="0" xfId="0" applyFont="1"/>
    <xf numFmtId="0" fontId="0" fillId="0" borderId="0" xfId="0" applyAlignment="1">
      <alignment vertical="top" wrapText="1"/>
    </xf>
    <xf numFmtId="0" fontId="7" fillId="0" borderId="0" xfId="0" applyFont="1" applyAlignment="1">
      <alignment vertical="top" wrapText="1"/>
    </xf>
    <xf numFmtId="165" fontId="10" fillId="0" borderId="0" xfId="0" applyNumberFormat="1" applyFont="1"/>
    <xf numFmtId="0" fontId="13" fillId="0" borderId="0" xfId="0" applyFont="1"/>
    <xf numFmtId="166" fontId="10" fillId="0" borderId="0" xfId="0" applyNumberFormat="1" applyFont="1"/>
    <xf numFmtId="167" fontId="7" fillId="0" borderId="0" xfId="0" applyNumberFormat="1" applyFont="1"/>
    <xf numFmtId="167" fontId="12" fillId="0" borderId="0" xfId="0" applyNumberFormat="1" applyFont="1"/>
    <xf numFmtId="165" fontId="12" fillId="0" borderId="0" xfId="0" applyNumberFormat="1" applyFont="1"/>
    <xf numFmtId="168" fontId="10" fillId="0" borderId="0" xfId="0" applyNumberFormat="1" applyFont="1"/>
    <xf numFmtId="0" fontId="7" fillId="5" borderId="0" xfId="0" applyFont="1" applyFill="1"/>
    <xf numFmtId="167" fontId="7" fillId="5" borderId="0" xfId="0" applyNumberFormat="1" applyFont="1" applyFill="1"/>
    <xf numFmtId="49" fontId="10" fillId="5" borderId="0" xfId="0" applyNumberFormat="1" applyFont="1" applyFill="1"/>
    <xf numFmtId="165" fontId="10" fillId="5" borderId="0" xfId="0" applyNumberFormat="1" applyFont="1" applyFill="1"/>
    <xf numFmtId="166" fontId="10" fillId="5" borderId="0" xfId="0" applyNumberFormat="1" applyFont="1" applyFill="1"/>
    <xf numFmtId="4" fontId="10" fillId="5" borderId="0" xfId="0" applyNumberFormat="1" applyFont="1" applyFill="1"/>
    <xf numFmtId="49" fontId="10" fillId="0" borderId="0" xfId="0" applyNumberFormat="1" applyFont="1"/>
    <xf numFmtId="4" fontId="1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J65"/>
  <sheetViews>
    <sheetView workbookViewId="0" showGridLines="0">
      <pane ySplit="8" topLeftCell="A9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4" customWidth="1"/>
    <col min="3" max="3" width="14" customWidth="1"/>
    <col min="4" max="7" width="16" customWidth="1"/>
    <col min="8" max="8" width="15" customWidth="1"/>
    <col min="9" max="9" width="18" customWidth="1"/>
  </cols>
  <sheetData>
    <row r="1" ht="22" customHeight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ht="24" customHeight="1" spans="1:5" x14ac:dyDescent="0.25">
      <c r="A2" s="2" t="s">
        <v>1</v>
      </c>
      <c r="B2" s="3" t="s">
        <v>2</v>
      </c>
      <c r="C2" s="4" t="s">
        <v>3</v>
      </c>
      <c r="D2" s="5" t="s">
        <v>4</v>
      </c>
      <c r="E2" s="6" t="s">
        <v>5</v>
      </c>
    </row>
    <row r="3" spans="2:7" x14ac:dyDescent="0.25">
      <c r="B3" t="s">
        <v>6</v>
      </c>
      <c r="C3" s="7" t="s">
        <v>7</v>
      </c>
      <c r="F3" t="s">
        <v>8</v>
      </c>
      <c r="G3" s="7" t="s">
        <v>9</v>
      </c>
    </row>
    <row r="4" spans="2:7" x14ac:dyDescent="0.25">
      <c r="B4" t="s">
        <v>10</v>
      </c>
      <c r="C4" s="7" t="s">
        <v>11</v>
      </c>
      <c r="F4" t="s">
        <v>12</v>
      </c>
      <c r="G4" s="7" t="s">
        <v>13</v>
      </c>
    </row>
    <row r="5" spans="2:7" x14ac:dyDescent="0.25">
      <c r="B5" t="s">
        <v>14</v>
      </c>
      <c r="C5" s="7" t="s">
        <v>15</v>
      </c>
      <c r="F5" t="s">
        <v>16</v>
      </c>
      <c r="G5" s="7" t="s">
        <v>17</v>
      </c>
    </row>
    <row r="6" spans="2:7" x14ac:dyDescent="0.25">
      <c r="B6" t="s">
        <v>18</v>
      </c>
      <c r="C6" s="7">
        <v>0</v>
      </c>
      <c r="D6" t="s">
        <v>19</v>
      </c>
      <c r="F6" t="s">
        <v>20</v>
      </c>
      <c r="G6" s="7" t="s">
        <v>21</v>
      </c>
    </row>
    <row r="7" spans="2:7" x14ac:dyDescent="0.25">
      <c r="B7" t="s">
        <v>22</v>
      </c>
      <c r="C7" s="7">
        <v>0</v>
      </c>
      <c r="D7" t="s">
        <v>19</v>
      </c>
      <c r="F7" t="s">
        <v>23</v>
      </c>
      <c r="G7" s="7" t="s">
        <v>24</v>
      </c>
    </row>
    <row r="8" spans="6:7" x14ac:dyDescent="0.25">
      <c r="F8" t="s">
        <v>25</v>
      </c>
      <c r="G8" s="7" t="s">
        <v>26</v>
      </c>
    </row>
    <row r="12" ht="28" customHeight="1" spans="1:7" x14ac:dyDescent="0.25">
      <c r="A12" s="8" t="s">
        <v>27</v>
      </c>
      <c r="B12" s="8" t="s">
        <v>28</v>
      </c>
      <c r="C12" s="8" t="s">
        <v>29</v>
      </c>
      <c r="D12" s="8" t="s">
        <v>30</v>
      </c>
      <c r="E12" s="8" t="s">
        <v>31</v>
      </c>
      <c r="F12" s="8" t="s">
        <v>32</v>
      </c>
      <c r="G12" s="8" t="s">
        <v>33</v>
      </c>
    </row>
    <row r="13" spans="1:7" x14ac:dyDescent="0.25">
      <c r="A13" t="s">
        <v>34</v>
      </c>
      <c r="B13" t="s">
        <v>35</v>
      </c>
      <c r="C13">
        <v>1</v>
      </c>
      <c r="D13" s="9">
        <v>-550</v>
      </c>
      <c r="E13" s="9">
        <v>600</v>
      </c>
      <c r="F13" s="10">
        <f>D13-Origin_X</f>
        <v>-550</v>
      </c>
      <c r="G13" s="10">
        <f>E13-Origin_Y</f>
        <v>600</v>
      </c>
    </row>
    <row r="14" spans="1:7" x14ac:dyDescent="0.25">
      <c r="A14" t="s">
        <v>34</v>
      </c>
      <c r="B14" t="s">
        <v>35</v>
      </c>
      <c r="C14">
        <v>2</v>
      </c>
      <c r="D14" s="9">
        <v>550</v>
      </c>
      <c r="E14" s="9">
        <v>600</v>
      </c>
      <c r="F14" s="10">
        <f>D14-Origin_X</f>
        <v>550</v>
      </c>
      <c r="G14" s="10">
        <f>E14-Origin_Y</f>
        <v>600</v>
      </c>
    </row>
    <row r="15" spans="1:7" x14ac:dyDescent="0.25">
      <c r="A15" t="s">
        <v>34</v>
      </c>
      <c r="B15" t="s">
        <v>35</v>
      </c>
      <c r="C15">
        <v>3</v>
      </c>
      <c r="D15" s="9">
        <v>750</v>
      </c>
      <c r="E15" s="9">
        <v>400</v>
      </c>
      <c r="F15" s="10">
        <f>D15-Origin_X</f>
        <v>750</v>
      </c>
      <c r="G15" s="10">
        <f>E15-Origin_Y</f>
        <v>400</v>
      </c>
    </row>
    <row r="16" spans="1:7" x14ac:dyDescent="0.25">
      <c r="A16" t="s">
        <v>34</v>
      </c>
      <c r="B16" t="s">
        <v>35</v>
      </c>
      <c r="C16">
        <v>4</v>
      </c>
      <c r="D16" s="9">
        <v>750</v>
      </c>
      <c r="E16" s="9">
        <v>-400</v>
      </c>
      <c r="F16" s="10">
        <f>D16-Origin_X</f>
        <v>750</v>
      </c>
      <c r="G16" s="10">
        <f>E16-Origin_Y</f>
        <v>-400</v>
      </c>
    </row>
    <row r="17" spans="1:7" x14ac:dyDescent="0.25">
      <c r="A17" t="s">
        <v>34</v>
      </c>
      <c r="B17" t="s">
        <v>35</v>
      </c>
      <c r="C17">
        <v>5</v>
      </c>
      <c r="D17" s="9">
        <v>550</v>
      </c>
      <c r="E17" s="9">
        <v>-600</v>
      </c>
      <c r="F17" s="10">
        <f>D17-Origin_X</f>
        <v>550</v>
      </c>
      <c r="G17" s="10">
        <f>E17-Origin_Y</f>
        <v>-600</v>
      </c>
    </row>
    <row r="18" spans="1:7" x14ac:dyDescent="0.25">
      <c r="A18" t="s">
        <v>34</v>
      </c>
      <c r="B18" t="s">
        <v>35</v>
      </c>
      <c r="C18">
        <v>6</v>
      </c>
      <c r="D18" s="9">
        <v>-550</v>
      </c>
      <c r="E18" s="9">
        <v>-600</v>
      </c>
      <c r="F18" s="10">
        <f>D18-Origin_X</f>
        <v>-550</v>
      </c>
      <c r="G18" s="10">
        <f>E18-Origin_Y</f>
        <v>-600</v>
      </c>
    </row>
    <row r="19" spans="1:7" x14ac:dyDescent="0.25">
      <c r="A19" t="s">
        <v>34</v>
      </c>
      <c r="B19" t="s">
        <v>35</v>
      </c>
      <c r="C19">
        <v>7</v>
      </c>
      <c r="D19" s="9">
        <v>-750</v>
      </c>
      <c r="E19" s="9">
        <v>-400</v>
      </c>
      <c r="F19" s="10">
        <f>D19-Origin_X</f>
        <v>-750</v>
      </c>
      <c r="G19" s="10">
        <f>E19-Origin_Y</f>
        <v>-400</v>
      </c>
    </row>
    <row r="20" spans="1:7" x14ac:dyDescent="0.25">
      <c r="A20" t="s">
        <v>34</v>
      </c>
      <c r="B20" t="s">
        <v>35</v>
      </c>
      <c r="C20">
        <v>8</v>
      </c>
      <c r="D20" s="9">
        <v>-750</v>
      </c>
      <c r="E20" s="9">
        <v>400</v>
      </c>
      <c r="F20" s="10">
        <f>D20-Origin_X</f>
        <v>-750</v>
      </c>
      <c r="G20" s="10">
        <f>E20-Origin_Y</f>
        <v>400</v>
      </c>
    </row>
    <row r="21" spans="1:7" x14ac:dyDescent="0.25">
      <c r="A21" t="s">
        <v>36</v>
      </c>
      <c r="B21" t="s">
        <v>37</v>
      </c>
      <c r="C21">
        <v>1</v>
      </c>
      <c r="D21" s="9">
        <v>-450</v>
      </c>
      <c r="E21" s="9">
        <v>400</v>
      </c>
      <c r="F21" s="10">
        <f>D21-Origin_X</f>
        <v>-450</v>
      </c>
      <c r="G21" s="10">
        <f>E21-Origin_Y</f>
        <v>400</v>
      </c>
    </row>
    <row r="22" spans="1:7" x14ac:dyDescent="0.25">
      <c r="A22" t="s">
        <v>36</v>
      </c>
      <c r="B22" t="s">
        <v>37</v>
      </c>
      <c r="C22">
        <v>2</v>
      </c>
      <c r="D22" s="9">
        <v>-250</v>
      </c>
      <c r="E22" s="9">
        <v>400</v>
      </c>
      <c r="F22" s="10">
        <f>D22-Origin_X</f>
        <v>-250</v>
      </c>
      <c r="G22" s="10">
        <f>E22-Origin_Y</f>
        <v>400</v>
      </c>
    </row>
    <row r="23" spans="1:7" x14ac:dyDescent="0.25">
      <c r="A23" t="s">
        <v>36</v>
      </c>
      <c r="B23" t="s">
        <v>37</v>
      </c>
      <c r="C23">
        <v>3</v>
      </c>
      <c r="D23" s="9">
        <v>-150</v>
      </c>
      <c r="E23" s="9">
        <v>300</v>
      </c>
      <c r="F23" s="10">
        <f>D23-Origin_X</f>
        <v>-150</v>
      </c>
      <c r="G23" s="10">
        <f>E23-Origin_Y</f>
        <v>300</v>
      </c>
    </row>
    <row r="24" spans="1:7" x14ac:dyDescent="0.25">
      <c r="A24" t="s">
        <v>36</v>
      </c>
      <c r="B24" t="s">
        <v>37</v>
      </c>
      <c r="C24">
        <v>4</v>
      </c>
      <c r="D24" s="9">
        <v>-150</v>
      </c>
      <c r="E24" s="9">
        <v>-300</v>
      </c>
      <c r="F24" s="10">
        <f>D24-Origin_X</f>
        <v>-150</v>
      </c>
      <c r="G24" s="10">
        <f>E24-Origin_Y</f>
        <v>-300</v>
      </c>
    </row>
    <row r="25" spans="1:7" x14ac:dyDescent="0.25">
      <c r="A25" t="s">
        <v>36</v>
      </c>
      <c r="B25" t="s">
        <v>37</v>
      </c>
      <c r="C25">
        <v>5</v>
      </c>
      <c r="D25" s="9">
        <v>-250</v>
      </c>
      <c r="E25" s="9">
        <v>-400</v>
      </c>
      <c r="F25" s="10">
        <f>D25-Origin_X</f>
        <v>-250</v>
      </c>
      <c r="G25" s="10">
        <f>E25-Origin_Y</f>
        <v>-400</v>
      </c>
    </row>
    <row r="26" spans="1:7" x14ac:dyDescent="0.25">
      <c r="A26" t="s">
        <v>36</v>
      </c>
      <c r="B26" t="s">
        <v>37</v>
      </c>
      <c r="C26">
        <v>6</v>
      </c>
      <c r="D26" s="9">
        <v>-450</v>
      </c>
      <c r="E26" s="9">
        <v>-400</v>
      </c>
      <c r="F26" s="10">
        <f>D26-Origin_X</f>
        <v>-450</v>
      </c>
      <c r="G26" s="10">
        <f>E26-Origin_Y</f>
        <v>-400</v>
      </c>
    </row>
    <row r="27" spans="1:7" x14ac:dyDescent="0.25">
      <c r="A27" t="s">
        <v>36</v>
      </c>
      <c r="B27" t="s">
        <v>37</v>
      </c>
      <c r="C27">
        <v>7</v>
      </c>
      <c r="D27" s="9">
        <v>-550</v>
      </c>
      <c r="E27" s="9">
        <v>-300</v>
      </c>
      <c r="F27" s="10">
        <f>D27-Origin_X</f>
        <v>-550</v>
      </c>
      <c r="G27" s="10">
        <f>E27-Origin_Y</f>
        <v>-300</v>
      </c>
    </row>
    <row r="28" spans="1:7" x14ac:dyDescent="0.25">
      <c r="A28" t="s">
        <v>36</v>
      </c>
      <c r="B28" t="s">
        <v>37</v>
      </c>
      <c r="C28">
        <v>8</v>
      </c>
      <c r="D28" s="9">
        <v>-550</v>
      </c>
      <c r="E28" s="9">
        <v>300</v>
      </c>
      <c r="F28" s="10">
        <f>D28-Origin_X</f>
        <v>-550</v>
      </c>
      <c r="G28" s="10">
        <f>E28-Origin_Y</f>
        <v>300</v>
      </c>
    </row>
    <row r="29" spans="1:7" x14ac:dyDescent="0.25">
      <c r="A29" t="s">
        <v>38</v>
      </c>
      <c r="B29" t="s">
        <v>37</v>
      </c>
      <c r="C29">
        <v>1</v>
      </c>
      <c r="D29" s="9">
        <v>250</v>
      </c>
      <c r="E29" s="9">
        <v>400</v>
      </c>
      <c r="F29" s="10">
        <f>D29-Origin_X</f>
        <v>250</v>
      </c>
      <c r="G29" s="10">
        <f>E29-Origin_Y</f>
        <v>400</v>
      </c>
    </row>
    <row r="30" spans="1:7" x14ac:dyDescent="0.25">
      <c r="A30" t="s">
        <v>38</v>
      </c>
      <c r="B30" t="s">
        <v>37</v>
      </c>
      <c r="C30">
        <v>2</v>
      </c>
      <c r="D30" s="9">
        <v>450</v>
      </c>
      <c r="E30" s="9">
        <v>400</v>
      </c>
      <c r="F30" s="10">
        <f>D30-Origin_X</f>
        <v>450</v>
      </c>
      <c r="G30" s="10">
        <f>E30-Origin_Y</f>
        <v>400</v>
      </c>
    </row>
    <row r="31" spans="1:7" x14ac:dyDescent="0.25">
      <c r="A31" t="s">
        <v>38</v>
      </c>
      <c r="B31" t="s">
        <v>37</v>
      </c>
      <c r="C31">
        <v>3</v>
      </c>
      <c r="D31" s="9">
        <v>550</v>
      </c>
      <c r="E31" s="9">
        <v>300</v>
      </c>
      <c r="F31" s="10">
        <f>D31-Origin_X</f>
        <v>550</v>
      </c>
      <c r="G31" s="10">
        <f>E31-Origin_Y</f>
        <v>300</v>
      </c>
    </row>
    <row r="32" spans="1:7" x14ac:dyDescent="0.25">
      <c r="A32" t="s">
        <v>38</v>
      </c>
      <c r="B32" t="s">
        <v>37</v>
      </c>
      <c r="C32">
        <v>4</v>
      </c>
      <c r="D32" s="9">
        <v>550</v>
      </c>
      <c r="E32" s="9">
        <v>-300</v>
      </c>
      <c r="F32" s="10">
        <f>D32-Origin_X</f>
        <v>550</v>
      </c>
      <c r="G32" s="10">
        <f>E32-Origin_Y</f>
        <v>-300</v>
      </c>
    </row>
    <row r="33" spans="1:7" x14ac:dyDescent="0.25">
      <c r="A33" t="s">
        <v>38</v>
      </c>
      <c r="B33" t="s">
        <v>37</v>
      </c>
      <c r="C33">
        <v>5</v>
      </c>
      <c r="D33" s="9">
        <v>450</v>
      </c>
      <c r="E33" s="9">
        <v>-400</v>
      </c>
      <c r="F33" s="10">
        <f>D33-Origin_X</f>
        <v>450</v>
      </c>
      <c r="G33" s="10">
        <f>E33-Origin_Y</f>
        <v>-400</v>
      </c>
    </row>
    <row r="34" spans="1:7" x14ac:dyDescent="0.25">
      <c r="A34" t="s">
        <v>38</v>
      </c>
      <c r="B34" t="s">
        <v>37</v>
      </c>
      <c r="C34">
        <v>6</v>
      </c>
      <c r="D34" s="9">
        <v>250</v>
      </c>
      <c r="E34" s="9">
        <v>-400</v>
      </c>
      <c r="F34" s="10">
        <f>D34-Origin_X</f>
        <v>250</v>
      </c>
      <c r="G34" s="10">
        <f>E34-Origin_Y</f>
        <v>-400</v>
      </c>
    </row>
    <row r="35" spans="1:7" x14ac:dyDescent="0.25">
      <c r="A35" t="s">
        <v>38</v>
      </c>
      <c r="B35" t="s">
        <v>37</v>
      </c>
      <c r="C35">
        <v>7</v>
      </c>
      <c r="D35" s="9">
        <v>150</v>
      </c>
      <c r="E35" s="9">
        <v>-300</v>
      </c>
      <c r="F35" s="10">
        <f>D35-Origin_X</f>
        <v>150</v>
      </c>
      <c r="G35" s="10">
        <f>E35-Origin_Y</f>
        <v>-300</v>
      </c>
    </row>
    <row r="36" spans="1:7" x14ac:dyDescent="0.25">
      <c r="A36" t="s">
        <v>38</v>
      </c>
      <c r="B36" t="s">
        <v>37</v>
      </c>
      <c r="C36">
        <v>8</v>
      </c>
      <c r="D36" s="9">
        <v>150</v>
      </c>
      <c r="E36" s="9">
        <v>300</v>
      </c>
      <c r="F36" s="10">
        <f>D36-Origin_X</f>
        <v>150</v>
      </c>
      <c r="G36" s="10">
        <f>E36-Origin_Y</f>
        <v>300</v>
      </c>
    </row>
    <row r="38" spans="2:10" x14ac:dyDescent="0.25">
      <c r="B38" s="11" t="s">
        <v>39</v>
      </c>
      <c r="C38" s="11"/>
      <c r="D38" s="11"/>
      <c r="E38" s="11"/>
      <c r="F38" s="11"/>
      <c r="G38" s="11"/>
      <c r="H38" s="11"/>
      <c r="I38" s="11"/>
      <c r="J38" s="11"/>
    </row>
    <row r="39" ht="28" customHeight="1" spans="1:9" x14ac:dyDescent="0.25">
      <c r="A39" s="8" t="s">
        <v>40</v>
      </c>
      <c r="B39" s="8" t="s">
        <v>41</v>
      </c>
      <c r="C39" s="8" t="s">
        <v>42</v>
      </c>
      <c r="D39" s="8" t="s">
        <v>43</v>
      </c>
      <c r="E39" s="8" t="s">
        <v>44</v>
      </c>
      <c r="F39" s="8" t="s">
        <v>45</v>
      </c>
      <c r="G39" s="8" t="s">
        <v>46</v>
      </c>
      <c r="H39" s="8" t="s">
        <v>47</v>
      </c>
      <c r="I39" s="8" t="s">
        <v>48</v>
      </c>
    </row>
    <row r="40" spans="1:9" x14ac:dyDescent="0.25">
      <c r="A40">
        <v>1</v>
      </c>
      <c r="B40" s="7">
        <v>1</v>
      </c>
      <c r="C40" s="12">
        <v>32</v>
      </c>
      <c r="D40" s="12">
        <v>-400</v>
      </c>
      <c r="E40" s="12">
        <v>530</v>
      </c>
      <c r="F40" s="10">
        <f>D40-Origin_X</f>
        <v>-400</v>
      </c>
      <c r="G40" s="10">
        <f>E40-Origin_Y</f>
        <v>530</v>
      </c>
      <c r="H40" s="10">
        <f>PI()*C40^2/4</f>
        <v>804.247719318987</v>
      </c>
      <c r="I40" s="9">
        <v>1</v>
      </c>
    </row>
    <row r="41" spans="1:9" x14ac:dyDescent="0.25">
      <c r="A41">
        <v>2</v>
      </c>
      <c r="B41" s="7">
        <v>2</v>
      </c>
      <c r="C41" s="12">
        <v>32</v>
      </c>
      <c r="D41" s="12">
        <v>-200</v>
      </c>
      <c r="E41" s="12">
        <v>530</v>
      </c>
      <c r="F41" s="10">
        <f>D41-Origin_X</f>
        <v>-200</v>
      </c>
      <c r="G41" s="10">
        <f>E41-Origin_Y</f>
        <v>530</v>
      </c>
      <c r="H41" s="10">
        <f>PI()*C41^2/4</f>
        <v>804.247719318987</v>
      </c>
      <c r="I41" s="9">
        <v>1</v>
      </c>
    </row>
    <row r="42" spans="1:9" x14ac:dyDescent="0.25">
      <c r="A42">
        <v>3</v>
      </c>
      <c r="B42" s="7">
        <v>3</v>
      </c>
      <c r="C42" s="12">
        <v>32</v>
      </c>
      <c r="D42" s="12">
        <v>0</v>
      </c>
      <c r="E42" s="12">
        <v>530</v>
      </c>
      <c r="F42" s="10">
        <f>D42-Origin_X</f>
        <v>0</v>
      </c>
      <c r="G42" s="10">
        <f>E42-Origin_Y</f>
        <v>530</v>
      </c>
      <c r="H42" s="10">
        <f>PI()*C42^2/4</f>
        <v>804.247719318987</v>
      </c>
      <c r="I42" s="9">
        <v>1</v>
      </c>
    </row>
    <row r="43" spans="1:9" x14ac:dyDescent="0.25">
      <c r="A43">
        <v>4</v>
      </c>
      <c r="B43" s="7">
        <v>4</v>
      </c>
      <c r="C43" s="12">
        <v>32</v>
      </c>
      <c r="D43" s="12">
        <v>200</v>
      </c>
      <c r="E43" s="12">
        <v>530</v>
      </c>
      <c r="F43" s="10">
        <f>D43-Origin_X</f>
        <v>200</v>
      </c>
      <c r="G43" s="10">
        <f>E43-Origin_Y</f>
        <v>530</v>
      </c>
      <c r="H43" s="10">
        <f>PI()*C43^2/4</f>
        <v>804.247719318987</v>
      </c>
      <c r="I43" s="9">
        <v>1</v>
      </c>
    </row>
    <row r="44" spans="1:9" x14ac:dyDescent="0.25">
      <c r="A44">
        <v>5</v>
      </c>
      <c r="B44" s="7">
        <v>5</v>
      </c>
      <c r="C44" s="12">
        <v>32</v>
      </c>
      <c r="D44" s="12">
        <v>400</v>
      </c>
      <c r="E44" s="12">
        <v>530</v>
      </c>
      <c r="F44" s="10">
        <f>D44-Origin_X</f>
        <v>400</v>
      </c>
      <c r="G44" s="10">
        <f>E44-Origin_Y</f>
        <v>530</v>
      </c>
      <c r="H44" s="10">
        <f>PI()*C44^2/4</f>
        <v>804.247719318987</v>
      </c>
      <c r="I44" s="9">
        <v>1</v>
      </c>
    </row>
    <row r="45" spans="1:9" x14ac:dyDescent="0.25">
      <c r="A45">
        <v>6</v>
      </c>
      <c r="B45" s="7">
        <v>6</v>
      </c>
      <c r="C45" s="12">
        <v>32</v>
      </c>
      <c r="D45" s="12">
        <v>-400</v>
      </c>
      <c r="E45" s="12">
        <v>-530</v>
      </c>
      <c r="F45" s="10">
        <f>D45-Origin_X</f>
        <v>-400</v>
      </c>
      <c r="G45" s="10">
        <f>E45-Origin_Y</f>
        <v>-530</v>
      </c>
      <c r="H45" s="10">
        <f>PI()*C45^2/4</f>
        <v>804.247719318987</v>
      </c>
      <c r="I45" s="9">
        <v>1</v>
      </c>
    </row>
    <row r="46" spans="1:9" x14ac:dyDescent="0.25">
      <c r="A46">
        <v>7</v>
      </c>
      <c r="B46" s="7">
        <v>7</v>
      </c>
      <c r="C46" s="12">
        <v>32</v>
      </c>
      <c r="D46" s="12">
        <v>-200</v>
      </c>
      <c r="E46" s="12">
        <v>-530</v>
      </c>
      <c r="F46" s="10">
        <f>D46-Origin_X</f>
        <v>-200</v>
      </c>
      <c r="G46" s="10">
        <f>E46-Origin_Y</f>
        <v>-530</v>
      </c>
      <c r="H46" s="10">
        <f>PI()*C46^2/4</f>
        <v>804.247719318987</v>
      </c>
      <c r="I46" s="9">
        <v>1</v>
      </c>
    </row>
    <row r="47" spans="1:9" x14ac:dyDescent="0.25">
      <c r="A47">
        <v>8</v>
      </c>
      <c r="B47" s="7">
        <v>8</v>
      </c>
      <c r="C47" s="12">
        <v>32</v>
      </c>
      <c r="D47" s="12">
        <v>0</v>
      </c>
      <c r="E47" s="12">
        <v>-530</v>
      </c>
      <c r="F47" s="10">
        <f>D47-Origin_X</f>
        <v>0</v>
      </c>
      <c r="G47" s="10">
        <f>E47-Origin_Y</f>
        <v>-530</v>
      </c>
      <c r="H47" s="10">
        <f>PI()*C47^2/4</f>
        <v>804.247719318987</v>
      </c>
      <c r="I47" s="9">
        <v>1</v>
      </c>
    </row>
    <row r="48" spans="1:9" x14ac:dyDescent="0.25">
      <c r="A48">
        <v>9</v>
      </c>
      <c r="B48" s="7">
        <v>9</v>
      </c>
      <c r="C48" s="12">
        <v>32</v>
      </c>
      <c r="D48" s="12">
        <v>200</v>
      </c>
      <c r="E48" s="12">
        <v>-530</v>
      </c>
      <c r="F48" s="10">
        <f>D48-Origin_X</f>
        <v>200</v>
      </c>
      <c r="G48" s="10">
        <f>E48-Origin_Y</f>
        <v>-530</v>
      </c>
      <c r="H48" s="10">
        <f>PI()*C48^2/4</f>
        <v>804.247719318987</v>
      </c>
      <c r="I48" s="9">
        <v>1</v>
      </c>
    </row>
    <row r="49" spans="1:9" x14ac:dyDescent="0.25">
      <c r="A49">
        <v>10</v>
      </c>
      <c r="B49" s="7">
        <v>10</v>
      </c>
      <c r="C49" s="12">
        <v>32</v>
      </c>
      <c r="D49" s="12">
        <v>400</v>
      </c>
      <c r="E49" s="12">
        <v>-530</v>
      </c>
      <c r="F49" s="10">
        <f>D49-Origin_X</f>
        <v>400</v>
      </c>
      <c r="G49" s="10">
        <f>E49-Origin_Y</f>
        <v>-530</v>
      </c>
      <c r="H49" s="10">
        <f>PI()*C49^2/4</f>
        <v>804.247719318987</v>
      </c>
      <c r="I49" s="9">
        <v>1</v>
      </c>
    </row>
    <row r="50" spans="1:9" x14ac:dyDescent="0.25">
      <c r="A50">
        <v>11</v>
      </c>
      <c r="B50" s="7">
        <v>11</v>
      </c>
      <c r="C50" s="12">
        <v>32</v>
      </c>
      <c r="D50" s="12">
        <v>-680</v>
      </c>
      <c r="E50" s="12">
        <v>300</v>
      </c>
      <c r="F50" s="10">
        <f>D50-Origin_X</f>
        <v>-680</v>
      </c>
      <c r="G50" s="10">
        <f>E50-Origin_Y</f>
        <v>300</v>
      </c>
      <c r="H50" s="10">
        <f>PI()*C50^2/4</f>
        <v>804.247719318987</v>
      </c>
      <c r="I50" s="9">
        <v>1</v>
      </c>
    </row>
    <row r="51" spans="1:9" x14ac:dyDescent="0.25">
      <c r="A51">
        <v>12</v>
      </c>
      <c r="B51" s="7">
        <v>12</v>
      </c>
      <c r="C51" s="12">
        <v>32</v>
      </c>
      <c r="D51" s="12">
        <v>-680</v>
      </c>
      <c r="E51" s="12">
        <v>100</v>
      </c>
      <c r="F51" s="10">
        <f>D51-Origin_X</f>
        <v>-680</v>
      </c>
      <c r="G51" s="10">
        <f>E51-Origin_Y</f>
        <v>100</v>
      </c>
      <c r="H51" s="10">
        <f>PI()*C51^2/4</f>
        <v>804.247719318987</v>
      </c>
      <c r="I51" s="9">
        <v>1</v>
      </c>
    </row>
    <row r="52" spans="1:9" x14ac:dyDescent="0.25">
      <c r="A52">
        <v>13</v>
      </c>
      <c r="B52" s="7">
        <v>13</v>
      </c>
      <c r="C52" s="12">
        <v>32</v>
      </c>
      <c r="D52" s="12">
        <v>-680</v>
      </c>
      <c r="E52" s="12">
        <v>-100</v>
      </c>
      <c r="F52" s="10">
        <f>D52-Origin_X</f>
        <v>-680</v>
      </c>
      <c r="G52" s="10">
        <f>E52-Origin_Y</f>
        <v>-100</v>
      </c>
      <c r="H52" s="10">
        <f>PI()*C52^2/4</f>
        <v>804.247719318987</v>
      </c>
      <c r="I52" s="9">
        <v>1</v>
      </c>
    </row>
    <row r="53" spans="1:9" x14ac:dyDescent="0.25">
      <c r="A53">
        <v>14</v>
      </c>
      <c r="B53" s="7">
        <v>14</v>
      </c>
      <c r="C53" s="12">
        <v>32</v>
      </c>
      <c r="D53" s="12">
        <v>-680</v>
      </c>
      <c r="E53" s="12">
        <v>-300</v>
      </c>
      <c r="F53" s="10">
        <f>D53-Origin_X</f>
        <v>-680</v>
      </c>
      <c r="G53" s="10">
        <f>E53-Origin_Y</f>
        <v>-300</v>
      </c>
      <c r="H53" s="10">
        <f>PI()*C53^2/4</f>
        <v>804.247719318987</v>
      </c>
      <c r="I53" s="9">
        <v>1</v>
      </c>
    </row>
    <row r="54" spans="1:9" x14ac:dyDescent="0.25">
      <c r="A54">
        <v>15</v>
      </c>
      <c r="B54" s="7">
        <v>15</v>
      </c>
      <c r="C54" s="12">
        <v>32</v>
      </c>
      <c r="D54" s="12">
        <v>680</v>
      </c>
      <c r="E54" s="12">
        <v>300</v>
      </c>
      <c r="F54" s="10">
        <f>D54-Origin_X</f>
        <v>680</v>
      </c>
      <c r="G54" s="10">
        <f>E54-Origin_Y</f>
        <v>300</v>
      </c>
      <c r="H54" s="10">
        <f>PI()*C54^2/4</f>
        <v>804.247719318987</v>
      </c>
      <c r="I54" s="9">
        <v>1</v>
      </c>
    </row>
    <row r="55" spans="1:9" x14ac:dyDescent="0.25">
      <c r="A55">
        <v>16</v>
      </c>
      <c r="B55" s="7">
        <v>16</v>
      </c>
      <c r="C55" s="12">
        <v>32</v>
      </c>
      <c r="D55" s="12">
        <v>680</v>
      </c>
      <c r="E55" s="12">
        <v>100</v>
      </c>
      <c r="F55" s="10">
        <f>D55-Origin_X</f>
        <v>680</v>
      </c>
      <c r="G55" s="10">
        <f>E55-Origin_Y</f>
        <v>100</v>
      </c>
      <c r="H55" s="10">
        <f>PI()*C55^2/4</f>
        <v>804.247719318987</v>
      </c>
      <c r="I55" s="9">
        <v>1</v>
      </c>
    </row>
    <row r="56" spans="1:9" x14ac:dyDescent="0.25">
      <c r="A56">
        <v>17</v>
      </c>
      <c r="B56" s="7">
        <v>17</v>
      </c>
      <c r="C56" s="12">
        <v>32</v>
      </c>
      <c r="D56" s="12">
        <v>680</v>
      </c>
      <c r="E56" s="12">
        <v>-100</v>
      </c>
      <c r="F56" s="10">
        <f>D56-Origin_X</f>
        <v>680</v>
      </c>
      <c r="G56" s="10">
        <f>E56-Origin_Y</f>
        <v>-100</v>
      </c>
      <c r="H56" s="10">
        <f>PI()*C56^2/4</f>
        <v>804.247719318987</v>
      </c>
      <c r="I56" s="9">
        <v>1</v>
      </c>
    </row>
    <row r="57" spans="1:9" x14ac:dyDescent="0.25">
      <c r="A57">
        <v>18</v>
      </c>
      <c r="B57" s="7">
        <v>18</v>
      </c>
      <c r="C57" s="12">
        <v>32</v>
      </c>
      <c r="D57" s="12">
        <v>680</v>
      </c>
      <c r="E57" s="12">
        <v>-300</v>
      </c>
      <c r="F57" s="10">
        <f>D57-Origin_X</f>
        <v>680</v>
      </c>
      <c r="G57" s="10">
        <f>E57-Origin_Y</f>
        <v>-300</v>
      </c>
      <c r="H57" s="10">
        <f>PI()*C57^2/4</f>
        <v>804.247719318987</v>
      </c>
      <c r="I57" s="9">
        <v>1</v>
      </c>
    </row>
    <row r="61" spans="2:8" x14ac:dyDescent="0.25">
      <c r="B61" s="11" t="s">
        <v>49</v>
      </c>
      <c r="C61" s="11"/>
      <c r="D61" s="11"/>
      <c r="E61" s="11"/>
      <c r="F61" s="11"/>
      <c r="G61" s="11"/>
      <c r="H61" s="11"/>
    </row>
    <row r="62" ht="28" customHeight="1" spans="1:6" x14ac:dyDescent="0.25">
      <c r="A62" s="8" t="s">
        <v>50</v>
      </c>
      <c r="B62" s="8" t="s">
        <v>51</v>
      </c>
      <c r="C62" s="8" t="s">
        <v>52</v>
      </c>
      <c r="D62" s="8" t="s">
        <v>53</v>
      </c>
      <c r="E62" s="8" t="s">
        <v>54</v>
      </c>
      <c r="F62" s="8" t="s">
        <v>55</v>
      </c>
    </row>
    <row r="63" ht="28" customHeight="1" spans="1:6" x14ac:dyDescent="0.25">
      <c r="A63">
        <v>1</v>
      </c>
      <c r="B63" s="13" t="s">
        <v>56</v>
      </c>
      <c r="C63" s="12">
        <v>24942.922102452183</v>
      </c>
      <c r="D63" s="12">
        <v>3714.165943842699</v>
      </c>
      <c r="E63" s="12">
        <v>1431.7807276950741</v>
      </c>
      <c r="F63" t="s">
        <v>57</v>
      </c>
    </row>
    <row r="64" ht="28" customHeight="1" spans="1:6" x14ac:dyDescent="0.25">
      <c r="A64">
        <v>2</v>
      </c>
      <c r="B64" s="13" t="s">
        <v>58</v>
      </c>
      <c r="C64" s="12">
        <v>24942.922102452183</v>
      </c>
      <c r="D64" s="12">
        <v>1857.0829719213496</v>
      </c>
      <c r="E64" s="12">
        <v>715.890363847537</v>
      </c>
      <c r="F64" t="s">
        <v>57</v>
      </c>
    </row>
    <row r="65" ht="28" customHeight="1" spans="1:6" x14ac:dyDescent="0.25">
      <c r="A65">
        <v>3</v>
      </c>
      <c r="B65" s="13" t="s">
        <v>59</v>
      </c>
      <c r="C65" s="12">
        <v>5000</v>
      </c>
      <c r="D65" s="12">
        <v>4000</v>
      </c>
      <c r="E65" s="12">
        <v>1500</v>
      </c>
      <c r="F65" t="s">
        <v>57</v>
      </c>
    </row>
  </sheetData>
  <mergeCells count="3">
    <mergeCell ref="A1:I1"/>
    <mergeCell ref="B38:J38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</sheetPr>
  <dimension ref="A1:I36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26" customWidth="1"/>
    <col min="4" max="4" width="16" customWidth="1"/>
    <col min="5" max="5" width="54" customWidth="1"/>
    <col min="6" max="7" width="14" customWidth="1"/>
    <col min="8" max="8" width="24" customWidth="1"/>
  </cols>
  <sheetData>
    <row r="1" ht="22" customHeight="1" spans="1:8" x14ac:dyDescent="0.25">
      <c r="A1" s="1" t="s">
        <v>60</v>
      </c>
      <c r="B1" s="1"/>
      <c r="C1" s="1"/>
      <c r="D1" s="1"/>
      <c r="E1" s="1"/>
      <c r="F1" s="1"/>
      <c r="G1" s="1"/>
      <c r="H1" s="1"/>
    </row>
    <row r="2" ht="24" customHeight="1" spans="1:5" x14ac:dyDescent="0.25">
      <c r="A2" s="2" t="s">
        <v>1</v>
      </c>
      <c r="B2" s="3" t="s">
        <v>2</v>
      </c>
      <c r="C2" s="4" t="s">
        <v>3</v>
      </c>
      <c r="D2" s="5" t="s">
        <v>4</v>
      </c>
      <c r="E2" s="6" t="s">
        <v>5</v>
      </c>
    </row>
    <row r="3" spans="1:5" x14ac:dyDescent="0.25">
      <c r="A3" t="s">
        <v>61</v>
      </c>
      <c r="B3" s="7" t="s">
        <v>62</v>
      </c>
      <c r="D3" t="s">
        <v>14</v>
      </c>
      <c r="E3" s="7" t="s">
        <v>63</v>
      </c>
    </row>
    <row r="5" spans="2:6" x14ac:dyDescent="0.25">
      <c r="B5" s="11" t="s">
        <v>64</v>
      </c>
      <c r="C5" s="11"/>
      <c r="D5" s="11"/>
      <c r="E5" s="11"/>
      <c r="F5" s="11"/>
    </row>
    <row r="6" ht="28" customHeight="1" spans="1:5" x14ac:dyDescent="0.25">
      <c r="A6" s="8" t="s">
        <v>65</v>
      </c>
      <c r="B6" s="8" t="s">
        <v>66</v>
      </c>
      <c r="C6" s="8" t="s">
        <v>67</v>
      </c>
      <c r="D6" s="8" t="s">
        <v>68</v>
      </c>
      <c r="E6" s="8" t="s">
        <v>69</v>
      </c>
    </row>
    <row r="7" spans="2:3" x14ac:dyDescent="0.25">
      <c r="B7" t="s">
        <v>70</v>
      </c>
      <c r="C7" s="7" t="s">
        <v>71</v>
      </c>
    </row>
    <row r="8" spans="2:3" x14ac:dyDescent="0.25">
      <c r="B8" t="s">
        <v>72</v>
      </c>
      <c r="C8" s="7" t="s">
        <v>73</v>
      </c>
    </row>
    <row r="9" spans="2:3" x14ac:dyDescent="0.25">
      <c r="B9" t="s">
        <v>74</v>
      </c>
      <c r="C9" s="7" t="s">
        <v>75</v>
      </c>
    </row>
    <row r="10" spans="1:5" x14ac:dyDescent="0.25">
      <c r="A10" t="s">
        <v>76</v>
      </c>
      <c r="B10" t="s">
        <v>77</v>
      </c>
      <c r="C10" s="12">
        <v>30</v>
      </c>
      <c r="D10" t="s">
        <v>78</v>
      </c>
      <c r="E10" s="13" t="s">
        <v>79</v>
      </c>
    </row>
    <row r="11" spans="1:5" x14ac:dyDescent="0.25">
      <c r="A11" t="s">
        <v>80</v>
      </c>
      <c r="B11" t="s">
        <v>81</v>
      </c>
      <c r="C11" s="9">
        <v>28417.47528313351</v>
      </c>
      <c r="D11" t="s">
        <v>78</v>
      </c>
      <c r="E11" s="13" t="s">
        <v>82</v>
      </c>
    </row>
    <row r="12" spans="1:5" x14ac:dyDescent="0.25">
      <c r="A12" t="s">
        <v>83</v>
      </c>
      <c r="B12" t="s">
        <v>84</v>
      </c>
      <c r="C12" s="12">
        <v>0.85</v>
      </c>
      <c r="D12" t="s">
        <v>85</v>
      </c>
      <c r="E12" s="13" t="s">
        <v>86</v>
      </c>
    </row>
    <row r="13" spans="1:5" x14ac:dyDescent="0.25">
      <c r="A13" t="s">
        <v>87</v>
      </c>
      <c r="B13" t="s">
        <v>88</v>
      </c>
      <c r="C13" s="12">
        <v>0.002</v>
      </c>
      <c r="D13" t="s">
        <v>85</v>
      </c>
      <c r="E13" s="13" t="s">
        <v>89</v>
      </c>
    </row>
    <row r="14" spans="1:5" x14ac:dyDescent="0.25">
      <c r="A14" t="s">
        <v>90</v>
      </c>
      <c r="B14" t="s">
        <v>91</v>
      </c>
      <c r="C14" s="12">
        <v>2</v>
      </c>
      <c r="D14" t="s">
        <v>85</v>
      </c>
      <c r="E14" s="13" t="s">
        <v>92</v>
      </c>
    </row>
    <row r="15" spans="1:5" x14ac:dyDescent="0.25">
      <c r="A15" t="s">
        <v>93</v>
      </c>
      <c r="B15" t="s">
        <v>94</v>
      </c>
      <c r="C15" s="12">
        <v>0.0033</v>
      </c>
      <c r="D15" t="s">
        <v>85</v>
      </c>
      <c r="E15" s="13" t="s">
        <v>95</v>
      </c>
    </row>
    <row r="16" spans="2:5" x14ac:dyDescent="0.25">
      <c r="B16" t="s">
        <v>96</v>
      </c>
      <c r="C16" s="14" t="s">
        <v>97</v>
      </c>
      <c r="D16" s="14"/>
      <c r="E16" s="14"/>
    </row>
    <row r="18" spans="2:9" x14ac:dyDescent="0.25">
      <c r="B18" s="11" t="s">
        <v>98</v>
      </c>
      <c r="C18" s="11"/>
      <c r="D18" s="11"/>
      <c r="E18" s="11"/>
      <c r="F18" s="11"/>
      <c r="G18" s="11"/>
      <c r="H18" s="11"/>
      <c r="I18" s="11"/>
    </row>
    <row r="19" ht="28" customHeight="1" spans="1:8" x14ac:dyDescent="0.25">
      <c r="A19" s="8" t="s">
        <v>50</v>
      </c>
      <c r="B19" s="8" t="s">
        <v>70</v>
      </c>
      <c r="C19" s="8" t="s">
        <v>72</v>
      </c>
      <c r="D19" s="8" t="s">
        <v>99</v>
      </c>
      <c r="E19" s="8" t="s">
        <v>100</v>
      </c>
      <c r="F19" s="8" t="s">
        <v>101</v>
      </c>
      <c r="G19" s="8" t="s">
        <v>102</v>
      </c>
      <c r="H19" s="8" t="s">
        <v>74</v>
      </c>
    </row>
    <row r="20" spans="1:8" x14ac:dyDescent="0.25">
      <c r="A20" s="7">
        <v>1</v>
      </c>
      <c r="B20" s="7" t="s">
        <v>103</v>
      </c>
      <c r="C20" s="7" t="s">
        <v>73</v>
      </c>
      <c r="D20" s="12">
        <v>400</v>
      </c>
      <c r="E20" s="12">
        <v>200000</v>
      </c>
      <c r="F20" s="15">
        <f>D20/E20</f>
        <v>0.002</v>
      </c>
      <c r="G20" s="9"/>
      <c r="H20" s="7" t="s">
        <v>104</v>
      </c>
    </row>
    <row r="24" spans="2:6" x14ac:dyDescent="0.25">
      <c r="B24" s="11" t="s">
        <v>105</v>
      </c>
      <c r="C24" s="11"/>
      <c r="D24" s="11"/>
      <c r="E24" s="11"/>
      <c r="F24" s="11"/>
    </row>
    <row r="25" ht="28" customHeight="1" spans="1:5" x14ac:dyDescent="0.25">
      <c r="A25" s="8" t="s">
        <v>106</v>
      </c>
      <c r="B25" s="8" t="s">
        <v>66</v>
      </c>
      <c r="C25" s="8" t="s">
        <v>67</v>
      </c>
      <c r="D25" s="8" t="s">
        <v>68</v>
      </c>
      <c r="E25" s="8" t="s">
        <v>107</v>
      </c>
    </row>
    <row r="26" spans="1:5" x14ac:dyDescent="0.25">
      <c r="B26" t="s">
        <v>108</v>
      </c>
      <c r="C26" s="9" t="s">
        <v>109</v>
      </c>
      <c r="D26" t="s">
        <v>85</v>
      </c>
      <c r="E26" s="13"/>
    </row>
    <row r="27" spans="1:5" x14ac:dyDescent="0.25">
      <c r="B27" t="s">
        <v>61</v>
      </c>
      <c r="C27" s="9" t="s">
        <v>110</v>
      </c>
      <c r="D27" t="s">
        <v>85</v>
      </c>
      <c r="E27" s="13"/>
    </row>
    <row r="28" spans="1:5" x14ac:dyDescent="0.25">
      <c r="B28" t="s">
        <v>111</v>
      </c>
      <c r="C28" s="9" t="s">
        <v>112</v>
      </c>
      <c r="D28" t="s">
        <v>85</v>
      </c>
      <c r="E28" s="13" t="s">
        <v>63</v>
      </c>
    </row>
    <row r="29" spans="1:5" x14ac:dyDescent="0.25">
      <c r="B29" t="s">
        <v>113</v>
      </c>
      <c r="C29" s="9" t="s">
        <v>114</v>
      </c>
      <c r="D29" t="s">
        <v>85</v>
      </c>
      <c r="E29" s="13"/>
    </row>
    <row r="30" spans="1:5" x14ac:dyDescent="0.25">
      <c r="A30" t="s">
        <v>115</v>
      </c>
      <c r="B30" t="s">
        <v>116</v>
      </c>
      <c r="C30" s="9">
        <v>0.65</v>
      </c>
      <c r="D30" t="s">
        <v>85</v>
      </c>
      <c r="E30" s="13"/>
    </row>
    <row r="31" spans="1:5" x14ac:dyDescent="0.25">
      <c r="A31" t="s">
        <v>117</v>
      </c>
      <c r="B31" t="s">
        <v>118</v>
      </c>
      <c r="C31" s="9">
        <v>0.85</v>
      </c>
      <c r="D31" t="s">
        <v>85</v>
      </c>
      <c r="E31" s="13"/>
    </row>
    <row r="32" spans="1:5" x14ac:dyDescent="0.25">
      <c r="A32" t="s">
        <v>119</v>
      </c>
      <c r="B32" t="s">
        <v>120</v>
      </c>
      <c r="C32" s="9" t="s">
        <v>121</v>
      </c>
      <c r="D32" t="s">
        <v>85</v>
      </c>
      <c r="E32" s="13"/>
    </row>
    <row r="33" spans="1:5" x14ac:dyDescent="0.25">
      <c r="A33" t="s">
        <v>122</v>
      </c>
      <c r="B33" t="s">
        <v>123</v>
      </c>
      <c r="C33" s="9">
        <v>0.8</v>
      </c>
      <c r="D33" t="s">
        <v>85</v>
      </c>
      <c r="E33" s="13"/>
    </row>
    <row r="34" spans="1:5" x14ac:dyDescent="0.25">
      <c r="A34" t="s">
        <v>124</v>
      </c>
      <c r="B34" t="s">
        <v>125</v>
      </c>
      <c r="C34" s="9" t="s">
        <v>126</v>
      </c>
      <c r="D34" t="s">
        <v>85</v>
      </c>
      <c r="E34" s="13"/>
    </row>
    <row r="36" spans="1:5" x14ac:dyDescent="0.25">
      <c r="A36" s="16" t="s">
        <v>127</v>
      </c>
      <c r="B36" s="16"/>
      <c r="C36" s="16"/>
      <c r="D36" s="16"/>
      <c r="E36" s="16"/>
    </row>
  </sheetData>
  <mergeCells count="6">
    <mergeCell ref="A1:H1"/>
    <mergeCell ref="B5:F5"/>
    <mergeCell ref="C16:E16"/>
    <mergeCell ref="B18:I18"/>
    <mergeCell ref="B24:F24"/>
    <mergeCell ref="A36:E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766E"/>
  </sheetPr>
  <dimension ref="A1:G425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6" customWidth="1"/>
    <col min="5" max="5" width="14" customWidth="1"/>
    <col min="6" max="7" width="16" customWidth="1"/>
  </cols>
  <sheetData>
    <row r="1" ht="22" customHeight="1" spans="1:7" x14ac:dyDescent="0.25">
      <c r="A1" s="1" t="s">
        <v>128</v>
      </c>
      <c r="B1" s="1"/>
      <c r="C1" s="1"/>
      <c r="D1" s="1"/>
      <c r="E1" s="1"/>
      <c r="F1" s="1"/>
      <c r="G1" s="1"/>
    </row>
    <row r="2" spans="2:7" x14ac:dyDescent="0.25">
      <c r="B2" s="16" t="s">
        <v>129</v>
      </c>
      <c r="C2" s="16"/>
      <c r="D2" s="16"/>
      <c r="E2" s="16"/>
      <c r="F2" s="16"/>
      <c r="G2" s="16"/>
    </row>
    <row r="3" spans="2:7" x14ac:dyDescent="0.25">
      <c r="B3" t="s">
        <v>130</v>
      </c>
      <c r="C3" s="9">
        <v>150</v>
      </c>
      <c r="D3" t="s">
        <v>131</v>
      </c>
      <c r="E3" s="7">
        <v>420</v>
      </c>
      <c r="F3" t="s">
        <v>132</v>
      </c>
      <c r="G3" s="7">
        <v>4.656612873077393e-10</v>
      </c>
    </row>
    <row r="4" ht="24" customHeight="1" spans="1:5" x14ac:dyDescent="0.25">
      <c r="A4" s="2" t="s">
        <v>1</v>
      </c>
      <c r="B4" s="3" t="s">
        <v>2</v>
      </c>
      <c r="C4" s="4" t="s">
        <v>3</v>
      </c>
      <c r="D4" s="5" t="s">
        <v>4</v>
      </c>
      <c r="E4" s="6" t="s">
        <v>5</v>
      </c>
    </row>
    <row r="5" ht="28" customHeight="1" spans="1:7" x14ac:dyDescent="0.25">
      <c r="A5" s="8" t="s">
        <v>40</v>
      </c>
      <c r="B5" s="8" t="s">
        <v>45</v>
      </c>
      <c r="C5" s="8" t="s">
        <v>46</v>
      </c>
      <c r="D5" s="8" t="s">
        <v>47</v>
      </c>
      <c r="E5" s="8" t="s">
        <v>133</v>
      </c>
      <c r="F5" s="8" t="s">
        <v>43</v>
      </c>
      <c r="G5" s="8" t="s">
        <v>44</v>
      </c>
    </row>
    <row r="6" spans="1:7" x14ac:dyDescent="0.25">
      <c r="A6" s="7">
        <v>1</v>
      </c>
      <c r="B6" s="7">
        <v>-666.6666666666666</v>
      </c>
      <c r="C6" s="7">
        <v>-466.66666666666663</v>
      </c>
      <c r="D6" s="7">
        <v>1666.6666666666667</v>
      </c>
      <c r="E6" s="7">
        <v>0</v>
      </c>
      <c r="F6" s="10">
        <f>B6+Origin_X</f>
        <v>-666.6666666666666</v>
      </c>
      <c r="G6" s="10">
        <f>C6+Origin_Y</f>
        <v>-466.66666666666663</v>
      </c>
    </row>
    <row r="7" spans="1:7" x14ac:dyDescent="0.25">
      <c r="A7" s="7">
        <v>2</v>
      </c>
      <c r="B7" s="7">
        <v>-616.6666666666666</v>
      </c>
      <c r="C7" s="7">
        <v>-516.6666666666666</v>
      </c>
      <c r="D7" s="7">
        <v>1666.6666666666667</v>
      </c>
      <c r="E7" s="7">
        <v>0</v>
      </c>
      <c r="F7" s="10">
        <f>B7+Origin_X</f>
        <v>-616.6666666666666</v>
      </c>
      <c r="G7" s="10">
        <f>C7+Origin_Y</f>
        <v>-516.6666666666666</v>
      </c>
    </row>
    <row r="8" spans="1:7" x14ac:dyDescent="0.25">
      <c r="A8" s="7">
        <v>3</v>
      </c>
      <c r="B8" s="7">
        <v>-616.6666666666666</v>
      </c>
      <c r="C8" s="7">
        <v>-466.66666666666663</v>
      </c>
      <c r="D8" s="7">
        <v>1666.6666666666667</v>
      </c>
      <c r="E8" s="7">
        <v>0</v>
      </c>
      <c r="F8" s="10">
        <f>B8+Origin_X</f>
        <v>-616.6666666666666</v>
      </c>
      <c r="G8" s="10">
        <f>C8+Origin_Y</f>
        <v>-466.66666666666663</v>
      </c>
    </row>
    <row r="9" spans="1:7" x14ac:dyDescent="0.25">
      <c r="A9" s="7">
        <v>4</v>
      </c>
      <c r="B9" s="7">
        <v>-741.6666666666666</v>
      </c>
      <c r="C9" s="7">
        <v>-341.66666666666663</v>
      </c>
      <c r="D9" s="7">
        <v>833.3333333333334</v>
      </c>
      <c r="E9" s="7">
        <v>1</v>
      </c>
      <c r="F9" s="10">
        <f>B9+Origin_X</f>
        <v>-741.6666666666666</v>
      </c>
      <c r="G9" s="10">
        <f>C9+Origin_Y</f>
        <v>-341.66666666666663</v>
      </c>
    </row>
    <row r="10" spans="1:7" x14ac:dyDescent="0.25">
      <c r="A10" s="7">
        <v>5</v>
      </c>
      <c r="B10" s="7">
        <v>-741.6666666666666</v>
      </c>
      <c r="C10" s="7">
        <v>-391.66666666666663</v>
      </c>
      <c r="D10" s="7">
        <v>833.3333333333334</v>
      </c>
      <c r="E10" s="7">
        <v>1</v>
      </c>
      <c r="F10" s="10">
        <f>B10+Origin_X</f>
        <v>-741.6666666666666</v>
      </c>
      <c r="G10" s="10">
        <f>C10+Origin_Y</f>
        <v>-391.66666666666663</v>
      </c>
    </row>
    <row r="11" spans="1:7" x14ac:dyDescent="0.25">
      <c r="A11" s="7">
        <v>6</v>
      </c>
      <c r="B11" s="7">
        <v>-716.6666666666666</v>
      </c>
      <c r="C11" s="7">
        <v>-416.66666666666663</v>
      </c>
      <c r="D11" s="7">
        <v>833.3333333333334</v>
      </c>
      <c r="E11" s="7">
        <v>1</v>
      </c>
      <c r="F11" s="10">
        <f>B11+Origin_X</f>
        <v>-716.6666666666666</v>
      </c>
      <c r="G11" s="10">
        <f>C11+Origin_Y</f>
        <v>-416.66666666666663</v>
      </c>
    </row>
    <row r="12" spans="1:7" x14ac:dyDescent="0.25">
      <c r="A12" s="7">
        <v>7</v>
      </c>
      <c r="B12" s="7">
        <v>-716.6666666666666</v>
      </c>
      <c r="C12" s="7">
        <v>-350</v>
      </c>
      <c r="D12" s="7">
        <v>2500</v>
      </c>
      <c r="E12" s="7">
        <v>1</v>
      </c>
      <c r="F12" s="10">
        <f>B12+Origin_X</f>
        <v>-716.6666666666666</v>
      </c>
      <c r="G12" s="10">
        <f>C12+Origin_Y</f>
        <v>-350</v>
      </c>
    </row>
    <row r="13" spans="1:7" x14ac:dyDescent="0.25">
      <c r="A13" s="7">
        <v>8</v>
      </c>
      <c r="B13" s="7">
        <v>-691.6666666666666</v>
      </c>
      <c r="C13" s="7">
        <v>-425</v>
      </c>
      <c r="D13" s="7">
        <v>2500</v>
      </c>
      <c r="E13" s="7">
        <v>1</v>
      </c>
      <c r="F13" s="10">
        <f>B13+Origin_X</f>
        <v>-691.6666666666666</v>
      </c>
      <c r="G13" s="10">
        <f>C13+Origin_Y</f>
        <v>-425</v>
      </c>
    </row>
    <row r="14" spans="1:7" x14ac:dyDescent="0.25">
      <c r="A14" s="7">
        <v>9</v>
      </c>
      <c r="B14" s="7">
        <v>-641.6666666666666</v>
      </c>
      <c r="C14" s="7">
        <v>-425</v>
      </c>
      <c r="D14" s="7">
        <v>2500</v>
      </c>
      <c r="E14" s="7">
        <v>1</v>
      </c>
      <c r="F14" s="10">
        <f>B14+Origin_X</f>
        <v>-641.6666666666666</v>
      </c>
      <c r="G14" s="10">
        <f>C14+Origin_Y</f>
        <v>-425</v>
      </c>
    </row>
    <row r="15" spans="1:7" x14ac:dyDescent="0.25">
      <c r="A15" s="7">
        <v>10</v>
      </c>
      <c r="B15" s="7">
        <v>-625</v>
      </c>
      <c r="C15" s="7">
        <v>-400</v>
      </c>
      <c r="D15" s="7">
        <v>3750</v>
      </c>
      <c r="E15" s="7">
        <v>1</v>
      </c>
      <c r="F15" s="10">
        <f>B15+Origin_X</f>
        <v>-625</v>
      </c>
      <c r="G15" s="10">
        <f>C15+Origin_Y</f>
        <v>-400</v>
      </c>
    </row>
    <row r="16" spans="1:7" x14ac:dyDescent="0.25">
      <c r="A16" s="7">
        <v>11</v>
      </c>
      <c r="B16" s="7">
        <v>-625</v>
      </c>
      <c r="C16" s="7">
        <v>-325</v>
      </c>
      <c r="D16" s="7">
        <v>3750</v>
      </c>
      <c r="E16" s="7">
        <v>1</v>
      </c>
      <c r="F16" s="10">
        <f>B16+Origin_X</f>
        <v>-625</v>
      </c>
      <c r="G16" s="10">
        <f>C16+Origin_Y</f>
        <v>-325</v>
      </c>
    </row>
    <row r="17" spans="1:7" x14ac:dyDescent="0.25">
      <c r="A17" s="7">
        <v>12</v>
      </c>
      <c r="B17" s="7">
        <v>-700</v>
      </c>
      <c r="C17" s="7">
        <v>-325</v>
      </c>
      <c r="D17" s="7">
        <v>3750</v>
      </c>
      <c r="E17" s="7">
        <v>1</v>
      </c>
      <c r="F17" s="10">
        <f>B17+Origin_X</f>
        <v>-700</v>
      </c>
      <c r="G17" s="10">
        <f>C17+Origin_Y</f>
        <v>-325</v>
      </c>
    </row>
    <row r="18" spans="1:7" x14ac:dyDescent="0.25">
      <c r="A18" s="7">
        <v>13</v>
      </c>
      <c r="B18" s="7">
        <v>-725</v>
      </c>
      <c r="C18" s="7">
        <v>-200</v>
      </c>
      <c r="D18" s="7">
        <v>3750</v>
      </c>
      <c r="E18" s="7">
        <v>2</v>
      </c>
      <c r="F18" s="10">
        <f>B18+Origin_X</f>
        <v>-725</v>
      </c>
      <c r="G18" s="10">
        <f>C18+Origin_Y</f>
        <v>-200</v>
      </c>
    </row>
    <row r="19" spans="1:7" x14ac:dyDescent="0.25">
      <c r="A19" s="7">
        <v>14</v>
      </c>
      <c r="B19" s="7">
        <v>-725</v>
      </c>
      <c r="C19" s="7">
        <v>-275</v>
      </c>
      <c r="D19" s="7">
        <v>3750</v>
      </c>
      <c r="E19" s="7">
        <v>2</v>
      </c>
      <c r="F19" s="10">
        <f>B19+Origin_X</f>
        <v>-725</v>
      </c>
      <c r="G19" s="10">
        <f>C19+Origin_Y</f>
        <v>-275</v>
      </c>
    </row>
    <row r="20" spans="1:7" x14ac:dyDescent="0.25">
      <c r="A20" s="7">
        <v>15</v>
      </c>
      <c r="B20" s="7">
        <v>-650</v>
      </c>
      <c r="C20" s="7">
        <v>-275</v>
      </c>
      <c r="D20" s="7">
        <v>3750</v>
      </c>
      <c r="E20" s="7">
        <v>2</v>
      </c>
      <c r="F20" s="10">
        <f>B20+Origin_X</f>
        <v>-650</v>
      </c>
      <c r="G20" s="10">
        <f>C20+Origin_Y</f>
        <v>-275</v>
      </c>
    </row>
    <row r="21" spans="1:7" x14ac:dyDescent="0.25">
      <c r="A21" s="7">
        <v>16</v>
      </c>
      <c r="B21" s="7">
        <v>-625</v>
      </c>
      <c r="C21" s="7">
        <v>-250</v>
      </c>
      <c r="D21" s="7">
        <v>3750</v>
      </c>
      <c r="E21" s="7">
        <v>2</v>
      </c>
      <c r="F21" s="10">
        <f>B21+Origin_X</f>
        <v>-625</v>
      </c>
      <c r="G21" s="10">
        <f>C21+Origin_Y</f>
        <v>-250</v>
      </c>
    </row>
    <row r="22" spans="1:7" x14ac:dyDescent="0.25">
      <c r="A22" s="7">
        <v>17</v>
      </c>
      <c r="B22" s="7">
        <v>-625</v>
      </c>
      <c r="C22" s="7">
        <v>-175</v>
      </c>
      <c r="D22" s="7">
        <v>3750</v>
      </c>
      <c r="E22" s="7">
        <v>2</v>
      </c>
      <c r="F22" s="10">
        <f>B22+Origin_X</f>
        <v>-625</v>
      </c>
      <c r="G22" s="10">
        <f>C22+Origin_Y</f>
        <v>-175</v>
      </c>
    </row>
    <row r="23" spans="1:7" x14ac:dyDescent="0.25">
      <c r="A23" s="7">
        <v>18</v>
      </c>
      <c r="B23" s="7">
        <v>-700</v>
      </c>
      <c r="C23" s="7">
        <v>-175</v>
      </c>
      <c r="D23" s="7">
        <v>3750</v>
      </c>
      <c r="E23" s="7">
        <v>2</v>
      </c>
      <c r="F23" s="10">
        <f>B23+Origin_X</f>
        <v>-700</v>
      </c>
      <c r="G23" s="10">
        <f>C23+Origin_Y</f>
        <v>-175</v>
      </c>
    </row>
    <row r="24" spans="1:7" x14ac:dyDescent="0.25">
      <c r="A24" s="7">
        <v>19</v>
      </c>
      <c r="B24" s="7">
        <v>-725</v>
      </c>
      <c r="C24" s="7">
        <v>-50</v>
      </c>
      <c r="D24" s="7">
        <v>3750</v>
      </c>
      <c r="E24" s="7">
        <v>3</v>
      </c>
      <c r="F24" s="10">
        <f>B24+Origin_X</f>
        <v>-725</v>
      </c>
      <c r="G24" s="10">
        <f>C24+Origin_Y</f>
        <v>-50</v>
      </c>
    </row>
    <row r="25" spans="1:7" x14ac:dyDescent="0.25">
      <c r="A25" s="7">
        <v>20</v>
      </c>
      <c r="B25" s="7">
        <v>-725</v>
      </c>
      <c r="C25" s="7">
        <v>-125</v>
      </c>
      <c r="D25" s="7">
        <v>3750</v>
      </c>
      <c r="E25" s="7">
        <v>3</v>
      </c>
      <c r="F25" s="10">
        <f>B25+Origin_X</f>
        <v>-725</v>
      </c>
      <c r="G25" s="10">
        <f>C25+Origin_Y</f>
        <v>-125</v>
      </c>
    </row>
    <row r="26" spans="1:7" x14ac:dyDescent="0.25">
      <c r="A26" s="7">
        <v>21</v>
      </c>
      <c r="B26" s="7">
        <v>-650</v>
      </c>
      <c r="C26" s="7">
        <v>-125</v>
      </c>
      <c r="D26" s="7">
        <v>3750</v>
      </c>
      <c r="E26" s="7">
        <v>3</v>
      </c>
      <c r="F26" s="10">
        <f>B26+Origin_X</f>
        <v>-650</v>
      </c>
      <c r="G26" s="10">
        <f>C26+Origin_Y</f>
        <v>-125</v>
      </c>
    </row>
    <row r="27" spans="1:7" x14ac:dyDescent="0.25">
      <c r="A27" s="7">
        <v>22</v>
      </c>
      <c r="B27" s="7">
        <v>-625</v>
      </c>
      <c r="C27" s="7">
        <v>-100</v>
      </c>
      <c r="D27" s="7">
        <v>3750</v>
      </c>
      <c r="E27" s="7">
        <v>3</v>
      </c>
      <c r="F27" s="10">
        <f>B27+Origin_X</f>
        <v>-625</v>
      </c>
      <c r="G27" s="10">
        <f>C27+Origin_Y</f>
        <v>-100</v>
      </c>
    </row>
    <row r="28" spans="1:7" x14ac:dyDescent="0.25">
      <c r="A28" s="7">
        <v>23</v>
      </c>
      <c r="B28" s="7">
        <v>-625</v>
      </c>
      <c r="C28" s="7">
        <v>-25</v>
      </c>
      <c r="D28" s="7">
        <v>3750</v>
      </c>
      <c r="E28" s="7">
        <v>3</v>
      </c>
      <c r="F28" s="10">
        <f>B28+Origin_X</f>
        <v>-625</v>
      </c>
      <c r="G28" s="10">
        <f>C28+Origin_Y</f>
        <v>-25</v>
      </c>
    </row>
    <row r="29" spans="1:7" x14ac:dyDescent="0.25">
      <c r="A29" s="7">
        <v>24</v>
      </c>
      <c r="B29" s="7">
        <v>-700</v>
      </c>
      <c r="C29" s="7">
        <v>-25</v>
      </c>
      <c r="D29" s="7">
        <v>3750</v>
      </c>
      <c r="E29" s="7">
        <v>3</v>
      </c>
      <c r="F29" s="10">
        <f>B29+Origin_X</f>
        <v>-700</v>
      </c>
      <c r="G29" s="10">
        <f>C29+Origin_Y</f>
        <v>-25</v>
      </c>
    </row>
    <row r="30" spans="1:7" x14ac:dyDescent="0.25">
      <c r="A30" s="7">
        <v>25</v>
      </c>
      <c r="B30" s="7">
        <v>-725</v>
      </c>
      <c r="C30" s="7">
        <v>100</v>
      </c>
      <c r="D30" s="7">
        <v>3750</v>
      </c>
      <c r="E30" s="7">
        <v>4</v>
      </c>
      <c r="F30" s="10">
        <f>B30+Origin_X</f>
        <v>-725</v>
      </c>
      <c r="G30" s="10">
        <f>C30+Origin_Y</f>
        <v>100</v>
      </c>
    </row>
    <row r="31" spans="1:7" x14ac:dyDescent="0.25">
      <c r="A31" s="7">
        <v>26</v>
      </c>
      <c r="B31" s="7">
        <v>-725</v>
      </c>
      <c r="C31" s="7">
        <v>25</v>
      </c>
      <c r="D31" s="7">
        <v>3750</v>
      </c>
      <c r="E31" s="7">
        <v>4</v>
      </c>
      <c r="F31" s="10">
        <f>B31+Origin_X</f>
        <v>-725</v>
      </c>
      <c r="G31" s="10">
        <f>C31+Origin_Y</f>
        <v>25</v>
      </c>
    </row>
    <row r="32" spans="1:7" x14ac:dyDescent="0.25">
      <c r="A32" s="7">
        <v>27</v>
      </c>
      <c r="B32" s="7">
        <v>-650</v>
      </c>
      <c r="C32" s="7">
        <v>25</v>
      </c>
      <c r="D32" s="7">
        <v>3750</v>
      </c>
      <c r="E32" s="7">
        <v>4</v>
      </c>
      <c r="F32" s="10">
        <f>B32+Origin_X</f>
        <v>-650</v>
      </c>
      <c r="G32" s="10">
        <f>C32+Origin_Y</f>
        <v>25</v>
      </c>
    </row>
    <row r="33" spans="1:7" x14ac:dyDescent="0.25">
      <c r="A33" s="7">
        <v>28</v>
      </c>
      <c r="B33" s="7">
        <v>-625</v>
      </c>
      <c r="C33" s="7">
        <v>50</v>
      </c>
      <c r="D33" s="7">
        <v>3750</v>
      </c>
      <c r="E33" s="7">
        <v>4</v>
      </c>
      <c r="F33" s="10">
        <f>B33+Origin_X</f>
        <v>-625</v>
      </c>
      <c r="G33" s="10">
        <f>C33+Origin_Y</f>
        <v>50</v>
      </c>
    </row>
    <row r="34" spans="1:7" x14ac:dyDescent="0.25">
      <c r="A34" s="7">
        <v>29</v>
      </c>
      <c r="B34" s="7">
        <v>-625</v>
      </c>
      <c r="C34" s="7">
        <v>125</v>
      </c>
      <c r="D34" s="7">
        <v>3750</v>
      </c>
      <c r="E34" s="7">
        <v>4</v>
      </c>
      <c r="F34" s="10">
        <f>B34+Origin_X</f>
        <v>-625</v>
      </c>
      <c r="G34" s="10">
        <f>C34+Origin_Y</f>
        <v>125</v>
      </c>
    </row>
    <row r="35" spans="1:7" x14ac:dyDescent="0.25">
      <c r="A35" s="7">
        <v>30</v>
      </c>
      <c r="B35" s="7">
        <v>-700</v>
      </c>
      <c r="C35" s="7">
        <v>125</v>
      </c>
      <c r="D35" s="7">
        <v>3750</v>
      </c>
      <c r="E35" s="7">
        <v>4</v>
      </c>
      <c r="F35" s="10">
        <f>B35+Origin_X</f>
        <v>-700</v>
      </c>
      <c r="G35" s="10">
        <f>C35+Origin_Y</f>
        <v>125</v>
      </c>
    </row>
    <row r="36" spans="1:7" x14ac:dyDescent="0.25">
      <c r="A36" s="7">
        <v>31</v>
      </c>
      <c r="B36" s="7">
        <v>-725</v>
      </c>
      <c r="C36" s="7">
        <v>250</v>
      </c>
      <c r="D36" s="7">
        <v>3750</v>
      </c>
      <c r="E36" s="7">
        <v>5</v>
      </c>
      <c r="F36" s="10">
        <f>B36+Origin_X</f>
        <v>-725</v>
      </c>
      <c r="G36" s="10">
        <f>C36+Origin_Y</f>
        <v>250</v>
      </c>
    </row>
    <row r="37" spans="1:7" x14ac:dyDescent="0.25">
      <c r="A37" s="7">
        <v>32</v>
      </c>
      <c r="B37" s="7">
        <v>-725</v>
      </c>
      <c r="C37" s="7">
        <v>175</v>
      </c>
      <c r="D37" s="7">
        <v>3750</v>
      </c>
      <c r="E37" s="7">
        <v>5</v>
      </c>
      <c r="F37" s="10">
        <f>B37+Origin_X</f>
        <v>-725</v>
      </c>
      <c r="G37" s="10">
        <f>C37+Origin_Y</f>
        <v>175</v>
      </c>
    </row>
    <row r="38" spans="1:7" x14ac:dyDescent="0.25">
      <c r="A38" s="7">
        <v>33</v>
      </c>
      <c r="B38" s="7">
        <v>-650</v>
      </c>
      <c r="C38" s="7">
        <v>175</v>
      </c>
      <c r="D38" s="7">
        <v>3750</v>
      </c>
      <c r="E38" s="7">
        <v>5</v>
      </c>
      <c r="F38" s="10">
        <f>B38+Origin_X</f>
        <v>-650</v>
      </c>
      <c r="G38" s="10">
        <f>C38+Origin_Y</f>
        <v>175</v>
      </c>
    </row>
    <row r="39" spans="1:7" x14ac:dyDescent="0.25">
      <c r="A39" s="7">
        <v>34</v>
      </c>
      <c r="B39" s="7">
        <v>-625</v>
      </c>
      <c r="C39" s="7">
        <v>200</v>
      </c>
      <c r="D39" s="7">
        <v>3750</v>
      </c>
      <c r="E39" s="7">
        <v>5</v>
      </c>
      <c r="F39" s="10">
        <f>B39+Origin_X</f>
        <v>-625</v>
      </c>
      <c r="G39" s="10">
        <f>C39+Origin_Y</f>
        <v>200</v>
      </c>
    </row>
    <row r="40" spans="1:7" x14ac:dyDescent="0.25">
      <c r="A40" s="7">
        <v>35</v>
      </c>
      <c r="B40" s="7">
        <v>-625</v>
      </c>
      <c r="C40" s="7">
        <v>275</v>
      </c>
      <c r="D40" s="7">
        <v>3750</v>
      </c>
      <c r="E40" s="7">
        <v>5</v>
      </c>
      <c r="F40" s="10">
        <f>B40+Origin_X</f>
        <v>-625</v>
      </c>
      <c r="G40" s="10">
        <f>C40+Origin_Y</f>
        <v>275</v>
      </c>
    </row>
    <row r="41" spans="1:7" x14ac:dyDescent="0.25">
      <c r="A41" s="7">
        <v>36</v>
      </c>
      <c r="B41" s="7">
        <v>-700</v>
      </c>
      <c r="C41" s="7">
        <v>275</v>
      </c>
      <c r="D41" s="7">
        <v>3750</v>
      </c>
      <c r="E41" s="7">
        <v>5</v>
      </c>
      <c r="F41" s="10">
        <f>B41+Origin_X</f>
        <v>-700</v>
      </c>
      <c r="G41" s="10">
        <f>C41+Origin_Y</f>
        <v>275</v>
      </c>
    </row>
    <row r="42" spans="1:7" x14ac:dyDescent="0.25">
      <c r="A42" s="7">
        <v>37</v>
      </c>
      <c r="B42" s="7">
        <v>-725</v>
      </c>
      <c r="C42" s="7">
        <v>366.66666666666663</v>
      </c>
      <c r="D42" s="7">
        <v>2500</v>
      </c>
      <c r="E42" s="7">
        <v>6</v>
      </c>
      <c r="F42" s="10">
        <f>B42+Origin_X</f>
        <v>-725</v>
      </c>
      <c r="G42" s="10">
        <f>C42+Origin_Y</f>
        <v>366.66666666666663</v>
      </c>
    </row>
    <row r="43" spans="1:7" x14ac:dyDescent="0.25">
      <c r="A43" s="7">
        <v>38</v>
      </c>
      <c r="B43" s="7">
        <v>-725</v>
      </c>
      <c r="C43" s="7">
        <v>316.66666666666663</v>
      </c>
      <c r="D43" s="7">
        <v>2500</v>
      </c>
      <c r="E43" s="7">
        <v>6</v>
      </c>
      <c r="F43" s="10">
        <f>B43+Origin_X</f>
        <v>-725</v>
      </c>
      <c r="G43" s="10">
        <f>C43+Origin_Y</f>
        <v>316.66666666666663</v>
      </c>
    </row>
    <row r="44" spans="1:7" x14ac:dyDescent="0.25">
      <c r="A44" s="7">
        <v>39</v>
      </c>
      <c r="B44" s="7">
        <v>-650</v>
      </c>
      <c r="C44" s="7">
        <v>316.66666666666663</v>
      </c>
      <c r="D44" s="7">
        <v>2500</v>
      </c>
      <c r="E44" s="7">
        <v>6</v>
      </c>
      <c r="F44" s="10">
        <f>B44+Origin_X</f>
        <v>-650</v>
      </c>
      <c r="G44" s="10">
        <f>C44+Origin_Y</f>
        <v>316.66666666666663</v>
      </c>
    </row>
    <row r="45" spans="1:7" x14ac:dyDescent="0.25">
      <c r="A45" s="7">
        <v>40</v>
      </c>
      <c r="B45" s="7">
        <v>-700</v>
      </c>
      <c r="C45" s="7">
        <v>391.66666666666663</v>
      </c>
      <c r="D45" s="7">
        <v>3750</v>
      </c>
      <c r="E45" s="7">
        <v>6</v>
      </c>
      <c r="F45" s="10">
        <f>B45+Origin_X</f>
        <v>-700</v>
      </c>
      <c r="G45" s="10">
        <f>C45+Origin_Y</f>
        <v>391.66666666666663</v>
      </c>
    </row>
    <row r="46" spans="1:7" x14ac:dyDescent="0.25">
      <c r="A46" s="7">
        <v>41</v>
      </c>
      <c r="B46" s="7">
        <v>-625</v>
      </c>
      <c r="C46" s="7">
        <v>341.66666666666663</v>
      </c>
      <c r="D46" s="7">
        <v>3750</v>
      </c>
      <c r="E46" s="7">
        <v>6</v>
      </c>
      <c r="F46" s="10">
        <f>B46+Origin_X</f>
        <v>-625</v>
      </c>
      <c r="G46" s="10">
        <f>C46+Origin_Y</f>
        <v>341.66666666666663</v>
      </c>
    </row>
    <row r="47" spans="1:7" x14ac:dyDescent="0.25">
      <c r="A47" s="7">
        <v>42</v>
      </c>
      <c r="B47" s="7">
        <v>-625</v>
      </c>
      <c r="C47" s="7">
        <v>416.66666666666663</v>
      </c>
      <c r="D47" s="7">
        <v>3750</v>
      </c>
      <c r="E47" s="7">
        <v>6</v>
      </c>
      <c r="F47" s="10">
        <f>B47+Origin_X</f>
        <v>-625</v>
      </c>
      <c r="G47" s="10">
        <f>C47+Origin_Y</f>
        <v>416.66666666666663</v>
      </c>
    </row>
    <row r="48" spans="1:7" x14ac:dyDescent="0.25">
      <c r="A48" s="7">
        <v>43</v>
      </c>
      <c r="B48" s="7">
        <v>-641.6666666666666</v>
      </c>
      <c r="C48" s="7">
        <v>441.66666666666663</v>
      </c>
      <c r="D48" s="7">
        <v>833.3333333333334</v>
      </c>
      <c r="E48" s="7">
        <v>6</v>
      </c>
      <c r="F48" s="10">
        <f>B48+Origin_X</f>
        <v>-641.6666666666666</v>
      </c>
      <c r="G48" s="10">
        <f>C48+Origin_Y</f>
        <v>441.66666666666663</v>
      </c>
    </row>
    <row r="49" spans="1:7" x14ac:dyDescent="0.25">
      <c r="A49" s="7">
        <v>44</v>
      </c>
      <c r="B49" s="7">
        <v>-691.6666666666666</v>
      </c>
      <c r="C49" s="7">
        <v>441.66666666666663</v>
      </c>
      <c r="D49" s="7">
        <v>833.3333333333334</v>
      </c>
      <c r="E49" s="7">
        <v>6</v>
      </c>
      <c r="F49" s="10">
        <f>B49+Origin_X</f>
        <v>-691.6666666666666</v>
      </c>
      <c r="G49" s="10">
        <f>C49+Origin_Y</f>
        <v>441.66666666666663</v>
      </c>
    </row>
    <row r="50" spans="1:7" x14ac:dyDescent="0.25">
      <c r="A50" s="7">
        <v>45</v>
      </c>
      <c r="B50" s="7">
        <v>-716.6666666666666</v>
      </c>
      <c r="C50" s="7">
        <v>416.66666666666663</v>
      </c>
      <c r="D50" s="7">
        <v>833.3333333333334</v>
      </c>
      <c r="E50" s="7">
        <v>6</v>
      </c>
      <c r="F50" s="10">
        <f>B50+Origin_X</f>
        <v>-716.6666666666666</v>
      </c>
      <c r="G50" s="10">
        <f>C50+Origin_Y</f>
        <v>416.66666666666663</v>
      </c>
    </row>
    <row r="51" spans="1:7" x14ac:dyDescent="0.25">
      <c r="A51" s="7">
        <v>46</v>
      </c>
      <c r="B51" s="7">
        <v>-666.6666666666666</v>
      </c>
      <c r="C51" s="7">
        <v>466.66666666666663</v>
      </c>
      <c r="D51" s="7">
        <v>1666.6666666666667</v>
      </c>
      <c r="E51" s="7">
        <v>7</v>
      </c>
      <c r="F51" s="10">
        <f>B51+Origin_X</f>
        <v>-666.6666666666666</v>
      </c>
      <c r="G51" s="10">
        <f>C51+Origin_Y</f>
        <v>466.66666666666663</v>
      </c>
    </row>
    <row r="52" spans="1:7" x14ac:dyDescent="0.25">
      <c r="A52" s="7">
        <v>47</v>
      </c>
      <c r="B52" s="7">
        <v>-616.6666666666666</v>
      </c>
      <c r="C52" s="7">
        <v>466.66666666666663</v>
      </c>
      <c r="D52" s="7">
        <v>1666.6666666666667</v>
      </c>
      <c r="E52" s="7">
        <v>7</v>
      </c>
      <c r="F52" s="10">
        <f>B52+Origin_X</f>
        <v>-616.6666666666666</v>
      </c>
      <c r="G52" s="10">
        <f>C52+Origin_Y</f>
        <v>466.66666666666663</v>
      </c>
    </row>
    <row r="53" spans="1:7" x14ac:dyDescent="0.25">
      <c r="A53" s="7">
        <v>48</v>
      </c>
      <c r="B53" s="7">
        <v>-616.6666666666666</v>
      </c>
      <c r="C53" s="7">
        <v>516.6666666666666</v>
      </c>
      <c r="D53" s="7">
        <v>1666.6666666666667</v>
      </c>
      <c r="E53" s="7">
        <v>7</v>
      </c>
      <c r="F53" s="10">
        <f>B53+Origin_X</f>
        <v>-616.6666666666666</v>
      </c>
      <c r="G53" s="10">
        <f>C53+Origin_Y</f>
        <v>516.6666666666666</v>
      </c>
    </row>
    <row r="54" spans="1:7" x14ac:dyDescent="0.25">
      <c r="A54" s="7">
        <v>49</v>
      </c>
      <c r="B54" s="7">
        <v>-591.6666666666666</v>
      </c>
      <c r="C54" s="7">
        <v>-491.66666666666663</v>
      </c>
      <c r="D54" s="7">
        <v>833.3333333333334</v>
      </c>
      <c r="E54" s="7">
        <v>8</v>
      </c>
      <c r="F54" s="10">
        <f>B54+Origin_X</f>
        <v>-591.6666666666666</v>
      </c>
      <c r="G54" s="10">
        <f>C54+Origin_Y</f>
        <v>-491.66666666666663</v>
      </c>
    </row>
    <row r="55" spans="1:7" x14ac:dyDescent="0.25">
      <c r="A55" s="7">
        <v>50</v>
      </c>
      <c r="B55" s="7">
        <v>-591.6666666666666</v>
      </c>
      <c r="C55" s="7">
        <v>-541.6666666666666</v>
      </c>
      <c r="D55" s="7">
        <v>833.3333333333334</v>
      </c>
      <c r="E55" s="7">
        <v>8</v>
      </c>
      <c r="F55" s="10">
        <f>B55+Origin_X</f>
        <v>-591.6666666666666</v>
      </c>
      <c r="G55" s="10">
        <f>C55+Origin_Y</f>
        <v>-541.6666666666666</v>
      </c>
    </row>
    <row r="56" spans="1:7" x14ac:dyDescent="0.25">
      <c r="A56" s="7">
        <v>51</v>
      </c>
      <c r="B56" s="7">
        <v>-566.6666666666666</v>
      </c>
      <c r="C56" s="7">
        <v>-566.6666666666666</v>
      </c>
      <c r="D56" s="7">
        <v>833.3333333333334</v>
      </c>
      <c r="E56" s="7">
        <v>8</v>
      </c>
      <c r="F56" s="10">
        <f>B56+Origin_X</f>
        <v>-566.6666666666666</v>
      </c>
      <c r="G56" s="10">
        <f>C56+Origin_Y</f>
        <v>-566.6666666666666</v>
      </c>
    </row>
    <row r="57" spans="1:7" x14ac:dyDescent="0.25">
      <c r="A57" s="7">
        <v>52</v>
      </c>
      <c r="B57" s="7">
        <v>-566.6666666666666</v>
      </c>
      <c r="C57" s="7">
        <v>-500</v>
      </c>
      <c r="D57" s="7">
        <v>2500</v>
      </c>
      <c r="E57" s="7">
        <v>8</v>
      </c>
      <c r="F57" s="10">
        <f>B57+Origin_X</f>
        <v>-566.6666666666666</v>
      </c>
      <c r="G57" s="10">
        <f>C57+Origin_Y</f>
        <v>-500</v>
      </c>
    </row>
    <row r="58" spans="1:7" x14ac:dyDescent="0.25">
      <c r="A58" s="7">
        <v>53</v>
      </c>
      <c r="B58" s="7">
        <v>-541.6666666666666</v>
      </c>
      <c r="C58" s="7">
        <v>-575</v>
      </c>
      <c r="D58" s="7">
        <v>2500</v>
      </c>
      <c r="E58" s="7">
        <v>8</v>
      </c>
      <c r="F58" s="10">
        <f>B58+Origin_X</f>
        <v>-541.6666666666666</v>
      </c>
      <c r="G58" s="10">
        <f>C58+Origin_Y</f>
        <v>-575</v>
      </c>
    </row>
    <row r="59" spans="1:7" x14ac:dyDescent="0.25">
      <c r="A59" s="7">
        <v>54</v>
      </c>
      <c r="B59" s="7">
        <v>-491.66666666666663</v>
      </c>
      <c r="C59" s="7">
        <v>-575</v>
      </c>
      <c r="D59" s="7">
        <v>2500</v>
      </c>
      <c r="E59" s="7">
        <v>8</v>
      </c>
      <c r="F59" s="10">
        <f>B59+Origin_X</f>
        <v>-491.66666666666663</v>
      </c>
      <c r="G59" s="10">
        <f>C59+Origin_Y</f>
        <v>-575</v>
      </c>
    </row>
    <row r="60" spans="1:7" x14ac:dyDescent="0.25">
      <c r="A60" s="7">
        <v>55</v>
      </c>
      <c r="B60" s="7">
        <v>-475</v>
      </c>
      <c r="C60" s="7">
        <v>-550</v>
      </c>
      <c r="D60" s="7">
        <v>3750</v>
      </c>
      <c r="E60" s="7">
        <v>8</v>
      </c>
      <c r="F60" s="10">
        <f>B60+Origin_X</f>
        <v>-475</v>
      </c>
      <c r="G60" s="10">
        <f>C60+Origin_Y</f>
        <v>-550</v>
      </c>
    </row>
    <row r="61" spans="1:7" x14ac:dyDescent="0.25">
      <c r="A61" s="7">
        <v>56</v>
      </c>
      <c r="B61" s="7">
        <v>-475</v>
      </c>
      <c r="C61" s="7">
        <v>-475</v>
      </c>
      <c r="D61" s="7">
        <v>3750</v>
      </c>
      <c r="E61" s="7">
        <v>8</v>
      </c>
      <c r="F61" s="10">
        <f>B61+Origin_X</f>
        <v>-475</v>
      </c>
      <c r="G61" s="10">
        <f>C61+Origin_Y</f>
        <v>-475</v>
      </c>
    </row>
    <row r="62" spans="1:7" x14ac:dyDescent="0.25">
      <c r="A62" s="7">
        <v>57</v>
      </c>
      <c r="B62" s="7">
        <v>-550</v>
      </c>
      <c r="C62" s="7">
        <v>-475</v>
      </c>
      <c r="D62" s="7">
        <v>3750</v>
      </c>
      <c r="E62" s="7">
        <v>8</v>
      </c>
      <c r="F62" s="10">
        <f>B62+Origin_X</f>
        <v>-550</v>
      </c>
      <c r="G62" s="10">
        <f>C62+Origin_Y</f>
        <v>-475</v>
      </c>
    </row>
    <row r="63" spans="1:7" x14ac:dyDescent="0.25">
      <c r="A63" s="7">
        <v>58</v>
      </c>
      <c r="B63" s="7">
        <v>-575</v>
      </c>
      <c r="C63" s="7">
        <v>-350</v>
      </c>
      <c r="D63" s="7">
        <v>3750</v>
      </c>
      <c r="E63" s="7">
        <v>9</v>
      </c>
      <c r="F63" s="10">
        <f>B63+Origin_X</f>
        <v>-575</v>
      </c>
      <c r="G63" s="10">
        <f>C63+Origin_Y</f>
        <v>-350</v>
      </c>
    </row>
    <row r="64" spans="1:7" x14ac:dyDescent="0.25">
      <c r="A64" s="7">
        <v>59</v>
      </c>
      <c r="B64" s="7">
        <v>-575</v>
      </c>
      <c r="C64" s="7">
        <v>-425</v>
      </c>
      <c r="D64" s="7">
        <v>3750</v>
      </c>
      <c r="E64" s="7">
        <v>9</v>
      </c>
      <c r="F64" s="10">
        <f>B64+Origin_X</f>
        <v>-575</v>
      </c>
      <c r="G64" s="10">
        <f>C64+Origin_Y</f>
        <v>-425</v>
      </c>
    </row>
    <row r="65" spans="1:7" x14ac:dyDescent="0.25">
      <c r="A65" s="7">
        <v>60</v>
      </c>
      <c r="B65" s="7">
        <v>-500</v>
      </c>
      <c r="C65" s="7">
        <v>-425</v>
      </c>
      <c r="D65" s="7">
        <v>3750</v>
      </c>
      <c r="E65" s="7">
        <v>9</v>
      </c>
      <c r="F65" s="10">
        <f>B65+Origin_X</f>
        <v>-500</v>
      </c>
      <c r="G65" s="10">
        <f>C65+Origin_Y</f>
        <v>-425</v>
      </c>
    </row>
    <row r="66" spans="1:7" x14ac:dyDescent="0.25">
      <c r="A66" s="7">
        <v>61</v>
      </c>
      <c r="B66" s="7">
        <v>-550</v>
      </c>
      <c r="C66" s="7">
        <v>-341.66666666666663</v>
      </c>
      <c r="D66" s="7">
        <v>1250</v>
      </c>
      <c r="E66" s="7">
        <v>9</v>
      </c>
      <c r="F66" s="10">
        <f>B66+Origin_X</f>
        <v>-550</v>
      </c>
      <c r="G66" s="10">
        <f>C66+Origin_Y</f>
        <v>-341.66666666666663</v>
      </c>
    </row>
    <row r="67" spans="1:7" x14ac:dyDescent="0.25">
      <c r="A67" s="7">
        <v>62</v>
      </c>
      <c r="B67" s="7">
        <v>-475</v>
      </c>
      <c r="C67" s="7">
        <v>-416.66666666666663</v>
      </c>
      <c r="D67" s="7">
        <v>1250</v>
      </c>
      <c r="E67" s="7">
        <v>9</v>
      </c>
      <c r="F67" s="10">
        <f>B67+Origin_X</f>
        <v>-475</v>
      </c>
      <c r="G67" s="10">
        <f>C67+Origin_Y</f>
        <v>-416.66666666666663</v>
      </c>
    </row>
    <row r="68" spans="1:7" x14ac:dyDescent="0.25">
      <c r="A68" s="7">
        <v>63</v>
      </c>
      <c r="B68" s="7">
        <v>-475</v>
      </c>
      <c r="C68" s="7">
        <v>-391.66666666666663</v>
      </c>
      <c r="D68" s="7">
        <v>1250</v>
      </c>
      <c r="E68" s="7">
        <v>9</v>
      </c>
      <c r="F68" s="10">
        <f>B68+Origin_X</f>
        <v>-475</v>
      </c>
      <c r="G68" s="10">
        <f>C68+Origin_Y</f>
        <v>-391.66666666666663</v>
      </c>
    </row>
    <row r="69" spans="1:7" x14ac:dyDescent="0.25">
      <c r="A69" s="7">
        <v>64</v>
      </c>
      <c r="B69" s="7">
        <v>-491.66666666666663</v>
      </c>
      <c r="C69" s="7">
        <v>-366.66666666666663</v>
      </c>
      <c r="D69" s="7">
        <v>833.3333333333334</v>
      </c>
      <c r="E69" s="7">
        <v>9</v>
      </c>
      <c r="F69" s="10">
        <f>B69+Origin_X</f>
        <v>-491.66666666666663</v>
      </c>
      <c r="G69" s="10">
        <f>C69+Origin_Y</f>
        <v>-366.66666666666663</v>
      </c>
    </row>
    <row r="70" spans="1:7" x14ac:dyDescent="0.25">
      <c r="A70" s="7">
        <v>65</v>
      </c>
      <c r="B70" s="7">
        <v>-541.6666666666666</v>
      </c>
      <c r="C70" s="7">
        <v>-316.66666666666663</v>
      </c>
      <c r="D70" s="7">
        <v>833.3333333333334</v>
      </c>
      <c r="E70" s="7">
        <v>9</v>
      </c>
      <c r="F70" s="10">
        <f>B70+Origin_X</f>
        <v>-541.6666666666666</v>
      </c>
      <c r="G70" s="10">
        <f>C70+Origin_Y</f>
        <v>-316.66666666666663</v>
      </c>
    </row>
    <row r="71" spans="1:7" x14ac:dyDescent="0.25">
      <c r="A71" s="7">
        <v>66</v>
      </c>
      <c r="B71" s="7">
        <v>-566.6666666666666</v>
      </c>
      <c r="C71" s="7">
        <v>-316.66666666666663</v>
      </c>
      <c r="D71" s="7">
        <v>833.3333333333334</v>
      </c>
      <c r="E71" s="7">
        <v>9</v>
      </c>
      <c r="F71" s="10">
        <f>B71+Origin_X</f>
        <v>-566.6666666666666</v>
      </c>
      <c r="G71" s="10">
        <f>C71+Origin_Y</f>
        <v>-316.66666666666663</v>
      </c>
    </row>
    <row r="72" spans="1:7" x14ac:dyDescent="0.25">
      <c r="A72" s="7">
        <v>67</v>
      </c>
      <c r="B72" s="7">
        <v>-591.6666666666666</v>
      </c>
      <c r="C72" s="7">
        <v>-200</v>
      </c>
      <c r="D72" s="7">
        <v>1250</v>
      </c>
      <c r="E72" s="7">
        <v>10</v>
      </c>
      <c r="F72" s="10">
        <f>B72+Origin_X</f>
        <v>-591.6666666666666</v>
      </c>
      <c r="G72" s="10">
        <f>C72+Origin_Y</f>
        <v>-200</v>
      </c>
    </row>
    <row r="73" spans="1:7" x14ac:dyDescent="0.25">
      <c r="A73" s="7">
        <v>68</v>
      </c>
      <c r="B73" s="7">
        <v>-591.6666666666666</v>
      </c>
      <c r="C73" s="7">
        <v>-275</v>
      </c>
      <c r="D73" s="7">
        <v>1250</v>
      </c>
      <c r="E73" s="7">
        <v>10</v>
      </c>
      <c r="F73" s="10">
        <f>B73+Origin_X</f>
        <v>-591.6666666666666</v>
      </c>
      <c r="G73" s="10">
        <f>C73+Origin_Y</f>
        <v>-275</v>
      </c>
    </row>
    <row r="74" spans="1:7" x14ac:dyDescent="0.25">
      <c r="A74" s="7">
        <v>69</v>
      </c>
      <c r="B74" s="7">
        <v>-566.6666666666666</v>
      </c>
      <c r="C74" s="7">
        <v>-275</v>
      </c>
      <c r="D74" s="7">
        <v>1250</v>
      </c>
      <c r="E74" s="7">
        <v>10</v>
      </c>
      <c r="F74" s="10">
        <f>B74+Origin_X</f>
        <v>-566.6666666666666</v>
      </c>
      <c r="G74" s="10">
        <f>C74+Origin_Y</f>
        <v>-275</v>
      </c>
    </row>
    <row r="75" spans="1:7" x14ac:dyDescent="0.25">
      <c r="A75" s="7">
        <v>70</v>
      </c>
      <c r="B75" s="7">
        <v>-558.3333333333333</v>
      </c>
      <c r="C75" s="7">
        <v>-250</v>
      </c>
      <c r="D75" s="7">
        <v>1250</v>
      </c>
      <c r="E75" s="7">
        <v>10</v>
      </c>
      <c r="F75" s="10">
        <f>B75+Origin_X</f>
        <v>-558.3333333333333</v>
      </c>
      <c r="G75" s="10">
        <f>C75+Origin_Y</f>
        <v>-250</v>
      </c>
    </row>
    <row r="76" spans="1:7" x14ac:dyDescent="0.25">
      <c r="A76" s="7">
        <v>71</v>
      </c>
      <c r="B76" s="7">
        <v>-558.3333333333333</v>
      </c>
      <c r="C76" s="7">
        <v>-175</v>
      </c>
      <c r="D76" s="7">
        <v>1250</v>
      </c>
      <c r="E76" s="7">
        <v>10</v>
      </c>
      <c r="F76" s="10">
        <f>B76+Origin_X</f>
        <v>-558.3333333333333</v>
      </c>
      <c r="G76" s="10">
        <f>C76+Origin_Y</f>
        <v>-175</v>
      </c>
    </row>
    <row r="77" spans="1:7" x14ac:dyDescent="0.25">
      <c r="A77" s="7">
        <v>72</v>
      </c>
      <c r="B77" s="7">
        <v>-583.3333333333333</v>
      </c>
      <c r="C77" s="7">
        <v>-175</v>
      </c>
      <c r="D77" s="7">
        <v>1250</v>
      </c>
      <c r="E77" s="7">
        <v>10</v>
      </c>
      <c r="F77" s="10">
        <f>B77+Origin_X</f>
        <v>-583.3333333333333</v>
      </c>
      <c r="G77" s="10">
        <f>C77+Origin_Y</f>
        <v>-175</v>
      </c>
    </row>
    <row r="78" spans="1:7" x14ac:dyDescent="0.25">
      <c r="A78" s="7">
        <v>73</v>
      </c>
      <c r="B78" s="7">
        <v>-591.6666666666666</v>
      </c>
      <c r="C78" s="7">
        <v>-50</v>
      </c>
      <c r="D78" s="7">
        <v>1250</v>
      </c>
      <c r="E78" s="7">
        <v>11</v>
      </c>
      <c r="F78" s="10">
        <f>B78+Origin_X</f>
        <v>-591.6666666666666</v>
      </c>
      <c r="G78" s="10">
        <f>C78+Origin_Y</f>
        <v>-50</v>
      </c>
    </row>
    <row r="79" spans="1:7" x14ac:dyDescent="0.25">
      <c r="A79" s="7">
        <v>74</v>
      </c>
      <c r="B79" s="7">
        <v>-591.6666666666666</v>
      </c>
      <c r="C79" s="7">
        <v>-125</v>
      </c>
      <c r="D79" s="7">
        <v>1250</v>
      </c>
      <c r="E79" s="7">
        <v>11</v>
      </c>
      <c r="F79" s="10">
        <f>B79+Origin_X</f>
        <v>-591.6666666666666</v>
      </c>
      <c r="G79" s="10">
        <f>C79+Origin_Y</f>
        <v>-125</v>
      </c>
    </row>
    <row r="80" spans="1:7" x14ac:dyDescent="0.25">
      <c r="A80" s="7">
        <v>75</v>
      </c>
      <c r="B80" s="7">
        <v>-566.6666666666666</v>
      </c>
      <c r="C80" s="7">
        <v>-125</v>
      </c>
      <c r="D80" s="7">
        <v>1250</v>
      </c>
      <c r="E80" s="7">
        <v>11</v>
      </c>
      <c r="F80" s="10">
        <f>B80+Origin_X</f>
        <v>-566.6666666666666</v>
      </c>
      <c r="G80" s="10">
        <f>C80+Origin_Y</f>
        <v>-125</v>
      </c>
    </row>
    <row r="81" spans="1:7" x14ac:dyDescent="0.25">
      <c r="A81" s="7">
        <v>76</v>
      </c>
      <c r="B81" s="7">
        <v>-558.3333333333333</v>
      </c>
      <c r="C81" s="7">
        <v>-100</v>
      </c>
      <c r="D81" s="7">
        <v>1250</v>
      </c>
      <c r="E81" s="7">
        <v>11</v>
      </c>
      <c r="F81" s="10">
        <f>B81+Origin_X</f>
        <v>-558.3333333333333</v>
      </c>
      <c r="G81" s="10">
        <f>C81+Origin_Y</f>
        <v>-100</v>
      </c>
    </row>
    <row r="82" spans="1:7" x14ac:dyDescent="0.25">
      <c r="A82" s="7">
        <v>77</v>
      </c>
      <c r="B82" s="7">
        <v>-558.3333333333333</v>
      </c>
      <c r="C82" s="7">
        <v>-25</v>
      </c>
      <c r="D82" s="7">
        <v>1250</v>
      </c>
      <c r="E82" s="7">
        <v>11</v>
      </c>
      <c r="F82" s="10">
        <f>B82+Origin_X</f>
        <v>-558.3333333333333</v>
      </c>
      <c r="G82" s="10">
        <f>C82+Origin_Y</f>
        <v>-25</v>
      </c>
    </row>
    <row r="83" spans="1:7" x14ac:dyDescent="0.25">
      <c r="A83" s="7">
        <v>78</v>
      </c>
      <c r="B83" s="7">
        <v>-583.3333333333333</v>
      </c>
      <c r="C83" s="7">
        <v>-25</v>
      </c>
      <c r="D83" s="7">
        <v>1250</v>
      </c>
      <c r="E83" s="7">
        <v>11</v>
      </c>
      <c r="F83" s="10">
        <f>B83+Origin_X</f>
        <v>-583.3333333333333</v>
      </c>
      <c r="G83" s="10">
        <f>C83+Origin_Y</f>
        <v>-25</v>
      </c>
    </row>
    <row r="84" spans="1:7" x14ac:dyDescent="0.25">
      <c r="A84" s="7">
        <v>79</v>
      </c>
      <c r="B84" s="7">
        <v>-591.6666666666666</v>
      </c>
      <c r="C84" s="7">
        <v>100</v>
      </c>
      <c r="D84" s="7">
        <v>1250</v>
      </c>
      <c r="E84" s="7">
        <v>12</v>
      </c>
      <c r="F84" s="10">
        <f>B84+Origin_X</f>
        <v>-591.6666666666666</v>
      </c>
      <c r="G84" s="10">
        <f>C84+Origin_Y</f>
        <v>100</v>
      </c>
    </row>
    <row r="85" spans="1:7" x14ac:dyDescent="0.25">
      <c r="A85" s="7">
        <v>80</v>
      </c>
      <c r="B85" s="7">
        <v>-591.6666666666666</v>
      </c>
      <c r="C85" s="7">
        <v>25</v>
      </c>
      <c r="D85" s="7">
        <v>1250</v>
      </c>
      <c r="E85" s="7">
        <v>12</v>
      </c>
      <c r="F85" s="10">
        <f>B85+Origin_X</f>
        <v>-591.6666666666666</v>
      </c>
      <c r="G85" s="10">
        <f>C85+Origin_Y</f>
        <v>25</v>
      </c>
    </row>
    <row r="86" spans="1:7" x14ac:dyDescent="0.25">
      <c r="A86" s="7">
        <v>81</v>
      </c>
      <c r="B86" s="7">
        <v>-566.6666666666666</v>
      </c>
      <c r="C86" s="7">
        <v>25</v>
      </c>
      <c r="D86" s="7">
        <v>1250</v>
      </c>
      <c r="E86" s="7">
        <v>12</v>
      </c>
      <c r="F86" s="10">
        <f>B86+Origin_X</f>
        <v>-566.6666666666666</v>
      </c>
      <c r="G86" s="10">
        <f>C86+Origin_Y</f>
        <v>25</v>
      </c>
    </row>
    <row r="87" spans="1:7" x14ac:dyDescent="0.25">
      <c r="A87" s="7">
        <v>82</v>
      </c>
      <c r="B87" s="7">
        <v>-558.3333333333333</v>
      </c>
      <c r="C87" s="7">
        <v>50</v>
      </c>
      <c r="D87" s="7">
        <v>1250</v>
      </c>
      <c r="E87" s="7">
        <v>12</v>
      </c>
      <c r="F87" s="10">
        <f>B87+Origin_X</f>
        <v>-558.3333333333333</v>
      </c>
      <c r="G87" s="10">
        <f>C87+Origin_Y</f>
        <v>50</v>
      </c>
    </row>
    <row r="88" spans="1:7" x14ac:dyDescent="0.25">
      <c r="A88" s="7">
        <v>83</v>
      </c>
      <c r="B88" s="7">
        <v>-558.3333333333333</v>
      </c>
      <c r="C88" s="7">
        <v>125</v>
      </c>
      <c r="D88" s="7">
        <v>1250</v>
      </c>
      <c r="E88" s="7">
        <v>12</v>
      </c>
      <c r="F88" s="10">
        <f>B88+Origin_X</f>
        <v>-558.3333333333333</v>
      </c>
      <c r="G88" s="10">
        <f>C88+Origin_Y</f>
        <v>125</v>
      </c>
    </row>
    <row r="89" spans="1:7" x14ac:dyDescent="0.25">
      <c r="A89" s="7">
        <v>84</v>
      </c>
      <c r="B89" s="7">
        <v>-583.3333333333333</v>
      </c>
      <c r="C89" s="7">
        <v>125</v>
      </c>
      <c r="D89" s="7">
        <v>1250</v>
      </c>
      <c r="E89" s="7">
        <v>12</v>
      </c>
      <c r="F89" s="10">
        <f>B89+Origin_X</f>
        <v>-583.3333333333333</v>
      </c>
      <c r="G89" s="10">
        <f>C89+Origin_Y</f>
        <v>125</v>
      </c>
    </row>
    <row r="90" spans="1:7" x14ac:dyDescent="0.25">
      <c r="A90" s="7">
        <v>85</v>
      </c>
      <c r="B90" s="7">
        <v>-591.6666666666666</v>
      </c>
      <c r="C90" s="7">
        <v>250</v>
      </c>
      <c r="D90" s="7">
        <v>1250</v>
      </c>
      <c r="E90" s="7">
        <v>13</v>
      </c>
      <c r="F90" s="10">
        <f>B90+Origin_X</f>
        <v>-591.6666666666666</v>
      </c>
      <c r="G90" s="10">
        <f>C90+Origin_Y</f>
        <v>250</v>
      </c>
    </row>
    <row r="91" spans="1:7" x14ac:dyDescent="0.25">
      <c r="A91" s="7">
        <v>86</v>
      </c>
      <c r="B91" s="7">
        <v>-591.6666666666666</v>
      </c>
      <c r="C91" s="7">
        <v>175</v>
      </c>
      <c r="D91" s="7">
        <v>1250</v>
      </c>
      <c r="E91" s="7">
        <v>13</v>
      </c>
      <c r="F91" s="10">
        <f>B91+Origin_X</f>
        <v>-591.6666666666666</v>
      </c>
      <c r="G91" s="10">
        <f>C91+Origin_Y</f>
        <v>175</v>
      </c>
    </row>
    <row r="92" spans="1:7" x14ac:dyDescent="0.25">
      <c r="A92" s="7">
        <v>87</v>
      </c>
      <c r="B92" s="7">
        <v>-566.6666666666666</v>
      </c>
      <c r="C92" s="7">
        <v>175</v>
      </c>
      <c r="D92" s="7">
        <v>1250</v>
      </c>
      <c r="E92" s="7">
        <v>13</v>
      </c>
      <c r="F92" s="10">
        <f>B92+Origin_X</f>
        <v>-566.6666666666666</v>
      </c>
      <c r="G92" s="10">
        <f>C92+Origin_Y</f>
        <v>175</v>
      </c>
    </row>
    <row r="93" spans="1:7" x14ac:dyDescent="0.25">
      <c r="A93" s="7">
        <v>88</v>
      </c>
      <c r="B93" s="7">
        <v>-558.3333333333333</v>
      </c>
      <c r="C93" s="7">
        <v>200</v>
      </c>
      <c r="D93" s="7">
        <v>1250</v>
      </c>
      <c r="E93" s="7">
        <v>13</v>
      </c>
      <c r="F93" s="10">
        <f>B93+Origin_X</f>
        <v>-558.3333333333333</v>
      </c>
      <c r="G93" s="10">
        <f>C93+Origin_Y</f>
        <v>200</v>
      </c>
    </row>
    <row r="94" spans="1:7" x14ac:dyDescent="0.25">
      <c r="A94" s="7">
        <v>89</v>
      </c>
      <c r="B94" s="7">
        <v>-558.3333333333333</v>
      </c>
      <c r="C94" s="7">
        <v>275</v>
      </c>
      <c r="D94" s="7">
        <v>1250</v>
      </c>
      <c r="E94" s="7">
        <v>13</v>
      </c>
      <c r="F94" s="10">
        <f>B94+Origin_X</f>
        <v>-558.3333333333333</v>
      </c>
      <c r="G94" s="10">
        <f>C94+Origin_Y</f>
        <v>275</v>
      </c>
    </row>
    <row r="95" spans="1:7" x14ac:dyDescent="0.25">
      <c r="A95" s="7">
        <v>90</v>
      </c>
      <c r="B95" s="7">
        <v>-583.3333333333333</v>
      </c>
      <c r="C95" s="7">
        <v>275</v>
      </c>
      <c r="D95" s="7">
        <v>1250</v>
      </c>
      <c r="E95" s="7">
        <v>13</v>
      </c>
      <c r="F95" s="10">
        <f>B95+Origin_X</f>
        <v>-583.3333333333333</v>
      </c>
      <c r="G95" s="10">
        <f>C95+Origin_Y</f>
        <v>275</v>
      </c>
    </row>
    <row r="96" spans="1:7" x14ac:dyDescent="0.25">
      <c r="A96" s="7">
        <v>91</v>
      </c>
      <c r="B96" s="7">
        <v>-591.6666666666666</v>
      </c>
      <c r="C96" s="7">
        <v>400</v>
      </c>
      <c r="D96" s="7">
        <v>1250</v>
      </c>
      <c r="E96" s="7">
        <v>14</v>
      </c>
      <c r="F96" s="10">
        <f>B96+Origin_X</f>
        <v>-591.6666666666666</v>
      </c>
      <c r="G96" s="10">
        <f>C96+Origin_Y</f>
        <v>400</v>
      </c>
    </row>
    <row r="97" spans="1:7" x14ac:dyDescent="0.25">
      <c r="A97" s="7">
        <v>92</v>
      </c>
      <c r="B97" s="7">
        <v>-591.6666666666666</v>
      </c>
      <c r="C97" s="7">
        <v>325</v>
      </c>
      <c r="D97" s="7">
        <v>1250</v>
      </c>
      <c r="E97" s="7">
        <v>14</v>
      </c>
      <c r="F97" s="10">
        <f>B97+Origin_X</f>
        <v>-591.6666666666666</v>
      </c>
      <c r="G97" s="10">
        <f>C97+Origin_Y</f>
        <v>325</v>
      </c>
    </row>
    <row r="98" spans="1:7" x14ac:dyDescent="0.25">
      <c r="A98" s="7">
        <v>93</v>
      </c>
      <c r="B98" s="7">
        <v>-566.6666666666666</v>
      </c>
      <c r="C98" s="7">
        <v>325</v>
      </c>
      <c r="D98" s="7">
        <v>1250</v>
      </c>
      <c r="E98" s="7">
        <v>14</v>
      </c>
      <c r="F98" s="10">
        <f>B98+Origin_X</f>
        <v>-566.6666666666666</v>
      </c>
      <c r="G98" s="10">
        <f>C98+Origin_Y</f>
        <v>325</v>
      </c>
    </row>
    <row r="99" spans="1:7" x14ac:dyDescent="0.25">
      <c r="A99" s="7">
        <v>94</v>
      </c>
      <c r="B99" s="7">
        <v>-566.6666666666666</v>
      </c>
      <c r="C99" s="7">
        <v>416.66666666666663</v>
      </c>
      <c r="D99" s="7">
        <v>3333.3333333333335</v>
      </c>
      <c r="E99" s="7">
        <v>14</v>
      </c>
      <c r="F99" s="10">
        <f>B99+Origin_X</f>
        <v>-566.6666666666666</v>
      </c>
      <c r="G99" s="10">
        <f>C99+Origin_Y</f>
        <v>416.66666666666663</v>
      </c>
    </row>
    <row r="100" spans="1:7" x14ac:dyDescent="0.25">
      <c r="A100" s="7">
        <v>95</v>
      </c>
      <c r="B100" s="7">
        <v>-541.6666666666666</v>
      </c>
      <c r="C100" s="7">
        <v>341.66666666666663</v>
      </c>
      <c r="D100" s="7">
        <v>3333.3333333333335</v>
      </c>
      <c r="E100" s="7">
        <v>14</v>
      </c>
      <c r="F100" s="10">
        <f>B100+Origin_X</f>
        <v>-541.6666666666666</v>
      </c>
      <c r="G100" s="10">
        <f>C100+Origin_Y</f>
        <v>341.66666666666663</v>
      </c>
    </row>
    <row r="101" spans="1:7" x14ac:dyDescent="0.25">
      <c r="A101" s="7">
        <v>96</v>
      </c>
      <c r="B101" s="7">
        <v>-491.66666666666663</v>
      </c>
      <c r="C101" s="7">
        <v>391.66666666666663</v>
      </c>
      <c r="D101" s="7">
        <v>3333.3333333333335</v>
      </c>
      <c r="E101" s="7">
        <v>14</v>
      </c>
      <c r="F101" s="10">
        <f>B101+Origin_X</f>
        <v>-491.66666666666663</v>
      </c>
      <c r="G101" s="10">
        <f>C101+Origin_Y</f>
        <v>391.66666666666663</v>
      </c>
    </row>
    <row r="102" spans="1:7" x14ac:dyDescent="0.25">
      <c r="A102" s="7">
        <v>97</v>
      </c>
      <c r="B102" s="7">
        <v>-475</v>
      </c>
      <c r="C102" s="7">
        <v>416.66666666666663</v>
      </c>
      <c r="D102" s="7">
        <v>1250</v>
      </c>
      <c r="E102" s="7">
        <v>14</v>
      </c>
      <c r="F102" s="10">
        <f>B102+Origin_X</f>
        <v>-475</v>
      </c>
      <c r="G102" s="10">
        <f>C102+Origin_Y</f>
        <v>416.66666666666663</v>
      </c>
    </row>
    <row r="103" spans="1:7" x14ac:dyDescent="0.25">
      <c r="A103" s="7">
        <v>98</v>
      </c>
      <c r="B103" s="7">
        <v>-475</v>
      </c>
      <c r="C103" s="7">
        <v>441.66666666666663</v>
      </c>
      <c r="D103" s="7">
        <v>1250</v>
      </c>
      <c r="E103" s="7">
        <v>14</v>
      </c>
      <c r="F103" s="10">
        <f>B103+Origin_X</f>
        <v>-475</v>
      </c>
      <c r="G103" s="10">
        <f>C103+Origin_Y</f>
        <v>441.66666666666663</v>
      </c>
    </row>
    <row r="104" spans="1:7" x14ac:dyDescent="0.25">
      <c r="A104" s="7">
        <v>99</v>
      </c>
      <c r="B104" s="7">
        <v>-550</v>
      </c>
      <c r="C104" s="7">
        <v>441.66666666666663</v>
      </c>
      <c r="D104" s="7">
        <v>1250</v>
      </c>
      <c r="E104" s="7">
        <v>14</v>
      </c>
      <c r="F104" s="10">
        <f>B104+Origin_X</f>
        <v>-550</v>
      </c>
      <c r="G104" s="10">
        <f>C104+Origin_Y</f>
        <v>441.66666666666663</v>
      </c>
    </row>
    <row r="105" spans="1:7" x14ac:dyDescent="0.25">
      <c r="A105" s="7">
        <v>100</v>
      </c>
      <c r="B105" s="7">
        <v>-575</v>
      </c>
      <c r="C105" s="7">
        <v>516.6666666666666</v>
      </c>
      <c r="D105" s="7">
        <v>2500</v>
      </c>
      <c r="E105" s="7">
        <v>15</v>
      </c>
      <c r="F105" s="10">
        <f>B105+Origin_X</f>
        <v>-575</v>
      </c>
      <c r="G105" s="10">
        <f>C105+Origin_Y</f>
        <v>516.6666666666666</v>
      </c>
    </row>
    <row r="106" spans="1:7" x14ac:dyDescent="0.25">
      <c r="A106" s="7">
        <v>101</v>
      </c>
      <c r="B106" s="7">
        <v>-575</v>
      </c>
      <c r="C106" s="7">
        <v>466.66666666666663</v>
      </c>
      <c r="D106" s="7">
        <v>2500</v>
      </c>
      <c r="E106" s="7">
        <v>15</v>
      </c>
      <c r="F106" s="10">
        <f>B106+Origin_X</f>
        <v>-575</v>
      </c>
      <c r="G106" s="10">
        <f>C106+Origin_Y</f>
        <v>466.66666666666663</v>
      </c>
    </row>
    <row r="107" spans="1:7" x14ac:dyDescent="0.25">
      <c r="A107" s="7">
        <v>102</v>
      </c>
      <c r="B107" s="7">
        <v>-500</v>
      </c>
      <c r="C107" s="7">
        <v>466.66666666666663</v>
      </c>
      <c r="D107" s="7">
        <v>2500</v>
      </c>
      <c r="E107" s="7">
        <v>15</v>
      </c>
      <c r="F107" s="10">
        <f>B107+Origin_X</f>
        <v>-500</v>
      </c>
      <c r="G107" s="10">
        <f>C107+Origin_Y</f>
        <v>466.66666666666663</v>
      </c>
    </row>
    <row r="108" spans="1:7" x14ac:dyDescent="0.25">
      <c r="A108" s="7">
        <v>103</v>
      </c>
      <c r="B108" s="7">
        <v>-550</v>
      </c>
      <c r="C108" s="7">
        <v>541.6666666666666</v>
      </c>
      <c r="D108" s="7">
        <v>3750</v>
      </c>
      <c r="E108" s="7">
        <v>15</v>
      </c>
      <c r="F108" s="10">
        <f>B108+Origin_X</f>
        <v>-550</v>
      </c>
      <c r="G108" s="10">
        <f>C108+Origin_Y</f>
        <v>541.6666666666666</v>
      </c>
    </row>
    <row r="109" spans="1:7" x14ac:dyDescent="0.25">
      <c r="A109" s="7">
        <v>104</v>
      </c>
      <c r="B109" s="7">
        <v>-475</v>
      </c>
      <c r="C109" s="7">
        <v>491.66666666666663</v>
      </c>
      <c r="D109" s="7">
        <v>3750</v>
      </c>
      <c r="E109" s="7">
        <v>15</v>
      </c>
      <c r="F109" s="10">
        <f>B109+Origin_X</f>
        <v>-475</v>
      </c>
      <c r="G109" s="10">
        <f>C109+Origin_Y</f>
        <v>491.66666666666663</v>
      </c>
    </row>
    <row r="110" spans="1:7" x14ac:dyDescent="0.25">
      <c r="A110" s="7">
        <v>105</v>
      </c>
      <c r="B110" s="7">
        <v>-475</v>
      </c>
      <c r="C110" s="7">
        <v>566.6666666666666</v>
      </c>
      <c r="D110" s="7">
        <v>3750</v>
      </c>
      <c r="E110" s="7">
        <v>15</v>
      </c>
      <c r="F110" s="10">
        <f>B110+Origin_X</f>
        <v>-475</v>
      </c>
      <c r="G110" s="10">
        <f>C110+Origin_Y</f>
        <v>566.6666666666666</v>
      </c>
    </row>
    <row r="111" spans="1:7" x14ac:dyDescent="0.25">
      <c r="A111" s="7">
        <v>106</v>
      </c>
      <c r="B111" s="7">
        <v>-491.66666666666663</v>
      </c>
      <c r="C111" s="7">
        <v>591.6666666666666</v>
      </c>
      <c r="D111" s="7">
        <v>833.3333333333334</v>
      </c>
      <c r="E111" s="7">
        <v>15</v>
      </c>
      <c r="F111" s="10">
        <f>B111+Origin_X</f>
        <v>-491.66666666666663</v>
      </c>
      <c r="G111" s="10">
        <f>C111+Origin_Y</f>
        <v>591.6666666666666</v>
      </c>
    </row>
    <row r="112" spans="1:7" x14ac:dyDescent="0.25">
      <c r="A112" s="7">
        <v>107</v>
      </c>
      <c r="B112" s="7">
        <v>-541.6666666666666</v>
      </c>
      <c r="C112" s="7">
        <v>591.6666666666666</v>
      </c>
      <c r="D112" s="7">
        <v>833.3333333333334</v>
      </c>
      <c r="E112" s="7">
        <v>15</v>
      </c>
      <c r="F112" s="10">
        <f>B112+Origin_X</f>
        <v>-541.6666666666666</v>
      </c>
      <c r="G112" s="10">
        <f>C112+Origin_Y</f>
        <v>591.6666666666666</v>
      </c>
    </row>
    <row r="113" spans="1:7" x14ac:dyDescent="0.25">
      <c r="A113" s="7">
        <v>108</v>
      </c>
      <c r="B113" s="7">
        <v>-566.6666666666666</v>
      </c>
      <c r="C113" s="7">
        <v>566.6666666666666</v>
      </c>
      <c r="D113" s="7">
        <v>833.3333333333334</v>
      </c>
      <c r="E113" s="7">
        <v>15</v>
      </c>
      <c r="F113" s="10">
        <f>B113+Origin_X</f>
        <v>-566.6666666666666</v>
      </c>
      <c r="G113" s="10">
        <f>C113+Origin_Y</f>
        <v>566.6666666666666</v>
      </c>
    </row>
    <row r="114" spans="1:7" x14ac:dyDescent="0.25">
      <c r="A114" s="7">
        <v>109</v>
      </c>
      <c r="B114" s="7">
        <v>-425</v>
      </c>
      <c r="C114" s="7">
        <v>-500</v>
      </c>
      <c r="D114" s="7">
        <v>3750</v>
      </c>
      <c r="E114" s="7">
        <v>16</v>
      </c>
      <c r="F114" s="10">
        <f>B114+Origin_X</f>
        <v>-425</v>
      </c>
      <c r="G114" s="10">
        <f>C114+Origin_Y</f>
        <v>-500</v>
      </c>
    </row>
    <row r="115" spans="1:7" x14ac:dyDescent="0.25">
      <c r="A115" s="7">
        <v>110</v>
      </c>
      <c r="B115" s="7">
        <v>-425</v>
      </c>
      <c r="C115" s="7">
        <v>-575</v>
      </c>
      <c r="D115" s="7">
        <v>3750</v>
      </c>
      <c r="E115" s="7">
        <v>16</v>
      </c>
      <c r="F115" s="10">
        <f>B115+Origin_X</f>
        <v>-425</v>
      </c>
      <c r="G115" s="10">
        <f>C115+Origin_Y</f>
        <v>-575</v>
      </c>
    </row>
    <row r="116" spans="1:7" x14ac:dyDescent="0.25">
      <c r="A116" s="7">
        <v>111</v>
      </c>
      <c r="B116" s="7">
        <v>-350</v>
      </c>
      <c r="C116" s="7">
        <v>-575</v>
      </c>
      <c r="D116" s="7">
        <v>3750</v>
      </c>
      <c r="E116" s="7">
        <v>16</v>
      </c>
      <c r="F116" s="10">
        <f>B116+Origin_X</f>
        <v>-350</v>
      </c>
      <c r="G116" s="10">
        <f>C116+Origin_Y</f>
        <v>-575</v>
      </c>
    </row>
    <row r="117" spans="1:7" x14ac:dyDescent="0.25">
      <c r="A117" s="7">
        <v>112</v>
      </c>
      <c r="B117" s="7">
        <v>-325</v>
      </c>
      <c r="C117" s="7">
        <v>-550</v>
      </c>
      <c r="D117" s="7">
        <v>3750</v>
      </c>
      <c r="E117" s="7">
        <v>16</v>
      </c>
      <c r="F117" s="10">
        <f>B117+Origin_X</f>
        <v>-325</v>
      </c>
      <c r="G117" s="10">
        <f>C117+Origin_Y</f>
        <v>-550</v>
      </c>
    </row>
    <row r="118" spans="1:7" x14ac:dyDescent="0.25">
      <c r="A118" s="7">
        <v>113</v>
      </c>
      <c r="B118" s="7">
        <v>-325</v>
      </c>
      <c r="C118" s="7">
        <v>-475</v>
      </c>
      <c r="D118" s="7">
        <v>3750</v>
      </c>
      <c r="E118" s="7">
        <v>16</v>
      </c>
      <c r="F118" s="10">
        <f>B118+Origin_X</f>
        <v>-325</v>
      </c>
      <c r="G118" s="10">
        <f>C118+Origin_Y</f>
        <v>-475</v>
      </c>
    </row>
    <row r="119" spans="1:7" x14ac:dyDescent="0.25">
      <c r="A119" s="7">
        <v>114</v>
      </c>
      <c r="B119" s="7">
        <v>-400</v>
      </c>
      <c r="C119" s="7">
        <v>-475</v>
      </c>
      <c r="D119" s="7">
        <v>3750</v>
      </c>
      <c r="E119" s="7">
        <v>16</v>
      </c>
      <c r="F119" s="10">
        <f>B119+Origin_X</f>
        <v>-400</v>
      </c>
      <c r="G119" s="10">
        <f>C119+Origin_Y</f>
        <v>-475</v>
      </c>
    </row>
    <row r="120" spans="1:7" x14ac:dyDescent="0.25">
      <c r="A120" s="7">
        <v>115</v>
      </c>
      <c r="B120" s="7">
        <v>-425</v>
      </c>
      <c r="C120" s="7">
        <v>-416.66666666666663</v>
      </c>
      <c r="D120" s="7">
        <v>1250</v>
      </c>
      <c r="E120" s="7">
        <v>17</v>
      </c>
      <c r="F120" s="10">
        <f>B120+Origin_X</f>
        <v>-425</v>
      </c>
      <c r="G120" s="10">
        <f>C120+Origin_Y</f>
        <v>-416.66666666666663</v>
      </c>
    </row>
    <row r="121" spans="1:7" x14ac:dyDescent="0.25">
      <c r="A121" s="7">
        <v>116</v>
      </c>
      <c r="B121" s="7">
        <v>-425</v>
      </c>
      <c r="C121" s="7">
        <v>-441.66666666666663</v>
      </c>
      <c r="D121" s="7">
        <v>1250</v>
      </c>
      <c r="E121" s="7">
        <v>17</v>
      </c>
      <c r="F121" s="10">
        <f>B121+Origin_X</f>
        <v>-425</v>
      </c>
      <c r="G121" s="10">
        <f>C121+Origin_Y</f>
        <v>-441.66666666666663</v>
      </c>
    </row>
    <row r="122" spans="1:7" x14ac:dyDescent="0.25">
      <c r="A122" s="7">
        <v>117</v>
      </c>
      <c r="B122" s="7">
        <v>-350</v>
      </c>
      <c r="C122" s="7">
        <v>-441.66666666666663</v>
      </c>
      <c r="D122" s="7">
        <v>1250</v>
      </c>
      <c r="E122" s="7">
        <v>17</v>
      </c>
      <c r="F122" s="10">
        <f>B122+Origin_X</f>
        <v>-350</v>
      </c>
      <c r="G122" s="10">
        <f>C122+Origin_Y</f>
        <v>-441.66666666666663</v>
      </c>
    </row>
    <row r="123" spans="1:7" x14ac:dyDescent="0.25">
      <c r="A123" s="7">
        <v>118</v>
      </c>
      <c r="B123" s="7">
        <v>-325</v>
      </c>
      <c r="C123" s="7">
        <v>-433.33333333333326</v>
      </c>
      <c r="D123" s="7">
        <v>1250</v>
      </c>
      <c r="E123" s="7">
        <v>17</v>
      </c>
      <c r="F123" s="10">
        <f>B123+Origin_X</f>
        <v>-325</v>
      </c>
      <c r="G123" s="10">
        <f>C123+Origin_Y</f>
        <v>-433.33333333333326</v>
      </c>
    </row>
    <row r="124" spans="1:7" x14ac:dyDescent="0.25">
      <c r="A124" s="7">
        <v>119</v>
      </c>
      <c r="B124" s="7">
        <v>-325</v>
      </c>
      <c r="C124" s="7">
        <v>-408.33333333333326</v>
      </c>
      <c r="D124" s="7">
        <v>1250</v>
      </c>
      <c r="E124" s="7">
        <v>17</v>
      </c>
      <c r="F124" s="10">
        <f>B124+Origin_X</f>
        <v>-325</v>
      </c>
      <c r="G124" s="10">
        <f>C124+Origin_Y</f>
        <v>-408.33333333333326</v>
      </c>
    </row>
    <row r="125" spans="1:7" x14ac:dyDescent="0.25">
      <c r="A125" s="7">
        <v>120</v>
      </c>
      <c r="B125" s="7">
        <v>-400</v>
      </c>
      <c r="C125" s="7">
        <v>-408.33333333333326</v>
      </c>
      <c r="D125" s="7">
        <v>1250</v>
      </c>
      <c r="E125" s="7">
        <v>17</v>
      </c>
      <c r="F125" s="10">
        <f>B125+Origin_X</f>
        <v>-400</v>
      </c>
      <c r="G125" s="10">
        <f>C125+Origin_Y</f>
        <v>-408.33333333333326</v>
      </c>
    </row>
    <row r="126" spans="1:7" x14ac:dyDescent="0.25">
      <c r="A126" s="7">
        <v>121</v>
      </c>
      <c r="B126" s="7">
        <v>-425</v>
      </c>
      <c r="C126" s="7">
        <v>433.33333333333326</v>
      </c>
      <c r="D126" s="7">
        <v>1250</v>
      </c>
      <c r="E126" s="7">
        <v>18</v>
      </c>
      <c r="F126" s="10">
        <f>B126+Origin_X</f>
        <v>-425</v>
      </c>
      <c r="G126" s="10">
        <f>C126+Origin_Y</f>
        <v>433.33333333333326</v>
      </c>
    </row>
    <row r="127" spans="1:7" x14ac:dyDescent="0.25">
      <c r="A127" s="7">
        <v>122</v>
      </c>
      <c r="B127" s="7">
        <v>-425</v>
      </c>
      <c r="C127" s="7">
        <v>408.33333333333326</v>
      </c>
      <c r="D127" s="7">
        <v>1250</v>
      </c>
      <c r="E127" s="7">
        <v>18</v>
      </c>
      <c r="F127" s="10">
        <f>B127+Origin_X</f>
        <v>-425</v>
      </c>
      <c r="G127" s="10">
        <f>C127+Origin_Y</f>
        <v>408.33333333333326</v>
      </c>
    </row>
    <row r="128" spans="1:7" x14ac:dyDescent="0.25">
      <c r="A128" s="7">
        <v>123</v>
      </c>
      <c r="B128" s="7">
        <v>-350</v>
      </c>
      <c r="C128" s="7">
        <v>408.33333333333326</v>
      </c>
      <c r="D128" s="7">
        <v>1250</v>
      </c>
      <c r="E128" s="7">
        <v>18</v>
      </c>
      <c r="F128" s="10">
        <f>B128+Origin_X</f>
        <v>-350</v>
      </c>
      <c r="G128" s="10">
        <f>C128+Origin_Y</f>
        <v>408.33333333333326</v>
      </c>
    </row>
    <row r="129" spans="1:7" x14ac:dyDescent="0.25">
      <c r="A129" s="7">
        <v>124</v>
      </c>
      <c r="B129" s="7">
        <v>-325</v>
      </c>
      <c r="C129" s="7">
        <v>416.66666666666663</v>
      </c>
      <c r="D129" s="7">
        <v>1250</v>
      </c>
      <c r="E129" s="7">
        <v>18</v>
      </c>
      <c r="F129" s="10">
        <f>B129+Origin_X</f>
        <v>-325</v>
      </c>
      <c r="G129" s="10">
        <f>C129+Origin_Y</f>
        <v>416.66666666666663</v>
      </c>
    </row>
    <row r="130" spans="1:7" x14ac:dyDescent="0.25">
      <c r="A130" s="7">
        <v>125</v>
      </c>
      <c r="B130" s="7">
        <v>-325</v>
      </c>
      <c r="C130" s="7">
        <v>441.66666666666663</v>
      </c>
      <c r="D130" s="7">
        <v>1250</v>
      </c>
      <c r="E130" s="7">
        <v>18</v>
      </c>
      <c r="F130" s="10">
        <f>B130+Origin_X</f>
        <v>-325</v>
      </c>
      <c r="G130" s="10">
        <f>C130+Origin_Y</f>
        <v>441.66666666666663</v>
      </c>
    </row>
    <row r="131" spans="1:7" x14ac:dyDescent="0.25">
      <c r="A131" s="7">
        <v>126</v>
      </c>
      <c r="B131" s="7">
        <v>-400</v>
      </c>
      <c r="C131" s="7">
        <v>441.66666666666663</v>
      </c>
      <c r="D131" s="7">
        <v>1250</v>
      </c>
      <c r="E131" s="7">
        <v>18</v>
      </c>
      <c r="F131" s="10">
        <f>B131+Origin_X</f>
        <v>-400</v>
      </c>
      <c r="G131" s="10">
        <f>C131+Origin_Y</f>
        <v>441.66666666666663</v>
      </c>
    </row>
    <row r="132" spans="1:7" x14ac:dyDescent="0.25">
      <c r="A132" s="7">
        <v>127</v>
      </c>
      <c r="B132" s="7">
        <v>-425</v>
      </c>
      <c r="C132" s="7">
        <v>550</v>
      </c>
      <c r="D132" s="7">
        <v>3750</v>
      </c>
      <c r="E132" s="7">
        <v>19</v>
      </c>
      <c r="F132" s="10">
        <f>B132+Origin_X</f>
        <v>-425</v>
      </c>
      <c r="G132" s="10">
        <f>C132+Origin_Y</f>
        <v>550</v>
      </c>
    </row>
    <row r="133" spans="1:7" x14ac:dyDescent="0.25">
      <c r="A133" s="7">
        <v>128</v>
      </c>
      <c r="B133" s="7">
        <v>-425</v>
      </c>
      <c r="C133" s="7">
        <v>475</v>
      </c>
      <c r="D133" s="7">
        <v>3750</v>
      </c>
      <c r="E133" s="7">
        <v>19</v>
      </c>
      <c r="F133" s="10">
        <f>B133+Origin_X</f>
        <v>-425</v>
      </c>
      <c r="G133" s="10">
        <f>C133+Origin_Y</f>
        <v>475</v>
      </c>
    </row>
    <row r="134" spans="1:7" x14ac:dyDescent="0.25">
      <c r="A134" s="7">
        <v>129</v>
      </c>
      <c r="B134" s="7">
        <v>-350</v>
      </c>
      <c r="C134" s="7">
        <v>475</v>
      </c>
      <c r="D134" s="7">
        <v>3750</v>
      </c>
      <c r="E134" s="7">
        <v>19</v>
      </c>
      <c r="F134" s="10">
        <f>B134+Origin_X</f>
        <v>-350</v>
      </c>
      <c r="G134" s="10">
        <f>C134+Origin_Y</f>
        <v>475</v>
      </c>
    </row>
    <row r="135" spans="1:7" x14ac:dyDescent="0.25">
      <c r="A135" s="7">
        <v>130</v>
      </c>
      <c r="B135" s="7">
        <v>-325</v>
      </c>
      <c r="C135" s="7">
        <v>500</v>
      </c>
      <c r="D135" s="7">
        <v>3750</v>
      </c>
      <c r="E135" s="7">
        <v>19</v>
      </c>
      <c r="F135" s="10">
        <f>B135+Origin_X</f>
        <v>-325</v>
      </c>
      <c r="G135" s="10">
        <f>C135+Origin_Y</f>
        <v>500</v>
      </c>
    </row>
    <row r="136" spans="1:7" x14ac:dyDescent="0.25">
      <c r="A136" s="7">
        <v>131</v>
      </c>
      <c r="B136" s="7">
        <v>-325</v>
      </c>
      <c r="C136" s="7">
        <v>575</v>
      </c>
      <c r="D136" s="7">
        <v>3750</v>
      </c>
      <c r="E136" s="7">
        <v>19</v>
      </c>
      <c r="F136" s="10">
        <f>B136+Origin_X</f>
        <v>-325</v>
      </c>
      <c r="G136" s="10">
        <f>C136+Origin_Y</f>
        <v>575</v>
      </c>
    </row>
    <row r="137" spans="1:7" x14ac:dyDescent="0.25">
      <c r="A137" s="7">
        <v>132</v>
      </c>
      <c r="B137" s="7">
        <v>-400</v>
      </c>
      <c r="C137" s="7">
        <v>575</v>
      </c>
      <c r="D137" s="7">
        <v>3750</v>
      </c>
      <c r="E137" s="7">
        <v>19</v>
      </c>
      <c r="F137" s="10">
        <f>B137+Origin_X</f>
        <v>-400</v>
      </c>
      <c r="G137" s="10">
        <f>C137+Origin_Y</f>
        <v>575</v>
      </c>
    </row>
    <row r="138" spans="1:7" x14ac:dyDescent="0.25">
      <c r="A138" s="7">
        <v>133</v>
      </c>
      <c r="B138" s="7">
        <v>-275</v>
      </c>
      <c r="C138" s="7">
        <v>-500</v>
      </c>
      <c r="D138" s="7">
        <v>3750</v>
      </c>
      <c r="E138" s="7">
        <v>20</v>
      </c>
      <c r="F138" s="10">
        <f>B138+Origin_X</f>
        <v>-275</v>
      </c>
      <c r="G138" s="10">
        <f>C138+Origin_Y</f>
        <v>-500</v>
      </c>
    </row>
    <row r="139" spans="1:7" x14ac:dyDescent="0.25">
      <c r="A139" s="7">
        <v>134</v>
      </c>
      <c r="B139" s="7">
        <v>-275</v>
      </c>
      <c r="C139" s="7">
        <v>-575</v>
      </c>
      <c r="D139" s="7">
        <v>3750</v>
      </c>
      <c r="E139" s="7">
        <v>20</v>
      </c>
      <c r="F139" s="10">
        <f>B139+Origin_X</f>
        <v>-275</v>
      </c>
      <c r="G139" s="10">
        <f>C139+Origin_Y</f>
        <v>-575</v>
      </c>
    </row>
    <row r="140" spans="1:7" x14ac:dyDescent="0.25">
      <c r="A140" s="7">
        <v>135</v>
      </c>
      <c r="B140" s="7">
        <v>-200</v>
      </c>
      <c r="C140" s="7">
        <v>-575</v>
      </c>
      <c r="D140" s="7">
        <v>3750</v>
      </c>
      <c r="E140" s="7">
        <v>20</v>
      </c>
      <c r="F140" s="10">
        <f>B140+Origin_X</f>
        <v>-200</v>
      </c>
      <c r="G140" s="10">
        <f>C140+Origin_Y</f>
        <v>-575</v>
      </c>
    </row>
    <row r="141" spans="1:7" x14ac:dyDescent="0.25">
      <c r="A141" s="7">
        <v>136</v>
      </c>
      <c r="B141" s="7">
        <v>-175</v>
      </c>
      <c r="C141" s="7">
        <v>-550</v>
      </c>
      <c r="D141" s="7">
        <v>3750</v>
      </c>
      <c r="E141" s="7">
        <v>20</v>
      </c>
      <c r="F141" s="10">
        <f>B141+Origin_X</f>
        <v>-175</v>
      </c>
      <c r="G141" s="10">
        <f>C141+Origin_Y</f>
        <v>-550</v>
      </c>
    </row>
    <row r="142" spans="1:7" x14ac:dyDescent="0.25">
      <c r="A142" s="7">
        <v>137</v>
      </c>
      <c r="B142" s="7">
        <v>-175</v>
      </c>
      <c r="C142" s="7">
        <v>-475</v>
      </c>
      <c r="D142" s="7">
        <v>3750</v>
      </c>
      <c r="E142" s="7">
        <v>20</v>
      </c>
      <c r="F142" s="10">
        <f>B142+Origin_X</f>
        <v>-175</v>
      </c>
      <c r="G142" s="10">
        <f>C142+Origin_Y</f>
        <v>-475</v>
      </c>
    </row>
    <row r="143" spans="1:7" x14ac:dyDescent="0.25">
      <c r="A143" s="7">
        <v>138</v>
      </c>
      <c r="B143" s="7">
        <v>-250</v>
      </c>
      <c r="C143" s="7">
        <v>-475</v>
      </c>
      <c r="D143" s="7">
        <v>3750</v>
      </c>
      <c r="E143" s="7">
        <v>20</v>
      </c>
      <c r="F143" s="10">
        <f>B143+Origin_X</f>
        <v>-250</v>
      </c>
      <c r="G143" s="10">
        <f>C143+Origin_Y</f>
        <v>-475</v>
      </c>
    </row>
    <row r="144" spans="1:7" x14ac:dyDescent="0.25">
      <c r="A144" s="7">
        <v>139</v>
      </c>
      <c r="B144" s="7">
        <v>-275</v>
      </c>
      <c r="C144" s="7">
        <v>-416.66666666666663</v>
      </c>
      <c r="D144" s="7">
        <v>1250</v>
      </c>
      <c r="E144" s="7">
        <v>21</v>
      </c>
      <c r="F144" s="10">
        <f>B144+Origin_X</f>
        <v>-275</v>
      </c>
      <c r="G144" s="10">
        <f>C144+Origin_Y</f>
        <v>-416.66666666666663</v>
      </c>
    </row>
    <row r="145" spans="1:7" x14ac:dyDescent="0.25">
      <c r="A145" s="7">
        <v>140</v>
      </c>
      <c r="B145" s="7">
        <v>-275</v>
      </c>
      <c r="C145" s="7">
        <v>-441.66666666666663</v>
      </c>
      <c r="D145" s="7">
        <v>1250</v>
      </c>
      <c r="E145" s="7">
        <v>21</v>
      </c>
      <c r="F145" s="10">
        <f>B145+Origin_X</f>
        <v>-275</v>
      </c>
      <c r="G145" s="10">
        <f>C145+Origin_Y</f>
        <v>-441.66666666666663</v>
      </c>
    </row>
    <row r="146" spans="1:7" x14ac:dyDescent="0.25">
      <c r="A146" s="7">
        <v>141</v>
      </c>
      <c r="B146" s="7">
        <v>-200</v>
      </c>
      <c r="C146" s="7">
        <v>-441.66666666666663</v>
      </c>
      <c r="D146" s="7">
        <v>1250</v>
      </c>
      <c r="E146" s="7">
        <v>21</v>
      </c>
      <c r="F146" s="10">
        <f>B146+Origin_X</f>
        <v>-200</v>
      </c>
      <c r="G146" s="10">
        <f>C146+Origin_Y</f>
        <v>-441.66666666666663</v>
      </c>
    </row>
    <row r="147" spans="1:7" x14ac:dyDescent="0.25">
      <c r="A147" s="7">
        <v>142</v>
      </c>
      <c r="B147" s="7">
        <v>-166.66666666666666</v>
      </c>
      <c r="C147" s="7">
        <v>-416.66666666666663</v>
      </c>
      <c r="D147" s="7">
        <v>2500</v>
      </c>
      <c r="E147" s="7">
        <v>21</v>
      </c>
      <c r="F147" s="10">
        <f>B147+Origin_X</f>
        <v>-166.66666666666666</v>
      </c>
      <c r="G147" s="10">
        <f>C147+Origin_Y</f>
        <v>-416.66666666666663</v>
      </c>
    </row>
    <row r="148" spans="1:7" x14ac:dyDescent="0.25">
      <c r="A148" s="7">
        <v>143</v>
      </c>
      <c r="B148" s="7">
        <v>-166.66666666666666</v>
      </c>
      <c r="C148" s="7">
        <v>-341.66666666666663</v>
      </c>
      <c r="D148" s="7">
        <v>2500</v>
      </c>
      <c r="E148" s="7">
        <v>21</v>
      </c>
      <c r="F148" s="10">
        <f>B148+Origin_X</f>
        <v>-166.66666666666666</v>
      </c>
      <c r="G148" s="10">
        <f>C148+Origin_Y</f>
        <v>-341.66666666666663</v>
      </c>
    </row>
    <row r="149" spans="1:7" x14ac:dyDescent="0.25">
      <c r="A149" s="7">
        <v>144</v>
      </c>
      <c r="B149" s="7">
        <v>-216.66666666666666</v>
      </c>
      <c r="C149" s="7">
        <v>-391.66666666666663</v>
      </c>
      <c r="D149" s="7">
        <v>2500</v>
      </c>
      <c r="E149" s="7">
        <v>21</v>
      </c>
      <c r="F149" s="10">
        <f>B149+Origin_X</f>
        <v>-216.66666666666666</v>
      </c>
      <c r="G149" s="10">
        <f>C149+Origin_Y</f>
        <v>-391.66666666666663</v>
      </c>
    </row>
    <row r="150" spans="1:7" x14ac:dyDescent="0.25">
      <c r="A150" s="7">
        <v>145</v>
      </c>
      <c r="B150" s="7">
        <v>-191.66666666666666</v>
      </c>
      <c r="C150" s="7">
        <v>-433.33333333333326</v>
      </c>
      <c r="D150" s="7">
        <v>416.6666666666667</v>
      </c>
      <c r="E150" s="7">
        <v>21</v>
      </c>
      <c r="F150" s="10">
        <f>B150+Origin_X</f>
        <v>-191.66666666666666</v>
      </c>
      <c r="G150" s="10">
        <f>C150+Origin_Y</f>
        <v>-433.33333333333326</v>
      </c>
    </row>
    <row r="151" spans="1:7" x14ac:dyDescent="0.25">
      <c r="A151" s="7">
        <v>146</v>
      </c>
      <c r="B151" s="7">
        <v>-241.66666666666666</v>
      </c>
      <c r="C151" s="7">
        <v>-408.33333333333326</v>
      </c>
      <c r="D151" s="7">
        <v>416.6666666666667</v>
      </c>
      <c r="E151" s="7">
        <v>21</v>
      </c>
      <c r="F151" s="10">
        <f>B151+Origin_X</f>
        <v>-241.66666666666666</v>
      </c>
      <c r="G151" s="10">
        <f>C151+Origin_Y</f>
        <v>-408.33333333333326</v>
      </c>
    </row>
    <row r="152" spans="1:7" x14ac:dyDescent="0.25">
      <c r="A152" s="7">
        <v>147</v>
      </c>
      <c r="B152" s="7">
        <v>-266.66666666666663</v>
      </c>
      <c r="C152" s="7">
        <v>-408.33333333333326</v>
      </c>
      <c r="D152" s="7">
        <v>416.6666666666667</v>
      </c>
      <c r="E152" s="7">
        <v>21</v>
      </c>
      <c r="F152" s="10">
        <f>B152+Origin_X</f>
        <v>-266.66666666666663</v>
      </c>
      <c r="G152" s="10">
        <f>C152+Origin_Y</f>
        <v>-408.33333333333326</v>
      </c>
    </row>
    <row r="153" spans="1:7" x14ac:dyDescent="0.25">
      <c r="A153" s="7">
        <v>148</v>
      </c>
      <c r="B153" s="7">
        <v>-291.6666666666667</v>
      </c>
      <c r="C153" s="7">
        <v>433.33333333333326</v>
      </c>
      <c r="D153" s="7">
        <v>416.6666666666667</v>
      </c>
      <c r="E153" s="7">
        <v>22</v>
      </c>
      <c r="F153" s="10">
        <f>B153+Origin_X</f>
        <v>-291.6666666666667</v>
      </c>
      <c r="G153" s="10">
        <f>C153+Origin_Y</f>
        <v>433.33333333333326</v>
      </c>
    </row>
    <row r="154" spans="1:7" x14ac:dyDescent="0.25">
      <c r="A154" s="7">
        <v>149</v>
      </c>
      <c r="B154" s="7">
        <v>-291.6666666666667</v>
      </c>
      <c r="C154" s="7">
        <v>408.33333333333326</v>
      </c>
      <c r="D154" s="7">
        <v>416.6666666666667</v>
      </c>
      <c r="E154" s="7">
        <v>22</v>
      </c>
      <c r="F154" s="10">
        <f>B154+Origin_X</f>
        <v>-291.6666666666667</v>
      </c>
      <c r="G154" s="10">
        <f>C154+Origin_Y</f>
        <v>408.33333333333326</v>
      </c>
    </row>
    <row r="155" spans="1:7" x14ac:dyDescent="0.25">
      <c r="A155" s="7">
        <v>150</v>
      </c>
      <c r="B155" s="7">
        <v>-266.66666666666663</v>
      </c>
      <c r="C155" s="7">
        <v>408.33333333333326</v>
      </c>
      <c r="D155" s="7">
        <v>416.6666666666667</v>
      </c>
      <c r="E155" s="7">
        <v>22</v>
      </c>
      <c r="F155" s="10">
        <f>B155+Origin_X</f>
        <v>-266.66666666666663</v>
      </c>
      <c r="G155" s="10">
        <f>C155+Origin_Y</f>
        <v>408.33333333333326</v>
      </c>
    </row>
    <row r="156" spans="1:7" x14ac:dyDescent="0.25">
      <c r="A156" s="7">
        <v>151</v>
      </c>
      <c r="B156" s="7">
        <v>-216.66666666666666</v>
      </c>
      <c r="C156" s="7">
        <v>391.66666666666663</v>
      </c>
      <c r="D156" s="7">
        <v>2500</v>
      </c>
      <c r="E156" s="7">
        <v>22</v>
      </c>
      <c r="F156" s="10">
        <f>B156+Origin_X</f>
        <v>-216.66666666666666</v>
      </c>
      <c r="G156" s="10">
        <f>C156+Origin_Y</f>
        <v>391.66666666666663</v>
      </c>
    </row>
    <row r="157" spans="1:7" x14ac:dyDescent="0.25">
      <c r="A157" s="7">
        <v>152</v>
      </c>
      <c r="B157" s="7">
        <v>-166.66666666666666</v>
      </c>
      <c r="C157" s="7">
        <v>341.66666666666663</v>
      </c>
      <c r="D157" s="7">
        <v>2500</v>
      </c>
      <c r="E157" s="7">
        <v>22</v>
      </c>
      <c r="F157" s="10">
        <f>B157+Origin_X</f>
        <v>-166.66666666666666</v>
      </c>
      <c r="G157" s="10">
        <f>C157+Origin_Y</f>
        <v>341.66666666666663</v>
      </c>
    </row>
    <row r="158" spans="1:7" x14ac:dyDescent="0.25">
      <c r="A158" s="7">
        <v>153</v>
      </c>
      <c r="B158" s="7">
        <v>-166.66666666666666</v>
      </c>
      <c r="C158" s="7">
        <v>416.66666666666663</v>
      </c>
      <c r="D158" s="7">
        <v>2500</v>
      </c>
      <c r="E158" s="7">
        <v>22</v>
      </c>
      <c r="F158" s="10">
        <f>B158+Origin_X</f>
        <v>-166.66666666666666</v>
      </c>
      <c r="G158" s="10">
        <f>C158+Origin_Y</f>
        <v>416.66666666666663</v>
      </c>
    </row>
    <row r="159" spans="1:7" x14ac:dyDescent="0.25">
      <c r="A159" s="7">
        <v>154</v>
      </c>
      <c r="B159" s="7">
        <v>-241.66666666666666</v>
      </c>
      <c r="C159" s="7">
        <v>416.66666666666663</v>
      </c>
      <c r="D159" s="7">
        <v>1250</v>
      </c>
      <c r="E159" s="7">
        <v>22</v>
      </c>
      <c r="F159" s="10">
        <f>B159+Origin_X</f>
        <v>-241.66666666666666</v>
      </c>
      <c r="G159" s="10">
        <f>C159+Origin_Y</f>
        <v>416.66666666666663</v>
      </c>
    </row>
    <row r="160" spans="1:7" x14ac:dyDescent="0.25">
      <c r="A160" s="7">
        <v>155</v>
      </c>
      <c r="B160" s="7">
        <v>-191.66666666666666</v>
      </c>
      <c r="C160" s="7">
        <v>441.66666666666663</v>
      </c>
      <c r="D160" s="7">
        <v>1250</v>
      </c>
      <c r="E160" s="7">
        <v>22</v>
      </c>
      <c r="F160" s="10">
        <f>B160+Origin_X</f>
        <v>-191.66666666666666</v>
      </c>
      <c r="G160" s="10">
        <f>C160+Origin_Y</f>
        <v>441.66666666666663</v>
      </c>
    </row>
    <row r="161" spans="1:7" x14ac:dyDescent="0.25">
      <c r="A161" s="7">
        <v>156</v>
      </c>
      <c r="B161" s="7">
        <v>-266.66666666666663</v>
      </c>
      <c r="C161" s="7">
        <v>441.66666666666663</v>
      </c>
      <c r="D161" s="7">
        <v>1250</v>
      </c>
      <c r="E161" s="7">
        <v>22</v>
      </c>
      <c r="F161" s="10">
        <f>B161+Origin_X</f>
        <v>-266.66666666666663</v>
      </c>
      <c r="G161" s="10">
        <f>C161+Origin_Y</f>
        <v>441.66666666666663</v>
      </c>
    </row>
    <row r="162" spans="1:7" x14ac:dyDescent="0.25">
      <c r="A162" s="7">
        <v>157</v>
      </c>
      <c r="B162" s="7">
        <v>-275</v>
      </c>
      <c r="C162" s="7">
        <v>550</v>
      </c>
      <c r="D162" s="7">
        <v>3750</v>
      </c>
      <c r="E162" s="7">
        <v>23</v>
      </c>
      <c r="F162" s="10">
        <f>B162+Origin_X</f>
        <v>-275</v>
      </c>
      <c r="G162" s="10">
        <f>C162+Origin_Y</f>
        <v>550</v>
      </c>
    </row>
    <row r="163" spans="1:7" x14ac:dyDescent="0.25">
      <c r="A163" s="7">
        <v>158</v>
      </c>
      <c r="B163" s="7">
        <v>-275</v>
      </c>
      <c r="C163" s="7">
        <v>475</v>
      </c>
      <c r="D163" s="7">
        <v>3750</v>
      </c>
      <c r="E163" s="7">
        <v>23</v>
      </c>
      <c r="F163" s="10">
        <f>B163+Origin_X</f>
        <v>-275</v>
      </c>
      <c r="G163" s="10">
        <f>C163+Origin_Y</f>
        <v>475</v>
      </c>
    </row>
    <row r="164" spans="1:7" x14ac:dyDescent="0.25">
      <c r="A164" s="7">
        <v>159</v>
      </c>
      <c r="B164" s="7">
        <v>-200</v>
      </c>
      <c r="C164" s="7">
        <v>475</v>
      </c>
      <c r="D164" s="7">
        <v>3750</v>
      </c>
      <c r="E164" s="7">
        <v>23</v>
      </c>
      <c r="F164" s="10">
        <f>B164+Origin_X</f>
        <v>-200</v>
      </c>
      <c r="G164" s="10">
        <f>C164+Origin_Y</f>
        <v>475</v>
      </c>
    </row>
    <row r="165" spans="1:7" x14ac:dyDescent="0.25">
      <c r="A165" s="7">
        <v>160</v>
      </c>
      <c r="B165" s="7">
        <v>-175</v>
      </c>
      <c r="C165" s="7">
        <v>500</v>
      </c>
      <c r="D165" s="7">
        <v>3750</v>
      </c>
      <c r="E165" s="7">
        <v>23</v>
      </c>
      <c r="F165" s="10">
        <f>B165+Origin_X</f>
        <v>-175</v>
      </c>
      <c r="G165" s="10">
        <f>C165+Origin_Y</f>
        <v>500</v>
      </c>
    </row>
    <row r="166" spans="1:7" x14ac:dyDescent="0.25">
      <c r="A166" s="7">
        <v>161</v>
      </c>
      <c r="B166" s="7">
        <v>-175</v>
      </c>
      <c r="C166" s="7">
        <v>575</v>
      </c>
      <c r="D166" s="7">
        <v>3750</v>
      </c>
      <c r="E166" s="7">
        <v>23</v>
      </c>
      <c r="F166" s="10">
        <f>B166+Origin_X</f>
        <v>-175</v>
      </c>
      <c r="G166" s="10">
        <f>C166+Origin_Y</f>
        <v>575</v>
      </c>
    </row>
    <row r="167" spans="1:7" x14ac:dyDescent="0.25">
      <c r="A167" s="7">
        <v>162</v>
      </c>
      <c r="B167" s="7">
        <v>-250</v>
      </c>
      <c r="C167" s="7">
        <v>575</v>
      </c>
      <c r="D167" s="7">
        <v>3750</v>
      </c>
      <c r="E167" s="7">
        <v>23</v>
      </c>
      <c r="F167" s="10">
        <f>B167+Origin_X</f>
        <v>-250</v>
      </c>
      <c r="G167" s="10">
        <f>C167+Origin_Y</f>
        <v>575</v>
      </c>
    </row>
    <row r="168" spans="1:7" x14ac:dyDescent="0.25">
      <c r="A168" s="7">
        <v>163</v>
      </c>
      <c r="B168" s="7">
        <v>-125</v>
      </c>
      <c r="C168" s="7">
        <v>-500</v>
      </c>
      <c r="D168" s="7">
        <v>3750</v>
      </c>
      <c r="E168" s="7">
        <v>24</v>
      </c>
      <c r="F168" s="10">
        <f>B168+Origin_X</f>
        <v>-125</v>
      </c>
      <c r="G168" s="10">
        <f>C168+Origin_Y</f>
        <v>-500</v>
      </c>
    </row>
    <row r="169" spans="1:7" x14ac:dyDescent="0.25">
      <c r="A169" s="7">
        <v>164</v>
      </c>
      <c r="B169" s="7">
        <v>-125</v>
      </c>
      <c r="C169" s="7">
        <v>-575</v>
      </c>
      <c r="D169" s="7">
        <v>3750</v>
      </c>
      <c r="E169" s="7">
        <v>24</v>
      </c>
      <c r="F169" s="10">
        <f>B169+Origin_X</f>
        <v>-125</v>
      </c>
      <c r="G169" s="10">
        <f>C169+Origin_Y</f>
        <v>-575</v>
      </c>
    </row>
    <row r="170" spans="1:7" x14ac:dyDescent="0.25">
      <c r="A170" s="7">
        <v>165</v>
      </c>
      <c r="B170" s="7">
        <v>-50</v>
      </c>
      <c r="C170" s="7">
        <v>-575</v>
      </c>
      <c r="D170" s="7">
        <v>3750</v>
      </c>
      <c r="E170" s="7">
        <v>24</v>
      </c>
      <c r="F170" s="10">
        <f>B170+Origin_X</f>
        <v>-50</v>
      </c>
      <c r="G170" s="10">
        <f>C170+Origin_Y</f>
        <v>-575</v>
      </c>
    </row>
    <row r="171" spans="1:7" x14ac:dyDescent="0.25">
      <c r="A171" s="7">
        <v>166</v>
      </c>
      <c r="B171" s="7">
        <v>-25</v>
      </c>
      <c r="C171" s="7">
        <v>-550</v>
      </c>
      <c r="D171" s="7">
        <v>3750</v>
      </c>
      <c r="E171" s="7">
        <v>24</v>
      </c>
      <c r="F171" s="10">
        <f>B171+Origin_X</f>
        <v>-25</v>
      </c>
      <c r="G171" s="10">
        <f>C171+Origin_Y</f>
        <v>-550</v>
      </c>
    </row>
    <row r="172" spans="1:7" x14ac:dyDescent="0.25">
      <c r="A172" s="7">
        <v>167</v>
      </c>
      <c r="B172" s="7">
        <v>-25</v>
      </c>
      <c r="C172" s="7">
        <v>-475</v>
      </c>
      <c r="D172" s="7">
        <v>3750</v>
      </c>
      <c r="E172" s="7">
        <v>24</v>
      </c>
      <c r="F172" s="10">
        <f>B172+Origin_X</f>
        <v>-25</v>
      </c>
      <c r="G172" s="10">
        <f>C172+Origin_Y</f>
        <v>-475</v>
      </c>
    </row>
    <row r="173" spans="1:7" x14ac:dyDescent="0.25">
      <c r="A173" s="7">
        <v>168</v>
      </c>
      <c r="B173" s="7">
        <v>-100</v>
      </c>
      <c r="C173" s="7">
        <v>-475</v>
      </c>
      <c r="D173" s="7">
        <v>3750</v>
      </c>
      <c r="E173" s="7">
        <v>24</v>
      </c>
      <c r="F173" s="10">
        <f>B173+Origin_X</f>
        <v>-100</v>
      </c>
      <c r="G173" s="10">
        <f>C173+Origin_Y</f>
        <v>-475</v>
      </c>
    </row>
    <row r="174" spans="1:7" x14ac:dyDescent="0.25">
      <c r="A174" s="7">
        <v>169</v>
      </c>
      <c r="B174" s="7">
        <v>-125</v>
      </c>
      <c r="C174" s="7">
        <v>-350</v>
      </c>
      <c r="D174" s="7">
        <v>3750</v>
      </c>
      <c r="E174" s="7">
        <v>25</v>
      </c>
      <c r="F174" s="10">
        <f>B174+Origin_X</f>
        <v>-125</v>
      </c>
      <c r="G174" s="10">
        <f>C174+Origin_Y</f>
        <v>-350</v>
      </c>
    </row>
    <row r="175" spans="1:7" x14ac:dyDescent="0.25">
      <c r="A175" s="7">
        <v>170</v>
      </c>
      <c r="B175" s="7">
        <v>-125</v>
      </c>
      <c r="C175" s="7">
        <v>-425</v>
      </c>
      <c r="D175" s="7">
        <v>3750</v>
      </c>
      <c r="E175" s="7">
        <v>25</v>
      </c>
      <c r="F175" s="10">
        <f>B175+Origin_X</f>
        <v>-125</v>
      </c>
      <c r="G175" s="10">
        <f>C175+Origin_Y</f>
        <v>-425</v>
      </c>
    </row>
    <row r="176" spans="1:7" x14ac:dyDescent="0.25">
      <c r="A176" s="7">
        <v>171</v>
      </c>
      <c r="B176" s="7">
        <v>-50</v>
      </c>
      <c r="C176" s="7">
        <v>-425</v>
      </c>
      <c r="D176" s="7">
        <v>3750</v>
      </c>
      <c r="E176" s="7">
        <v>25</v>
      </c>
      <c r="F176" s="10">
        <f>B176+Origin_X</f>
        <v>-50</v>
      </c>
      <c r="G176" s="10">
        <f>C176+Origin_Y</f>
        <v>-425</v>
      </c>
    </row>
    <row r="177" spans="1:7" x14ac:dyDescent="0.25">
      <c r="A177" s="7">
        <v>172</v>
      </c>
      <c r="B177" s="7">
        <v>-25</v>
      </c>
      <c r="C177" s="7">
        <v>-400</v>
      </c>
      <c r="D177" s="7">
        <v>3750</v>
      </c>
      <c r="E177" s="7">
        <v>25</v>
      </c>
      <c r="F177" s="10">
        <f>B177+Origin_X</f>
        <v>-25</v>
      </c>
      <c r="G177" s="10">
        <f>C177+Origin_Y</f>
        <v>-400</v>
      </c>
    </row>
    <row r="178" spans="1:7" x14ac:dyDescent="0.25">
      <c r="A178" s="7">
        <v>173</v>
      </c>
      <c r="B178" s="7">
        <v>-25</v>
      </c>
      <c r="C178" s="7">
        <v>-325</v>
      </c>
      <c r="D178" s="7">
        <v>3750</v>
      </c>
      <c r="E178" s="7">
        <v>25</v>
      </c>
      <c r="F178" s="10">
        <f>B178+Origin_X</f>
        <v>-25</v>
      </c>
      <c r="G178" s="10">
        <f>C178+Origin_Y</f>
        <v>-325</v>
      </c>
    </row>
    <row r="179" spans="1:7" x14ac:dyDescent="0.25">
      <c r="A179" s="7">
        <v>174</v>
      </c>
      <c r="B179" s="7">
        <v>-100</v>
      </c>
      <c r="C179" s="7">
        <v>-325</v>
      </c>
      <c r="D179" s="7">
        <v>3750</v>
      </c>
      <c r="E179" s="7">
        <v>25</v>
      </c>
      <c r="F179" s="10">
        <f>B179+Origin_X</f>
        <v>-100</v>
      </c>
      <c r="G179" s="10">
        <f>C179+Origin_Y</f>
        <v>-325</v>
      </c>
    </row>
    <row r="180" spans="1:7" x14ac:dyDescent="0.25">
      <c r="A180" s="7">
        <v>175</v>
      </c>
      <c r="B180" s="7">
        <v>-125</v>
      </c>
      <c r="C180" s="7">
        <v>-200</v>
      </c>
      <c r="D180" s="7">
        <v>3750</v>
      </c>
      <c r="E180" s="7">
        <v>26</v>
      </c>
      <c r="F180" s="10">
        <f>B180+Origin_X</f>
        <v>-125</v>
      </c>
      <c r="G180" s="10">
        <f>C180+Origin_Y</f>
        <v>-200</v>
      </c>
    </row>
    <row r="181" spans="1:7" x14ac:dyDescent="0.25">
      <c r="A181" s="7">
        <v>176</v>
      </c>
      <c r="B181" s="7">
        <v>-125</v>
      </c>
      <c r="C181" s="7">
        <v>-275</v>
      </c>
      <c r="D181" s="7">
        <v>3750</v>
      </c>
      <c r="E181" s="7">
        <v>26</v>
      </c>
      <c r="F181" s="10">
        <f>B181+Origin_X</f>
        <v>-125</v>
      </c>
      <c r="G181" s="10">
        <f>C181+Origin_Y</f>
        <v>-275</v>
      </c>
    </row>
    <row r="182" spans="1:7" x14ac:dyDescent="0.25">
      <c r="A182" s="7">
        <v>177</v>
      </c>
      <c r="B182" s="7">
        <v>-50</v>
      </c>
      <c r="C182" s="7">
        <v>-275</v>
      </c>
      <c r="D182" s="7">
        <v>3750</v>
      </c>
      <c r="E182" s="7">
        <v>26</v>
      </c>
      <c r="F182" s="10">
        <f>B182+Origin_X</f>
        <v>-50</v>
      </c>
      <c r="G182" s="10">
        <f>C182+Origin_Y</f>
        <v>-275</v>
      </c>
    </row>
    <row r="183" spans="1:7" x14ac:dyDescent="0.25">
      <c r="A183" s="7">
        <v>178</v>
      </c>
      <c r="B183" s="7">
        <v>-25</v>
      </c>
      <c r="C183" s="7">
        <v>-250</v>
      </c>
      <c r="D183" s="7">
        <v>3750</v>
      </c>
      <c r="E183" s="7">
        <v>26</v>
      </c>
      <c r="F183" s="10">
        <f>B183+Origin_X</f>
        <v>-25</v>
      </c>
      <c r="G183" s="10">
        <f>C183+Origin_Y</f>
        <v>-250</v>
      </c>
    </row>
    <row r="184" spans="1:7" x14ac:dyDescent="0.25">
      <c r="A184" s="7">
        <v>179</v>
      </c>
      <c r="B184" s="7">
        <v>-25</v>
      </c>
      <c r="C184" s="7">
        <v>-175</v>
      </c>
      <c r="D184" s="7">
        <v>3750</v>
      </c>
      <c r="E184" s="7">
        <v>26</v>
      </c>
      <c r="F184" s="10">
        <f>B184+Origin_X</f>
        <v>-25</v>
      </c>
      <c r="G184" s="10">
        <f>C184+Origin_Y</f>
        <v>-175</v>
      </c>
    </row>
    <row r="185" spans="1:7" x14ac:dyDescent="0.25">
      <c r="A185" s="7">
        <v>180</v>
      </c>
      <c r="B185" s="7">
        <v>-100</v>
      </c>
      <c r="C185" s="7">
        <v>-175</v>
      </c>
      <c r="D185" s="7">
        <v>3750</v>
      </c>
      <c r="E185" s="7">
        <v>26</v>
      </c>
      <c r="F185" s="10">
        <f>B185+Origin_X</f>
        <v>-100</v>
      </c>
      <c r="G185" s="10">
        <f>C185+Origin_Y</f>
        <v>-175</v>
      </c>
    </row>
    <row r="186" spans="1:7" x14ac:dyDescent="0.25">
      <c r="A186" s="7">
        <v>181</v>
      </c>
      <c r="B186" s="7">
        <v>-125</v>
      </c>
      <c r="C186" s="7">
        <v>-50</v>
      </c>
      <c r="D186" s="7">
        <v>3750</v>
      </c>
      <c r="E186" s="7">
        <v>27</v>
      </c>
      <c r="F186" s="10">
        <f>B186+Origin_X</f>
        <v>-125</v>
      </c>
      <c r="G186" s="10">
        <f>C186+Origin_Y</f>
        <v>-50</v>
      </c>
    </row>
    <row r="187" spans="1:7" x14ac:dyDescent="0.25">
      <c r="A187" s="7">
        <v>182</v>
      </c>
      <c r="B187" s="7">
        <v>-125</v>
      </c>
      <c r="C187" s="7">
        <v>-125</v>
      </c>
      <c r="D187" s="7">
        <v>3750</v>
      </c>
      <c r="E187" s="7">
        <v>27</v>
      </c>
      <c r="F187" s="10">
        <f>B187+Origin_X</f>
        <v>-125</v>
      </c>
      <c r="G187" s="10">
        <f>C187+Origin_Y</f>
        <v>-125</v>
      </c>
    </row>
    <row r="188" spans="1:7" x14ac:dyDescent="0.25">
      <c r="A188" s="7">
        <v>183</v>
      </c>
      <c r="B188" s="7">
        <v>-50</v>
      </c>
      <c r="C188" s="7">
        <v>-125</v>
      </c>
      <c r="D188" s="7">
        <v>3750</v>
      </c>
      <c r="E188" s="7">
        <v>27</v>
      </c>
      <c r="F188" s="10">
        <f>B188+Origin_X</f>
        <v>-50</v>
      </c>
      <c r="G188" s="10">
        <f>C188+Origin_Y</f>
        <v>-125</v>
      </c>
    </row>
    <row r="189" spans="1:7" x14ac:dyDescent="0.25">
      <c r="A189" s="7">
        <v>184</v>
      </c>
      <c r="B189" s="7">
        <v>-25</v>
      </c>
      <c r="C189" s="7">
        <v>-100</v>
      </c>
      <c r="D189" s="7">
        <v>3750</v>
      </c>
      <c r="E189" s="7">
        <v>27</v>
      </c>
      <c r="F189" s="10">
        <f>B189+Origin_X</f>
        <v>-25</v>
      </c>
      <c r="G189" s="10">
        <f>C189+Origin_Y</f>
        <v>-100</v>
      </c>
    </row>
    <row r="190" spans="1:7" x14ac:dyDescent="0.25">
      <c r="A190" s="7">
        <v>185</v>
      </c>
      <c r="B190" s="7">
        <v>-25</v>
      </c>
      <c r="C190" s="7">
        <v>-25</v>
      </c>
      <c r="D190" s="7">
        <v>3750</v>
      </c>
      <c r="E190" s="7">
        <v>27</v>
      </c>
      <c r="F190" s="10">
        <f>B190+Origin_X</f>
        <v>-25</v>
      </c>
      <c r="G190" s="10">
        <f>C190+Origin_Y</f>
        <v>-25</v>
      </c>
    </row>
    <row r="191" spans="1:7" x14ac:dyDescent="0.25">
      <c r="A191" s="7">
        <v>186</v>
      </c>
      <c r="B191" s="7">
        <v>-100</v>
      </c>
      <c r="C191" s="7">
        <v>-25</v>
      </c>
      <c r="D191" s="7">
        <v>3750</v>
      </c>
      <c r="E191" s="7">
        <v>27</v>
      </c>
      <c r="F191" s="10">
        <f>B191+Origin_X</f>
        <v>-100</v>
      </c>
      <c r="G191" s="10">
        <f>C191+Origin_Y</f>
        <v>-25</v>
      </c>
    </row>
    <row r="192" spans="1:7" x14ac:dyDescent="0.25">
      <c r="A192" s="7">
        <v>187</v>
      </c>
      <c r="B192" s="7">
        <v>-125</v>
      </c>
      <c r="C192" s="7">
        <v>100</v>
      </c>
      <c r="D192" s="7">
        <v>3750</v>
      </c>
      <c r="E192" s="7">
        <v>28</v>
      </c>
      <c r="F192" s="10">
        <f>B192+Origin_X</f>
        <v>-125</v>
      </c>
      <c r="G192" s="10">
        <f>C192+Origin_Y</f>
        <v>100</v>
      </c>
    </row>
    <row r="193" spans="1:7" x14ac:dyDescent="0.25">
      <c r="A193" s="7">
        <v>188</v>
      </c>
      <c r="B193" s="7">
        <v>-125</v>
      </c>
      <c r="C193" s="7">
        <v>25</v>
      </c>
      <c r="D193" s="7">
        <v>3750</v>
      </c>
      <c r="E193" s="7">
        <v>28</v>
      </c>
      <c r="F193" s="10">
        <f>B193+Origin_X</f>
        <v>-125</v>
      </c>
      <c r="G193" s="10">
        <f>C193+Origin_Y</f>
        <v>25</v>
      </c>
    </row>
    <row r="194" spans="1:7" x14ac:dyDescent="0.25">
      <c r="A194" s="7">
        <v>189</v>
      </c>
      <c r="B194" s="7">
        <v>-50</v>
      </c>
      <c r="C194" s="7">
        <v>25</v>
      </c>
      <c r="D194" s="7">
        <v>3750</v>
      </c>
      <c r="E194" s="7">
        <v>28</v>
      </c>
      <c r="F194" s="10">
        <f>B194+Origin_X</f>
        <v>-50</v>
      </c>
      <c r="G194" s="10">
        <f>C194+Origin_Y</f>
        <v>25</v>
      </c>
    </row>
    <row r="195" spans="1:7" x14ac:dyDescent="0.25">
      <c r="A195" s="7">
        <v>190</v>
      </c>
      <c r="B195" s="7">
        <v>-25</v>
      </c>
      <c r="C195" s="7">
        <v>50</v>
      </c>
      <c r="D195" s="7">
        <v>3750</v>
      </c>
      <c r="E195" s="7">
        <v>28</v>
      </c>
      <c r="F195" s="10">
        <f>B195+Origin_X</f>
        <v>-25</v>
      </c>
      <c r="G195" s="10">
        <f>C195+Origin_Y</f>
        <v>50</v>
      </c>
    </row>
    <row r="196" spans="1:7" x14ac:dyDescent="0.25">
      <c r="A196" s="7">
        <v>191</v>
      </c>
      <c r="B196" s="7">
        <v>-25</v>
      </c>
      <c r="C196" s="7">
        <v>125</v>
      </c>
      <c r="D196" s="7">
        <v>3750</v>
      </c>
      <c r="E196" s="7">
        <v>28</v>
      </c>
      <c r="F196" s="10">
        <f>B196+Origin_X</f>
        <v>-25</v>
      </c>
      <c r="G196" s="10">
        <f>C196+Origin_Y</f>
        <v>125</v>
      </c>
    </row>
    <row r="197" spans="1:7" x14ac:dyDescent="0.25">
      <c r="A197" s="7">
        <v>192</v>
      </c>
      <c r="B197" s="7">
        <v>-100</v>
      </c>
      <c r="C197" s="7">
        <v>125</v>
      </c>
      <c r="D197" s="7">
        <v>3750</v>
      </c>
      <c r="E197" s="7">
        <v>28</v>
      </c>
      <c r="F197" s="10">
        <f>B197+Origin_X</f>
        <v>-100</v>
      </c>
      <c r="G197" s="10">
        <f>C197+Origin_Y</f>
        <v>125</v>
      </c>
    </row>
    <row r="198" spans="1:7" x14ac:dyDescent="0.25">
      <c r="A198" s="7">
        <v>193</v>
      </c>
      <c r="B198" s="7">
        <v>-125</v>
      </c>
      <c r="C198" s="7">
        <v>250</v>
      </c>
      <c r="D198" s="7">
        <v>3750</v>
      </c>
      <c r="E198" s="7">
        <v>29</v>
      </c>
      <c r="F198" s="10">
        <f>B198+Origin_X</f>
        <v>-125</v>
      </c>
      <c r="G198" s="10">
        <f>C198+Origin_Y</f>
        <v>250</v>
      </c>
    </row>
    <row r="199" spans="1:7" x14ac:dyDescent="0.25">
      <c r="A199" s="7">
        <v>194</v>
      </c>
      <c r="B199" s="7">
        <v>-125</v>
      </c>
      <c r="C199" s="7">
        <v>175</v>
      </c>
      <c r="D199" s="7">
        <v>3750</v>
      </c>
      <c r="E199" s="7">
        <v>29</v>
      </c>
      <c r="F199" s="10">
        <f>B199+Origin_X</f>
        <v>-125</v>
      </c>
      <c r="G199" s="10">
        <f>C199+Origin_Y</f>
        <v>175</v>
      </c>
    </row>
    <row r="200" spans="1:7" x14ac:dyDescent="0.25">
      <c r="A200" s="7">
        <v>195</v>
      </c>
      <c r="B200" s="7">
        <v>-50</v>
      </c>
      <c r="C200" s="7">
        <v>175</v>
      </c>
      <c r="D200" s="7">
        <v>3750</v>
      </c>
      <c r="E200" s="7">
        <v>29</v>
      </c>
      <c r="F200" s="10">
        <f>B200+Origin_X</f>
        <v>-50</v>
      </c>
      <c r="G200" s="10">
        <f>C200+Origin_Y</f>
        <v>175</v>
      </c>
    </row>
    <row r="201" spans="1:7" x14ac:dyDescent="0.25">
      <c r="A201" s="7">
        <v>196</v>
      </c>
      <c r="B201" s="7">
        <v>-25</v>
      </c>
      <c r="C201" s="7">
        <v>200</v>
      </c>
      <c r="D201" s="7">
        <v>3750</v>
      </c>
      <c r="E201" s="7">
        <v>29</v>
      </c>
      <c r="F201" s="10">
        <f>B201+Origin_X</f>
        <v>-25</v>
      </c>
      <c r="G201" s="10">
        <f>C201+Origin_Y</f>
        <v>200</v>
      </c>
    </row>
    <row r="202" spans="1:7" x14ac:dyDescent="0.25">
      <c r="A202" s="7">
        <v>197</v>
      </c>
      <c r="B202" s="7">
        <v>-25</v>
      </c>
      <c r="C202" s="7">
        <v>275</v>
      </c>
      <c r="D202" s="7">
        <v>3750</v>
      </c>
      <c r="E202" s="7">
        <v>29</v>
      </c>
      <c r="F202" s="10">
        <f>B202+Origin_X</f>
        <v>-25</v>
      </c>
      <c r="G202" s="10">
        <f>C202+Origin_Y</f>
        <v>275</v>
      </c>
    </row>
    <row r="203" spans="1:7" x14ac:dyDescent="0.25">
      <c r="A203" s="7">
        <v>198</v>
      </c>
      <c r="B203" s="7">
        <v>-100</v>
      </c>
      <c r="C203" s="7">
        <v>275</v>
      </c>
      <c r="D203" s="7">
        <v>3750</v>
      </c>
      <c r="E203" s="7">
        <v>29</v>
      </c>
      <c r="F203" s="10">
        <f>B203+Origin_X</f>
        <v>-100</v>
      </c>
      <c r="G203" s="10">
        <f>C203+Origin_Y</f>
        <v>275</v>
      </c>
    </row>
    <row r="204" spans="1:7" x14ac:dyDescent="0.25">
      <c r="A204" s="7">
        <v>199</v>
      </c>
      <c r="B204" s="7">
        <v>-125</v>
      </c>
      <c r="C204" s="7">
        <v>400</v>
      </c>
      <c r="D204" s="7">
        <v>3750</v>
      </c>
      <c r="E204" s="7">
        <v>30</v>
      </c>
      <c r="F204" s="10">
        <f>B204+Origin_X</f>
        <v>-125</v>
      </c>
      <c r="G204" s="10">
        <f>C204+Origin_Y</f>
        <v>400</v>
      </c>
    </row>
    <row r="205" spans="1:7" x14ac:dyDescent="0.25">
      <c r="A205" s="7">
        <v>200</v>
      </c>
      <c r="B205" s="7">
        <v>-125</v>
      </c>
      <c r="C205" s="7">
        <v>325</v>
      </c>
      <c r="D205" s="7">
        <v>3750</v>
      </c>
      <c r="E205" s="7">
        <v>30</v>
      </c>
      <c r="F205" s="10">
        <f>B205+Origin_X</f>
        <v>-125</v>
      </c>
      <c r="G205" s="10">
        <f>C205+Origin_Y</f>
        <v>325</v>
      </c>
    </row>
    <row r="206" spans="1:7" x14ac:dyDescent="0.25">
      <c r="A206" s="7">
        <v>201</v>
      </c>
      <c r="B206" s="7">
        <v>-50</v>
      </c>
      <c r="C206" s="7">
        <v>325</v>
      </c>
      <c r="D206" s="7">
        <v>3750</v>
      </c>
      <c r="E206" s="7">
        <v>30</v>
      </c>
      <c r="F206" s="10">
        <f>B206+Origin_X</f>
        <v>-50</v>
      </c>
      <c r="G206" s="10">
        <f>C206+Origin_Y</f>
        <v>325</v>
      </c>
    </row>
    <row r="207" spans="1:7" x14ac:dyDescent="0.25">
      <c r="A207" s="7">
        <v>202</v>
      </c>
      <c r="B207" s="7">
        <v>-25</v>
      </c>
      <c r="C207" s="7">
        <v>350</v>
      </c>
      <c r="D207" s="7">
        <v>3750</v>
      </c>
      <c r="E207" s="7">
        <v>30</v>
      </c>
      <c r="F207" s="10">
        <f>B207+Origin_X</f>
        <v>-25</v>
      </c>
      <c r="G207" s="10">
        <f>C207+Origin_Y</f>
        <v>350</v>
      </c>
    </row>
    <row r="208" spans="1:7" x14ac:dyDescent="0.25">
      <c r="A208" s="7">
        <v>203</v>
      </c>
      <c r="B208" s="7">
        <v>-25</v>
      </c>
      <c r="C208" s="7">
        <v>425</v>
      </c>
      <c r="D208" s="7">
        <v>3750</v>
      </c>
      <c r="E208" s="7">
        <v>30</v>
      </c>
      <c r="F208" s="10">
        <f>B208+Origin_X</f>
        <v>-25</v>
      </c>
      <c r="G208" s="10">
        <f>C208+Origin_Y</f>
        <v>425</v>
      </c>
    </row>
    <row r="209" spans="1:7" x14ac:dyDescent="0.25">
      <c r="A209" s="7">
        <v>204</v>
      </c>
      <c r="B209" s="7">
        <v>-100</v>
      </c>
      <c r="C209" s="7">
        <v>425</v>
      </c>
      <c r="D209" s="7">
        <v>3750</v>
      </c>
      <c r="E209" s="7">
        <v>30</v>
      </c>
      <c r="F209" s="10">
        <f>B209+Origin_X</f>
        <v>-100</v>
      </c>
      <c r="G209" s="10">
        <f>C209+Origin_Y</f>
        <v>425</v>
      </c>
    </row>
    <row r="210" spans="1:7" x14ac:dyDescent="0.25">
      <c r="A210" s="7">
        <v>205</v>
      </c>
      <c r="B210" s="7">
        <v>-125</v>
      </c>
      <c r="C210" s="7">
        <v>550</v>
      </c>
      <c r="D210" s="7">
        <v>3750</v>
      </c>
      <c r="E210" s="7">
        <v>31</v>
      </c>
      <c r="F210" s="10">
        <f>B210+Origin_X</f>
        <v>-125</v>
      </c>
      <c r="G210" s="10">
        <f>C210+Origin_Y</f>
        <v>550</v>
      </c>
    </row>
    <row r="211" spans="1:7" x14ac:dyDescent="0.25">
      <c r="A211" s="7">
        <v>206</v>
      </c>
      <c r="B211" s="7">
        <v>-125</v>
      </c>
      <c r="C211" s="7">
        <v>475</v>
      </c>
      <c r="D211" s="7">
        <v>3750</v>
      </c>
      <c r="E211" s="7">
        <v>31</v>
      </c>
      <c r="F211" s="10">
        <f>B211+Origin_X</f>
        <v>-125</v>
      </c>
      <c r="G211" s="10">
        <f>C211+Origin_Y</f>
        <v>475</v>
      </c>
    </row>
    <row r="212" spans="1:7" x14ac:dyDescent="0.25">
      <c r="A212" s="7">
        <v>207</v>
      </c>
      <c r="B212" s="7">
        <v>-50</v>
      </c>
      <c r="C212" s="7">
        <v>475</v>
      </c>
      <c r="D212" s="7">
        <v>3750</v>
      </c>
      <c r="E212" s="7">
        <v>31</v>
      </c>
      <c r="F212" s="10">
        <f>B212+Origin_X</f>
        <v>-50</v>
      </c>
      <c r="G212" s="10">
        <f>C212+Origin_Y</f>
        <v>475</v>
      </c>
    </row>
    <row r="213" spans="1:7" x14ac:dyDescent="0.25">
      <c r="A213" s="7">
        <v>208</v>
      </c>
      <c r="B213" s="7">
        <v>-25</v>
      </c>
      <c r="C213" s="7">
        <v>500</v>
      </c>
      <c r="D213" s="7">
        <v>3750</v>
      </c>
      <c r="E213" s="7">
        <v>31</v>
      </c>
      <c r="F213" s="10">
        <f>B213+Origin_X</f>
        <v>-25</v>
      </c>
      <c r="G213" s="10">
        <f>C213+Origin_Y</f>
        <v>500</v>
      </c>
    </row>
    <row r="214" spans="1:7" x14ac:dyDescent="0.25">
      <c r="A214" s="7">
        <v>209</v>
      </c>
      <c r="B214" s="7">
        <v>-25</v>
      </c>
      <c r="C214" s="7">
        <v>575</v>
      </c>
      <c r="D214" s="7">
        <v>3750</v>
      </c>
      <c r="E214" s="7">
        <v>31</v>
      </c>
      <c r="F214" s="10">
        <f>B214+Origin_X</f>
        <v>-25</v>
      </c>
      <c r="G214" s="10">
        <f>C214+Origin_Y</f>
        <v>575</v>
      </c>
    </row>
    <row r="215" spans="1:7" x14ac:dyDescent="0.25">
      <c r="A215" s="7">
        <v>210</v>
      </c>
      <c r="B215" s="7">
        <v>-100</v>
      </c>
      <c r="C215" s="7">
        <v>575</v>
      </c>
      <c r="D215" s="7">
        <v>3750</v>
      </c>
      <c r="E215" s="7">
        <v>31</v>
      </c>
      <c r="F215" s="10">
        <f>B215+Origin_X</f>
        <v>-100</v>
      </c>
      <c r="G215" s="10">
        <f>C215+Origin_Y</f>
        <v>575</v>
      </c>
    </row>
    <row r="216" spans="1:7" x14ac:dyDescent="0.25">
      <c r="A216" s="7">
        <v>211</v>
      </c>
      <c r="B216" s="7">
        <v>25</v>
      </c>
      <c r="C216" s="7">
        <v>-500</v>
      </c>
      <c r="D216" s="7">
        <v>3750</v>
      </c>
      <c r="E216" s="7">
        <v>32</v>
      </c>
      <c r="F216" s="10">
        <f>B216+Origin_X</f>
        <v>25</v>
      </c>
      <c r="G216" s="10">
        <f>C216+Origin_Y</f>
        <v>-500</v>
      </c>
    </row>
    <row r="217" spans="1:7" x14ac:dyDescent="0.25">
      <c r="A217" s="7">
        <v>212</v>
      </c>
      <c r="B217" s="7">
        <v>25</v>
      </c>
      <c r="C217" s="7">
        <v>-575</v>
      </c>
      <c r="D217" s="7">
        <v>3750</v>
      </c>
      <c r="E217" s="7">
        <v>32</v>
      </c>
      <c r="F217" s="10">
        <f>B217+Origin_X</f>
        <v>25</v>
      </c>
      <c r="G217" s="10">
        <f>C217+Origin_Y</f>
        <v>-575</v>
      </c>
    </row>
    <row r="218" spans="1:7" x14ac:dyDescent="0.25">
      <c r="A218" s="7">
        <v>213</v>
      </c>
      <c r="B218" s="7">
        <v>100</v>
      </c>
      <c r="C218" s="7">
        <v>-575</v>
      </c>
      <c r="D218" s="7">
        <v>3750</v>
      </c>
      <c r="E218" s="7">
        <v>32</v>
      </c>
      <c r="F218" s="10">
        <f>B218+Origin_X</f>
        <v>100</v>
      </c>
      <c r="G218" s="10">
        <f>C218+Origin_Y</f>
        <v>-575</v>
      </c>
    </row>
    <row r="219" spans="1:7" x14ac:dyDescent="0.25">
      <c r="A219" s="7">
        <v>214</v>
      </c>
      <c r="B219" s="7">
        <v>125</v>
      </c>
      <c r="C219" s="7">
        <v>-550</v>
      </c>
      <c r="D219" s="7">
        <v>3750</v>
      </c>
      <c r="E219" s="7">
        <v>32</v>
      </c>
      <c r="F219" s="10">
        <f>B219+Origin_X</f>
        <v>125</v>
      </c>
      <c r="G219" s="10">
        <f>C219+Origin_Y</f>
        <v>-550</v>
      </c>
    </row>
    <row r="220" spans="1:7" x14ac:dyDescent="0.25">
      <c r="A220" s="7">
        <v>215</v>
      </c>
      <c r="B220" s="7">
        <v>125</v>
      </c>
      <c r="C220" s="7">
        <v>-475</v>
      </c>
      <c r="D220" s="7">
        <v>3750</v>
      </c>
      <c r="E220" s="7">
        <v>32</v>
      </c>
      <c r="F220" s="10">
        <f>B220+Origin_X</f>
        <v>125</v>
      </c>
      <c r="G220" s="10">
        <f>C220+Origin_Y</f>
        <v>-475</v>
      </c>
    </row>
    <row r="221" spans="1:7" x14ac:dyDescent="0.25">
      <c r="A221" s="7">
        <v>216</v>
      </c>
      <c r="B221" s="7">
        <v>50</v>
      </c>
      <c r="C221" s="7">
        <v>-475</v>
      </c>
      <c r="D221" s="7">
        <v>3750</v>
      </c>
      <c r="E221" s="7">
        <v>32</v>
      </c>
      <c r="F221" s="10">
        <f>B221+Origin_X</f>
        <v>50</v>
      </c>
      <c r="G221" s="10">
        <f>C221+Origin_Y</f>
        <v>-475</v>
      </c>
    </row>
    <row r="222" spans="1:7" x14ac:dyDescent="0.25">
      <c r="A222" s="7">
        <v>217</v>
      </c>
      <c r="B222" s="7">
        <v>25</v>
      </c>
      <c r="C222" s="7">
        <v>-350</v>
      </c>
      <c r="D222" s="7">
        <v>3750</v>
      </c>
      <c r="E222" s="7">
        <v>33</v>
      </c>
      <c r="F222" s="10">
        <f>B222+Origin_X</f>
        <v>25</v>
      </c>
      <c r="G222" s="10">
        <f>C222+Origin_Y</f>
        <v>-350</v>
      </c>
    </row>
    <row r="223" spans="1:7" x14ac:dyDescent="0.25">
      <c r="A223" s="7">
        <v>218</v>
      </c>
      <c r="B223" s="7">
        <v>25</v>
      </c>
      <c r="C223" s="7">
        <v>-425</v>
      </c>
      <c r="D223" s="7">
        <v>3750</v>
      </c>
      <c r="E223" s="7">
        <v>33</v>
      </c>
      <c r="F223" s="10">
        <f>B223+Origin_X</f>
        <v>25</v>
      </c>
      <c r="G223" s="10">
        <f>C223+Origin_Y</f>
        <v>-425</v>
      </c>
    </row>
    <row r="224" spans="1:7" x14ac:dyDescent="0.25">
      <c r="A224" s="7">
        <v>219</v>
      </c>
      <c r="B224" s="7">
        <v>100</v>
      </c>
      <c r="C224" s="7">
        <v>-425</v>
      </c>
      <c r="D224" s="7">
        <v>3750</v>
      </c>
      <c r="E224" s="7">
        <v>33</v>
      </c>
      <c r="F224" s="10">
        <f>B224+Origin_X</f>
        <v>100</v>
      </c>
      <c r="G224" s="10">
        <f>C224+Origin_Y</f>
        <v>-425</v>
      </c>
    </row>
    <row r="225" spans="1:7" x14ac:dyDescent="0.25">
      <c r="A225" s="7">
        <v>220</v>
      </c>
      <c r="B225" s="7">
        <v>125</v>
      </c>
      <c r="C225" s="7">
        <v>-400</v>
      </c>
      <c r="D225" s="7">
        <v>3750</v>
      </c>
      <c r="E225" s="7">
        <v>33</v>
      </c>
      <c r="F225" s="10">
        <f>B225+Origin_X</f>
        <v>125</v>
      </c>
      <c r="G225" s="10">
        <f>C225+Origin_Y</f>
        <v>-400</v>
      </c>
    </row>
    <row r="226" spans="1:7" x14ac:dyDescent="0.25">
      <c r="A226" s="7">
        <v>221</v>
      </c>
      <c r="B226" s="7">
        <v>125</v>
      </c>
      <c r="C226" s="7">
        <v>-325</v>
      </c>
      <c r="D226" s="7">
        <v>3750</v>
      </c>
      <c r="E226" s="7">
        <v>33</v>
      </c>
      <c r="F226" s="10">
        <f>B226+Origin_X</f>
        <v>125</v>
      </c>
      <c r="G226" s="10">
        <f>C226+Origin_Y</f>
        <v>-325</v>
      </c>
    </row>
    <row r="227" spans="1:7" x14ac:dyDescent="0.25">
      <c r="A227" s="7">
        <v>222</v>
      </c>
      <c r="B227" s="7">
        <v>50</v>
      </c>
      <c r="C227" s="7">
        <v>-325</v>
      </c>
      <c r="D227" s="7">
        <v>3750</v>
      </c>
      <c r="E227" s="7">
        <v>33</v>
      </c>
      <c r="F227" s="10">
        <f>B227+Origin_X</f>
        <v>50</v>
      </c>
      <c r="G227" s="10">
        <f>C227+Origin_Y</f>
        <v>-325</v>
      </c>
    </row>
    <row r="228" spans="1:7" x14ac:dyDescent="0.25">
      <c r="A228" s="7">
        <v>223</v>
      </c>
      <c r="B228" s="7">
        <v>25</v>
      </c>
      <c r="C228" s="7">
        <v>-200</v>
      </c>
      <c r="D228" s="7">
        <v>3750</v>
      </c>
      <c r="E228" s="7">
        <v>34</v>
      </c>
      <c r="F228" s="10">
        <f>B228+Origin_X</f>
        <v>25</v>
      </c>
      <c r="G228" s="10">
        <f>C228+Origin_Y</f>
        <v>-200</v>
      </c>
    </row>
    <row r="229" spans="1:7" x14ac:dyDescent="0.25">
      <c r="A229" s="7">
        <v>224</v>
      </c>
      <c r="B229" s="7">
        <v>25</v>
      </c>
      <c r="C229" s="7">
        <v>-275</v>
      </c>
      <c r="D229" s="7">
        <v>3750</v>
      </c>
      <c r="E229" s="7">
        <v>34</v>
      </c>
      <c r="F229" s="10">
        <f>B229+Origin_X</f>
        <v>25</v>
      </c>
      <c r="G229" s="10">
        <f>C229+Origin_Y</f>
        <v>-275</v>
      </c>
    </row>
    <row r="230" spans="1:7" x14ac:dyDescent="0.25">
      <c r="A230" s="7">
        <v>225</v>
      </c>
      <c r="B230" s="7">
        <v>100</v>
      </c>
      <c r="C230" s="7">
        <v>-275</v>
      </c>
      <c r="D230" s="7">
        <v>3750</v>
      </c>
      <c r="E230" s="7">
        <v>34</v>
      </c>
      <c r="F230" s="10">
        <f>B230+Origin_X</f>
        <v>100</v>
      </c>
      <c r="G230" s="10">
        <f>C230+Origin_Y</f>
        <v>-275</v>
      </c>
    </row>
    <row r="231" spans="1:7" x14ac:dyDescent="0.25">
      <c r="A231" s="7">
        <v>226</v>
      </c>
      <c r="B231" s="7">
        <v>125</v>
      </c>
      <c r="C231" s="7">
        <v>-250</v>
      </c>
      <c r="D231" s="7">
        <v>3750</v>
      </c>
      <c r="E231" s="7">
        <v>34</v>
      </c>
      <c r="F231" s="10">
        <f>B231+Origin_X</f>
        <v>125</v>
      </c>
      <c r="G231" s="10">
        <f>C231+Origin_Y</f>
        <v>-250</v>
      </c>
    </row>
    <row r="232" spans="1:7" x14ac:dyDescent="0.25">
      <c r="A232" s="7">
        <v>227</v>
      </c>
      <c r="B232" s="7">
        <v>125</v>
      </c>
      <c r="C232" s="7">
        <v>-175</v>
      </c>
      <c r="D232" s="7">
        <v>3750</v>
      </c>
      <c r="E232" s="7">
        <v>34</v>
      </c>
      <c r="F232" s="10">
        <f>B232+Origin_X</f>
        <v>125</v>
      </c>
      <c r="G232" s="10">
        <f>C232+Origin_Y</f>
        <v>-175</v>
      </c>
    </row>
    <row r="233" spans="1:7" x14ac:dyDescent="0.25">
      <c r="A233" s="7">
        <v>228</v>
      </c>
      <c r="B233" s="7">
        <v>50</v>
      </c>
      <c r="C233" s="7">
        <v>-175</v>
      </c>
      <c r="D233" s="7">
        <v>3750</v>
      </c>
      <c r="E233" s="7">
        <v>34</v>
      </c>
      <c r="F233" s="10">
        <f>B233+Origin_X</f>
        <v>50</v>
      </c>
      <c r="G233" s="10">
        <f>C233+Origin_Y</f>
        <v>-175</v>
      </c>
    </row>
    <row r="234" spans="1:7" x14ac:dyDescent="0.25">
      <c r="A234" s="7">
        <v>229</v>
      </c>
      <c r="B234" s="7">
        <v>25</v>
      </c>
      <c r="C234" s="7">
        <v>-50</v>
      </c>
      <c r="D234" s="7">
        <v>3750</v>
      </c>
      <c r="E234" s="7">
        <v>35</v>
      </c>
      <c r="F234" s="10">
        <f>B234+Origin_X</f>
        <v>25</v>
      </c>
      <c r="G234" s="10">
        <f>C234+Origin_Y</f>
        <v>-50</v>
      </c>
    </row>
    <row r="235" spans="1:7" x14ac:dyDescent="0.25">
      <c r="A235" s="7">
        <v>230</v>
      </c>
      <c r="B235" s="7">
        <v>25</v>
      </c>
      <c r="C235" s="7">
        <v>-125</v>
      </c>
      <c r="D235" s="7">
        <v>3750</v>
      </c>
      <c r="E235" s="7">
        <v>35</v>
      </c>
      <c r="F235" s="10">
        <f>B235+Origin_X</f>
        <v>25</v>
      </c>
      <c r="G235" s="10">
        <f>C235+Origin_Y</f>
        <v>-125</v>
      </c>
    </row>
    <row r="236" spans="1:7" x14ac:dyDescent="0.25">
      <c r="A236" s="7">
        <v>231</v>
      </c>
      <c r="B236" s="7">
        <v>100</v>
      </c>
      <c r="C236" s="7">
        <v>-125</v>
      </c>
      <c r="D236" s="7">
        <v>3750</v>
      </c>
      <c r="E236" s="7">
        <v>35</v>
      </c>
      <c r="F236" s="10">
        <f>B236+Origin_X</f>
        <v>100</v>
      </c>
      <c r="G236" s="10">
        <f>C236+Origin_Y</f>
        <v>-125</v>
      </c>
    </row>
    <row r="237" spans="1:7" x14ac:dyDescent="0.25">
      <c r="A237" s="7">
        <v>232</v>
      </c>
      <c r="B237" s="7">
        <v>125</v>
      </c>
      <c r="C237" s="7">
        <v>-100</v>
      </c>
      <c r="D237" s="7">
        <v>3750</v>
      </c>
      <c r="E237" s="7">
        <v>35</v>
      </c>
      <c r="F237" s="10">
        <f>B237+Origin_X</f>
        <v>125</v>
      </c>
      <c r="G237" s="10">
        <f>C237+Origin_Y</f>
        <v>-100</v>
      </c>
    </row>
    <row r="238" spans="1:7" x14ac:dyDescent="0.25">
      <c r="A238" s="7">
        <v>233</v>
      </c>
      <c r="B238" s="7">
        <v>125</v>
      </c>
      <c r="C238" s="7">
        <v>-25</v>
      </c>
      <c r="D238" s="7">
        <v>3750</v>
      </c>
      <c r="E238" s="7">
        <v>35</v>
      </c>
      <c r="F238" s="10">
        <f>B238+Origin_X</f>
        <v>125</v>
      </c>
      <c r="G238" s="10">
        <f>C238+Origin_Y</f>
        <v>-25</v>
      </c>
    </row>
    <row r="239" spans="1:7" x14ac:dyDescent="0.25">
      <c r="A239" s="7">
        <v>234</v>
      </c>
      <c r="B239" s="7">
        <v>50</v>
      </c>
      <c r="C239" s="7">
        <v>-25</v>
      </c>
      <c r="D239" s="7">
        <v>3750</v>
      </c>
      <c r="E239" s="7">
        <v>35</v>
      </c>
      <c r="F239" s="10">
        <f>B239+Origin_X</f>
        <v>50</v>
      </c>
      <c r="G239" s="10">
        <f>C239+Origin_Y</f>
        <v>-25</v>
      </c>
    </row>
    <row r="240" spans="1:7" x14ac:dyDescent="0.25">
      <c r="A240" s="7">
        <v>235</v>
      </c>
      <c r="B240" s="7">
        <v>25</v>
      </c>
      <c r="C240" s="7">
        <v>100</v>
      </c>
      <c r="D240" s="7">
        <v>3750</v>
      </c>
      <c r="E240" s="7">
        <v>36</v>
      </c>
      <c r="F240" s="10">
        <f>B240+Origin_X</f>
        <v>25</v>
      </c>
      <c r="G240" s="10">
        <f>C240+Origin_Y</f>
        <v>100</v>
      </c>
    </row>
    <row r="241" spans="1:7" x14ac:dyDescent="0.25">
      <c r="A241" s="7">
        <v>236</v>
      </c>
      <c r="B241" s="7">
        <v>25</v>
      </c>
      <c r="C241" s="7">
        <v>25</v>
      </c>
      <c r="D241" s="7">
        <v>3750</v>
      </c>
      <c r="E241" s="7">
        <v>36</v>
      </c>
      <c r="F241" s="10">
        <f>B241+Origin_X</f>
        <v>25</v>
      </c>
      <c r="G241" s="10">
        <f>C241+Origin_Y</f>
        <v>25</v>
      </c>
    </row>
    <row r="242" spans="1:7" x14ac:dyDescent="0.25">
      <c r="A242" s="7">
        <v>237</v>
      </c>
      <c r="B242" s="7">
        <v>100</v>
      </c>
      <c r="C242" s="7">
        <v>25</v>
      </c>
      <c r="D242" s="7">
        <v>3750</v>
      </c>
      <c r="E242" s="7">
        <v>36</v>
      </c>
      <c r="F242" s="10">
        <f>B242+Origin_X</f>
        <v>100</v>
      </c>
      <c r="G242" s="10">
        <f>C242+Origin_Y</f>
        <v>25</v>
      </c>
    </row>
    <row r="243" spans="1:7" x14ac:dyDescent="0.25">
      <c r="A243" s="7">
        <v>238</v>
      </c>
      <c r="B243" s="7">
        <v>125</v>
      </c>
      <c r="C243" s="7">
        <v>50</v>
      </c>
      <c r="D243" s="7">
        <v>3750</v>
      </c>
      <c r="E243" s="7">
        <v>36</v>
      </c>
      <c r="F243" s="10">
        <f>B243+Origin_X</f>
        <v>125</v>
      </c>
      <c r="G243" s="10">
        <f>C243+Origin_Y</f>
        <v>50</v>
      </c>
    </row>
    <row r="244" spans="1:7" x14ac:dyDescent="0.25">
      <c r="A244" s="7">
        <v>239</v>
      </c>
      <c r="B244" s="7">
        <v>125</v>
      </c>
      <c r="C244" s="7">
        <v>125</v>
      </c>
      <c r="D244" s="7">
        <v>3750</v>
      </c>
      <c r="E244" s="7">
        <v>36</v>
      </c>
      <c r="F244" s="10">
        <f>B244+Origin_X</f>
        <v>125</v>
      </c>
      <c r="G244" s="10">
        <f>C244+Origin_Y</f>
        <v>125</v>
      </c>
    </row>
    <row r="245" spans="1:7" x14ac:dyDescent="0.25">
      <c r="A245" s="7">
        <v>240</v>
      </c>
      <c r="B245" s="7">
        <v>50</v>
      </c>
      <c r="C245" s="7">
        <v>125</v>
      </c>
      <c r="D245" s="7">
        <v>3750</v>
      </c>
      <c r="E245" s="7">
        <v>36</v>
      </c>
      <c r="F245" s="10">
        <f>B245+Origin_X</f>
        <v>50</v>
      </c>
      <c r="G245" s="10">
        <f>C245+Origin_Y</f>
        <v>125</v>
      </c>
    </row>
    <row r="246" spans="1:7" x14ac:dyDescent="0.25">
      <c r="A246" s="7">
        <v>241</v>
      </c>
      <c r="B246" s="7">
        <v>25</v>
      </c>
      <c r="C246" s="7">
        <v>250</v>
      </c>
      <c r="D246" s="7">
        <v>3750</v>
      </c>
      <c r="E246" s="7">
        <v>37</v>
      </c>
      <c r="F246" s="10">
        <f>B246+Origin_X</f>
        <v>25</v>
      </c>
      <c r="G246" s="10">
        <f>C246+Origin_Y</f>
        <v>250</v>
      </c>
    </row>
    <row r="247" spans="1:7" x14ac:dyDescent="0.25">
      <c r="A247" s="7">
        <v>242</v>
      </c>
      <c r="B247" s="7">
        <v>25</v>
      </c>
      <c r="C247" s="7">
        <v>175</v>
      </c>
      <c r="D247" s="7">
        <v>3750</v>
      </c>
      <c r="E247" s="7">
        <v>37</v>
      </c>
      <c r="F247" s="10">
        <f>B247+Origin_X</f>
        <v>25</v>
      </c>
      <c r="G247" s="10">
        <f>C247+Origin_Y</f>
        <v>175</v>
      </c>
    </row>
    <row r="248" spans="1:7" x14ac:dyDescent="0.25">
      <c r="A248" s="7">
        <v>243</v>
      </c>
      <c r="B248" s="7">
        <v>100</v>
      </c>
      <c r="C248" s="7">
        <v>175</v>
      </c>
      <c r="D248" s="7">
        <v>3750</v>
      </c>
      <c r="E248" s="7">
        <v>37</v>
      </c>
      <c r="F248" s="10">
        <f>B248+Origin_X</f>
        <v>100</v>
      </c>
      <c r="G248" s="10">
        <f>C248+Origin_Y</f>
        <v>175</v>
      </c>
    </row>
    <row r="249" spans="1:7" x14ac:dyDescent="0.25">
      <c r="A249" s="7">
        <v>244</v>
      </c>
      <c r="B249" s="7">
        <v>125</v>
      </c>
      <c r="C249" s="7">
        <v>200</v>
      </c>
      <c r="D249" s="7">
        <v>3750</v>
      </c>
      <c r="E249" s="7">
        <v>37</v>
      </c>
      <c r="F249" s="10">
        <f>B249+Origin_X</f>
        <v>125</v>
      </c>
      <c r="G249" s="10">
        <f>C249+Origin_Y</f>
        <v>200</v>
      </c>
    </row>
    <row r="250" spans="1:7" x14ac:dyDescent="0.25">
      <c r="A250" s="7">
        <v>245</v>
      </c>
      <c r="B250" s="7">
        <v>125</v>
      </c>
      <c r="C250" s="7">
        <v>275</v>
      </c>
      <c r="D250" s="7">
        <v>3750</v>
      </c>
      <c r="E250" s="7">
        <v>37</v>
      </c>
      <c r="F250" s="10">
        <f>B250+Origin_X</f>
        <v>125</v>
      </c>
      <c r="G250" s="10">
        <f>C250+Origin_Y</f>
        <v>275</v>
      </c>
    </row>
    <row r="251" spans="1:7" x14ac:dyDescent="0.25">
      <c r="A251" s="7">
        <v>246</v>
      </c>
      <c r="B251" s="7">
        <v>50</v>
      </c>
      <c r="C251" s="7">
        <v>275</v>
      </c>
      <c r="D251" s="7">
        <v>3750</v>
      </c>
      <c r="E251" s="7">
        <v>37</v>
      </c>
      <c r="F251" s="10">
        <f>B251+Origin_X</f>
        <v>50</v>
      </c>
      <c r="G251" s="10">
        <f>C251+Origin_Y</f>
        <v>275</v>
      </c>
    </row>
    <row r="252" spans="1:7" x14ac:dyDescent="0.25">
      <c r="A252" s="7">
        <v>247</v>
      </c>
      <c r="B252" s="7">
        <v>25</v>
      </c>
      <c r="C252" s="7">
        <v>400</v>
      </c>
      <c r="D252" s="7">
        <v>3750</v>
      </c>
      <c r="E252" s="7">
        <v>38</v>
      </c>
      <c r="F252" s="10">
        <f>B252+Origin_X</f>
        <v>25</v>
      </c>
      <c r="G252" s="10">
        <f>C252+Origin_Y</f>
        <v>400</v>
      </c>
    </row>
    <row r="253" spans="1:7" x14ac:dyDescent="0.25">
      <c r="A253" s="7">
        <v>248</v>
      </c>
      <c r="B253" s="7">
        <v>25</v>
      </c>
      <c r="C253" s="7">
        <v>325</v>
      </c>
      <c r="D253" s="7">
        <v>3750</v>
      </c>
      <c r="E253" s="7">
        <v>38</v>
      </c>
      <c r="F253" s="10">
        <f>B253+Origin_X</f>
        <v>25</v>
      </c>
      <c r="G253" s="10">
        <f>C253+Origin_Y</f>
        <v>325</v>
      </c>
    </row>
    <row r="254" spans="1:7" x14ac:dyDescent="0.25">
      <c r="A254" s="7">
        <v>249</v>
      </c>
      <c r="B254" s="7">
        <v>100</v>
      </c>
      <c r="C254" s="7">
        <v>325</v>
      </c>
      <c r="D254" s="7">
        <v>3750</v>
      </c>
      <c r="E254" s="7">
        <v>38</v>
      </c>
      <c r="F254" s="10">
        <f>B254+Origin_X</f>
        <v>100</v>
      </c>
      <c r="G254" s="10">
        <f>C254+Origin_Y</f>
        <v>325</v>
      </c>
    </row>
    <row r="255" spans="1:7" x14ac:dyDescent="0.25">
      <c r="A255" s="7">
        <v>250</v>
      </c>
      <c r="B255" s="7">
        <v>125</v>
      </c>
      <c r="C255" s="7">
        <v>350</v>
      </c>
      <c r="D255" s="7">
        <v>3750</v>
      </c>
      <c r="E255" s="7">
        <v>38</v>
      </c>
      <c r="F255" s="10">
        <f>B255+Origin_X</f>
        <v>125</v>
      </c>
      <c r="G255" s="10">
        <f>C255+Origin_Y</f>
        <v>350</v>
      </c>
    </row>
    <row r="256" spans="1:7" x14ac:dyDescent="0.25">
      <c r="A256" s="7">
        <v>251</v>
      </c>
      <c r="B256" s="7">
        <v>125</v>
      </c>
      <c r="C256" s="7">
        <v>425</v>
      </c>
      <c r="D256" s="7">
        <v>3750</v>
      </c>
      <c r="E256" s="7">
        <v>38</v>
      </c>
      <c r="F256" s="10">
        <f>B256+Origin_X</f>
        <v>125</v>
      </c>
      <c r="G256" s="10">
        <f>C256+Origin_Y</f>
        <v>425</v>
      </c>
    </row>
    <row r="257" spans="1:7" x14ac:dyDescent="0.25">
      <c r="A257" s="7">
        <v>252</v>
      </c>
      <c r="B257" s="7">
        <v>50</v>
      </c>
      <c r="C257" s="7">
        <v>425</v>
      </c>
      <c r="D257" s="7">
        <v>3750</v>
      </c>
      <c r="E257" s="7">
        <v>38</v>
      </c>
      <c r="F257" s="10">
        <f>B257+Origin_X</f>
        <v>50</v>
      </c>
      <c r="G257" s="10">
        <f>C257+Origin_Y</f>
        <v>425</v>
      </c>
    </row>
    <row r="258" spans="1:7" x14ac:dyDescent="0.25">
      <c r="A258" s="7">
        <v>253</v>
      </c>
      <c r="B258" s="7">
        <v>25</v>
      </c>
      <c r="C258" s="7">
        <v>550</v>
      </c>
      <c r="D258" s="7">
        <v>3750</v>
      </c>
      <c r="E258" s="7">
        <v>39</v>
      </c>
      <c r="F258" s="10">
        <f>B258+Origin_X</f>
        <v>25</v>
      </c>
      <c r="G258" s="10">
        <f>C258+Origin_Y</f>
        <v>550</v>
      </c>
    </row>
    <row r="259" spans="1:7" x14ac:dyDescent="0.25">
      <c r="A259" s="7">
        <v>254</v>
      </c>
      <c r="B259" s="7">
        <v>25</v>
      </c>
      <c r="C259" s="7">
        <v>475</v>
      </c>
      <c r="D259" s="7">
        <v>3750</v>
      </c>
      <c r="E259" s="7">
        <v>39</v>
      </c>
      <c r="F259" s="10">
        <f>B259+Origin_X</f>
        <v>25</v>
      </c>
      <c r="G259" s="10">
        <f>C259+Origin_Y</f>
        <v>475</v>
      </c>
    </row>
    <row r="260" spans="1:7" x14ac:dyDescent="0.25">
      <c r="A260" s="7">
        <v>255</v>
      </c>
      <c r="B260" s="7">
        <v>100</v>
      </c>
      <c r="C260" s="7">
        <v>475</v>
      </c>
      <c r="D260" s="7">
        <v>3750</v>
      </c>
      <c r="E260" s="7">
        <v>39</v>
      </c>
      <c r="F260" s="10">
        <f>B260+Origin_X</f>
        <v>100</v>
      </c>
      <c r="G260" s="10">
        <f>C260+Origin_Y</f>
        <v>475</v>
      </c>
    </row>
    <row r="261" spans="1:7" x14ac:dyDescent="0.25">
      <c r="A261" s="7">
        <v>256</v>
      </c>
      <c r="B261" s="7">
        <v>125</v>
      </c>
      <c r="C261" s="7">
        <v>500</v>
      </c>
      <c r="D261" s="7">
        <v>3750</v>
      </c>
      <c r="E261" s="7">
        <v>39</v>
      </c>
      <c r="F261" s="10">
        <f>B261+Origin_X</f>
        <v>125</v>
      </c>
      <c r="G261" s="10">
        <f>C261+Origin_Y</f>
        <v>500</v>
      </c>
    </row>
    <row r="262" spans="1:7" x14ac:dyDescent="0.25">
      <c r="A262" s="7">
        <v>257</v>
      </c>
      <c r="B262" s="7">
        <v>125</v>
      </c>
      <c r="C262" s="7">
        <v>575</v>
      </c>
      <c r="D262" s="7">
        <v>3750</v>
      </c>
      <c r="E262" s="7">
        <v>39</v>
      </c>
      <c r="F262" s="10">
        <f>B262+Origin_X</f>
        <v>125</v>
      </c>
      <c r="G262" s="10">
        <f>C262+Origin_Y</f>
        <v>575</v>
      </c>
    </row>
    <row r="263" spans="1:7" x14ac:dyDescent="0.25">
      <c r="A263" s="7">
        <v>258</v>
      </c>
      <c r="B263" s="7">
        <v>50</v>
      </c>
      <c r="C263" s="7">
        <v>575</v>
      </c>
      <c r="D263" s="7">
        <v>3750</v>
      </c>
      <c r="E263" s="7">
        <v>39</v>
      </c>
      <c r="F263" s="10">
        <f>B263+Origin_X</f>
        <v>50</v>
      </c>
      <c r="G263" s="10">
        <f>C263+Origin_Y</f>
        <v>575</v>
      </c>
    </row>
    <row r="264" spans="1:7" x14ac:dyDescent="0.25">
      <c r="A264" s="7">
        <v>259</v>
      </c>
      <c r="B264" s="7">
        <v>175</v>
      </c>
      <c r="C264" s="7">
        <v>-500</v>
      </c>
      <c r="D264" s="7">
        <v>3750</v>
      </c>
      <c r="E264" s="7">
        <v>40</v>
      </c>
      <c r="F264" s="10">
        <f>B264+Origin_X</f>
        <v>175</v>
      </c>
      <c r="G264" s="10">
        <f>C264+Origin_Y</f>
        <v>-500</v>
      </c>
    </row>
    <row r="265" spans="1:7" x14ac:dyDescent="0.25">
      <c r="A265" s="7">
        <v>260</v>
      </c>
      <c r="B265" s="7">
        <v>175</v>
      </c>
      <c r="C265" s="7">
        <v>-575</v>
      </c>
      <c r="D265" s="7">
        <v>3750</v>
      </c>
      <c r="E265" s="7">
        <v>40</v>
      </c>
      <c r="F265" s="10">
        <f>B265+Origin_X</f>
        <v>175</v>
      </c>
      <c r="G265" s="10">
        <f>C265+Origin_Y</f>
        <v>-575</v>
      </c>
    </row>
    <row r="266" spans="1:7" x14ac:dyDescent="0.25">
      <c r="A266" s="7">
        <v>261</v>
      </c>
      <c r="B266" s="7">
        <v>250</v>
      </c>
      <c r="C266" s="7">
        <v>-575</v>
      </c>
      <c r="D266" s="7">
        <v>3750</v>
      </c>
      <c r="E266" s="7">
        <v>40</v>
      </c>
      <c r="F266" s="10">
        <f>B266+Origin_X</f>
        <v>250</v>
      </c>
      <c r="G266" s="10">
        <f>C266+Origin_Y</f>
        <v>-575</v>
      </c>
    </row>
    <row r="267" spans="1:7" x14ac:dyDescent="0.25">
      <c r="A267" s="7">
        <v>262</v>
      </c>
      <c r="B267" s="7">
        <v>275</v>
      </c>
      <c r="C267" s="7">
        <v>-550</v>
      </c>
      <c r="D267" s="7">
        <v>3750</v>
      </c>
      <c r="E267" s="7">
        <v>40</v>
      </c>
      <c r="F267" s="10">
        <f>B267+Origin_X</f>
        <v>275</v>
      </c>
      <c r="G267" s="10">
        <f>C267+Origin_Y</f>
        <v>-550</v>
      </c>
    </row>
    <row r="268" spans="1:7" x14ac:dyDescent="0.25">
      <c r="A268" s="7">
        <v>263</v>
      </c>
      <c r="B268" s="7">
        <v>275</v>
      </c>
      <c r="C268" s="7">
        <v>-475</v>
      </c>
      <c r="D268" s="7">
        <v>3750</v>
      </c>
      <c r="E268" s="7">
        <v>40</v>
      </c>
      <c r="F268" s="10">
        <f>B268+Origin_X</f>
        <v>275</v>
      </c>
      <c r="G268" s="10">
        <f>C268+Origin_Y</f>
        <v>-475</v>
      </c>
    </row>
    <row r="269" spans="1:7" x14ac:dyDescent="0.25">
      <c r="A269" s="7">
        <v>264</v>
      </c>
      <c r="B269" s="7">
        <v>200</v>
      </c>
      <c r="C269" s="7">
        <v>-475</v>
      </c>
      <c r="D269" s="7">
        <v>3750</v>
      </c>
      <c r="E269" s="7">
        <v>40</v>
      </c>
      <c r="F269" s="10">
        <f>B269+Origin_X</f>
        <v>200</v>
      </c>
      <c r="G269" s="10">
        <f>C269+Origin_Y</f>
        <v>-475</v>
      </c>
    </row>
    <row r="270" spans="1:7" x14ac:dyDescent="0.25">
      <c r="A270" s="7">
        <v>265</v>
      </c>
      <c r="B270" s="7">
        <v>200</v>
      </c>
      <c r="C270" s="7">
        <v>-441.66666666666663</v>
      </c>
      <c r="D270" s="7">
        <v>1250</v>
      </c>
      <c r="E270" s="7">
        <v>41</v>
      </c>
      <c r="F270" s="10">
        <f>B270+Origin_X</f>
        <v>200</v>
      </c>
      <c r="G270" s="10">
        <f>C270+Origin_Y</f>
        <v>-441.66666666666663</v>
      </c>
    </row>
    <row r="271" spans="1:7" x14ac:dyDescent="0.25">
      <c r="A271" s="7">
        <v>266</v>
      </c>
      <c r="B271" s="7">
        <v>275</v>
      </c>
      <c r="C271" s="7">
        <v>-441.66666666666663</v>
      </c>
      <c r="D271" s="7">
        <v>1250</v>
      </c>
      <c r="E271" s="7">
        <v>41</v>
      </c>
      <c r="F271" s="10">
        <f>B271+Origin_X</f>
        <v>275</v>
      </c>
      <c r="G271" s="10">
        <f>C271+Origin_Y</f>
        <v>-441.66666666666663</v>
      </c>
    </row>
    <row r="272" spans="1:7" x14ac:dyDescent="0.25">
      <c r="A272" s="7">
        <v>267</v>
      </c>
      <c r="B272" s="7">
        <v>275</v>
      </c>
      <c r="C272" s="7">
        <v>-416.66666666666663</v>
      </c>
      <c r="D272" s="7">
        <v>1250</v>
      </c>
      <c r="E272" s="7">
        <v>41</v>
      </c>
      <c r="F272" s="10">
        <f>B272+Origin_X</f>
        <v>275</v>
      </c>
      <c r="G272" s="10">
        <f>C272+Origin_Y</f>
        <v>-416.66666666666663</v>
      </c>
    </row>
    <row r="273" spans="1:7" x14ac:dyDescent="0.25">
      <c r="A273" s="7">
        <v>268</v>
      </c>
      <c r="B273" s="7">
        <v>191.66666666666666</v>
      </c>
      <c r="C273" s="7">
        <v>-433.33333333333326</v>
      </c>
      <c r="D273" s="7">
        <v>416.6666666666667</v>
      </c>
      <c r="E273" s="7">
        <v>41</v>
      </c>
      <c r="F273" s="10">
        <f>B273+Origin_X</f>
        <v>191.66666666666666</v>
      </c>
      <c r="G273" s="10">
        <f>C273+Origin_Y</f>
        <v>-433.33333333333326</v>
      </c>
    </row>
    <row r="274" spans="1:7" x14ac:dyDescent="0.25">
      <c r="A274" s="7">
        <v>269</v>
      </c>
      <c r="B274" s="7">
        <v>266.6666666666667</v>
      </c>
      <c r="C274" s="7">
        <v>-408.33333333333326</v>
      </c>
      <c r="D274" s="7">
        <v>416.6666666666667</v>
      </c>
      <c r="E274" s="7">
        <v>41</v>
      </c>
      <c r="F274" s="10">
        <f>B274+Origin_X</f>
        <v>266.6666666666667</v>
      </c>
      <c r="G274" s="10">
        <f>C274+Origin_Y</f>
        <v>-408.33333333333326</v>
      </c>
    </row>
    <row r="275" spans="1:7" x14ac:dyDescent="0.25">
      <c r="A275" s="7">
        <v>270</v>
      </c>
      <c r="B275" s="7">
        <v>241.66666666666666</v>
      </c>
      <c r="C275" s="7">
        <v>-408.33333333333326</v>
      </c>
      <c r="D275" s="7">
        <v>416.6666666666667</v>
      </c>
      <c r="E275" s="7">
        <v>41</v>
      </c>
      <c r="F275" s="10">
        <f>B275+Origin_X</f>
        <v>241.66666666666666</v>
      </c>
      <c r="G275" s="10">
        <f>C275+Origin_Y</f>
        <v>-408.33333333333326</v>
      </c>
    </row>
    <row r="276" spans="1:7" x14ac:dyDescent="0.25">
      <c r="A276" s="7">
        <v>271</v>
      </c>
      <c r="B276" s="7">
        <v>166.66666666666666</v>
      </c>
      <c r="C276" s="7">
        <v>-416.66666666666663</v>
      </c>
      <c r="D276" s="7">
        <v>2500</v>
      </c>
      <c r="E276" s="7">
        <v>41</v>
      </c>
      <c r="F276" s="10">
        <f>B276+Origin_X</f>
        <v>166.66666666666666</v>
      </c>
      <c r="G276" s="10">
        <f>C276+Origin_Y</f>
        <v>-416.66666666666663</v>
      </c>
    </row>
    <row r="277" spans="1:7" x14ac:dyDescent="0.25">
      <c r="A277" s="7">
        <v>272</v>
      </c>
      <c r="B277" s="7">
        <v>216.66666666666666</v>
      </c>
      <c r="C277" s="7">
        <v>-391.66666666666663</v>
      </c>
      <c r="D277" s="7">
        <v>2500</v>
      </c>
      <c r="E277" s="7">
        <v>41</v>
      </c>
      <c r="F277" s="10">
        <f>B277+Origin_X</f>
        <v>216.66666666666666</v>
      </c>
      <c r="G277" s="10">
        <f>C277+Origin_Y</f>
        <v>-391.66666666666663</v>
      </c>
    </row>
    <row r="278" spans="1:7" x14ac:dyDescent="0.25">
      <c r="A278" s="7">
        <v>273</v>
      </c>
      <c r="B278" s="7">
        <v>166.66666666666666</v>
      </c>
      <c r="C278" s="7">
        <v>-341.66666666666663</v>
      </c>
      <c r="D278" s="7">
        <v>2500</v>
      </c>
      <c r="E278" s="7">
        <v>41</v>
      </c>
      <c r="F278" s="10">
        <f>B278+Origin_X</f>
        <v>166.66666666666666</v>
      </c>
      <c r="G278" s="10">
        <f>C278+Origin_Y</f>
        <v>-341.66666666666663</v>
      </c>
    </row>
    <row r="279" spans="1:7" x14ac:dyDescent="0.25">
      <c r="A279" s="7">
        <v>274</v>
      </c>
      <c r="B279" s="7">
        <v>166.66666666666666</v>
      </c>
      <c r="C279" s="7">
        <v>416.66666666666663</v>
      </c>
      <c r="D279" s="7">
        <v>2500</v>
      </c>
      <c r="E279" s="7">
        <v>42</v>
      </c>
      <c r="F279" s="10">
        <f>B279+Origin_X</f>
        <v>166.66666666666666</v>
      </c>
      <c r="G279" s="10">
        <f>C279+Origin_Y</f>
        <v>416.66666666666663</v>
      </c>
    </row>
    <row r="280" spans="1:7" x14ac:dyDescent="0.25">
      <c r="A280" s="7">
        <v>275</v>
      </c>
      <c r="B280" s="7">
        <v>166.66666666666666</v>
      </c>
      <c r="C280" s="7">
        <v>341.66666666666663</v>
      </c>
      <c r="D280" s="7">
        <v>2500</v>
      </c>
      <c r="E280" s="7">
        <v>42</v>
      </c>
      <c r="F280" s="10">
        <f>B280+Origin_X</f>
        <v>166.66666666666666</v>
      </c>
      <c r="G280" s="10">
        <f>C280+Origin_Y</f>
        <v>341.66666666666663</v>
      </c>
    </row>
    <row r="281" spans="1:7" x14ac:dyDescent="0.25">
      <c r="A281" s="7">
        <v>276</v>
      </c>
      <c r="B281" s="7">
        <v>216.66666666666666</v>
      </c>
      <c r="C281" s="7">
        <v>391.66666666666663</v>
      </c>
      <c r="D281" s="7">
        <v>2500</v>
      </c>
      <c r="E281" s="7">
        <v>42</v>
      </c>
      <c r="F281" s="10">
        <f>B281+Origin_X</f>
        <v>216.66666666666666</v>
      </c>
      <c r="G281" s="10">
        <f>C281+Origin_Y</f>
        <v>391.66666666666663</v>
      </c>
    </row>
    <row r="282" spans="1:7" x14ac:dyDescent="0.25">
      <c r="A282" s="7">
        <v>277</v>
      </c>
      <c r="B282" s="7">
        <v>191.66666666666666</v>
      </c>
      <c r="C282" s="7">
        <v>433.33333333333326</v>
      </c>
      <c r="D282" s="7">
        <v>416.6666666666667</v>
      </c>
      <c r="E282" s="7">
        <v>42</v>
      </c>
      <c r="F282" s="10">
        <f>B282+Origin_X</f>
        <v>191.66666666666666</v>
      </c>
      <c r="G282" s="10">
        <f>C282+Origin_Y</f>
        <v>433.33333333333326</v>
      </c>
    </row>
    <row r="283" spans="1:7" x14ac:dyDescent="0.25">
      <c r="A283" s="7">
        <v>278</v>
      </c>
      <c r="B283" s="7">
        <v>241.66666666666666</v>
      </c>
      <c r="C283" s="7">
        <v>408.33333333333326</v>
      </c>
      <c r="D283" s="7">
        <v>416.6666666666667</v>
      </c>
      <c r="E283" s="7">
        <v>42</v>
      </c>
      <c r="F283" s="10">
        <f>B283+Origin_X</f>
        <v>241.66666666666666</v>
      </c>
      <c r="G283" s="10">
        <f>C283+Origin_Y</f>
        <v>408.33333333333326</v>
      </c>
    </row>
    <row r="284" spans="1:7" x14ac:dyDescent="0.25">
      <c r="A284" s="7">
        <v>279</v>
      </c>
      <c r="B284" s="7">
        <v>266.66666666666663</v>
      </c>
      <c r="C284" s="7">
        <v>408.33333333333326</v>
      </c>
      <c r="D284" s="7">
        <v>416.6666666666667</v>
      </c>
      <c r="E284" s="7">
        <v>42</v>
      </c>
      <c r="F284" s="10">
        <f>B284+Origin_X</f>
        <v>266.66666666666663</v>
      </c>
      <c r="G284" s="10">
        <f>C284+Origin_Y</f>
        <v>408.33333333333326</v>
      </c>
    </row>
    <row r="285" spans="1:7" x14ac:dyDescent="0.25">
      <c r="A285" s="7">
        <v>280</v>
      </c>
      <c r="B285" s="7">
        <v>275</v>
      </c>
      <c r="C285" s="7">
        <v>416.66666666666663</v>
      </c>
      <c r="D285" s="7">
        <v>1250</v>
      </c>
      <c r="E285" s="7">
        <v>42</v>
      </c>
      <c r="F285" s="10">
        <f>B285+Origin_X</f>
        <v>275</v>
      </c>
      <c r="G285" s="10">
        <f>C285+Origin_Y</f>
        <v>416.66666666666663</v>
      </c>
    </row>
    <row r="286" spans="1:7" x14ac:dyDescent="0.25">
      <c r="A286" s="7">
        <v>281</v>
      </c>
      <c r="B286" s="7">
        <v>275</v>
      </c>
      <c r="C286" s="7">
        <v>441.66666666666663</v>
      </c>
      <c r="D286" s="7">
        <v>1250</v>
      </c>
      <c r="E286" s="7">
        <v>42</v>
      </c>
      <c r="F286" s="10">
        <f>B286+Origin_X</f>
        <v>275</v>
      </c>
      <c r="G286" s="10">
        <f>C286+Origin_Y</f>
        <v>441.66666666666663</v>
      </c>
    </row>
    <row r="287" spans="1:7" x14ac:dyDescent="0.25">
      <c r="A287" s="7">
        <v>282</v>
      </c>
      <c r="B287" s="7">
        <v>200</v>
      </c>
      <c r="C287" s="7">
        <v>441.66666666666663</v>
      </c>
      <c r="D287" s="7">
        <v>1250</v>
      </c>
      <c r="E287" s="7">
        <v>42</v>
      </c>
      <c r="F287" s="10">
        <f>B287+Origin_X</f>
        <v>200</v>
      </c>
      <c r="G287" s="10">
        <f>C287+Origin_Y</f>
        <v>441.66666666666663</v>
      </c>
    </row>
    <row r="288" spans="1:7" x14ac:dyDescent="0.25">
      <c r="A288" s="7">
        <v>283</v>
      </c>
      <c r="B288" s="7">
        <v>175</v>
      </c>
      <c r="C288" s="7">
        <v>550</v>
      </c>
      <c r="D288" s="7">
        <v>3750</v>
      </c>
      <c r="E288" s="7">
        <v>43</v>
      </c>
      <c r="F288" s="10">
        <f>B288+Origin_X</f>
        <v>175</v>
      </c>
      <c r="G288" s="10">
        <f>C288+Origin_Y</f>
        <v>550</v>
      </c>
    </row>
    <row r="289" spans="1:7" x14ac:dyDescent="0.25">
      <c r="A289" s="7">
        <v>284</v>
      </c>
      <c r="B289" s="7">
        <v>175</v>
      </c>
      <c r="C289" s="7">
        <v>475</v>
      </c>
      <c r="D289" s="7">
        <v>3750</v>
      </c>
      <c r="E289" s="7">
        <v>43</v>
      </c>
      <c r="F289" s="10">
        <f>B289+Origin_X</f>
        <v>175</v>
      </c>
      <c r="G289" s="10">
        <f>C289+Origin_Y</f>
        <v>475</v>
      </c>
    </row>
    <row r="290" spans="1:7" x14ac:dyDescent="0.25">
      <c r="A290" s="7">
        <v>285</v>
      </c>
      <c r="B290" s="7">
        <v>250</v>
      </c>
      <c r="C290" s="7">
        <v>475</v>
      </c>
      <c r="D290" s="7">
        <v>3750</v>
      </c>
      <c r="E290" s="7">
        <v>43</v>
      </c>
      <c r="F290" s="10">
        <f>B290+Origin_X</f>
        <v>250</v>
      </c>
      <c r="G290" s="10">
        <f>C290+Origin_Y</f>
        <v>475</v>
      </c>
    </row>
    <row r="291" spans="1:7" x14ac:dyDescent="0.25">
      <c r="A291" s="7">
        <v>286</v>
      </c>
      <c r="B291" s="7">
        <v>275</v>
      </c>
      <c r="C291" s="7">
        <v>500</v>
      </c>
      <c r="D291" s="7">
        <v>3750</v>
      </c>
      <c r="E291" s="7">
        <v>43</v>
      </c>
      <c r="F291" s="10">
        <f>B291+Origin_X</f>
        <v>275</v>
      </c>
      <c r="G291" s="10">
        <f>C291+Origin_Y</f>
        <v>500</v>
      </c>
    </row>
    <row r="292" spans="1:7" x14ac:dyDescent="0.25">
      <c r="A292" s="7">
        <v>287</v>
      </c>
      <c r="B292" s="7">
        <v>275</v>
      </c>
      <c r="C292" s="7">
        <v>575</v>
      </c>
      <c r="D292" s="7">
        <v>3750</v>
      </c>
      <c r="E292" s="7">
        <v>43</v>
      </c>
      <c r="F292" s="10">
        <f>B292+Origin_X</f>
        <v>275</v>
      </c>
      <c r="G292" s="10">
        <f>C292+Origin_Y</f>
        <v>575</v>
      </c>
    </row>
    <row r="293" spans="1:7" x14ac:dyDescent="0.25">
      <c r="A293" s="7">
        <v>288</v>
      </c>
      <c r="B293" s="7">
        <v>200</v>
      </c>
      <c r="C293" s="7">
        <v>575</v>
      </c>
      <c r="D293" s="7">
        <v>3750</v>
      </c>
      <c r="E293" s="7">
        <v>43</v>
      </c>
      <c r="F293" s="10">
        <f>B293+Origin_X</f>
        <v>200</v>
      </c>
      <c r="G293" s="10">
        <f>C293+Origin_Y</f>
        <v>575</v>
      </c>
    </row>
    <row r="294" spans="1:7" x14ac:dyDescent="0.25">
      <c r="A294" s="7">
        <v>289</v>
      </c>
      <c r="B294" s="7">
        <v>325</v>
      </c>
      <c r="C294" s="7">
        <v>-500</v>
      </c>
      <c r="D294" s="7">
        <v>3750</v>
      </c>
      <c r="E294" s="7">
        <v>44</v>
      </c>
      <c r="F294" s="10">
        <f>B294+Origin_X</f>
        <v>325</v>
      </c>
      <c r="G294" s="10">
        <f>C294+Origin_Y</f>
        <v>-500</v>
      </c>
    </row>
    <row r="295" spans="1:7" x14ac:dyDescent="0.25">
      <c r="A295" s="7">
        <v>290</v>
      </c>
      <c r="B295" s="7">
        <v>325</v>
      </c>
      <c r="C295" s="7">
        <v>-575</v>
      </c>
      <c r="D295" s="7">
        <v>3750</v>
      </c>
      <c r="E295" s="7">
        <v>44</v>
      </c>
      <c r="F295" s="10">
        <f>B295+Origin_X</f>
        <v>325</v>
      </c>
      <c r="G295" s="10">
        <f>C295+Origin_Y</f>
        <v>-575</v>
      </c>
    </row>
    <row r="296" spans="1:7" x14ac:dyDescent="0.25">
      <c r="A296" s="7">
        <v>291</v>
      </c>
      <c r="B296" s="7">
        <v>400</v>
      </c>
      <c r="C296" s="7">
        <v>-575</v>
      </c>
      <c r="D296" s="7">
        <v>3750</v>
      </c>
      <c r="E296" s="7">
        <v>44</v>
      </c>
      <c r="F296" s="10">
        <f>B296+Origin_X</f>
        <v>400</v>
      </c>
      <c r="G296" s="10">
        <f>C296+Origin_Y</f>
        <v>-575</v>
      </c>
    </row>
    <row r="297" spans="1:7" x14ac:dyDescent="0.25">
      <c r="A297" s="7">
        <v>292</v>
      </c>
      <c r="B297" s="7">
        <v>425</v>
      </c>
      <c r="C297" s="7">
        <v>-550</v>
      </c>
      <c r="D297" s="7">
        <v>3750</v>
      </c>
      <c r="E297" s="7">
        <v>44</v>
      </c>
      <c r="F297" s="10">
        <f>B297+Origin_X</f>
        <v>425</v>
      </c>
      <c r="G297" s="10">
        <f>C297+Origin_Y</f>
        <v>-550</v>
      </c>
    </row>
    <row r="298" spans="1:7" x14ac:dyDescent="0.25">
      <c r="A298" s="7">
        <v>293</v>
      </c>
      <c r="B298" s="7">
        <v>425</v>
      </c>
      <c r="C298" s="7">
        <v>-475</v>
      </c>
      <c r="D298" s="7">
        <v>3750</v>
      </c>
      <c r="E298" s="7">
        <v>44</v>
      </c>
      <c r="F298" s="10">
        <f>B298+Origin_X</f>
        <v>425</v>
      </c>
      <c r="G298" s="10">
        <f>C298+Origin_Y</f>
        <v>-475</v>
      </c>
    </row>
    <row r="299" spans="1:7" x14ac:dyDescent="0.25">
      <c r="A299" s="7">
        <v>294</v>
      </c>
      <c r="B299" s="7">
        <v>350</v>
      </c>
      <c r="C299" s="7">
        <v>-475</v>
      </c>
      <c r="D299" s="7">
        <v>3750</v>
      </c>
      <c r="E299" s="7">
        <v>44</v>
      </c>
      <c r="F299" s="10">
        <f>B299+Origin_X</f>
        <v>350</v>
      </c>
      <c r="G299" s="10">
        <f>C299+Origin_Y</f>
        <v>-475</v>
      </c>
    </row>
    <row r="300" spans="1:7" x14ac:dyDescent="0.25">
      <c r="A300" s="7">
        <v>295</v>
      </c>
      <c r="B300" s="7">
        <v>325</v>
      </c>
      <c r="C300" s="7">
        <v>-416.66666666666663</v>
      </c>
      <c r="D300" s="7">
        <v>1250</v>
      </c>
      <c r="E300" s="7">
        <v>45</v>
      </c>
      <c r="F300" s="10">
        <f>B300+Origin_X</f>
        <v>325</v>
      </c>
      <c r="G300" s="10">
        <f>C300+Origin_Y</f>
        <v>-416.66666666666663</v>
      </c>
    </row>
    <row r="301" spans="1:7" x14ac:dyDescent="0.25">
      <c r="A301" s="7">
        <v>296</v>
      </c>
      <c r="B301" s="7">
        <v>325</v>
      </c>
      <c r="C301" s="7">
        <v>-441.66666666666663</v>
      </c>
      <c r="D301" s="7">
        <v>1250</v>
      </c>
      <c r="E301" s="7">
        <v>45</v>
      </c>
      <c r="F301" s="10">
        <f>B301+Origin_X</f>
        <v>325</v>
      </c>
      <c r="G301" s="10">
        <f>C301+Origin_Y</f>
        <v>-441.66666666666663</v>
      </c>
    </row>
    <row r="302" spans="1:7" x14ac:dyDescent="0.25">
      <c r="A302" s="7">
        <v>297</v>
      </c>
      <c r="B302" s="7">
        <v>400</v>
      </c>
      <c r="C302" s="7">
        <v>-441.66666666666663</v>
      </c>
      <c r="D302" s="7">
        <v>1250</v>
      </c>
      <c r="E302" s="7">
        <v>45</v>
      </c>
      <c r="F302" s="10">
        <f>B302+Origin_X</f>
        <v>400</v>
      </c>
      <c r="G302" s="10">
        <f>C302+Origin_Y</f>
        <v>-441.66666666666663</v>
      </c>
    </row>
    <row r="303" spans="1:7" x14ac:dyDescent="0.25">
      <c r="A303" s="7">
        <v>298</v>
      </c>
      <c r="B303" s="7">
        <v>425</v>
      </c>
      <c r="C303" s="7">
        <v>-433.33333333333326</v>
      </c>
      <c r="D303" s="7">
        <v>1250</v>
      </c>
      <c r="E303" s="7">
        <v>45</v>
      </c>
      <c r="F303" s="10">
        <f>B303+Origin_X</f>
        <v>425</v>
      </c>
      <c r="G303" s="10">
        <f>C303+Origin_Y</f>
        <v>-433.33333333333326</v>
      </c>
    </row>
    <row r="304" spans="1:7" x14ac:dyDescent="0.25">
      <c r="A304" s="7">
        <v>299</v>
      </c>
      <c r="B304" s="7">
        <v>425</v>
      </c>
      <c r="C304" s="7">
        <v>-408.33333333333326</v>
      </c>
      <c r="D304" s="7">
        <v>1250</v>
      </c>
      <c r="E304" s="7">
        <v>45</v>
      </c>
      <c r="F304" s="10">
        <f>B304+Origin_X</f>
        <v>425</v>
      </c>
      <c r="G304" s="10">
        <f>C304+Origin_Y</f>
        <v>-408.33333333333326</v>
      </c>
    </row>
    <row r="305" spans="1:7" x14ac:dyDescent="0.25">
      <c r="A305" s="7">
        <v>300</v>
      </c>
      <c r="B305" s="7">
        <v>350</v>
      </c>
      <c r="C305" s="7">
        <v>-408.33333333333326</v>
      </c>
      <c r="D305" s="7">
        <v>1250</v>
      </c>
      <c r="E305" s="7">
        <v>45</v>
      </c>
      <c r="F305" s="10">
        <f>B305+Origin_X</f>
        <v>350</v>
      </c>
      <c r="G305" s="10">
        <f>C305+Origin_Y</f>
        <v>-408.33333333333326</v>
      </c>
    </row>
    <row r="306" spans="1:7" x14ac:dyDescent="0.25">
      <c r="A306" s="7">
        <v>301</v>
      </c>
      <c r="B306" s="7">
        <v>325</v>
      </c>
      <c r="C306" s="7">
        <v>433.33333333333326</v>
      </c>
      <c r="D306" s="7">
        <v>1250</v>
      </c>
      <c r="E306" s="7">
        <v>46</v>
      </c>
      <c r="F306" s="10">
        <f>B306+Origin_X</f>
        <v>325</v>
      </c>
      <c r="G306" s="10">
        <f>C306+Origin_Y</f>
        <v>433.33333333333326</v>
      </c>
    </row>
    <row r="307" spans="1:7" x14ac:dyDescent="0.25">
      <c r="A307" s="7">
        <v>302</v>
      </c>
      <c r="B307" s="7">
        <v>325</v>
      </c>
      <c r="C307" s="7">
        <v>408.33333333333326</v>
      </c>
      <c r="D307" s="7">
        <v>1250</v>
      </c>
      <c r="E307" s="7">
        <v>46</v>
      </c>
      <c r="F307" s="10">
        <f>B307+Origin_X</f>
        <v>325</v>
      </c>
      <c r="G307" s="10">
        <f>C307+Origin_Y</f>
        <v>408.33333333333326</v>
      </c>
    </row>
    <row r="308" spans="1:7" x14ac:dyDescent="0.25">
      <c r="A308" s="7">
        <v>303</v>
      </c>
      <c r="B308" s="7">
        <v>400</v>
      </c>
      <c r="C308" s="7">
        <v>408.33333333333326</v>
      </c>
      <c r="D308" s="7">
        <v>1250</v>
      </c>
      <c r="E308" s="7">
        <v>46</v>
      </c>
      <c r="F308" s="10">
        <f>B308+Origin_X</f>
        <v>400</v>
      </c>
      <c r="G308" s="10">
        <f>C308+Origin_Y</f>
        <v>408.33333333333326</v>
      </c>
    </row>
    <row r="309" spans="1:7" x14ac:dyDescent="0.25">
      <c r="A309" s="7">
        <v>304</v>
      </c>
      <c r="B309" s="7">
        <v>425</v>
      </c>
      <c r="C309" s="7">
        <v>416.66666666666663</v>
      </c>
      <c r="D309" s="7">
        <v>1250</v>
      </c>
      <c r="E309" s="7">
        <v>46</v>
      </c>
      <c r="F309" s="10">
        <f>B309+Origin_X</f>
        <v>425</v>
      </c>
      <c r="G309" s="10">
        <f>C309+Origin_Y</f>
        <v>416.66666666666663</v>
      </c>
    </row>
    <row r="310" spans="1:7" x14ac:dyDescent="0.25">
      <c r="A310" s="7">
        <v>305</v>
      </c>
      <c r="B310" s="7">
        <v>425</v>
      </c>
      <c r="C310" s="7">
        <v>441.66666666666663</v>
      </c>
      <c r="D310" s="7">
        <v>1250</v>
      </c>
      <c r="E310" s="7">
        <v>46</v>
      </c>
      <c r="F310" s="10">
        <f>B310+Origin_X</f>
        <v>425</v>
      </c>
      <c r="G310" s="10">
        <f>C310+Origin_Y</f>
        <v>441.66666666666663</v>
      </c>
    </row>
    <row r="311" spans="1:7" x14ac:dyDescent="0.25">
      <c r="A311" s="7">
        <v>306</v>
      </c>
      <c r="B311" s="7">
        <v>350</v>
      </c>
      <c r="C311" s="7">
        <v>441.66666666666663</v>
      </c>
      <c r="D311" s="7">
        <v>1250</v>
      </c>
      <c r="E311" s="7">
        <v>46</v>
      </c>
      <c r="F311" s="10">
        <f>B311+Origin_X</f>
        <v>350</v>
      </c>
      <c r="G311" s="10">
        <f>C311+Origin_Y</f>
        <v>441.66666666666663</v>
      </c>
    </row>
    <row r="312" spans="1:7" x14ac:dyDescent="0.25">
      <c r="A312" s="7">
        <v>307</v>
      </c>
      <c r="B312" s="7">
        <v>325</v>
      </c>
      <c r="C312" s="7">
        <v>550</v>
      </c>
      <c r="D312" s="7">
        <v>3750</v>
      </c>
      <c r="E312" s="7">
        <v>47</v>
      </c>
      <c r="F312" s="10">
        <f>B312+Origin_X</f>
        <v>325</v>
      </c>
      <c r="G312" s="10">
        <f>C312+Origin_Y</f>
        <v>550</v>
      </c>
    </row>
    <row r="313" spans="1:7" x14ac:dyDescent="0.25">
      <c r="A313" s="7">
        <v>308</v>
      </c>
      <c r="B313" s="7">
        <v>325</v>
      </c>
      <c r="C313" s="7">
        <v>475</v>
      </c>
      <c r="D313" s="7">
        <v>3750</v>
      </c>
      <c r="E313" s="7">
        <v>47</v>
      </c>
      <c r="F313" s="10">
        <f>B313+Origin_X</f>
        <v>325</v>
      </c>
      <c r="G313" s="10">
        <f>C313+Origin_Y</f>
        <v>475</v>
      </c>
    </row>
    <row r="314" spans="1:7" x14ac:dyDescent="0.25">
      <c r="A314" s="7">
        <v>309</v>
      </c>
      <c r="B314" s="7">
        <v>400</v>
      </c>
      <c r="C314" s="7">
        <v>475</v>
      </c>
      <c r="D314" s="7">
        <v>3750</v>
      </c>
      <c r="E314" s="7">
        <v>47</v>
      </c>
      <c r="F314" s="10">
        <f>B314+Origin_X</f>
        <v>400</v>
      </c>
      <c r="G314" s="10">
        <f>C314+Origin_Y</f>
        <v>475</v>
      </c>
    </row>
    <row r="315" spans="1:7" x14ac:dyDescent="0.25">
      <c r="A315" s="7">
        <v>310</v>
      </c>
      <c r="B315" s="7">
        <v>425</v>
      </c>
      <c r="C315" s="7">
        <v>500</v>
      </c>
      <c r="D315" s="7">
        <v>3750</v>
      </c>
      <c r="E315" s="7">
        <v>47</v>
      </c>
      <c r="F315" s="10">
        <f>B315+Origin_X</f>
        <v>425</v>
      </c>
      <c r="G315" s="10">
        <f>C315+Origin_Y</f>
        <v>500</v>
      </c>
    </row>
    <row r="316" spans="1:7" x14ac:dyDescent="0.25">
      <c r="A316" s="7">
        <v>311</v>
      </c>
      <c r="B316" s="7">
        <v>425</v>
      </c>
      <c r="C316" s="7">
        <v>575</v>
      </c>
      <c r="D316" s="7">
        <v>3750</v>
      </c>
      <c r="E316" s="7">
        <v>47</v>
      </c>
      <c r="F316" s="10">
        <f>B316+Origin_X</f>
        <v>425</v>
      </c>
      <c r="G316" s="10">
        <f>C316+Origin_Y</f>
        <v>575</v>
      </c>
    </row>
    <row r="317" spans="1:7" x14ac:dyDescent="0.25">
      <c r="A317" s="7">
        <v>312</v>
      </c>
      <c r="B317" s="7">
        <v>350</v>
      </c>
      <c r="C317" s="7">
        <v>575</v>
      </c>
      <c r="D317" s="7">
        <v>3750</v>
      </c>
      <c r="E317" s="7">
        <v>47</v>
      </c>
      <c r="F317" s="10">
        <f>B317+Origin_X</f>
        <v>350</v>
      </c>
      <c r="G317" s="10">
        <f>C317+Origin_Y</f>
        <v>575</v>
      </c>
    </row>
    <row r="318" spans="1:7" x14ac:dyDescent="0.25">
      <c r="A318" s="7">
        <v>313</v>
      </c>
      <c r="B318" s="7">
        <v>466.66666666666663</v>
      </c>
      <c r="C318" s="7">
        <v>-500</v>
      </c>
      <c r="D318" s="7">
        <v>2500</v>
      </c>
      <c r="E318" s="7">
        <v>48</v>
      </c>
      <c r="F318" s="10">
        <f>B318+Origin_X</f>
        <v>466.66666666666663</v>
      </c>
      <c r="G318" s="10">
        <f>C318+Origin_Y</f>
        <v>-500</v>
      </c>
    </row>
    <row r="319" spans="1:7" x14ac:dyDescent="0.25">
      <c r="A319" s="7">
        <v>314</v>
      </c>
      <c r="B319" s="7">
        <v>466.66666666666663</v>
      </c>
      <c r="C319" s="7">
        <v>-575</v>
      </c>
      <c r="D319" s="7">
        <v>2500</v>
      </c>
      <c r="E319" s="7">
        <v>48</v>
      </c>
      <c r="F319" s="10">
        <f>B319+Origin_X</f>
        <v>466.66666666666663</v>
      </c>
      <c r="G319" s="10">
        <f>C319+Origin_Y</f>
        <v>-575</v>
      </c>
    </row>
    <row r="320" spans="1:7" x14ac:dyDescent="0.25">
      <c r="A320" s="7">
        <v>315</v>
      </c>
      <c r="B320" s="7">
        <v>516.6666666666666</v>
      </c>
      <c r="C320" s="7">
        <v>-575</v>
      </c>
      <c r="D320" s="7">
        <v>2500</v>
      </c>
      <c r="E320" s="7">
        <v>48</v>
      </c>
      <c r="F320" s="10">
        <f>B320+Origin_X</f>
        <v>516.6666666666666</v>
      </c>
      <c r="G320" s="10">
        <f>C320+Origin_Y</f>
        <v>-575</v>
      </c>
    </row>
    <row r="321" spans="1:7" x14ac:dyDescent="0.25">
      <c r="A321" s="7">
        <v>316</v>
      </c>
      <c r="B321" s="7">
        <v>491.66666666666663</v>
      </c>
      <c r="C321" s="7">
        <v>-491.66666666666663</v>
      </c>
      <c r="D321" s="7">
        <v>2083.3333333333335</v>
      </c>
      <c r="E321" s="7">
        <v>48</v>
      </c>
      <c r="F321" s="10">
        <f>B321+Origin_X</f>
        <v>491.66666666666663</v>
      </c>
      <c r="G321" s="10">
        <f>C321+Origin_Y</f>
        <v>-491.66666666666663</v>
      </c>
    </row>
    <row r="322" spans="1:7" x14ac:dyDescent="0.25">
      <c r="A322" s="7">
        <v>317</v>
      </c>
      <c r="B322" s="7">
        <v>541.6666666666666</v>
      </c>
      <c r="C322" s="7">
        <v>-566.6666666666666</v>
      </c>
      <c r="D322" s="7">
        <v>2083.3333333333335</v>
      </c>
      <c r="E322" s="7">
        <v>48</v>
      </c>
      <c r="F322" s="10">
        <f>B322+Origin_X</f>
        <v>541.6666666666666</v>
      </c>
      <c r="G322" s="10">
        <f>C322+Origin_Y</f>
        <v>-566.6666666666666</v>
      </c>
    </row>
    <row r="323" spans="1:7" x14ac:dyDescent="0.25">
      <c r="A323" s="7">
        <v>318</v>
      </c>
      <c r="B323" s="7">
        <v>566.6666666666666</v>
      </c>
      <c r="C323" s="7">
        <v>-541.6666666666666</v>
      </c>
      <c r="D323" s="7">
        <v>2083.3333333333335</v>
      </c>
      <c r="E323" s="7">
        <v>48</v>
      </c>
      <c r="F323" s="10">
        <f>B323+Origin_X</f>
        <v>566.6666666666666</v>
      </c>
      <c r="G323" s="10">
        <f>C323+Origin_Y</f>
        <v>-541.6666666666666</v>
      </c>
    </row>
    <row r="324" spans="1:7" x14ac:dyDescent="0.25">
      <c r="A324" s="7">
        <v>319</v>
      </c>
      <c r="B324" s="7">
        <v>575</v>
      </c>
      <c r="C324" s="7">
        <v>-516.6666666666666</v>
      </c>
      <c r="D324" s="7">
        <v>2500</v>
      </c>
      <c r="E324" s="7">
        <v>48</v>
      </c>
      <c r="F324" s="10">
        <f>B324+Origin_X</f>
        <v>575</v>
      </c>
      <c r="G324" s="10">
        <f>C324+Origin_Y</f>
        <v>-516.6666666666666</v>
      </c>
    </row>
    <row r="325" spans="1:7" x14ac:dyDescent="0.25">
      <c r="A325" s="7">
        <v>320</v>
      </c>
      <c r="B325" s="7">
        <v>575</v>
      </c>
      <c r="C325" s="7">
        <v>-466.66666666666663</v>
      </c>
      <c r="D325" s="7">
        <v>2500</v>
      </c>
      <c r="E325" s="7">
        <v>48</v>
      </c>
      <c r="F325" s="10">
        <f>B325+Origin_X</f>
        <v>575</v>
      </c>
      <c r="G325" s="10">
        <f>C325+Origin_Y</f>
        <v>-466.66666666666663</v>
      </c>
    </row>
    <row r="326" spans="1:7" x14ac:dyDescent="0.25">
      <c r="A326" s="7">
        <v>321</v>
      </c>
      <c r="B326" s="7">
        <v>500</v>
      </c>
      <c r="C326" s="7">
        <v>-466.66666666666663</v>
      </c>
      <c r="D326" s="7">
        <v>2500</v>
      </c>
      <c r="E326" s="7">
        <v>48</v>
      </c>
      <c r="F326" s="10">
        <f>B326+Origin_X</f>
        <v>500</v>
      </c>
      <c r="G326" s="10">
        <f>C326+Origin_Y</f>
        <v>-466.66666666666663</v>
      </c>
    </row>
    <row r="327" spans="1:7" x14ac:dyDescent="0.25">
      <c r="A327" s="7">
        <v>322</v>
      </c>
      <c r="B327" s="7">
        <v>475</v>
      </c>
      <c r="C327" s="7">
        <v>-416.66666666666663</v>
      </c>
      <c r="D327" s="7">
        <v>1250</v>
      </c>
      <c r="E327" s="7">
        <v>49</v>
      </c>
      <c r="F327" s="10">
        <f>B327+Origin_X</f>
        <v>475</v>
      </c>
      <c r="G327" s="10">
        <f>C327+Origin_Y</f>
        <v>-416.66666666666663</v>
      </c>
    </row>
    <row r="328" spans="1:7" x14ac:dyDescent="0.25">
      <c r="A328" s="7">
        <v>323</v>
      </c>
      <c r="B328" s="7">
        <v>475</v>
      </c>
      <c r="C328" s="7">
        <v>-441.66666666666663</v>
      </c>
      <c r="D328" s="7">
        <v>1250</v>
      </c>
      <c r="E328" s="7">
        <v>49</v>
      </c>
      <c r="F328" s="10">
        <f>B328+Origin_X</f>
        <v>475</v>
      </c>
      <c r="G328" s="10">
        <f>C328+Origin_Y</f>
        <v>-441.66666666666663</v>
      </c>
    </row>
    <row r="329" spans="1:7" x14ac:dyDescent="0.25">
      <c r="A329" s="7">
        <v>324</v>
      </c>
      <c r="B329" s="7">
        <v>550</v>
      </c>
      <c r="C329" s="7">
        <v>-441.66666666666663</v>
      </c>
      <c r="D329" s="7">
        <v>1250</v>
      </c>
      <c r="E329" s="7">
        <v>49</v>
      </c>
      <c r="F329" s="10">
        <f>B329+Origin_X</f>
        <v>550</v>
      </c>
      <c r="G329" s="10">
        <f>C329+Origin_Y</f>
        <v>-441.66666666666663</v>
      </c>
    </row>
    <row r="330" spans="1:7" x14ac:dyDescent="0.25">
      <c r="A330" s="7">
        <v>325</v>
      </c>
      <c r="B330" s="7">
        <v>500</v>
      </c>
      <c r="C330" s="7">
        <v>-391.66666666666663</v>
      </c>
      <c r="D330" s="7">
        <v>3750</v>
      </c>
      <c r="E330" s="7">
        <v>49</v>
      </c>
      <c r="F330" s="10">
        <f>B330+Origin_X</f>
        <v>500</v>
      </c>
      <c r="G330" s="10">
        <f>C330+Origin_Y</f>
        <v>-391.66666666666663</v>
      </c>
    </row>
    <row r="331" spans="1:7" x14ac:dyDescent="0.25">
      <c r="A331" s="7">
        <v>326</v>
      </c>
      <c r="B331" s="7">
        <v>575</v>
      </c>
      <c r="C331" s="7">
        <v>-416.66666666666663</v>
      </c>
      <c r="D331" s="7">
        <v>3750</v>
      </c>
      <c r="E331" s="7">
        <v>49</v>
      </c>
      <c r="F331" s="10">
        <f>B331+Origin_X</f>
        <v>575</v>
      </c>
      <c r="G331" s="10">
        <f>C331+Origin_Y</f>
        <v>-416.66666666666663</v>
      </c>
    </row>
    <row r="332" spans="1:7" x14ac:dyDescent="0.25">
      <c r="A332" s="7">
        <v>327</v>
      </c>
      <c r="B332" s="7">
        <v>575</v>
      </c>
      <c r="C332" s="7">
        <v>-341.66666666666663</v>
      </c>
      <c r="D332" s="7">
        <v>3750</v>
      </c>
      <c r="E332" s="7">
        <v>49</v>
      </c>
      <c r="F332" s="10">
        <f>B332+Origin_X</f>
        <v>575</v>
      </c>
      <c r="G332" s="10">
        <f>C332+Origin_Y</f>
        <v>-341.66666666666663</v>
      </c>
    </row>
    <row r="333" spans="1:7" x14ac:dyDescent="0.25">
      <c r="A333" s="7">
        <v>328</v>
      </c>
      <c r="B333" s="7">
        <v>566.6666666666666</v>
      </c>
      <c r="C333" s="7">
        <v>-316.66666666666663</v>
      </c>
      <c r="D333" s="7">
        <v>833.3333333333334</v>
      </c>
      <c r="E333" s="7">
        <v>49</v>
      </c>
      <c r="F333" s="10">
        <f>B333+Origin_X</f>
        <v>566.6666666666666</v>
      </c>
      <c r="G333" s="10">
        <f>C333+Origin_Y</f>
        <v>-316.66666666666663</v>
      </c>
    </row>
    <row r="334" spans="1:7" x14ac:dyDescent="0.25">
      <c r="A334" s="7">
        <v>329</v>
      </c>
      <c r="B334" s="7">
        <v>541.6666666666666</v>
      </c>
      <c r="C334" s="7">
        <v>-316.66666666666663</v>
      </c>
      <c r="D334" s="7">
        <v>833.3333333333334</v>
      </c>
      <c r="E334" s="7">
        <v>49</v>
      </c>
      <c r="F334" s="10">
        <f>B334+Origin_X</f>
        <v>541.6666666666666</v>
      </c>
      <c r="G334" s="10">
        <f>C334+Origin_Y</f>
        <v>-316.66666666666663</v>
      </c>
    </row>
    <row r="335" spans="1:7" x14ac:dyDescent="0.25">
      <c r="A335" s="7">
        <v>330</v>
      </c>
      <c r="B335" s="7">
        <v>491.66666666666663</v>
      </c>
      <c r="C335" s="7">
        <v>-366.66666666666663</v>
      </c>
      <c r="D335" s="7">
        <v>833.3333333333334</v>
      </c>
      <c r="E335" s="7">
        <v>49</v>
      </c>
      <c r="F335" s="10">
        <f>B335+Origin_X</f>
        <v>491.66666666666663</v>
      </c>
      <c r="G335" s="10">
        <f>C335+Origin_Y</f>
        <v>-366.66666666666663</v>
      </c>
    </row>
    <row r="336" spans="1:7" x14ac:dyDescent="0.25">
      <c r="A336" s="7">
        <v>331</v>
      </c>
      <c r="B336" s="7">
        <v>558.3333333333333</v>
      </c>
      <c r="C336" s="7">
        <v>-200</v>
      </c>
      <c r="D336" s="7">
        <v>1250</v>
      </c>
      <c r="E336" s="7">
        <v>50</v>
      </c>
      <c r="F336" s="10">
        <f>B336+Origin_X</f>
        <v>558.3333333333333</v>
      </c>
      <c r="G336" s="10">
        <f>C336+Origin_Y</f>
        <v>-200</v>
      </c>
    </row>
    <row r="337" spans="1:7" x14ac:dyDescent="0.25">
      <c r="A337" s="7">
        <v>332</v>
      </c>
      <c r="B337" s="7">
        <v>558.3333333333333</v>
      </c>
      <c r="C337" s="7">
        <v>-275</v>
      </c>
      <c r="D337" s="7">
        <v>1250</v>
      </c>
      <c r="E337" s="7">
        <v>50</v>
      </c>
      <c r="F337" s="10">
        <f>B337+Origin_X</f>
        <v>558.3333333333333</v>
      </c>
      <c r="G337" s="10">
        <f>C337+Origin_Y</f>
        <v>-275</v>
      </c>
    </row>
    <row r="338" spans="1:7" x14ac:dyDescent="0.25">
      <c r="A338" s="7">
        <v>333</v>
      </c>
      <c r="B338" s="7">
        <v>583.3333333333333</v>
      </c>
      <c r="C338" s="7">
        <v>-275</v>
      </c>
      <c r="D338" s="7">
        <v>1250</v>
      </c>
      <c r="E338" s="7">
        <v>50</v>
      </c>
      <c r="F338" s="10">
        <f>B338+Origin_X</f>
        <v>583.3333333333333</v>
      </c>
      <c r="G338" s="10">
        <f>C338+Origin_Y</f>
        <v>-275</v>
      </c>
    </row>
    <row r="339" spans="1:7" x14ac:dyDescent="0.25">
      <c r="A339" s="7">
        <v>334</v>
      </c>
      <c r="B339" s="7">
        <v>591.6666666666666</v>
      </c>
      <c r="C339" s="7">
        <v>-250</v>
      </c>
      <c r="D339" s="7">
        <v>1250</v>
      </c>
      <c r="E339" s="7">
        <v>50</v>
      </c>
      <c r="F339" s="10">
        <f>B339+Origin_X</f>
        <v>591.6666666666666</v>
      </c>
      <c r="G339" s="10">
        <f>C339+Origin_Y</f>
        <v>-250</v>
      </c>
    </row>
    <row r="340" spans="1:7" x14ac:dyDescent="0.25">
      <c r="A340" s="7">
        <v>335</v>
      </c>
      <c r="B340" s="7">
        <v>591.6666666666666</v>
      </c>
      <c r="C340" s="7">
        <v>-175</v>
      </c>
      <c r="D340" s="7">
        <v>1250</v>
      </c>
      <c r="E340" s="7">
        <v>50</v>
      </c>
      <c r="F340" s="10">
        <f>B340+Origin_X</f>
        <v>591.6666666666666</v>
      </c>
      <c r="G340" s="10">
        <f>C340+Origin_Y</f>
        <v>-175</v>
      </c>
    </row>
    <row r="341" spans="1:7" x14ac:dyDescent="0.25">
      <c r="A341" s="7">
        <v>336</v>
      </c>
      <c r="B341" s="7">
        <v>566.6666666666666</v>
      </c>
      <c r="C341" s="7">
        <v>-175</v>
      </c>
      <c r="D341" s="7">
        <v>1250</v>
      </c>
      <c r="E341" s="7">
        <v>50</v>
      </c>
      <c r="F341" s="10">
        <f>B341+Origin_X</f>
        <v>566.6666666666666</v>
      </c>
      <c r="G341" s="10">
        <f>C341+Origin_Y</f>
        <v>-175</v>
      </c>
    </row>
    <row r="342" spans="1:7" x14ac:dyDescent="0.25">
      <c r="A342" s="7">
        <v>337</v>
      </c>
      <c r="B342" s="7">
        <v>558.3333333333333</v>
      </c>
      <c r="C342" s="7">
        <v>-50</v>
      </c>
      <c r="D342" s="7">
        <v>1250</v>
      </c>
      <c r="E342" s="7">
        <v>51</v>
      </c>
      <c r="F342" s="10">
        <f>B342+Origin_X</f>
        <v>558.3333333333333</v>
      </c>
      <c r="G342" s="10">
        <f>C342+Origin_Y</f>
        <v>-50</v>
      </c>
    </row>
    <row r="343" spans="1:7" x14ac:dyDescent="0.25">
      <c r="A343" s="7">
        <v>338</v>
      </c>
      <c r="B343" s="7">
        <v>558.3333333333333</v>
      </c>
      <c r="C343" s="7">
        <v>-125</v>
      </c>
      <c r="D343" s="7">
        <v>1250</v>
      </c>
      <c r="E343" s="7">
        <v>51</v>
      </c>
      <c r="F343" s="10">
        <f>B343+Origin_X</f>
        <v>558.3333333333333</v>
      </c>
      <c r="G343" s="10">
        <f>C343+Origin_Y</f>
        <v>-125</v>
      </c>
    </row>
    <row r="344" spans="1:7" x14ac:dyDescent="0.25">
      <c r="A344" s="7">
        <v>339</v>
      </c>
      <c r="B344" s="7">
        <v>583.3333333333333</v>
      </c>
      <c r="C344" s="7">
        <v>-125</v>
      </c>
      <c r="D344" s="7">
        <v>1250</v>
      </c>
      <c r="E344" s="7">
        <v>51</v>
      </c>
      <c r="F344" s="10">
        <f>B344+Origin_X</f>
        <v>583.3333333333333</v>
      </c>
      <c r="G344" s="10">
        <f>C344+Origin_Y</f>
        <v>-125</v>
      </c>
    </row>
    <row r="345" spans="1:7" x14ac:dyDescent="0.25">
      <c r="A345" s="7">
        <v>340</v>
      </c>
      <c r="B345" s="7">
        <v>591.6666666666666</v>
      </c>
      <c r="C345" s="7">
        <v>-100</v>
      </c>
      <c r="D345" s="7">
        <v>1250</v>
      </c>
      <c r="E345" s="7">
        <v>51</v>
      </c>
      <c r="F345" s="10">
        <f>B345+Origin_X</f>
        <v>591.6666666666666</v>
      </c>
      <c r="G345" s="10">
        <f>C345+Origin_Y</f>
        <v>-100</v>
      </c>
    </row>
    <row r="346" spans="1:7" x14ac:dyDescent="0.25">
      <c r="A346" s="7">
        <v>341</v>
      </c>
      <c r="B346" s="7">
        <v>591.6666666666666</v>
      </c>
      <c r="C346" s="7">
        <v>-25</v>
      </c>
      <c r="D346" s="7">
        <v>1250</v>
      </c>
      <c r="E346" s="7">
        <v>51</v>
      </c>
      <c r="F346" s="10">
        <f>B346+Origin_X</f>
        <v>591.6666666666666</v>
      </c>
      <c r="G346" s="10">
        <f>C346+Origin_Y</f>
        <v>-25</v>
      </c>
    </row>
    <row r="347" spans="1:7" x14ac:dyDescent="0.25">
      <c r="A347" s="7">
        <v>342</v>
      </c>
      <c r="B347" s="7">
        <v>566.6666666666666</v>
      </c>
      <c r="C347" s="7">
        <v>-25</v>
      </c>
      <c r="D347" s="7">
        <v>1250</v>
      </c>
      <c r="E347" s="7">
        <v>51</v>
      </c>
      <c r="F347" s="10">
        <f>B347+Origin_X</f>
        <v>566.6666666666666</v>
      </c>
      <c r="G347" s="10">
        <f>C347+Origin_Y</f>
        <v>-25</v>
      </c>
    </row>
    <row r="348" spans="1:7" x14ac:dyDescent="0.25">
      <c r="A348" s="7">
        <v>343</v>
      </c>
      <c r="B348" s="7">
        <v>558.3333333333333</v>
      </c>
      <c r="C348" s="7">
        <v>100</v>
      </c>
      <c r="D348" s="7">
        <v>1250</v>
      </c>
      <c r="E348" s="7">
        <v>52</v>
      </c>
      <c r="F348" s="10">
        <f>B348+Origin_X</f>
        <v>558.3333333333333</v>
      </c>
      <c r="G348" s="10">
        <f>C348+Origin_Y</f>
        <v>100</v>
      </c>
    </row>
    <row r="349" spans="1:7" x14ac:dyDescent="0.25">
      <c r="A349" s="7">
        <v>344</v>
      </c>
      <c r="B349" s="7">
        <v>558.3333333333333</v>
      </c>
      <c r="C349" s="7">
        <v>25</v>
      </c>
      <c r="D349" s="7">
        <v>1250</v>
      </c>
      <c r="E349" s="7">
        <v>52</v>
      </c>
      <c r="F349" s="10">
        <f>B349+Origin_X</f>
        <v>558.3333333333333</v>
      </c>
      <c r="G349" s="10">
        <f>C349+Origin_Y</f>
        <v>25</v>
      </c>
    </row>
    <row r="350" spans="1:7" x14ac:dyDescent="0.25">
      <c r="A350" s="7">
        <v>345</v>
      </c>
      <c r="B350" s="7">
        <v>583.3333333333333</v>
      </c>
      <c r="C350" s="7">
        <v>25</v>
      </c>
      <c r="D350" s="7">
        <v>1250</v>
      </c>
      <c r="E350" s="7">
        <v>52</v>
      </c>
      <c r="F350" s="10">
        <f>B350+Origin_X</f>
        <v>583.3333333333333</v>
      </c>
      <c r="G350" s="10">
        <f>C350+Origin_Y</f>
        <v>25</v>
      </c>
    </row>
    <row r="351" spans="1:7" x14ac:dyDescent="0.25">
      <c r="A351" s="7">
        <v>346</v>
      </c>
      <c r="B351" s="7">
        <v>591.6666666666666</v>
      </c>
      <c r="C351" s="7">
        <v>50</v>
      </c>
      <c r="D351" s="7">
        <v>1250</v>
      </c>
      <c r="E351" s="7">
        <v>52</v>
      </c>
      <c r="F351" s="10">
        <f>B351+Origin_X</f>
        <v>591.6666666666666</v>
      </c>
      <c r="G351" s="10">
        <f>C351+Origin_Y</f>
        <v>50</v>
      </c>
    </row>
    <row r="352" spans="1:7" x14ac:dyDescent="0.25">
      <c r="A352" s="7">
        <v>347</v>
      </c>
      <c r="B352" s="7">
        <v>591.6666666666666</v>
      </c>
      <c r="C352" s="7">
        <v>125</v>
      </c>
      <c r="D352" s="7">
        <v>1250</v>
      </c>
      <c r="E352" s="7">
        <v>52</v>
      </c>
      <c r="F352" s="10">
        <f>B352+Origin_X</f>
        <v>591.6666666666666</v>
      </c>
      <c r="G352" s="10">
        <f>C352+Origin_Y</f>
        <v>125</v>
      </c>
    </row>
    <row r="353" spans="1:7" x14ac:dyDescent="0.25">
      <c r="A353" s="7">
        <v>348</v>
      </c>
      <c r="B353" s="7">
        <v>566.6666666666666</v>
      </c>
      <c r="C353" s="7">
        <v>125</v>
      </c>
      <c r="D353" s="7">
        <v>1250</v>
      </c>
      <c r="E353" s="7">
        <v>52</v>
      </c>
      <c r="F353" s="10">
        <f>B353+Origin_X</f>
        <v>566.6666666666666</v>
      </c>
      <c r="G353" s="10">
        <f>C353+Origin_Y</f>
        <v>125</v>
      </c>
    </row>
    <row r="354" spans="1:7" x14ac:dyDescent="0.25">
      <c r="A354" s="7">
        <v>349</v>
      </c>
      <c r="B354" s="7">
        <v>558.3333333333333</v>
      </c>
      <c r="C354" s="7">
        <v>250</v>
      </c>
      <c r="D354" s="7">
        <v>1250</v>
      </c>
      <c r="E354" s="7">
        <v>53</v>
      </c>
      <c r="F354" s="10">
        <f>B354+Origin_X</f>
        <v>558.3333333333333</v>
      </c>
      <c r="G354" s="10">
        <f>C354+Origin_Y</f>
        <v>250</v>
      </c>
    </row>
    <row r="355" spans="1:7" x14ac:dyDescent="0.25">
      <c r="A355" s="7">
        <v>350</v>
      </c>
      <c r="B355" s="7">
        <v>558.3333333333333</v>
      </c>
      <c r="C355" s="7">
        <v>175</v>
      </c>
      <c r="D355" s="7">
        <v>1250</v>
      </c>
      <c r="E355" s="7">
        <v>53</v>
      </c>
      <c r="F355" s="10">
        <f>B355+Origin_X</f>
        <v>558.3333333333333</v>
      </c>
      <c r="G355" s="10">
        <f>C355+Origin_Y</f>
        <v>175</v>
      </c>
    </row>
    <row r="356" spans="1:7" x14ac:dyDescent="0.25">
      <c r="A356" s="7">
        <v>351</v>
      </c>
      <c r="B356" s="7">
        <v>583.3333333333333</v>
      </c>
      <c r="C356" s="7">
        <v>175</v>
      </c>
      <c r="D356" s="7">
        <v>1250</v>
      </c>
      <c r="E356" s="7">
        <v>53</v>
      </c>
      <c r="F356" s="10">
        <f>B356+Origin_X</f>
        <v>583.3333333333333</v>
      </c>
      <c r="G356" s="10">
        <f>C356+Origin_Y</f>
        <v>175</v>
      </c>
    </row>
    <row r="357" spans="1:7" x14ac:dyDescent="0.25">
      <c r="A357" s="7">
        <v>352</v>
      </c>
      <c r="B357" s="7">
        <v>591.6666666666666</v>
      </c>
      <c r="C357" s="7">
        <v>200</v>
      </c>
      <c r="D357" s="7">
        <v>1250</v>
      </c>
      <c r="E357" s="7">
        <v>53</v>
      </c>
      <c r="F357" s="10">
        <f>B357+Origin_X</f>
        <v>591.6666666666666</v>
      </c>
      <c r="G357" s="10">
        <f>C357+Origin_Y</f>
        <v>200</v>
      </c>
    </row>
    <row r="358" spans="1:7" x14ac:dyDescent="0.25">
      <c r="A358" s="7">
        <v>353</v>
      </c>
      <c r="B358" s="7">
        <v>591.6666666666666</v>
      </c>
      <c r="C358" s="7">
        <v>275</v>
      </c>
      <c r="D358" s="7">
        <v>1250</v>
      </c>
      <c r="E358" s="7">
        <v>53</v>
      </c>
      <c r="F358" s="10">
        <f>B358+Origin_X</f>
        <v>591.6666666666666</v>
      </c>
      <c r="G358" s="10">
        <f>C358+Origin_Y</f>
        <v>275</v>
      </c>
    </row>
    <row r="359" spans="1:7" x14ac:dyDescent="0.25">
      <c r="A359" s="7">
        <v>354</v>
      </c>
      <c r="B359" s="7">
        <v>566.6666666666666</v>
      </c>
      <c r="C359" s="7">
        <v>275</v>
      </c>
      <c r="D359" s="7">
        <v>1250</v>
      </c>
      <c r="E359" s="7">
        <v>53</v>
      </c>
      <c r="F359" s="10">
        <f>B359+Origin_X</f>
        <v>566.6666666666666</v>
      </c>
      <c r="G359" s="10">
        <f>C359+Origin_Y</f>
        <v>275</v>
      </c>
    </row>
    <row r="360" spans="1:7" x14ac:dyDescent="0.25">
      <c r="A360" s="7">
        <v>355</v>
      </c>
      <c r="B360" s="7">
        <v>466.66666666666663</v>
      </c>
      <c r="C360" s="7">
        <v>416.66666666666663</v>
      </c>
      <c r="D360" s="7">
        <v>833.3333333333334</v>
      </c>
      <c r="E360" s="7">
        <v>54</v>
      </c>
      <c r="F360" s="10">
        <f>B360+Origin_X</f>
        <v>466.66666666666663</v>
      </c>
      <c r="G360" s="10">
        <f>C360+Origin_Y</f>
        <v>416.66666666666663</v>
      </c>
    </row>
    <row r="361" spans="1:7" x14ac:dyDescent="0.25">
      <c r="A361" s="7">
        <v>356</v>
      </c>
      <c r="B361" s="7">
        <v>466.66666666666663</v>
      </c>
      <c r="C361" s="7">
        <v>391.66666666666663</v>
      </c>
      <c r="D361" s="7">
        <v>833.3333333333334</v>
      </c>
      <c r="E361" s="7">
        <v>54</v>
      </c>
      <c r="F361" s="10">
        <f>B361+Origin_X</f>
        <v>466.66666666666663</v>
      </c>
      <c r="G361" s="10">
        <f>C361+Origin_Y</f>
        <v>391.66666666666663</v>
      </c>
    </row>
    <row r="362" spans="1:7" x14ac:dyDescent="0.25">
      <c r="A362" s="7">
        <v>357</v>
      </c>
      <c r="B362" s="7">
        <v>516.6666666666666</v>
      </c>
      <c r="C362" s="7">
        <v>341.66666666666663</v>
      </c>
      <c r="D362" s="7">
        <v>833.3333333333334</v>
      </c>
      <c r="E362" s="7">
        <v>54</v>
      </c>
      <c r="F362" s="10">
        <f>B362+Origin_X</f>
        <v>516.6666666666666</v>
      </c>
      <c r="G362" s="10">
        <f>C362+Origin_Y</f>
        <v>341.66666666666663</v>
      </c>
    </row>
    <row r="363" spans="1:7" x14ac:dyDescent="0.25">
      <c r="A363" s="7">
        <v>358</v>
      </c>
      <c r="B363" s="7">
        <v>491.66666666666663</v>
      </c>
      <c r="C363" s="7">
        <v>400</v>
      </c>
      <c r="D363" s="7">
        <v>1250</v>
      </c>
      <c r="E363" s="7">
        <v>54</v>
      </c>
      <c r="F363" s="10">
        <f>B363+Origin_X</f>
        <v>491.66666666666663</v>
      </c>
      <c r="G363" s="10">
        <f>C363+Origin_Y</f>
        <v>400</v>
      </c>
    </row>
    <row r="364" spans="1:7" x14ac:dyDescent="0.25">
      <c r="A364" s="7">
        <v>359</v>
      </c>
      <c r="B364" s="7">
        <v>541.6666666666666</v>
      </c>
      <c r="C364" s="7">
        <v>325</v>
      </c>
      <c r="D364" s="7">
        <v>1250</v>
      </c>
      <c r="E364" s="7">
        <v>54</v>
      </c>
      <c r="F364" s="10">
        <f>B364+Origin_X</f>
        <v>541.6666666666666</v>
      </c>
      <c r="G364" s="10">
        <f>C364+Origin_Y</f>
        <v>325</v>
      </c>
    </row>
    <row r="365" spans="1:7" x14ac:dyDescent="0.25">
      <c r="A365" s="7">
        <v>360</v>
      </c>
      <c r="B365" s="7">
        <v>566.6666666666666</v>
      </c>
      <c r="C365" s="7">
        <v>325</v>
      </c>
      <c r="D365" s="7">
        <v>1250</v>
      </c>
      <c r="E365" s="7">
        <v>54</v>
      </c>
      <c r="F365" s="10">
        <f>B365+Origin_X</f>
        <v>566.6666666666666</v>
      </c>
      <c r="G365" s="10">
        <f>C365+Origin_Y</f>
        <v>325</v>
      </c>
    </row>
    <row r="366" spans="1:7" x14ac:dyDescent="0.25">
      <c r="A366" s="7">
        <v>361</v>
      </c>
      <c r="B366" s="7">
        <v>575</v>
      </c>
      <c r="C366" s="7">
        <v>350</v>
      </c>
      <c r="D366" s="7">
        <v>3750</v>
      </c>
      <c r="E366" s="7">
        <v>54</v>
      </c>
      <c r="F366" s="10">
        <f>B366+Origin_X</f>
        <v>575</v>
      </c>
      <c r="G366" s="10">
        <f>C366+Origin_Y</f>
        <v>350</v>
      </c>
    </row>
    <row r="367" spans="1:7" x14ac:dyDescent="0.25">
      <c r="A367" s="7">
        <v>362</v>
      </c>
      <c r="B367" s="7">
        <v>575</v>
      </c>
      <c r="C367" s="7">
        <v>425</v>
      </c>
      <c r="D367" s="7">
        <v>3750</v>
      </c>
      <c r="E367" s="7">
        <v>54</v>
      </c>
      <c r="F367" s="10">
        <f>B367+Origin_X</f>
        <v>575</v>
      </c>
      <c r="G367" s="10">
        <f>C367+Origin_Y</f>
        <v>425</v>
      </c>
    </row>
    <row r="368" spans="1:7" x14ac:dyDescent="0.25">
      <c r="A368" s="7">
        <v>363</v>
      </c>
      <c r="B368" s="7">
        <v>500</v>
      </c>
      <c r="C368" s="7">
        <v>425</v>
      </c>
      <c r="D368" s="7">
        <v>3750</v>
      </c>
      <c r="E368" s="7">
        <v>54</v>
      </c>
      <c r="F368" s="10">
        <f>B368+Origin_X</f>
        <v>500</v>
      </c>
      <c r="G368" s="10">
        <f>C368+Origin_Y</f>
        <v>425</v>
      </c>
    </row>
    <row r="369" spans="1:7" x14ac:dyDescent="0.25">
      <c r="A369" s="7">
        <v>364</v>
      </c>
      <c r="B369" s="7">
        <v>475</v>
      </c>
      <c r="C369" s="7">
        <v>550</v>
      </c>
      <c r="D369" s="7">
        <v>3750</v>
      </c>
      <c r="E369" s="7">
        <v>55</v>
      </c>
      <c r="F369" s="10">
        <f>B369+Origin_X</f>
        <v>475</v>
      </c>
      <c r="G369" s="10">
        <f>C369+Origin_Y</f>
        <v>550</v>
      </c>
    </row>
    <row r="370" spans="1:7" x14ac:dyDescent="0.25">
      <c r="A370" s="7">
        <v>365</v>
      </c>
      <c r="B370" s="7">
        <v>475</v>
      </c>
      <c r="C370" s="7">
        <v>475</v>
      </c>
      <c r="D370" s="7">
        <v>3750</v>
      </c>
      <c r="E370" s="7">
        <v>55</v>
      </c>
      <c r="F370" s="10">
        <f>B370+Origin_X</f>
        <v>475</v>
      </c>
      <c r="G370" s="10">
        <f>C370+Origin_Y</f>
        <v>475</v>
      </c>
    </row>
    <row r="371" spans="1:7" x14ac:dyDescent="0.25">
      <c r="A371" s="7">
        <v>366</v>
      </c>
      <c r="B371" s="7">
        <v>550</v>
      </c>
      <c r="C371" s="7">
        <v>475</v>
      </c>
      <c r="D371" s="7">
        <v>3750</v>
      </c>
      <c r="E371" s="7">
        <v>55</v>
      </c>
      <c r="F371" s="10">
        <f>B371+Origin_X</f>
        <v>550</v>
      </c>
      <c r="G371" s="10">
        <f>C371+Origin_Y</f>
        <v>475</v>
      </c>
    </row>
    <row r="372" spans="1:7" x14ac:dyDescent="0.25">
      <c r="A372" s="7">
        <v>367</v>
      </c>
      <c r="B372" s="7">
        <v>500</v>
      </c>
      <c r="C372" s="7">
        <v>566.6666666666666</v>
      </c>
      <c r="D372" s="7">
        <v>2500</v>
      </c>
      <c r="E372" s="7">
        <v>55</v>
      </c>
      <c r="F372" s="10">
        <f>B372+Origin_X</f>
        <v>500</v>
      </c>
      <c r="G372" s="10">
        <f>C372+Origin_Y</f>
        <v>566.6666666666666</v>
      </c>
    </row>
    <row r="373" spans="1:7" x14ac:dyDescent="0.25">
      <c r="A373" s="7">
        <v>368</v>
      </c>
      <c r="B373" s="7">
        <v>575</v>
      </c>
      <c r="C373" s="7">
        <v>491.66666666666663</v>
      </c>
      <c r="D373" s="7">
        <v>2500</v>
      </c>
      <c r="E373" s="7">
        <v>55</v>
      </c>
      <c r="F373" s="10">
        <f>B373+Origin_X</f>
        <v>575</v>
      </c>
      <c r="G373" s="10">
        <f>C373+Origin_Y</f>
        <v>491.66666666666663</v>
      </c>
    </row>
    <row r="374" spans="1:7" x14ac:dyDescent="0.25">
      <c r="A374" s="7">
        <v>369</v>
      </c>
      <c r="B374" s="7">
        <v>575</v>
      </c>
      <c r="C374" s="7">
        <v>541.6666666666666</v>
      </c>
      <c r="D374" s="7">
        <v>2500</v>
      </c>
      <c r="E374" s="7">
        <v>55</v>
      </c>
      <c r="F374" s="10">
        <f>B374+Origin_X</f>
        <v>575</v>
      </c>
      <c r="G374" s="10">
        <f>C374+Origin_Y</f>
        <v>541.6666666666666</v>
      </c>
    </row>
    <row r="375" spans="1:7" x14ac:dyDescent="0.25">
      <c r="A375" s="7">
        <v>370</v>
      </c>
      <c r="B375" s="7">
        <v>566.6666666666666</v>
      </c>
      <c r="C375" s="7">
        <v>566.6666666666666</v>
      </c>
      <c r="D375" s="7">
        <v>833.3333333333334</v>
      </c>
      <c r="E375" s="7">
        <v>55</v>
      </c>
      <c r="F375" s="10">
        <f>B375+Origin_X</f>
        <v>566.6666666666666</v>
      </c>
      <c r="G375" s="10">
        <f>C375+Origin_Y</f>
        <v>566.6666666666666</v>
      </c>
    </row>
    <row r="376" spans="1:7" x14ac:dyDescent="0.25">
      <c r="A376" s="7">
        <v>371</v>
      </c>
      <c r="B376" s="7">
        <v>541.6666666666666</v>
      </c>
      <c r="C376" s="7">
        <v>591.6666666666666</v>
      </c>
      <c r="D376" s="7">
        <v>833.3333333333334</v>
      </c>
      <c r="E376" s="7">
        <v>55</v>
      </c>
      <c r="F376" s="10">
        <f>B376+Origin_X</f>
        <v>541.6666666666666</v>
      </c>
      <c r="G376" s="10">
        <f>C376+Origin_Y</f>
        <v>591.6666666666666</v>
      </c>
    </row>
    <row r="377" spans="1:7" x14ac:dyDescent="0.25">
      <c r="A377" s="7">
        <v>372</v>
      </c>
      <c r="B377" s="7">
        <v>491.66666666666663</v>
      </c>
      <c r="C377" s="7">
        <v>591.6666666666666</v>
      </c>
      <c r="D377" s="7">
        <v>833.3333333333334</v>
      </c>
      <c r="E377" s="7">
        <v>55</v>
      </c>
      <c r="F377" s="10">
        <f>B377+Origin_X</f>
        <v>491.66666666666663</v>
      </c>
      <c r="G377" s="10">
        <f>C377+Origin_Y</f>
        <v>591.6666666666666</v>
      </c>
    </row>
    <row r="378" spans="1:7" x14ac:dyDescent="0.25">
      <c r="A378" s="7">
        <v>373</v>
      </c>
      <c r="B378" s="7">
        <v>616.6666666666666</v>
      </c>
      <c r="C378" s="7">
        <v>-516.6666666666666</v>
      </c>
      <c r="D378" s="7">
        <v>1666.6666666666667</v>
      </c>
      <c r="E378" s="7">
        <v>56</v>
      </c>
      <c r="F378" s="10">
        <f>B378+Origin_X</f>
        <v>616.6666666666666</v>
      </c>
      <c r="G378" s="10">
        <f>C378+Origin_Y</f>
        <v>-516.6666666666666</v>
      </c>
    </row>
    <row r="379" spans="1:7" x14ac:dyDescent="0.25">
      <c r="A379" s="7">
        <v>374</v>
      </c>
      <c r="B379" s="7">
        <v>666.6666666666666</v>
      </c>
      <c r="C379" s="7">
        <v>-466.66666666666663</v>
      </c>
      <c r="D379" s="7">
        <v>1666.6666666666667</v>
      </c>
      <c r="E379" s="7">
        <v>56</v>
      </c>
      <c r="F379" s="10">
        <f>B379+Origin_X</f>
        <v>666.6666666666666</v>
      </c>
      <c r="G379" s="10">
        <f>C379+Origin_Y</f>
        <v>-466.66666666666663</v>
      </c>
    </row>
    <row r="380" spans="1:7" x14ac:dyDescent="0.25">
      <c r="A380" s="7">
        <v>375</v>
      </c>
      <c r="B380" s="7">
        <v>616.6666666666666</v>
      </c>
      <c r="C380" s="7">
        <v>-466.66666666666663</v>
      </c>
      <c r="D380" s="7">
        <v>1666.6666666666667</v>
      </c>
      <c r="E380" s="7">
        <v>56</v>
      </c>
      <c r="F380" s="10">
        <f>B380+Origin_X</f>
        <v>616.6666666666666</v>
      </c>
      <c r="G380" s="10">
        <f>C380+Origin_Y</f>
        <v>-466.66666666666663</v>
      </c>
    </row>
    <row r="381" spans="1:7" x14ac:dyDescent="0.25">
      <c r="A381" s="7">
        <v>376</v>
      </c>
      <c r="B381" s="7">
        <v>616.6666666666666</v>
      </c>
      <c r="C381" s="7">
        <v>-350</v>
      </c>
      <c r="D381" s="7">
        <v>2500</v>
      </c>
      <c r="E381" s="7">
        <v>57</v>
      </c>
      <c r="F381" s="10">
        <f>B381+Origin_X</f>
        <v>616.6666666666666</v>
      </c>
      <c r="G381" s="10">
        <f>C381+Origin_Y</f>
        <v>-350</v>
      </c>
    </row>
    <row r="382" spans="1:7" x14ac:dyDescent="0.25">
      <c r="A382" s="7">
        <v>377</v>
      </c>
      <c r="B382" s="7">
        <v>616.6666666666666</v>
      </c>
      <c r="C382" s="7">
        <v>-425</v>
      </c>
      <c r="D382" s="7">
        <v>2500</v>
      </c>
      <c r="E382" s="7">
        <v>57</v>
      </c>
      <c r="F382" s="10">
        <f>B382+Origin_X</f>
        <v>616.6666666666666</v>
      </c>
      <c r="G382" s="10">
        <f>C382+Origin_Y</f>
        <v>-425</v>
      </c>
    </row>
    <row r="383" spans="1:7" x14ac:dyDescent="0.25">
      <c r="A383" s="7">
        <v>378</v>
      </c>
      <c r="B383" s="7">
        <v>666.6666666666666</v>
      </c>
      <c r="C383" s="7">
        <v>-425</v>
      </c>
      <c r="D383" s="7">
        <v>2500</v>
      </c>
      <c r="E383" s="7">
        <v>57</v>
      </c>
      <c r="F383" s="10">
        <f>B383+Origin_X</f>
        <v>666.6666666666666</v>
      </c>
      <c r="G383" s="10">
        <f>C383+Origin_Y</f>
        <v>-425</v>
      </c>
    </row>
    <row r="384" spans="1:7" x14ac:dyDescent="0.25">
      <c r="A384" s="7">
        <v>379</v>
      </c>
      <c r="B384" s="7">
        <v>641.6666666666666</v>
      </c>
      <c r="C384" s="7">
        <v>-341.66666666666663</v>
      </c>
      <c r="D384" s="7">
        <v>2083.3333333333335</v>
      </c>
      <c r="E384" s="7">
        <v>57</v>
      </c>
      <c r="F384" s="10">
        <f>B384+Origin_X</f>
        <v>641.6666666666666</v>
      </c>
      <c r="G384" s="10">
        <f>C384+Origin_Y</f>
        <v>-341.66666666666663</v>
      </c>
    </row>
    <row r="385" spans="1:7" x14ac:dyDescent="0.25">
      <c r="A385" s="7">
        <v>380</v>
      </c>
      <c r="B385" s="7">
        <v>691.6666666666666</v>
      </c>
      <c r="C385" s="7">
        <v>-416.66666666666663</v>
      </c>
      <c r="D385" s="7">
        <v>2083.3333333333335</v>
      </c>
      <c r="E385" s="7">
        <v>57</v>
      </c>
      <c r="F385" s="10">
        <f>B385+Origin_X</f>
        <v>691.6666666666666</v>
      </c>
      <c r="G385" s="10">
        <f>C385+Origin_Y</f>
        <v>-416.66666666666663</v>
      </c>
    </row>
    <row r="386" spans="1:7" x14ac:dyDescent="0.25">
      <c r="A386" s="7">
        <v>381</v>
      </c>
      <c r="B386" s="7">
        <v>716.6666666666666</v>
      </c>
      <c r="C386" s="7">
        <v>-391.66666666666663</v>
      </c>
      <c r="D386" s="7">
        <v>2083.3333333333335</v>
      </c>
      <c r="E386" s="7">
        <v>57</v>
      </c>
      <c r="F386" s="10">
        <f>B386+Origin_X</f>
        <v>716.6666666666666</v>
      </c>
      <c r="G386" s="10">
        <f>C386+Origin_Y</f>
        <v>-391.66666666666663</v>
      </c>
    </row>
    <row r="387" spans="1:7" x14ac:dyDescent="0.25">
      <c r="A387" s="7">
        <v>382</v>
      </c>
      <c r="B387" s="7">
        <v>725</v>
      </c>
      <c r="C387" s="7">
        <v>-366.66666666666663</v>
      </c>
      <c r="D387" s="7">
        <v>2500</v>
      </c>
      <c r="E387" s="7">
        <v>57</v>
      </c>
      <c r="F387" s="10">
        <f>B387+Origin_X</f>
        <v>725</v>
      </c>
      <c r="G387" s="10">
        <f>C387+Origin_Y</f>
        <v>-366.66666666666663</v>
      </c>
    </row>
    <row r="388" spans="1:7" x14ac:dyDescent="0.25">
      <c r="A388" s="7">
        <v>383</v>
      </c>
      <c r="B388" s="7">
        <v>725</v>
      </c>
      <c r="C388" s="7">
        <v>-316.66666666666663</v>
      </c>
      <c r="D388" s="7">
        <v>2500</v>
      </c>
      <c r="E388" s="7">
        <v>57</v>
      </c>
      <c r="F388" s="10">
        <f>B388+Origin_X</f>
        <v>725</v>
      </c>
      <c r="G388" s="10">
        <f>C388+Origin_Y</f>
        <v>-316.66666666666663</v>
      </c>
    </row>
    <row r="389" spans="1:7" x14ac:dyDescent="0.25">
      <c r="A389" s="7">
        <v>384</v>
      </c>
      <c r="B389" s="7">
        <v>650</v>
      </c>
      <c r="C389" s="7">
        <v>-316.66666666666663</v>
      </c>
      <c r="D389" s="7">
        <v>2500</v>
      </c>
      <c r="E389" s="7">
        <v>57</v>
      </c>
      <c r="F389" s="10">
        <f>B389+Origin_X</f>
        <v>650</v>
      </c>
      <c r="G389" s="10">
        <f>C389+Origin_Y</f>
        <v>-316.66666666666663</v>
      </c>
    </row>
    <row r="390" spans="1:7" x14ac:dyDescent="0.25">
      <c r="A390" s="7">
        <v>385</v>
      </c>
      <c r="B390" s="7">
        <v>625</v>
      </c>
      <c r="C390" s="7">
        <v>-200</v>
      </c>
      <c r="D390" s="7">
        <v>3750</v>
      </c>
      <c r="E390" s="7">
        <v>58</v>
      </c>
      <c r="F390" s="10">
        <f>B390+Origin_X</f>
        <v>625</v>
      </c>
      <c r="G390" s="10">
        <f>C390+Origin_Y</f>
        <v>-200</v>
      </c>
    </row>
    <row r="391" spans="1:7" x14ac:dyDescent="0.25">
      <c r="A391" s="7">
        <v>386</v>
      </c>
      <c r="B391" s="7">
        <v>625</v>
      </c>
      <c r="C391" s="7">
        <v>-275</v>
      </c>
      <c r="D391" s="7">
        <v>3750</v>
      </c>
      <c r="E391" s="7">
        <v>58</v>
      </c>
      <c r="F391" s="10">
        <f>B391+Origin_X</f>
        <v>625</v>
      </c>
      <c r="G391" s="10">
        <f>C391+Origin_Y</f>
        <v>-275</v>
      </c>
    </row>
    <row r="392" spans="1:7" x14ac:dyDescent="0.25">
      <c r="A392" s="7">
        <v>387</v>
      </c>
      <c r="B392" s="7">
        <v>700</v>
      </c>
      <c r="C392" s="7">
        <v>-275</v>
      </c>
      <c r="D392" s="7">
        <v>3750</v>
      </c>
      <c r="E392" s="7">
        <v>58</v>
      </c>
      <c r="F392" s="10">
        <f>B392+Origin_X</f>
        <v>700</v>
      </c>
      <c r="G392" s="10">
        <f>C392+Origin_Y</f>
        <v>-275</v>
      </c>
    </row>
    <row r="393" spans="1:7" x14ac:dyDescent="0.25">
      <c r="A393" s="7">
        <v>388</v>
      </c>
      <c r="B393" s="7">
        <v>725</v>
      </c>
      <c r="C393" s="7">
        <v>-250</v>
      </c>
      <c r="D393" s="7">
        <v>3750</v>
      </c>
      <c r="E393" s="7">
        <v>58</v>
      </c>
      <c r="F393" s="10">
        <f>B393+Origin_X</f>
        <v>725</v>
      </c>
      <c r="G393" s="10">
        <f>C393+Origin_Y</f>
        <v>-250</v>
      </c>
    </row>
    <row r="394" spans="1:7" x14ac:dyDescent="0.25">
      <c r="A394" s="7">
        <v>389</v>
      </c>
      <c r="B394" s="7">
        <v>725</v>
      </c>
      <c r="C394" s="7">
        <v>-175</v>
      </c>
      <c r="D394" s="7">
        <v>3750</v>
      </c>
      <c r="E394" s="7">
        <v>58</v>
      </c>
      <c r="F394" s="10">
        <f>B394+Origin_X</f>
        <v>725</v>
      </c>
      <c r="G394" s="10">
        <f>C394+Origin_Y</f>
        <v>-175</v>
      </c>
    </row>
    <row r="395" spans="1:7" x14ac:dyDescent="0.25">
      <c r="A395" s="7">
        <v>390</v>
      </c>
      <c r="B395" s="7">
        <v>650</v>
      </c>
      <c r="C395" s="7">
        <v>-175</v>
      </c>
      <c r="D395" s="7">
        <v>3750</v>
      </c>
      <c r="E395" s="7">
        <v>58</v>
      </c>
      <c r="F395" s="10">
        <f>B395+Origin_X</f>
        <v>650</v>
      </c>
      <c r="G395" s="10">
        <f>C395+Origin_Y</f>
        <v>-175</v>
      </c>
    </row>
    <row r="396" spans="1:7" x14ac:dyDescent="0.25">
      <c r="A396" s="7">
        <v>391</v>
      </c>
      <c r="B396" s="7">
        <v>625</v>
      </c>
      <c r="C396" s="7">
        <v>-50</v>
      </c>
      <c r="D396" s="7">
        <v>3750</v>
      </c>
      <c r="E396" s="7">
        <v>59</v>
      </c>
      <c r="F396" s="10">
        <f>B396+Origin_X</f>
        <v>625</v>
      </c>
      <c r="G396" s="10">
        <f>C396+Origin_Y</f>
        <v>-50</v>
      </c>
    </row>
    <row r="397" spans="1:7" x14ac:dyDescent="0.25">
      <c r="A397" s="7">
        <v>392</v>
      </c>
      <c r="B397" s="7">
        <v>625</v>
      </c>
      <c r="C397" s="7">
        <v>-125</v>
      </c>
      <c r="D397" s="7">
        <v>3750</v>
      </c>
      <c r="E397" s="7">
        <v>59</v>
      </c>
      <c r="F397" s="10">
        <f>B397+Origin_X</f>
        <v>625</v>
      </c>
      <c r="G397" s="10">
        <f>C397+Origin_Y</f>
        <v>-125</v>
      </c>
    </row>
    <row r="398" spans="1:7" x14ac:dyDescent="0.25">
      <c r="A398" s="7">
        <v>393</v>
      </c>
      <c r="B398" s="7">
        <v>700</v>
      </c>
      <c r="C398" s="7">
        <v>-125</v>
      </c>
      <c r="D398" s="7">
        <v>3750</v>
      </c>
      <c r="E398" s="7">
        <v>59</v>
      </c>
      <c r="F398" s="10">
        <f>B398+Origin_X</f>
        <v>700</v>
      </c>
      <c r="G398" s="10">
        <f>C398+Origin_Y</f>
        <v>-125</v>
      </c>
    </row>
    <row r="399" spans="1:7" x14ac:dyDescent="0.25">
      <c r="A399" s="7">
        <v>394</v>
      </c>
      <c r="B399" s="7">
        <v>725</v>
      </c>
      <c r="C399" s="7">
        <v>-100</v>
      </c>
      <c r="D399" s="7">
        <v>3750</v>
      </c>
      <c r="E399" s="7">
        <v>59</v>
      </c>
      <c r="F399" s="10">
        <f>B399+Origin_X</f>
        <v>725</v>
      </c>
      <c r="G399" s="10">
        <f>C399+Origin_Y</f>
        <v>-100</v>
      </c>
    </row>
    <row r="400" spans="1:7" x14ac:dyDescent="0.25">
      <c r="A400" s="7">
        <v>395</v>
      </c>
      <c r="B400" s="7">
        <v>725</v>
      </c>
      <c r="C400" s="7">
        <v>-25</v>
      </c>
      <c r="D400" s="7">
        <v>3750</v>
      </c>
      <c r="E400" s="7">
        <v>59</v>
      </c>
      <c r="F400" s="10">
        <f>B400+Origin_X</f>
        <v>725</v>
      </c>
      <c r="G400" s="10">
        <f>C400+Origin_Y</f>
        <v>-25</v>
      </c>
    </row>
    <row r="401" spans="1:7" x14ac:dyDescent="0.25">
      <c r="A401" s="7">
        <v>396</v>
      </c>
      <c r="B401" s="7">
        <v>650</v>
      </c>
      <c r="C401" s="7">
        <v>-25</v>
      </c>
      <c r="D401" s="7">
        <v>3750</v>
      </c>
      <c r="E401" s="7">
        <v>59</v>
      </c>
      <c r="F401" s="10">
        <f>B401+Origin_X</f>
        <v>650</v>
      </c>
      <c r="G401" s="10">
        <f>C401+Origin_Y</f>
        <v>-25</v>
      </c>
    </row>
    <row r="402" spans="1:7" x14ac:dyDescent="0.25">
      <c r="A402" s="7">
        <v>397</v>
      </c>
      <c r="B402" s="7">
        <v>625</v>
      </c>
      <c r="C402" s="7">
        <v>100</v>
      </c>
      <c r="D402" s="7">
        <v>3750</v>
      </c>
      <c r="E402" s="7">
        <v>60</v>
      </c>
      <c r="F402" s="10">
        <f>B402+Origin_X</f>
        <v>625</v>
      </c>
      <c r="G402" s="10">
        <f>C402+Origin_Y</f>
        <v>100</v>
      </c>
    </row>
    <row r="403" spans="1:7" x14ac:dyDescent="0.25">
      <c r="A403" s="7">
        <v>398</v>
      </c>
      <c r="B403" s="7">
        <v>625</v>
      </c>
      <c r="C403" s="7">
        <v>25</v>
      </c>
      <c r="D403" s="7">
        <v>3750</v>
      </c>
      <c r="E403" s="7">
        <v>60</v>
      </c>
      <c r="F403" s="10">
        <f>B403+Origin_X</f>
        <v>625</v>
      </c>
      <c r="G403" s="10">
        <f>C403+Origin_Y</f>
        <v>25</v>
      </c>
    </row>
    <row r="404" spans="1:7" x14ac:dyDescent="0.25">
      <c r="A404" s="7">
        <v>399</v>
      </c>
      <c r="B404" s="7">
        <v>700</v>
      </c>
      <c r="C404" s="7">
        <v>25</v>
      </c>
      <c r="D404" s="7">
        <v>3750</v>
      </c>
      <c r="E404" s="7">
        <v>60</v>
      </c>
      <c r="F404" s="10">
        <f>B404+Origin_X</f>
        <v>700</v>
      </c>
      <c r="G404" s="10">
        <f>C404+Origin_Y</f>
        <v>25</v>
      </c>
    </row>
    <row r="405" spans="1:7" x14ac:dyDescent="0.25">
      <c r="A405" s="7">
        <v>400</v>
      </c>
      <c r="B405" s="7">
        <v>725</v>
      </c>
      <c r="C405" s="7">
        <v>50</v>
      </c>
      <c r="D405" s="7">
        <v>3750</v>
      </c>
      <c r="E405" s="7">
        <v>60</v>
      </c>
      <c r="F405" s="10">
        <f>B405+Origin_X</f>
        <v>725</v>
      </c>
      <c r="G405" s="10">
        <f>C405+Origin_Y</f>
        <v>50</v>
      </c>
    </row>
    <row r="406" spans="1:7" x14ac:dyDescent="0.25">
      <c r="A406" s="7">
        <v>401</v>
      </c>
      <c r="B406" s="7">
        <v>725</v>
      </c>
      <c r="C406" s="7">
        <v>125</v>
      </c>
      <c r="D406" s="7">
        <v>3750</v>
      </c>
      <c r="E406" s="7">
        <v>60</v>
      </c>
      <c r="F406" s="10">
        <f>B406+Origin_X</f>
        <v>725</v>
      </c>
      <c r="G406" s="10">
        <f>C406+Origin_Y</f>
        <v>125</v>
      </c>
    </row>
    <row r="407" spans="1:7" x14ac:dyDescent="0.25">
      <c r="A407" s="7">
        <v>402</v>
      </c>
      <c r="B407" s="7">
        <v>650</v>
      </c>
      <c r="C407" s="7">
        <v>125</v>
      </c>
      <c r="D407" s="7">
        <v>3750</v>
      </c>
      <c r="E407" s="7">
        <v>60</v>
      </c>
      <c r="F407" s="10">
        <f>B407+Origin_X</f>
        <v>650</v>
      </c>
      <c r="G407" s="10">
        <f>C407+Origin_Y</f>
        <v>125</v>
      </c>
    </row>
    <row r="408" spans="1:7" x14ac:dyDescent="0.25">
      <c r="A408" s="7">
        <v>403</v>
      </c>
      <c r="B408" s="7">
        <v>625</v>
      </c>
      <c r="C408" s="7">
        <v>250</v>
      </c>
      <c r="D408" s="7">
        <v>3750</v>
      </c>
      <c r="E408" s="7">
        <v>61</v>
      </c>
      <c r="F408" s="10">
        <f>B408+Origin_X</f>
        <v>625</v>
      </c>
      <c r="G408" s="10">
        <f>C408+Origin_Y</f>
        <v>250</v>
      </c>
    </row>
    <row r="409" spans="1:7" x14ac:dyDescent="0.25">
      <c r="A409" s="7">
        <v>404</v>
      </c>
      <c r="B409" s="7">
        <v>625</v>
      </c>
      <c r="C409" s="7">
        <v>175</v>
      </c>
      <c r="D409" s="7">
        <v>3750</v>
      </c>
      <c r="E409" s="7">
        <v>61</v>
      </c>
      <c r="F409" s="10">
        <f>B409+Origin_X</f>
        <v>625</v>
      </c>
      <c r="G409" s="10">
        <f>C409+Origin_Y</f>
        <v>175</v>
      </c>
    </row>
    <row r="410" spans="1:7" x14ac:dyDescent="0.25">
      <c r="A410" s="7">
        <v>405</v>
      </c>
      <c r="B410" s="7">
        <v>700</v>
      </c>
      <c r="C410" s="7">
        <v>175</v>
      </c>
      <c r="D410" s="7">
        <v>3750</v>
      </c>
      <c r="E410" s="7">
        <v>61</v>
      </c>
      <c r="F410" s="10">
        <f>B410+Origin_X</f>
        <v>700</v>
      </c>
      <c r="G410" s="10">
        <f>C410+Origin_Y</f>
        <v>175</v>
      </c>
    </row>
    <row r="411" spans="1:7" x14ac:dyDescent="0.25">
      <c r="A411" s="7">
        <v>406</v>
      </c>
      <c r="B411" s="7">
        <v>725</v>
      </c>
      <c r="C411" s="7">
        <v>200</v>
      </c>
      <c r="D411" s="7">
        <v>3750</v>
      </c>
      <c r="E411" s="7">
        <v>61</v>
      </c>
      <c r="F411" s="10">
        <f>B411+Origin_X</f>
        <v>725</v>
      </c>
      <c r="G411" s="10">
        <f>C411+Origin_Y</f>
        <v>200</v>
      </c>
    </row>
    <row r="412" spans="1:7" x14ac:dyDescent="0.25">
      <c r="A412" s="7">
        <v>407</v>
      </c>
      <c r="B412" s="7">
        <v>725</v>
      </c>
      <c r="C412" s="7">
        <v>275</v>
      </c>
      <c r="D412" s="7">
        <v>3750</v>
      </c>
      <c r="E412" s="7">
        <v>61</v>
      </c>
      <c r="F412" s="10">
        <f>B412+Origin_X</f>
        <v>725</v>
      </c>
      <c r="G412" s="10">
        <f>C412+Origin_Y</f>
        <v>275</v>
      </c>
    </row>
    <row r="413" spans="1:7" x14ac:dyDescent="0.25">
      <c r="A413" s="7">
        <v>408</v>
      </c>
      <c r="B413" s="7">
        <v>650</v>
      </c>
      <c r="C413" s="7">
        <v>275</v>
      </c>
      <c r="D413" s="7">
        <v>3750</v>
      </c>
      <c r="E413" s="7">
        <v>61</v>
      </c>
      <c r="F413" s="10">
        <f>B413+Origin_X</f>
        <v>650</v>
      </c>
      <c r="G413" s="10">
        <f>C413+Origin_Y</f>
        <v>275</v>
      </c>
    </row>
    <row r="414" spans="1:7" x14ac:dyDescent="0.25">
      <c r="A414" s="7">
        <v>409</v>
      </c>
      <c r="B414" s="7">
        <v>625</v>
      </c>
      <c r="C414" s="7">
        <v>400</v>
      </c>
      <c r="D414" s="7">
        <v>3750</v>
      </c>
      <c r="E414" s="7">
        <v>62</v>
      </c>
      <c r="F414" s="10">
        <f>B414+Origin_X</f>
        <v>625</v>
      </c>
      <c r="G414" s="10">
        <f>C414+Origin_Y</f>
        <v>400</v>
      </c>
    </row>
    <row r="415" spans="1:7" x14ac:dyDescent="0.25">
      <c r="A415" s="7">
        <v>410</v>
      </c>
      <c r="B415" s="7">
        <v>625</v>
      </c>
      <c r="C415" s="7">
        <v>325</v>
      </c>
      <c r="D415" s="7">
        <v>3750</v>
      </c>
      <c r="E415" s="7">
        <v>62</v>
      </c>
      <c r="F415" s="10">
        <f>B415+Origin_X</f>
        <v>625</v>
      </c>
      <c r="G415" s="10">
        <f>C415+Origin_Y</f>
        <v>325</v>
      </c>
    </row>
    <row r="416" spans="1:7" x14ac:dyDescent="0.25">
      <c r="A416" s="7">
        <v>411</v>
      </c>
      <c r="B416" s="7">
        <v>700</v>
      </c>
      <c r="C416" s="7">
        <v>325</v>
      </c>
      <c r="D416" s="7">
        <v>3750</v>
      </c>
      <c r="E416" s="7">
        <v>62</v>
      </c>
      <c r="F416" s="10">
        <f>B416+Origin_X</f>
        <v>700</v>
      </c>
      <c r="G416" s="10">
        <f>C416+Origin_Y</f>
        <v>325</v>
      </c>
    </row>
    <row r="417" spans="1:7" x14ac:dyDescent="0.25">
      <c r="A417" s="7">
        <v>412</v>
      </c>
      <c r="B417" s="7">
        <v>650</v>
      </c>
      <c r="C417" s="7">
        <v>416.66666666666663</v>
      </c>
      <c r="D417" s="7">
        <v>2500</v>
      </c>
      <c r="E417" s="7">
        <v>62</v>
      </c>
      <c r="F417" s="10">
        <f>B417+Origin_X</f>
        <v>650</v>
      </c>
      <c r="G417" s="10">
        <f>C417+Origin_Y</f>
        <v>416.66666666666663</v>
      </c>
    </row>
    <row r="418" spans="1:7" x14ac:dyDescent="0.25">
      <c r="A418" s="7">
        <v>413</v>
      </c>
      <c r="B418" s="7">
        <v>725</v>
      </c>
      <c r="C418" s="7">
        <v>341.66666666666663</v>
      </c>
      <c r="D418" s="7">
        <v>2500</v>
      </c>
      <c r="E418" s="7">
        <v>62</v>
      </c>
      <c r="F418" s="10">
        <f>B418+Origin_X</f>
        <v>725</v>
      </c>
      <c r="G418" s="10">
        <f>C418+Origin_Y</f>
        <v>341.66666666666663</v>
      </c>
    </row>
    <row r="419" spans="1:7" x14ac:dyDescent="0.25">
      <c r="A419" s="7">
        <v>414</v>
      </c>
      <c r="B419" s="7">
        <v>725</v>
      </c>
      <c r="C419" s="7">
        <v>391.66666666666663</v>
      </c>
      <c r="D419" s="7">
        <v>2500</v>
      </c>
      <c r="E419" s="7">
        <v>62</v>
      </c>
      <c r="F419" s="10">
        <f>B419+Origin_X</f>
        <v>725</v>
      </c>
      <c r="G419" s="10">
        <f>C419+Origin_Y</f>
        <v>391.66666666666663</v>
      </c>
    </row>
    <row r="420" spans="1:7" x14ac:dyDescent="0.25">
      <c r="A420" s="7">
        <v>415</v>
      </c>
      <c r="B420" s="7">
        <v>716.6666666666666</v>
      </c>
      <c r="C420" s="7">
        <v>416.66666666666663</v>
      </c>
      <c r="D420" s="7">
        <v>833.3333333333334</v>
      </c>
      <c r="E420" s="7">
        <v>62</v>
      </c>
      <c r="F420" s="10">
        <f>B420+Origin_X</f>
        <v>716.6666666666666</v>
      </c>
      <c r="G420" s="10">
        <f>C420+Origin_Y</f>
        <v>416.66666666666663</v>
      </c>
    </row>
    <row r="421" spans="1:7" x14ac:dyDescent="0.25">
      <c r="A421" s="7">
        <v>416</v>
      </c>
      <c r="B421" s="7">
        <v>691.6666666666666</v>
      </c>
      <c r="C421" s="7">
        <v>441.66666666666663</v>
      </c>
      <c r="D421" s="7">
        <v>833.3333333333334</v>
      </c>
      <c r="E421" s="7">
        <v>62</v>
      </c>
      <c r="F421" s="10">
        <f>B421+Origin_X</f>
        <v>691.6666666666666</v>
      </c>
      <c r="G421" s="10">
        <f>C421+Origin_Y</f>
        <v>441.66666666666663</v>
      </c>
    </row>
    <row r="422" spans="1:7" x14ac:dyDescent="0.25">
      <c r="A422" s="7">
        <v>417</v>
      </c>
      <c r="B422" s="7">
        <v>641.6666666666666</v>
      </c>
      <c r="C422" s="7">
        <v>441.66666666666663</v>
      </c>
      <c r="D422" s="7">
        <v>833.3333333333334</v>
      </c>
      <c r="E422" s="7">
        <v>62</v>
      </c>
      <c r="F422" s="10">
        <f>B422+Origin_X</f>
        <v>641.6666666666666</v>
      </c>
      <c r="G422" s="10">
        <f>C422+Origin_Y</f>
        <v>441.66666666666663</v>
      </c>
    </row>
    <row r="423" spans="1:7" x14ac:dyDescent="0.25">
      <c r="A423" s="7">
        <v>418</v>
      </c>
      <c r="B423" s="7">
        <v>616.6666666666666</v>
      </c>
      <c r="C423" s="7">
        <v>466.66666666666663</v>
      </c>
      <c r="D423" s="7">
        <v>1666.6666666666667</v>
      </c>
      <c r="E423" s="7">
        <v>63</v>
      </c>
      <c r="F423" s="10">
        <f>B423+Origin_X</f>
        <v>616.6666666666666</v>
      </c>
      <c r="G423" s="10">
        <f>C423+Origin_Y</f>
        <v>466.66666666666663</v>
      </c>
    </row>
    <row r="424" spans="1:7" x14ac:dyDescent="0.25">
      <c r="A424" s="7">
        <v>419</v>
      </c>
      <c r="B424" s="7">
        <v>666.6666666666666</v>
      </c>
      <c r="C424" s="7">
        <v>466.66666666666663</v>
      </c>
      <c r="D424" s="7">
        <v>1666.6666666666667</v>
      </c>
      <c r="E424" s="7">
        <v>63</v>
      </c>
      <c r="F424" s="10">
        <f>B424+Origin_X</f>
        <v>666.6666666666666</v>
      </c>
      <c r="G424" s="10">
        <f>C424+Origin_Y</f>
        <v>466.66666666666663</v>
      </c>
    </row>
    <row r="425" spans="1:7" x14ac:dyDescent="0.25">
      <c r="A425" s="7">
        <v>420</v>
      </c>
      <c r="B425" s="7">
        <v>616.6666666666666</v>
      </c>
      <c r="C425" s="7">
        <v>516.6666666666666</v>
      </c>
      <c r="D425" s="7">
        <v>1666.6666666666667</v>
      </c>
      <c r="E425" s="7">
        <v>63</v>
      </c>
      <c r="F425" s="10">
        <f>B425+Origin_X</f>
        <v>616.6666666666666</v>
      </c>
      <c r="G425" s="10">
        <f>C425+Origin_Y</f>
        <v>516.6666666666666</v>
      </c>
    </row>
  </sheetData>
  <mergeCells count="2">
    <mergeCell ref="A1:G1"/>
    <mergeCell ref="B2:G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AT43"/>
  <sheetViews>
    <sheetView workbookViewId="0" showGridLines="0">
      <pane xSplit="3" ySplit="7" topLeftCell="D8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10" customWidth="1"/>
    <col min="3" max="3" width="14" customWidth="1"/>
    <col min="4" max="4" width="24" customWidth="1"/>
    <col min="5" max="5" width="30" customWidth="1"/>
    <col min="6" max="6" width="12" customWidth="1"/>
    <col min="7" max="7" width="18" customWidth="1"/>
    <col min="8" max="8" width="16" customWidth="1"/>
    <col min="9" max="9" width="14" customWidth="1"/>
    <col min="10" max="10" width="15" customWidth="1"/>
    <col min="11" max="15" width="14" customWidth="1"/>
    <col min="16" max="17" width="15" customWidth="1"/>
    <col min="18" max="31" width="14" customWidth="1"/>
    <col min="32" max="46" width="16" hidden="1" customWidth="1"/>
  </cols>
  <sheetData>
    <row r="1" ht="22" customHeight="1" spans="1:46" x14ac:dyDescent="0.25">
      <c r="A1" s="1" t="s">
        <v>134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2:46" x14ac:dyDescent="0.25">
      <c r="B2" s="16" t="s">
        <v>135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</row>
    <row r="3" spans="2:5" x14ac:dyDescent="0.25">
      <c r="B3" t="s">
        <v>136</v>
      </c>
      <c r="C3" s="17">
        <f>Selected_P</f>
        <v>0</v>
      </c>
      <c r="D3" t="s">
        <v>137</v>
      </c>
      <c r="E3" s="7" t="s">
        <v>138</v>
      </c>
    </row>
    <row r="6" ht="24" customHeight="1" spans="1:5" x14ac:dyDescent="0.25">
      <c r="A6" s="2" t="s">
        <v>1</v>
      </c>
      <c r="B6" s="3" t="s">
        <v>2</v>
      </c>
      <c r="C6" s="4" t="s">
        <v>3</v>
      </c>
      <c r="D6" s="5" t="s">
        <v>4</v>
      </c>
      <c r="E6" s="6" t="s">
        <v>5</v>
      </c>
    </row>
    <row r="7" ht="28" customHeight="1" spans="1:46" x14ac:dyDescent="0.25">
      <c r="A7" s="8" t="s">
        <v>139</v>
      </c>
      <c r="B7" s="8" t="s">
        <v>140</v>
      </c>
      <c r="C7" s="8" t="s">
        <v>141</v>
      </c>
      <c r="D7" s="8" t="s">
        <v>142</v>
      </c>
      <c r="E7" s="8" t="s">
        <v>143</v>
      </c>
      <c r="F7" s="8" t="s">
        <v>144</v>
      </c>
      <c r="G7" s="8" t="s">
        <v>145</v>
      </c>
      <c r="H7" s="8" t="s">
        <v>146</v>
      </c>
      <c r="I7" s="8" t="s">
        <v>147</v>
      </c>
      <c r="J7" s="8" t="s">
        <v>148</v>
      </c>
      <c r="K7" s="8" t="s">
        <v>149</v>
      </c>
      <c r="L7" s="8" t="s">
        <v>150</v>
      </c>
      <c r="M7" s="8" t="s">
        <v>151</v>
      </c>
      <c r="N7" s="8" t="s">
        <v>152</v>
      </c>
      <c r="O7" s="8" t="s">
        <v>153</v>
      </c>
      <c r="P7" s="8" t="s">
        <v>154</v>
      </c>
      <c r="Q7" s="8" t="s">
        <v>155</v>
      </c>
      <c r="R7" s="8" t="s">
        <v>156</v>
      </c>
      <c r="S7" s="8" t="s">
        <v>157</v>
      </c>
      <c r="T7" s="8" t="s">
        <v>158</v>
      </c>
      <c r="U7" s="8" t="s">
        <v>159</v>
      </c>
      <c r="V7" s="8" t="s">
        <v>160</v>
      </c>
      <c r="W7" s="8" t="s">
        <v>161</v>
      </c>
      <c r="X7" s="8" t="s">
        <v>162</v>
      </c>
      <c r="Y7" s="8" t="s">
        <v>163</v>
      </c>
      <c r="Z7" s="8" t="s">
        <v>164</v>
      </c>
      <c r="AA7" s="8" t="s">
        <v>165</v>
      </c>
      <c r="AB7" s="8" t="s">
        <v>166</v>
      </c>
      <c r="AC7" s="8" t="s">
        <v>167</v>
      </c>
      <c r="AD7" s="8" t="s">
        <v>168</v>
      </c>
      <c r="AE7" s="8" t="s">
        <v>169</v>
      </c>
      <c r="AF7" s="8" t="s">
        <v>170</v>
      </c>
      <c r="AG7" s="8" t="s">
        <v>171</v>
      </c>
      <c r="AH7" s="8" t="s">
        <v>172</v>
      </c>
      <c r="AI7" s="8" t="s">
        <v>173</v>
      </c>
      <c r="AJ7" s="8" t="s">
        <v>174</v>
      </c>
      <c r="AK7" s="8" t="s">
        <v>175</v>
      </c>
      <c r="AL7" s="8" t="s">
        <v>176</v>
      </c>
      <c r="AM7" s="8" t="s">
        <v>177</v>
      </c>
      <c r="AN7" s="8" t="s">
        <v>178</v>
      </c>
      <c r="AO7" s="8" t="s">
        <v>179</v>
      </c>
      <c r="AP7" s="8" t="s">
        <v>180</v>
      </c>
      <c r="AQ7" s="8" t="s">
        <v>181</v>
      </c>
      <c r="AR7" s="8" t="s">
        <v>182</v>
      </c>
      <c r="AS7" s="8" t="s">
        <v>183</v>
      </c>
      <c r="AT7" s="8" t="s">
        <v>184</v>
      </c>
    </row>
    <row r="8" spans="1:46" x14ac:dyDescent="0.25">
      <c r="A8" s="7" t="s">
        <v>185</v>
      </c>
      <c r="B8" s="7">
        <v>1</v>
      </c>
      <c r="C8" s="18">
        <v>0</v>
      </c>
      <c r="D8" s="7" t="s">
        <v>186</v>
      </c>
      <c r="E8" s="7" t="s">
        <v>187</v>
      </c>
      <c r="F8" s="19">
        <v>0</v>
      </c>
      <c r="G8" s="7" t="s">
        <v>188</v>
      </c>
      <c r="H8" s="20">
        <v>19.999999999999996</v>
      </c>
      <c r="I8" s="10">
        <f>MAX(('Geometry'!$G$13*COS(RADIANS(F8))+'Geometry'!$F$13*SIN(RADIANS(F8))),('Geometry'!$G$14*COS(RADIANS(F8))+'Geometry'!$F$14*SIN(RADIANS(F8))),('Geometry'!$G$15*COS(RADIANS(F8))+'Geometry'!$F$15*SIN(RADIANS(F8))),('Geometry'!$G$16*COS(RADIANS(F8))+'Geometry'!$F$16*SIN(RADIANS(F8))),('Geometry'!$G$17*COS(RADIANS(F8))+'Geometry'!$F$17*SIN(RADIANS(F8))),('Geometry'!$G$18*COS(RADIANS(F8))+'Geometry'!$F$18*SIN(RADIANS(F8))),('Geometry'!$G$19*COS(RADIANS(F8))+'Geometry'!$F$19*SIN(RADIANS(F8))),('Geometry'!$G$20*COS(RADIANS(F8))+'Geometry'!$F$20*SIN(RADIANS(F8))))</f>
        <v>600</v>
      </c>
      <c r="J8" s="10">
        <f>MIN(('Geometry'!$G$40*COS(RADIANS(F8))+'Geometry'!$F$40*SIN(RADIANS(F8))),('Geometry'!$G$41*COS(RADIANS(F8))+'Geometry'!$F$41*SIN(RADIANS(F8))),('Geometry'!$G$42*COS(RADIANS(F8))+'Geometry'!$F$42*SIN(RADIANS(F8))),('Geometry'!$G$43*COS(RADIANS(F8))+'Geometry'!$F$43*SIN(RADIANS(F8))),('Geometry'!$G$44*COS(RADIANS(F8))+'Geometry'!$F$44*SIN(RADIANS(F8))),('Geometry'!$G$45*COS(RADIANS(F8))+'Geometry'!$F$45*SIN(RADIANS(F8))),('Geometry'!$G$46*COS(RADIANS(F8))+'Geometry'!$F$46*SIN(RADIANS(F8))),('Geometry'!$G$47*COS(RADIANS(F8))+'Geometry'!$F$47*SIN(RADIANS(F8))),('Geometry'!$G$48*COS(RADIANS(F8))+'Geometry'!$F$48*SIN(RADIANS(F8))),('Geometry'!$G$49*COS(RADIANS(F8))+'Geometry'!$F$49*SIN(RADIANS(F8))),('Geometry'!$G$50*COS(RADIANS(F8))+'Geometry'!$F$50*SIN(RADIANS(F8))),('Geometry'!$G$51*COS(RADIANS(F8))+'Geometry'!$F$51*SIN(RADIANS(F8))),('Geometry'!$G$52*COS(RADIANS(F8))+'Geometry'!$F$52*SIN(RADIANS(F8))),('Geometry'!$G$53*COS(RADIANS(F8))+'Geometry'!$F$53*SIN(RADIANS(F8))),('Geometry'!$G$54*COS(RADIANS(F8))+'Geometry'!$F$54*SIN(RADIANS(F8))),('Geometry'!$G$55*COS(RADIANS(F8))+'Geometry'!$F$55*SIN(RADIANS(F8))),('Geometry'!$G$56*COS(RADIANS(F8))+'Geometry'!$F$56*SIN(RADIANS(F8))),('Geometry'!$G$57*COS(RADIANS(F8))+'Geometry'!$F$57*SIN(RADIANS(F8))))</f>
        <v>-530</v>
      </c>
      <c r="K8" s="10">
        <f>I8-MIN(('Geometry'!$G$13*COS(RADIANS(F8))+'Geometry'!$F$13*SIN(RADIANS(F8))),('Geometry'!$G$14*COS(RADIANS(F8))+'Geometry'!$F$14*SIN(RADIANS(F8))),('Geometry'!$G$15*COS(RADIANS(F8))+'Geometry'!$F$15*SIN(RADIANS(F8))),('Geometry'!$G$16*COS(RADIANS(F8))+'Geometry'!$F$16*SIN(RADIANS(F8))),('Geometry'!$G$17*COS(RADIANS(F8))+'Geometry'!$F$17*SIN(RADIANS(F8))),('Geometry'!$G$18*COS(RADIANS(F8))+'Geometry'!$F$18*SIN(RADIANS(F8))),('Geometry'!$G$19*COS(RADIANS(F8))+'Geometry'!$F$19*SIN(RADIANS(F8))),('Geometry'!$G$20*COS(RADIANS(F8))+'Geometry'!$F$20*SIN(RADIANS(F8))))</f>
        <v>1200</v>
      </c>
      <c r="L8" s="15">
        <f>C_ecu</f>
        <v>0.003300000000000001</v>
      </c>
      <c r="M8" s="15">
        <f>-H8*S_1_fy/S_1_Es</f>
        <v>-0.039999999999999994</v>
      </c>
      <c r="N8" s="21">
        <f>IF(ABS(I8-J8)&lt;0.000000000001,0,(L8-M8)/(I8-J8))</f>
        <v>0.000038318584070796456</v>
      </c>
      <c r="O8" s="15">
        <f>L8-N8*I8</f>
        <v>-0.01969115044247787</v>
      </c>
      <c r="P8" s="21">
        <f>N8*COS(RADIANS(F8))</f>
        <v>0.000038318584070796456</v>
      </c>
      <c r="Q8" s="21">
        <f>N8*SIN(RADIANS(F8))</f>
        <v>0</v>
      </c>
      <c r="R8" s="10">
        <f>SUMPRODUCT(C_alpha*C_fck*(1-(1-(((O8+P8*Mesh_Y+Q8*Mesh_X))*((O8+P8*Mesh_Y+Q8*Mesh_X)&gt;0)*((O8+P8*Mesh_Y+Q8*Mesh_X)&lt;C_eco)+C_eco*((O8+P8*Mesh_Y+Q8*Mesh_X)&gt;=C_eco))/C_eco)^C_n)*(((O8+P8*Mesh_Y+Q8*Mesh_X))&gt;0),Mesh_A)/1000</f>
        <v>2180.2490889155656</v>
      </c>
      <c r="S8" s="10">
        <f>SUMPRODUCT(C_alpha*C_fck*(1-(1-(((O8+P8*Mesh_Y+Q8*Mesh_X))*((O8+P8*Mesh_Y+Q8*Mesh_X)&gt;0)*((O8+P8*Mesh_Y+Q8*Mesh_X)&lt;C_eco)+C_eco*((O8+P8*Mesh_Y+Q8*Mesh_X)&gt;=C_eco))/C_eco)^C_n)*(((O8+P8*Mesh_Y+Q8*Mesh_X))&gt;0),Mesh_A,Mesh_Y)/1000000</f>
        <v>1233.177710607343</v>
      </c>
      <c r="T8" s="10">
        <f>SUMPRODUCT(C_alpha*C_fck*(1-(1-(((O8+P8*Mesh_Y+Q8*Mesh_X))*((O8+P8*Mesh_Y+Q8*Mesh_X)&gt;0)*((O8+P8*Mesh_Y+Q8*Mesh_X)&lt;C_eco)+C_eco*((O8+P8*Mesh_Y+Q8*Mesh_X)&gt;=C_eco))/C_eco)^C_n)*(((O8+P8*Mesh_Y+Q8*Mesh_X))&gt;0),Mesh_A,Mesh_X)/1000000</f>
        <v>-0.3180939463985828</v>
      </c>
      <c r="U8" s="10">
        <f>(((MAX(MIN(S_1_Es*(O8+P8*'Geometry'!$G$40+Q8*'Geometry'!$F$40),S_1_fy),-S_1_fy))-(IF((O8+P8*'Geometry'!$G$40+Q8*'Geometry'!$F$40)&gt;0,IF((O8+P8*'Geometry'!$G$40+Q8*'Geometry'!$F$40)&lt;=C_eco,C_alpha*C_fck*(1-(1-(O8+P8*'Geometry'!$G$40+Q8*'Geometry'!$F$40)/C_eco)^C_n),C_alpha*C_fck),0)))*'Geometry'!$H$40+((MAX(MIN(S_1_Es*(O8+P8*'Geometry'!$G$41+Q8*'Geometry'!$F$41),S_1_fy),-S_1_fy))-(IF((O8+P8*'Geometry'!$G$41+Q8*'Geometry'!$F$41)&gt;0,IF((O8+P8*'Geometry'!$G$41+Q8*'Geometry'!$F$41)&lt;=C_eco,C_alpha*C_fck*(1-(1-(O8+P8*'Geometry'!$G$41+Q8*'Geometry'!$F$41)/C_eco)^C_n),C_alpha*C_fck),0)))*'Geometry'!$H$41+((MAX(MIN(S_1_Es*(O8+P8*'Geometry'!$G$42+Q8*'Geometry'!$F$42),S_1_fy),-S_1_fy))-(IF((O8+P8*'Geometry'!$G$42+Q8*'Geometry'!$F$42)&gt;0,IF((O8+P8*'Geometry'!$G$42+Q8*'Geometry'!$F$42)&lt;=C_eco,C_alpha*C_fck*(1-(1-(O8+P8*'Geometry'!$G$42+Q8*'Geometry'!$F$42)/C_eco)^C_n),C_alpha*C_fck),0)))*'Geometry'!$H$42+((MAX(MIN(S_1_Es*(O8+P8*'Geometry'!$G$43+Q8*'Geometry'!$F$43),S_1_fy),-S_1_fy))-(IF((O8+P8*'Geometry'!$G$43+Q8*'Geometry'!$F$43)&gt;0,IF((O8+P8*'Geometry'!$G$43+Q8*'Geometry'!$F$43)&lt;=C_eco,C_alpha*C_fck*(1-(1-(O8+P8*'Geometry'!$G$43+Q8*'Geometry'!$F$43)/C_eco)^C_n),C_alpha*C_fck),0)))*'Geometry'!$H$43+((MAX(MIN(S_1_Es*(O8+P8*'Geometry'!$G$44+Q8*'Geometry'!$F$44),S_1_fy),-S_1_fy))-(IF((O8+P8*'Geometry'!$G$44+Q8*'Geometry'!$F$44)&gt;0,IF((O8+P8*'Geometry'!$G$44+Q8*'Geometry'!$F$44)&lt;=C_eco,C_alpha*C_fck*(1-(1-(O8+P8*'Geometry'!$G$44+Q8*'Geometry'!$F$44)/C_eco)^C_n),C_alpha*C_fck),0)))*'Geometry'!$H$44+((MAX(MIN(S_1_Es*(O8+P8*'Geometry'!$G$45+Q8*'Geometry'!$F$45),S_1_fy),-S_1_fy))-(IF((O8+P8*'Geometry'!$G$45+Q8*'Geometry'!$F$45)&gt;0,IF((O8+P8*'Geometry'!$G$45+Q8*'Geometry'!$F$45)&lt;=C_eco,C_alpha*C_fck*(1-(1-(O8+P8*'Geometry'!$G$45+Q8*'Geometry'!$F$45)/C_eco)^C_n),C_alpha*C_fck),0)))*'Geometry'!$H$45+((MAX(MIN(S_1_Es*(O8+P8*'Geometry'!$G$46+Q8*'Geometry'!$F$46),S_1_fy),-S_1_fy))-(IF((O8+P8*'Geometry'!$G$46+Q8*'Geometry'!$F$46)&gt;0,IF((O8+P8*'Geometry'!$G$46+Q8*'Geometry'!$F$46)&lt;=C_eco,C_alpha*C_fck*(1-(1-(O8+P8*'Geometry'!$G$46+Q8*'Geometry'!$F$46)/C_eco)^C_n),C_alpha*C_fck),0)))*'Geometry'!$H$46+((MAX(MIN(S_1_Es*(O8+P8*'Geometry'!$G$47+Q8*'Geometry'!$F$47),S_1_fy),-S_1_fy))-(IF((O8+P8*'Geometry'!$G$47+Q8*'Geometry'!$F$47)&gt;0,IF((O8+P8*'Geometry'!$G$47+Q8*'Geometry'!$F$47)&lt;=C_eco,C_alpha*C_fck*(1-(1-(O8+P8*'Geometry'!$G$47+Q8*'Geometry'!$F$47)/C_eco)^C_n),C_alpha*C_fck),0)))*'Geometry'!$H$47+((MAX(MIN(S_1_Es*(O8+P8*'Geometry'!$G$48+Q8*'Geometry'!$F$48),S_1_fy),-S_1_fy))-(IF((O8+P8*'Geometry'!$G$48+Q8*'Geometry'!$F$48)&gt;0,IF((O8+P8*'Geometry'!$G$48+Q8*'Geometry'!$F$48)&lt;=C_eco,C_alpha*C_fck*(1-(1-(O8+P8*'Geometry'!$G$48+Q8*'Geometry'!$F$48)/C_eco)^C_n),C_alpha*C_fck),0)))*'Geometry'!$H$48+((MAX(MIN(S_1_Es*(O8+P8*'Geometry'!$G$49+Q8*'Geometry'!$F$49),S_1_fy),-S_1_fy))-(IF((O8+P8*'Geometry'!$G$49+Q8*'Geometry'!$F$49)&gt;0,IF((O8+P8*'Geometry'!$G$49+Q8*'Geometry'!$F$49)&lt;=C_eco,C_alpha*C_fck*(1-(1-(O8+P8*'Geometry'!$G$49+Q8*'Geometry'!$F$49)/C_eco)^C_n),C_alpha*C_fck),0)))*'Geometry'!$H$49+((MAX(MIN(S_1_Es*(O8+P8*'Geometry'!$G$50+Q8*'Geometry'!$F$50),S_1_fy),-S_1_fy))-(IF((O8+P8*'Geometry'!$G$50+Q8*'Geometry'!$F$50)&gt;0,IF((O8+P8*'Geometry'!$G$50+Q8*'Geometry'!$F$50)&lt;=C_eco,C_alpha*C_fck*(1-(1-(O8+P8*'Geometry'!$G$50+Q8*'Geometry'!$F$50)/C_eco)^C_n),C_alpha*C_fck),0)))*'Geometry'!$H$50+((MAX(MIN(S_1_Es*(O8+P8*'Geometry'!$G$51+Q8*'Geometry'!$F$51),S_1_fy),-S_1_fy))-(IF((O8+P8*'Geometry'!$G$51+Q8*'Geometry'!$F$51)&gt;0,IF((O8+P8*'Geometry'!$G$51+Q8*'Geometry'!$F$51)&lt;=C_eco,C_alpha*C_fck*(1-(1-(O8+P8*'Geometry'!$G$51+Q8*'Geometry'!$F$51)/C_eco)^C_n),C_alpha*C_fck),0)))*'Geometry'!$H$51+((MAX(MIN(S_1_Es*(O8+P8*'Geometry'!$G$52+Q8*'Geometry'!$F$52),S_1_fy),-S_1_fy))-(IF((O8+P8*'Geometry'!$G$52+Q8*'Geometry'!$F$52)&gt;0,IF((O8+P8*'Geometry'!$G$52+Q8*'Geometry'!$F$52)&lt;=C_eco,C_alpha*C_fck*(1-(1-(O8+P8*'Geometry'!$G$52+Q8*'Geometry'!$F$52)/C_eco)^C_n),C_alpha*C_fck),0)))*'Geometry'!$H$52+((MAX(MIN(S_1_Es*(O8+P8*'Geometry'!$G$53+Q8*'Geometry'!$F$53),S_1_fy),-S_1_fy))-(IF((O8+P8*'Geometry'!$G$53+Q8*'Geometry'!$F$53)&gt;0,IF((O8+P8*'Geometry'!$G$53+Q8*'Geometry'!$F$53)&lt;=C_eco,C_alpha*C_fck*(1-(1-(O8+P8*'Geometry'!$G$53+Q8*'Geometry'!$F$53)/C_eco)^C_n),C_alpha*C_fck),0)))*'Geometry'!$H$53+((MAX(MIN(S_1_Es*(O8+P8*'Geometry'!$G$54+Q8*'Geometry'!$F$54),S_1_fy),-S_1_fy))-(IF((O8+P8*'Geometry'!$G$54+Q8*'Geometry'!$F$54)&gt;0,IF((O8+P8*'Geometry'!$G$54+Q8*'Geometry'!$F$54)&lt;=C_eco,C_alpha*C_fck*(1-(1-(O8+P8*'Geometry'!$G$54+Q8*'Geometry'!$F$54)/C_eco)^C_n),C_alpha*C_fck),0)))*'Geometry'!$H$54+((MAX(MIN(S_1_Es*(O8+P8*'Geometry'!$G$55+Q8*'Geometry'!$F$55),S_1_fy),-S_1_fy))-(IF((O8+P8*'Geometry'!$G$55+Q8*'Geometry'!$F$55)&gt;0,IF((O8+P8*'Geometry'!$G$55+Q8*'Geometry'!$F$55)&lt;=C_eco,C_alpha*C_fck*(1-(1-(O8+P8*'Geometry'!$G$55+Q8*'Geometry'!$F$55)/C_eco)^C_n),C_alpha*C_fck),0)))*'Geometry'!$H$55+((MAX(MIN(S_1_Es*(O8+P8*'Geometry'!$G$56+Q8*'Geometry'!$F$56),S_1_fy),-S_1_fy))-(IF((O8+P8*'Geometry'!$G$56+Q8*'Geometry'!$F$56)&gt;0,IF((O8+P8*'Geometry'!$G$56+Q8*'Geometry'!$F$56)&lt;=C_eco,C_alpha*C_fck*(1-(1-(O8+P8*'Geometry'!$G$56+Q8*'Geometry'!$F$56)/C_eco)^C_n),C_alpha*C_fck),0)))*'Geometry'!$H$56+((MAX(MIN(S_1_Es*(O8+P8*'Geometry'!$G$57+Q8*'Geometry'!$F$57),S_1_fy),-S_1_fy))-(IF((O8+P8*'Geometry'!$G$57+Q8*'Geometry'!$F$57)&gt;0,IF((O8+P8*'Geometry'!$G$57+Q8*'Geometry'!$F$57)&lt;=C_eco,C_alpha*C_fck*(1-(1-(O8+P8*'Geometry'!$G$57+Q8*'Geometry'!$F$57)/C_eco)^C_n),C_alpha*C_fck),0)))*'Geometry'!$H$57)/1000</f>
        <v>-3738.863640104661</v>
      </c>
      <c r="V8" s="10">
        <f>(((MAX(MIN(S_1_Es*(O8+P8*'Geometry'!$G$40+Q8*'Geometry'!$F$40),S_1_fy),-S_1_fy))-(IF((O8+P8*'Geometry'!$G$40+Q8*'Geometry'!$F$40)&gt;0,IF((O8+P8*'Geometry'!$G$40+Q8*'Geometry'!$F$40)&lt;=C_eco,C_alpha*C_fck*(1-(1-(O8+P8*'Geometry'!$G$40+Q8*'Geometry'!$F$40)/C_eco)^C_n),C_alpha*C_fck),0)))*'Geometry'!$H$40*'Geometry'!$G$40+((MAX(MIN(S_1_Es*(O8+P8*'Geometry'!$G$41+Q8*'Geometry'!$F$41),S_1_fy),-S_1_fy))-(IF((O8+P8*'Geometry'!$G$41+Q8*'Geometry'!$F$41)&gt;0,IF((O8+P8*'Geometry'!$G$41+Q8*'Geometry'!$F$41)&lt;=C_eco,C_alpha*C_fck*(1-(1-(O8+P8*'Geometry'!$G$41+Q8*'Geometry'!$F$41)/C_eco)^C_n),C_alpha*C_fck),0)))*'Geometry'!$H$41*'Geometry'!$G$41+((MAX(MIN(S_1_Es*(O8+P8*'Geometry'!$G$42+Q8*'Geometry'!$F$42),S_1_fy),-S_1_fy))-(IF((O8+P8*'Geometry'!$G$42+Q8*'Geometry'!$F$42)&gt;0,IF((O8+P8*'Geometry'!$G$42+Q8*'Geometry'!$F$42)&lt;=C_eco,C_alpha*C_fck*(1-(1-(O8+P8*'Geometry'!$G$42+Q8*'Geometry'!$F$42)/C_eco)^C_n),C_alpha*C_fck),0)))*'Geometry'!$H$42*'Geometry'!$G$42+((MAX(MIN(S_1_Es*(O8+P8*'Geometry'!$G$43+Q8*'Geometry'!$F$43),S_1_fy),-S_1_fy))-(IF((O8+P8*'Geometry'!$G$43+Q8*'Geometry'!$F$43)&gt;0,IF((O8+P8*'Geometry'!$G$43+Q8*'Geometry'!$F$43)&lt;=C_eco,C_alpha*C_fck*(1-(1-(O8+P8*'Geometry'!$G$43+Q8*'Geometry'!$F$43)/C_eco)^C_n),C_alpha*C_fck),0)))*'Geometry'!$H$43*'Geometry'!$G$43+((MAX(MIN(S_1_Es*(O8+P8*'Geometry'!$G$44+Q8*'Geometry'!$F$44),S_1_fy),-S_1_fy))-(IF((O8+P8*'Geometry'!$G$44+Q8*'Geometry'!$F$44)&gt;0,IF((O8+P8*'Geometry'!$G$44+Q8*'Geometry'!$F$44)&lt;=C_eco,C_alpha*C_fck*(1-(1-(O8+P8*'Geometry'!$G$44+Q8*'Geometry'!$F$44)/C_eco)^C_n),C_alpha*C_fck),0)))*'Geometry'!$H$44*'Geometry'!$G$44+((MAX(MIN(S_1_Es*(O8+P8*'Geometry'!$G$45+Q8*'Geometry'!$F$45),S_1_fy),-S_1_fy))-(IF((O8+P8*'Geometry'!$G$45+Q8*'Geometry'!$F$45)&gt;0,IF((O8+P8*'Geometry'!$G$45+Q8*'Geometry'!$F$45)&lt;=C_eco,C_alpha*C_fck*(1-(1-(O8+P8*'Geometry'!$G$45+Q8*'Geometry'!$F$45)/C_eco)^C_n),C_alpha*C_fck),0)))*'Geometry'!$H$45*'Geometry'!$G$45+((MAX(MIN(S_1_Es*(O8+P8*'Geometry'!$G$46+Q8*'Geometry'!$F$46),S_1_fy),-S_1_fy))-(IF((O8+P8*'Geometry'!$G$46+Q8*'Geometry'!$F$46)&gt;0,IF((O8+P8*'Geometry'!$G$46+Q8*'Geometry'!$F$46)&lt;=C_eco,C_alpha*C_fck*(1-(1-(O8+P8*'Geometry'!$G$46+Q8*'Geometry'!$F$46)/C_eco)^C_n),C_alpha*C_fck),0)))*'Geometry'!$H$46*'Geometry'!$G$46+((MAX(MIN(S_1_Es*(O8+P8*'Geometry'!$G$47+Q8*'Geometry'!$F$47),S_1_fy),-S_1_fy))-(IF((O8+P8*'Geometry'!$G$47+Q8*'Geometry'!$F$47)&gt;0,IF((O8+P8*'Geometry'!$G$47+Q8*'Geometry'!$F$47)&lt;=C_eco,C_alpha*C_fck*(1-(1-(O8+P8*'Geometry'!$G$47+Q8*'Geometry'!$F$47)/C_eco)^C_n),C_alpha*C_fck),0)))*'Geometry'!$H$47*'Geometry'!$G$47+((MAX(MIN(S_1_Es*(O8+P8*'Geometry'!$G$48+Q8*'Geometry'!$F$48),S_1_fy),-S_1_fy))-(IF((O8+P8*'Geometry'!$G$48+Q8*'Geometry'!$F$48)&gt;0,IF((O8+P8*'Geometry'!$G$48+Q8*'Geometry'!$F$48)&lt;=C_eco,C_alpha*C_fck*(1-(1-(O8+P8*'Geometry'!$G$48+Q8*'Geometry'!$F$48)/C_eco)^C_n),C_alpha*C_fck),0)))*'Geometry'!$H$48*'Geometry'!$G$48+((MAX(MIN(S_1_Es*(O8+P8*'Geometry'!$G$49+Q8*'Geometry'!$F$49),S_1_fy),-S_1_fy))-(IF((O8+P8*'Geometry'!$G$49+Q8*'Geometry'!$F$49)&gt;0,IF((O8+P8*'Geometry'!$G$49+Q8*'Geometry'!$F$49)&lt;=C_eco,C_alpha*C_fck*(1-(1-(O8+P8*'Geometry'!$G$49+Q8*'Geometry'!$F$49)/C_eco)^C_n),C_alpha*C_fck),0)))*'Geometry'!$H$49*'Geometry'!$G$49+((MAX(MIN(S_1_Es*(O8+P8*'Geometry'!$G$50+Q8*'Geometry'!$F$50),S_1_fy),-S_1_fy))-(IF((O8+P8*'Geometry'!$G$50+Q8*'Geometry'!$F$50)&gt;0,IF((O8+P8*'Geometry'!$G$50+Q8*'Geometry'!$F$50)&lt;=C_eco,C_alpha*C_fck*(1-(1-(O8+P8*'Geometry'!$G$50+Q8*'Geometry'!$F$50)/C_eco)^C_n),C_alpha*C_fck),0)))*'Geometry'!$H$50*'Geometry'!$G$50+((MAX(MIN(S_1_Es*(O8+P8*'Geometry'!$G$51+Q8*'Geometry'!$F$51),S_1_fy),-S_1_fy))-(IF((O8+P8*'Geometry'!$G$51+Q8*'Geometry'!$F$51)&gt;0,IF((O8+P8*'Geometry'!$G$51+Q8*'Geometry'!$F$51)&lt;=C_eco,C_alpha*C_fck*(1-(1-(O8+P8*'Geometry'!$G$51+Q8*'Geometry'!$F$51)/C_eco)^C_n),C_alpha*C_fck),0)))*'Geometry'!$H$51*'Geometry'!$G$51+((MAX(MIN(S_1_Es*(O8+P8*'Geometry'!$G$52+Q8*'Geometry'!$F$52),S_1_fy),-S_1_fy))-(IF((O8+P8*'Geometry'!$G$52+Q8*'Geometry'!$F$52)&gt;0,IF((O8+P8*'Geometry'!$G$52+Q8*'Geometry'!$F$52)&lt;=C_eco,C_alpha*C_fck*(1-(1-(O8+P8*'Geometry'!$G$52+Q8*'Geometry'!$F$52)/C_eco)^C_n),C_alpha*C_fck),0)))*'Geometry'!$H$52*'Geometry'!$G$52+((MAX(MIN(S_1_Es*(O8+P8*'Geometry'!$G$53+Q8*'Geometry'!$F$53),S_1_fy),-S_1_fy))-(IF((O8+P8*'Geometry'!$G$53+Q8*'Geometry'!$F$53)&gt;0,IF((O8+P8*'Geometry'!$G$53+Q8*'Geometry'!$F$53)&lt;=C_eco,C_alpha*C_fck*(1-(1-(O8+P8*'Geometry'!$G$53+Q8*'Geometry'!$F$53)/C_eco)^C_n),C_alpha*C_fck),0)))*'Geometry'!$H$53*'Geometry'!$G$53+((MAX(MIN(S_1_Es*(O8+P8*'Geometry'!$G$54+Q8*'Geometry'!$F$54),S_1_fy),-S_1_fy))-(IF((O8+P8*'Geometry'!$G$54+Q8*'Geometry'!$F$54)&gt;0,IF((O8+P8*'Geometry'!$G$54+Q8*'Geometry'!$F$54)&lt;=C_eco,C_alpha*C_fck*(1-(1-(O8+P8*'Geometry'!$G$54+Q8*'Geometry'!$F$54)/C_eco)^C_n),C_alpha*C_fck),0)))*'Geometry'!$H$54*'Geometry'!$G$54+((MAX(MIN(S_1_Es*(O8+P8*'Geometry'!$G$55+Q8*'Geometry'!$F$55),S_1_fy),-S_1_fy))-(IF((O8+P8*'Geometry'!$G$55+Q8*'Geometry'!$F$55)&gt;0,IF((O8+P8*'Geometry'!$G$55+Q8*'Geometry'!$F$55)&lt;=C_eco,C_alpha*C_fck*(1-(1-(O8+P8*'Geometry'!$G$55+Q8*'Geometry'!$F$55)/C_eco)^C_n),C_alpha*C_fck),0)))*'Geometry'!$H$55*'Geometry'!$G$55+((MAX(MIN(S_1_Es*(O8+P8*'Geometry'!$G$56+Q8*'Geometry'!$F$56),S_1_fy),-S_1_fy))-(IF((O8+P8*'Geometry'!$G$56+Q8*'Geometry'!$F$56)&gt;0,IF((O8+P8*'Geometry'!$G$56+Q8*'Geometry'!$F$56)&lt;=C_eco,C_alpha*C_fck*(1-(1-(O8+P8*'Geometry'!$G$56+Q8*'Geometry'!$F$56)/C_eco)^C_n),C_alpha*C_fck),0)))*'Geometry'!$H$56*'Geometry'!$G$56+((MAX(MIN(S_1_Es*(O8+P8*'Geometry'!$G$57+Q8*'Geometry'!$F$57),S_1_fy),-S_1_fy))-(IF((O8+P8*'Geometry'!$G$57+Q8*'Geometry'!$F$57)&gt;0,IF((O8+P8*'Geometry'!$G$57+Q8*'Geometry'!$F$57)&lt;=C_eco,C_alpha*C_fck*(1-(1-(O8+P8*'Geometry'!$G$57+Q8*'Geometry'!$F$57)/C_eco)^C_n),C_alpha*C_fck),0)))*'Geometry'!$H$57*'Geometry'!$G$57)/1000000</f>
        <v>1087.4115676657839</v>
      </c>
      <c r="W8" s="10">
        <f>(((MAX(MIN(S_1_Es*(O8+P8*'Geometry'!$G$40+Q8*'Geometry'!$F$40),S_1_fy),-S_1_fy))-(IF((O8+P8*'Geometry'!$G$40+Q8*'Geometry'!$F$40)&gt;0,IF((O8+P8*'Geometry'!$G$40+Q8*'Geometry'!$F$40)&lt;=C_eco,C_alpha*C_fck*(1-(1-(O8+P8*'Geometry'!$G$40+Q8*'Geometry'!$F$40)/C_eco)^C_n),C_alpha*C_fck),0)))*'Geometry'!$H$40*'Geometry'!$F$40+((MAX(MIN(S_1_Es*(O8+P8*'Geometry'!$G$41+Q8*'Geometry'!$F$41),S_1_fy),-S_1_fy))-(IF((O8+P8*'Geometry'!$G$41+Q8*'Geometry'!$F$41)&gt;0,IF((O8+P8*'Geometry'!$G$41+Q8*'Geometry'!$F$41)&lt;=C_eco,C_alpha*C_fck*(1-(1-(O8+P8*'Geometry'!$G$41+Q8*'Geometry'!$F$41)/C_eco)^C_n),C_alpha*C_fck),0)))*'Geometry'!$H$41*'Geometry'!$F$41+((MAX(MIN(S_1_Es*(O8+P8*'Geometry'!$G$42+Q8*'Geometry'!$F$42),S_1_fy),-S_1_fy))-(IF((O8+P8*'Geometry'!$G$42+Q8*'Geometry'!$F$42)&gt;0,IF((O8+P8*'Geometry'!$G$42+Q8*'Geometry'!$F$42)&lt;=C_eco,C_alpha*C_fck*(1-(1-(O8+P8*'Geometry'!$G$42+Q8*'Geometry'!$F$42)/C_eco)^C_n),C_alpha*C_fck),0)))*'Geometry'!$H$42*'Geometry'!$F$42+((MAX(MIN(S_1_Es*(O8+P8*'Geometry'!$G$43+Q8*'Geometry'!$F$43),S_1_fy),-S_1_fy))-(IF((O8+P8*'Geometry'!$G$43+Q8*'Geometry'!$F$43)&gt;0,IF((O8+P8*'Geometry'!$G$43+Q8*'Geometry'!$F$43)&lt;=C_eco,C_alpha*C_fck*(1-(1-(O8+P8*'Geometry'!$G$43+Q8*'Geometry'!$F$43)/C_eco)^C_n),C_alpha*C_fck),0)))*'Geometry'!$H$43*'Geometry'!$F$43+((MAX(MIN(S_1_Es*(O8+P8*'Geometry'!$G$44+Q8*'Geometry'!$F$44),S_1_fy),-S_1_fy))-(IF((O8+P8*'Geometry'!$G$44+Q8*'Geometry'!$F$44)&gt;0,IF((O8+P8*'Geometry'!$G$44+Q8*'Geometry'!$F$44)&lt;=C_eco,C_alpha*C_fck*(1-(1-(O8+P8*'Geometry'!$G$44+Q8*'Geometry'!$F$44)/C_eco)^C_n),C_alpha*C_fck),0)))*'Geometry'!$H$44*'Geometry'!$F$44+((MAX(MIN(S_1_Es*(O8+P8*'Geometry'!$G$45+Q8*'Geometry'!$F$45),S_1_fy),-S_1_fy))-(IF((O8+P8*'Geometry'!$G$45+Q8*'Geometry'!$F$45)&gt;0,IF((O8+P8*'Geometry'!$G$45+Q8*'Geometry'!$F$45)&lt;=C_eco,C_alpha*C_fck*(1-(1-(O8+P8*'Geometry'!$G$45+Q8*'Geometry'!$F$45)/C_eco)^C_n),C_alpha*C_fck),0)))*'Geometry'!$H$45*'Geometry'!$F$45+((MAX(MIN(S_1_Es*(O8+P8*'Geometry'!$G$46+Q8*'Geometry'!$F$46),S_1_fy),-S_1_fy))-(IF((O8+P8*'Geometry'!$G$46+Q8*'Geometry'!$F$46)&gt;0,IF((O8+P8*'Geometry'!$G$46+Q8*'Geometry'!$F$46)&lt;=C_eco,C_alpha*C_fck*(1-(1-(O8+P8*'Geometry'!$G$46+Q8*'Geometry'!$F$46)/C_eco)^C_n),C_alpha*C_fck),0)))*'Geometry'!$H$46*'Geometry'!$F$46+((MAX(MIN(S_1_Es*(O8+P8*'Geometry'!$G$47+Q8*'Geometry'!$F$47),S_1_fy),-S_1_fy))-(IF((O8+P8*'Geometry'!$G$47+Q8*'Geometry'!$F$47)&gt;0,IF((O8+P8*'Geometry'!$G$47+Q8*'Geometry'!$F$47)&lt;=C_eco,C_alpha*C_fck*(1-(1-(O8+P8*'Geometry'!$G$47+Q8*'Geometry'!$F$47)/C_eco)^C_n),C_alpha*C_fck),0)))*'Geometry'!$H$47*'Geometry'!$F$47+((MAX(MIN(S_1_Es*(O8+P8*'Geometry'!$G$48+Q8*'Geometry'!$F$48),S_1_fy),-S_1_fy))-(IF((O8+P8*'Geometry'!$G$48+Q8*'Geometry'!$F$48)&gt;0,IF((O8+P8*'Geometry'!$G$48+Q8*'Geometry'!$F$48)&lt;=C_eco,C_alpha*C_fck*(1-(1-(O8+P8*'Geometry'!$G$48+Q8*'Geometry'!$F$48)/C_eco)^C_n),C_alpha*C_fck),0)))*'Geometry'!$H$48*'Geometry'!$F$48+((MAX(MIN(S_1_Es*(O8+P8*'Geometry'!$G$49+Q8*'Geometry'!$F$49),S_1_fy),-S_1_fy))-(IF((O8+P8*'Geometry'!$G$49+Q8*'Geometry'!$F$49)&gt;0,IF((O8+P8*'Geometry'!$G$49+Q8*'Geometry'!$F$49)&lt;=C_eco,C_alpha*C_fck*(1-(1-(O8+P8*'Geometry'!$G$49+Q8*'Geometry'!$F$49)/C_eco)^C_n),C_alpha*C_fck),0)))*'Geometry'!$H$49*'Geometry'!$F$49+((MAX(MIN(S_1_Es*(O8+P8*'Geometry'!$G$50+Q8*'Geometry'!$F$50),S_1_fy),-S_1_fy))-(IF((O8+P8*'Geometry'!$G$50+Q8*'Geometry'!$F$50)&gt;0,IF((O8+P8*'Geometry'!$G$50+Q8*'Geometry'!$F$50)&lt;=C_eco,C_alpha*C_fck*(1-(1-(O8+P8*'Geometry'!$G$50+Q8*'Geometry'!$F$50)/C_eco)^C_n),C_alpha*C_fck),0)))*'Geometry'!$H$50*'Geometry'!$F$50+((MAX(MIN(S_1_Es*(O8+P8*'Geometry'!$G$51+Q8*'Geometry'!$F$51),S_1_fy),-S_1_fy))-(IF((O8+P8*'Geometry'!$G$51+Q8*'Geometry'!$F$51)&gt;0,IF((O8+P8*'Geometry'!$G$51+Q8*'Geometry'!$F$51)&lt;=C_eco,C_alpha*C_fck*(1-(1-(O8+P8*'Geometry'!$G$51+Q8*'Geometry'!$F$51)/C_eco)^C_n),C_alpha*C_fck),0)))*'Geometry'!$H$51*'Geometry'!$F$51+((MAX(MIN(S_1_Es*(O8+P8*'Geometry'!$G$52+Q8*'Geometry'!$F$52),S_1_fy),-S_1_fy))-(IF((O8+P8*'Geometry'!$G$52+Q8*'Geometry'!$F$52)&gt;0,IF((O8+P8*'Geometry'!$G$52+Q8*'Geometry'!$F$52)&lt;=C_eco,C_alpha*C_fck*(1-(1-(O8+P8*'Geometry'!$G$52+Q8*'Geometry'!$F$52)/C_eco)^C_n),C_alpha*C_fck),0)))*'Geometry'!$H$52*'Geometry'!$F$52+((MAX(MIN(S_1_Es*(O8+P8*'Geometry'!$G$53+Q8*'Geometry'!$F$53),S_1_fy),-S_1_fy))-(IF((O8+P8*'Geometry'!$G$53+Q8*'Geometry'!$F$53)&gt;0,IF((O8+P8*'Geometry'!$G$53+Q8*'Geometry'!$F$53)&lt;=C_eco,C_alpha*C_fck*(1-(1-(O8+P8*'Geometry'!$G$53+Q8*'Geometry'!$F$53)/C_eco)^C_n),C_alpha*C_fck),0)))*'Geometry'!$H$53*'Geometry'!$F$53+((MAX(MIN(S_1_Es*(O8+P8*'Geometry'!$G$54+Q8*'Geometry'!$F$54),S_1_fy),-S_1_fy))-(IF((O8+P8*'Geometry'!$G$54+Q8*'Geometry'!$F$54)&gt;0,IF((O8+P8*'Geometry'!$G$54+Q8*'Geometry'!$F$54)&lt;=C_eco,C_alpha*C_fck*(1-(1-(O8+P8*'Geometry'!$G$54+Q8*'Geometry'!$F$54)/C_eco)^C_n),C_alpha*C_fck),0)))*'Geometry'!$H$54*'Geometry'!$F$54+((MAX(MIN(S_1_Es*(O8+P8*'Geometry'!$G$55+Q8*'Geometry'!$F$55),S_1_fy),-S_1_fy))-(IF((O8+P8*'Geometry'!$G$55+Q8*'Geometry'!$F$55)&gt;0,IF((O8+P8*'Geometry'!$G$55+Q8*'Geometry'!$F$55)&lt;=C_eco,C_alpha*C_fck*(1-(1-(O8+P8*'Geometry'!$G$55+Q8*'Geometry'!$F$55)/C_eco)^C_n),C_alpha*C_fck),0)))*'Geometry'!$H$55*'Geometry'!$F$55+((MAX(MIN(S_1_Es*(O8+P8*'Geometry'!$G$56+Q8*'Geometry'!$F$56),S_1_fy),-S_1_fy))-(IF((O8+P8*'Geometry'!$G$56+Q8*'Geometry'!$F$56)&gt;0,IF((O8+P8*'Geometry'!$G$56+Q8*'Geometry'!$F$56)&lt;=C_eco,C_alpha*C_fck*(1-(1-(O8+P8*'Geometry'!$G$56+Q8*'Geometry'!$F$56)/C_eco)^C_n),C_alpha*C_fck),0)))*'Geometry'!$H$56*'Geometry'!$F$56+((MAX(MIN(S_1_Es*(O8+P8*'Geometry'!$G$57+Q8*'Geometry'!$F$57),S_1_fy),-S_1_fy))-(IF((O8+P8*'Geometry'!$G$57+Q8*'Geometry'!$F$57)&gt;0,IF((O8+P8*'Geometry'!$G$57+Q8*'Geometry'!$F$57)&lt;=C_eco,C_alpha*C_fck*(1-(1-(O8+P8*'Geometry'!$G$57+Q8*'Geometry'!$F$57)/C_eco)^C_n),C_alpha*C_fck),0)))*'Geometry'!$H$57*'Geometry'!$F$57)/1000000</f>
        <v>5.867332220077515e-14</v>
      </c>
      <c r="X8" s="10">
        <f>R8+U8</f>
        <v>-1558.6145511890957</v>
      </c>
      <c r="Y8" s="10">
        <f>S8+V8</f>
        <v>2320.5892782731266</v>
      </c>
      <c r="Z8" s="10">
        <f>T8+W8</f>
        <v>-0.3180939463985241</v>
      </c>
      <c r="AA8" s="7">
        <v>0.85</v>
      </c>
      <c r="AB8" s="7">
        <v>0.8500000000000001</v>
      </c>
      <c r="AC8" s="10">
        <f>X8*AA8</f>
        <v>-1324.8223685107312</v>
      </c>
      <c r="AD8" s="10">
        <f>Y8*AB8</f>
        <v>1972.5008865321577</v>
      </c>
      <c r="AE8" s="10">
        <f>Z8*AB8</f>
        <v>-0.27037985443874546</v>
      </c>
      <c r="AF8" s="7">
        <v>-1324.8223685107312</v>
      </c>
      <c r="AG8" s="7">
        <v>1972.5008865321577</v>
      </c>
      <c r="AH8" s="7">
        <v>-0.27037985443874546</v>
      </c>
      <c r="AI8" s="15">
        <f>AC8-AF8</f>
        <v>0</v>
      </c>
      <c r="AJ8" s="15">
        <f>SQRT((AD8-AG8)^2+(AE8-AH8)^2)</f>
        <v>0</v>
      </c>
      <c r="AK8" s="7" t="s">
        <v>189</v>
      </c>
      <c r="AL8" s="7">
        <v>-1558.6145511890957</v>
      </c>
      <c r="AM8" s="7">
        <v>2320.5892782731266</v>
      </c>
      <c r="AN8" s="7">
        <v>-0.3180939463985241</v>
      </c>
      <c r="AO8" s="7">
        <v>2180.2490889155656</v>
      </c>
      <c r="AP8" s="7">
        <v>1233.177710607343</v>
      </c>
      <c r="AQ8" s="7">
        <v>-0.3180939463985828</v>
      </c>
      <c r="AR8" s="7">
        <v>-3738.863640104661</v>
      </c>
      <c r="AS8" s="7">
        <v>1087.4115676657839</v>
      </c>
      <c r="AT8" s="7">
        <v>5.867332220077515e-14</v>
      </c>
    </row>
    <row r="9" spans="1:46" x14ac:dyDescent="0.25">
      <c r="A9" s="7" t="s">
        <v>190</v>
      </c>
      <c r="B9" s="7">
        <v>1</v>
      </c>
      <c r="C9" s="18">
        <v>10</v>
      </c>
      <c r="D9" s="7" t="s">
        <v>191</v>
      </c>
      <c r="E9" s="7" t="s">
        <v>192</v>
      </c>
      <c r="F9" s="19">
        <v>10</v>
      </c>
      <c r="G9" s="7" t="s">
        <v>188</v>
      </c>
      <c r="H9" s="20">
        <v>7.5</v>
      </c>
      <c r="I9" s="10">
        <f>MAX(('Geometry'!$G$13*COS(RADIANS(F9))+'Geometry'!$F$13*SIN(RADIANS(F9))),('Geometry'!$G$14*COS(RADIANS(F9))+'Geometry'!$F$14*SIN(RADIANS(F9))),('Geometry'!$G$15*COS(RADIANS(F9))+'Geometry'!$F$15*SIN(RADIANS(F9))),('Geometry'!$G$16*COS(RADIANS(F9))+'Geometry'!$F$16*SIN(RADIANS(F9))),('Geometry'!$G$17*COS(RADIANS(F9))+'Geometry'!$F$17*SIN(RADIANS(F9))),('Geometry'!$G$18*COS(RADIANS(F9))+'Geometry'!$F$18*SIN(RADIANS(F9))),('Geometry'!$G$19*COS(RADIANS(F9))+'Geometry'!$F$19*SIN(RADIANS(F9))),('Geometry'!$G$20*COS(RADIANS(F9))+'Geometry'!$F$20*SIN(RADIANS(F9))))</f>
        <v>686.3911495241364</v>
      </c>
      <c r="J9" s="10">
        <f>MIN(('Geometry'!$G$40*COS(RADIANS(F9))+'Geometry'!$F$40*SIN(RADIANS(F9))),('Geometry'!$G$41*COS(RADIANS(F9))+'Geometry'!$F$41*SIN(RADIANS(F9))),('Geometry'!$G$42*COS(RADIANS(F9))+'Geometry'!$F$42*SIN(RADIANS(F9))),('Geometry'!$G$43*COS(RADIANS(F9))+'Geometry'!$F$43*SIN(RADIANS(F9))),('Geometry'!$G$44*COS(RADIANS(F9))+'Geometry'!$F$44*SIN(RADIANS(F9))),('Geometry'!$G$45*COS(RADIANS(F9))+'Geometry'!$F$45*SIN(RADIANS(F9))),('Geometry'!$G$46*COS(RADIANS(F9))+'Geometry'!$F$46*SIN(RADIANS(F9))),('Geometry'!$G$47*COS(RADIANS(F9))+'Geometry'!$F$47*SIN(RADIANS(F9))),('Geometry'!$G$48*COS(RADIANS(F9))+'Geometry'!$F$48*SIN(RADIANS(F9))),('Geometry'!$G$49*COS(RADIANS(F9))+'Geometry'!$F$49*SIN(RADIANS(F9))),('Geometry'!$G$50*COS(RADIANS(F9))+'Geometry'!$F$50*SIN(RADIANS(F9))),('Geometry'!$G$51*COS(RADIANS(F9))+'Geometry'!$F$51*SIN(RADIANS(F9))),('Geometry'!$G$52*COS(RADIANS(F9))+'Geometry'!$F$52*SIN(RADIANS(F9))),('Geometry'!$G$53*COS(RADIANS(F9))+'Geometry'!$F$53*SIN(RADIANS(F9))),('Geometry'!$G$54*COS(RADIANS(F9))+'Geometry'!$F$54*SIN(RADIANS(F9))),('Geometry'!$G$55*COS(RADIANS(F9))+'Geometry'!$F$55*SIN(RADIANS(F9))),('Geometry'!$G$56*COS(RADIANS(F9))+'Geometry'!$F$56*SIN(RADIANS(F9))),('Geometry'!$G$57*COS(RADIANS(F9))+'Geometry'!$F$57*SIN(RADIANS(F9))))</f>
        <v>-591.4073801632424</v>
      </c>
      <c r="K9" s="10">
        <f>I9-MIN(('Geometry'!$G$13*COS(RADIANS(F9))+'Geometry'!$F$13*SIN(RADIANS(F9))),('Geometry'!$G$14*COS(RADIANS(F9))+'Geometry'!$F$14*SIN(RADIANS(F9))),('Geometry'!$G$15*COS(RADIANS(F9))+'Geometry'!$F$15*SIN(RADIANS(F9))),('Geometry'!$G$16*COS(RADIANS(F9))+'Geometry'!$F$16*SIN(RADIANS(F9))),('Geometry'!$G$17*COS(RADIANS(F9))+'Geometry'!$F$17*SIN(RADIANS(F9))),('Geometry'!$G$18*COS(RADIANS(F9))+'Geometry'!$F$18*SIN(RADIANS(F9))),('Geometry'!$G$19*COS(RADIANS(F9))+'Geometry'!$F$19*SIN(RADIANS(F9))),('Geometry'!$G$20*COS(RADIANS(F9))+'Geometry'!$F$20*SIN(RADIANS(F9))))</f>
        <v>1372.7822990482728</v>
      </c>
      <c r="L9" s="15">
        <f>C_ecu</f>
        <v>0.0032999999999999982</v>
      </c>
      <c r="M9" s="15">
        <f>-H9*S_1_fy/S_1_Es</f>
        <v>-0.015</v>
      </c>
      <c r="N9" s="21">
        <f>IF(ABS(I9-J9)&lt;0.000000000001,0,(L9-M9)/(I9-J9))</f>
        <v>0.000014321506540218986</v>
      </c>
      <c r="O9" s="15">
        <f>L9-N9*I9</f>
        <v>-0.006530155337058348</v>
      </c>
      <c r="P9" s="21">
        <f>N9*COS(RADIANS(F9))</f>
        <v>0.000014103930675622702</v>
      </c>
      <c r="Q9" s="21">
        <f>N9*SIN(RADIANS(F9))</f>
        <v>0.0000024869035121540515</v>
      </c>
      <c r="R9" s="10">
        <f>SUMPRODUCT(C_alpha*C_fck*(1-(1-(((O9+P9*Mesh_Y+Q9*Mesh_X))*((O9+P9*Mesh_Y+Q9*Mesh_X)&gt;0)*((O9+P9*Mesh_Y+Q9*Mesh_X)&lt;C_eco)+C_eco*((O9+P9*Mesh_Y+Q9*Mesh_X)&gt;=C_eco))/C_eco)^C_n)*(((O9+P9*Mesh_Y+Q9*Mesh_X))&gt;0),Mesh_A)/1000</f>
        <v>3130.2981424005684</v>
      </c>
      <c r="S9" s="10">
        <f>SUMPRODUCT(C_alpha*C_fck*(1-(1-(((O9+P9*Mesh_Y+Q9*Mesh_X))*((O9+P9*Mesh_Y+Q9*Mesh_X)&gt;0)*((O9+P9*Mesh_Y+Q9*Mesh_X)&lt;C_eco)+C_eco*((O9+P9*Mesh_Y+Q9*Mesh_X)&gt;=C_eco))/C_eco)^C_n)*(((O9+P9*Mesh_Y+Q9*Mesh_X))&gt;0),Mesh_A,Mesh_Y)/1000000</f>
        <v>1630.8065176059933</v>
      </c>
      <c r="T9" s="10">
        <f>SUMPRODUCT(C_alpha*C_fck*(1-(1-(((O9+P9*Mesh_Y+Q9*Mesh_X))*((O9+P9*Mesh_Y+Q9*Mesh_X)&gt;0)*((O9+P9*Mesh_Y+Q9*Mesh_X)&lt;C_eco)+C_eco*((O9+P9*Mesh_Y+Q9*Mesh_X)&gt;=C_eco))/C_eco)^C_n)*(((O9+P9*Mesh_Y+Q9*Mesh_X))&gt;0),Mesh_A,Mesh_X)/1000000</f>
        <v>799.292895900424</v>
      </c>
      <c r="U9" s="10">
        <f>(((MAX(MIN(S_1_Es*(O9+P9*'Geometry'!$G$40+Q9*'Geometry'!$F$40),S_1_fy),-S_1_fy))-(IF((O9+P9*'Geometry'!$G$40+Q9*'Geometry'!$F$40)&gt;0,IF((O9+P9*'Geometry'!$G$40+Q9*'Geometry'!$F$40)&lt;=C_eco,C_alpha*C_fck*(1-(1-(O9+P9*'Geometry'!$G$40+Q9*'Geometry'!$F$40)/C_eco)^C_n),C_alpha*C_fck),0)))*'Geometry'!$H$40+((MAX(MIN(S_1_Es*(O9+P9*'Geometry'!$G$41+Q9*'Geometry'!$F$41),S_1_fy),-S_1_fy))-(IF((O9+P9*'Geometry'!$G$41+Q9*'Geometry'!$F$41)&gt;0,IF((O9+P9*'Geometry'!$G$41+Q9*'Geometry'!$F$41)&lt;=C_eco,C_alpha*C_fck*(1-(1-(O9+P9*'Geometry'!$G$41+Q9*'Geometry'!$F$41)/C_eco)^C_n),C_alpha*C_fck),0)))*'Geometry'!$H$41+((MAX(MIN(S_1_Es*(O9+P9*'Geometry'!$G$42+Q9*'Geometry'!$F$42),S_1_fy),-S_1_fy))-(IF((O9+P9*'Geometry'!$G$42+Q9*'Geometry'!$F$42)&gt;0,IF((O9+P9*'Geometry'!$G$42+Q9*'Geometry'!$F$42)&lt;=C_eco,C_alpha*C_fck*(1-(1-(O9+P9*'Geometry'!$G$42+Q9*'Geometry'!$F$42)/C_eco)^C_n),C_alpha*C_fck),0)))*'Geometry'!$H$42+((MAX(MIN(S_1_Es*(O9+P9*'Geometry'!$G$43+Q9*'Geometry'!$F$43),S_1_fy),-S_1_fy))-(IF((O9+P9*'Geometry'!$G$43+Q9*'Geometry'!$F$43)&gt;0,IF((O9+P9*'Geometry'!$G$43+Q9*'Geometry'!$F$43)&lt;=C_eco,C_alpha*C_fck*(1-(1-(O9+P9*'Geometry'!$G$43+Q9*'Geometry'!$F$43)/C_eco)^C_n),C_alpha*C_fck),0)))*'Geometry'!$H$43+((MAX(MIN(S_1_Es*(O9+P9*'Geometry'!$G$44+Q9*'Geometry'!$F$44),S_1_fy),-S_1_fy))-(IF((O9+P9*'Geometry'!$G$44+Q9*'Geometry'!$F$44)&gt;0,IF((O9+P9*'Geometry'!$G$44+Q9*'Geometry'!$F$44)&lt;=C_eco,C_alpha*C_fck*(1-(1-(O9+P9*'Geometry'!$G$44+Q9*'Geometry'!$F$44)/C_eco)^C_n),C_alpha*C_fck),0)))*'Geometry'!$H$44+((MAX(MIN(S_1_Es*(O9+P9*'Geometry'!$G$45+Q9*'Geometry'!$F$45),S_1_fy),-S_1_fy))-(IF((O9+P9*'Geometry'!$G$45+Q9*'Geometry'!$F$45)&gt;0,IF((O9+P9*'Geometry'!$G$45+Q9*'Geometry'!$F$45)&lt;=C_eco,C_alpha*C_fck*(1-(1-(O9+P9*'Geometry'!$G$45+Q9*'Geometry'!$F$45)/C_eco)^C_n),C_alpha*C_fck),0)))*'Geometry'!$H$45+((MAX(MIN(S_1_Es*(O9+P9*'Geometry'!$G$46+Q9*'Geometry'!$F$46),S_1_fy),-S_1_fy))-(IF((O9+P9*'Geometry'!$G$46+Q9*'Geometry'!$F$46)&gt;0,IF((O9+P9*'Geometry'!$G$46+Q9*'Geometry'!$F$46)&lt;=C_eco,C_alpha*C_fck*(1-(1-(O9+P9*'Geometry'!$G$46+Q9*'Geometry'!$F$46)/C_eco)^C_n),C_alpha*C_fck),0)))*'Geometry'!$H$46+((MAX(MIN(S_1_Es*(O9+P9*'Geometry'!$G$47+Q9*'Geometry'!$F$47),S_1_fy),-S_1_fy))-(IF((O9+P9*'Geometry'!$G$47+Q9*'Geometry'!$F$47)&gt;0,IF((O9+P9*'Geometry'!$G$47+Q9*'Geometry'!$F$47)&lt;=C_eco,C_alpha*C_fck*(1-(1-(O9+P9*'Geometry'!$G$47+Q9*'Geometry'!$F$47)/C_eco)^C_n),C_alpha*C_fck),0)))*'Geometry'!$H$47+((MAX(MIN(S_1_Es*(O9+P9*'Geometry'!$G$48+Q9*'Geometry'!$F$48),S_1_fy),-S_1_fy))-(IF((O9+P9*'Geometry'!$G$48+Q9*'Geometry'!$F$48)&gt;0,IF((O9+P9*'Geometry'!$G$48+Q9*'Geometry'!$F$48)&lt;=C_eco,C_alpha*C_fck*(1-(1-(O9+P9*'Geometry'!$G$48+Q9*'Geometry'!$F$48)/C_eco)^C_n),C_alpha*C_fck),0)))*'Geometry'!$H$48+((MAX(MIN(S_1_Es*(O9+P9*'Geometry'!$G$49+Q9*'Geometry'!$F$49),S_1_fy),-S_1_fy))-(IF((O9+P9*'Geometry'!$G$49+Q9*'Geometry'!$F$49)&gt;0,IF((O9+P9*'Geometry'!$G$49+Q9*'Geometry'!$F$49)&lt;=C_eco,C_alpha*C_fck*(1-(1-(O9+P9*'Geometry'!$G$49+Q9*'Geometry'!$F$49)/C_eco)^C_n),C_alpha*C_fck),0)))*'Geometry'!$H$49+((MAX(MIN(S_1_Es*(O9+P9*'Geometry'!$G$50+Q9*'Geometry'!$F$50),S_1_fy),-S_1_fy))-(IF((O9+P9*'Geometry'!$G$50+Q9*'Geometry'!$F$50)&gt;0,IF((O9+P9*'Geometry'!$G$50+Q9*'Geometry'!$F$50)&lt;=C_eco,C_alpha*C_fck*(1-(1-(O9+P9*'Geometry'!$G$50+Q9*'Geometry'!$F$50)/C_eco)^C_n),C_alpha*C_fck),0)))*'Geometry'!$H$50+((MAX(MIN(S_1_Es*(O9+P9*'Geometry'!$G$51+Q9*'Geometry'!$F$51),S_1_fy),-S_1_fy))-(IF((O9+P9*'Geometry'!$G$51+Q9*'Geometry'!$F$51)&gt;0,IF((O9+P9*'Geometry'!$G$51+Q9*'Geometry'!$F$51)&lt;=C_eco,C_alpha*C_fck*(1-(1-(O9+P9*'Geometry'!$G$51+Q9*'Geometry'!$F$51)/C_eco)^C_n),C_alpha*C_fck),0)))*'Geometry'!$H$51+((MAX(MIN(S_1_Es*(O9+P9*'Geometry'!$G$52+Q9*'Geometry'!$F$52),S_1_fy),-S_1_fy))-(IF((O9+P9*'Geometry'!$G$52+Q9*'Geometry'!$F$52)&gt;0,IF((O9+P9*'Geometry'!$G$52+Q9*'Geometry'!$F$52)&lt;=C_eco,C_alpha*C_fck*(1-(1-(O9+P9*'Geometry'!$G$52+Q9*'Geometry'!$F$52)/C_eco)^C_n),C_alpha*C_fck),0)))*'Geometry'!$H$52+((MAX(MIN(S_1_Es*(O9+P9*'Geometry'!$G$53+Q9*'Geometry'!$F$53),S_1_fy),-S_1_fy))-(IF((O9+P9*'Geometry'!$G$53+Q9*'Geometry'!$F$53)&gt;0,IF((O9+P9*'Geometry'!$G$53+Q9*'Geometry'!$F$53)&lt;=C_eco,C_alpha*C_fck*(1-(1-(O9+P9*'Geometry'!$G$53+Q9*'Geometry'!$F$53)/C_eco)^C_n),C_alpha*C_fck),0)))*'Geometry'!$H$53+((MAX(MIN(S_1_Es*(O9+P9*'Geometry'!$G$54+Q9*'Geometry'!$F$54),S_1_fy),-S_1_fy))-(IF((O9+P9*'Geometry'!$G$54+Q9*'Geometry'!$F$54)&gt;0,IF((O9+P9*'Geometry'!$G$54+Q9*'Geometry'!$F$54)&lt;=C_eco,C_alpha*C_fck*(1-(1-(O9+P9*'Geometry'!$G$54+Q9*'Geometry'!$F$54)/C_eco)^C_n),C_alpha*C_fck),0)))*'Geometry'!$H$54+((MAX(MIN(S_1_Es*(O9+P9*'Geometry'!$G$55+Q9*'Geometry'!$F$55),S_1_fy),-S_1_fy))-(IF((O9+P9*'Geometry'!$G$55+Q9*'Geometry'!$F$55)&gt;0,IF((O9+P9*'Geometry'!$G$55+Q9*'Geometry'!$F$55)&lt;=C_eco,C_alpha*C_fck*(1-(1-(O9+P9*'Geometry'!$G$55+Q9*'Geometry'!$F$55)/C_eco)^C_n),C_alpha*C_fck),0)))*'Geometry'!$H$55+((MAX(MIN(S_1_Es*(O9+P9*'Geometry'!$G$56+Q9*'Geometry'!$F$56),S_1_fy),-S_1_fy))-(IF((O9+P9*'Geometry'!$G$56+Q9*'Geometry'!$F$56)&gt;0,IF((O9+P9*'Geometry'!$G$56+Q9*'Geometry'!$F$56)&lt;=C_eco,C_alpha*C_fck*(1-(1-(O9+P9*'Geometry'!$G$56+Q9*'Geometry'!$F$56)/C_eco)^C_n),C_alpha*C_fck),0)))*'Geometry'!$H$56+((MAX(MIN(S_1_Es*(O9+P9*'Geometry'!$G$57+Q9*'Geometry'!$F$57),S_1_fy),-S_1_fy))-(IF((O9+P9*'Geometry'!$G$57+Q9*'Geometry'!$F$57)&gt;0,IF((O9+P9*'Geometry'!$G$57+Q9*'Geometry'!$F$57)&lt;=C_eco,C_alpha*C_fck*(1-(1-(O9+P9*'Geometry'!$G$57+Q9*'Geometry'!$F$57)/C_eco)^C_n),C_alpha*C_fck),0)))*'Geometry'!$H$57)/1000</f>
        <v>-3260.5662545213786</v>
      </c>
      <c r="V9" s="10">
        <f>(((MAX(MIN(S_1_Es*(O9+P9*'Geometry'!$G$40+Q9*'Geometry'!$F$40),S_1_fy),-S_1_fy))-(IF((O9+P9*'Geometry'!$G$40+Q9*'Geometry'!$F$40)&gt;0,IF((O9+P9*'Geometry'!$G$40+Q9*'Geometry'!$F$40)&lt;=C_eco,C_alpha*C_fck*(1-(1-(O9+P9*'Geometry'!$G$40+Q9*'Geometry'!$F$40)/C_eco)^C_n),C_alpha*C_fck),0)))*'Geometry'!$H$40*'Geometry'!$G$40+((MAX(MIN(S_1_Es*(O9+P9*'Geometry'!$G$41+Q9*'Geometry'!$F$41),S_1_fy),-S_1_fy))-(IF((O9+P9*'Geometry'!$G$41+Q9*'Geometry'!$F$41)&gt;0,IF((O9+P9*'Geometry'!$G$41+Q9*'Geometry'!$F$41)&lt;=C_eco,C_alpha*C_fck*(1-(1-(O9+P9*'Geometry'!$G$41+Q9*'Geometry'!$F$41)/C_eco)^C_n),C_alpha*C_fck),0)))*'Geometry'!$H$41*'Geometry'!$G$41+((MAX(MIN(S_1_Es*(O9+P9*'Geometry'!$G$42+Q9*'Geometry'!$F$42),S_1_fy),-S_1_fy))-(IF((O9+P9*'Geometry'!$G$42+Q9*'Geometry'!$F$42)&gt;0,IF((O9+P9*'Geometry'!$G$42+Q9*'Geometry'!$F$42)&lt;=C_eco,C_alpha*C_fck*(1-(1-(O9+P9*'Geometry'!$G$42+Q9*'Geometry'!$F$42)/C_eco)^C_n),C_alpha*C_fck),0)))*'Geometry'!$H$42*'Geometry'!$G$42+((MAX(MIN(S_1_Es*(O9+P9*'Geometry'!$G$43+Q9*'Geometry'!$F$43),S_1_fy),-S_1_fy))-(IF((O9+P9*'Geometry'!$G$43+Q9*'Geometry'!$F$43)&gt;0,IF((O9+P9*'Geometry'!$G$43+Q9*'Geometry'!$F$43)&lt;=C_eco,C_alpha*C_fck*(1-(1-(O9+P9*'Geometry'!$G$43+Q9*'Geometry'!$F$43)/C_eco)^C_n),C_alpha*C_fck),0)))*'Geometry'!$H$43*'Geometry'!$G$43+((MAX(MIN(S_1_Es*(O9+P9*'Geometry'!$G$44+Q9*'Geometry'!$F$44),S_1_fy),-S_1_fy))-(IF((O9+P9*'Geometry'!$G$44+Q9*'Geometry'!$F$44)&gt;0,IF((O9+P9*'Geometry'!$G$44+Q9*'Geometry'!$F$44)&lt;=C_eco,C_alpha*C_fck*(1-(1-(O9+P9*'Geometry'!$G$44+Q9*'Geometry'!$F$44)/C_eco)^C_n),C_alpha*C_fck),0)))*'Geometry'!$H$44*'Geometry'!$G$44+((MAX(MIN(S_1_Es*(O9+P9*'Geometry'!$G$45+Q9*'Geometry'!$F$45),S_1_fy),-S_1_fy))-(IF((O9+P9*'Geometry'!$G$45+Q9*'Geometry'!$F$45)&gt;0,IF((O9+P9*'Geometry'!$G$45+Q9*'Geometry'!$F$45)&lt;=C_eco,C_alpha*C_fck*(1-(1-(O9+P9*'Geometry'!$G$45+Q9*'Geometry'!$F$45)/C_eco)^C_n),C_alpha*C_fck),0)))*'Geometry'!$H$45*'Geometry'!$G$45+((MAX(MIN(S_1_Es*(O9+P9*'Geometry'!$G$46+Q9*'Geometry'!$F$46),S_1_fy),-S_1_fy))-(IF((O9+P9*'Geometry'!$G$46+Q9*'Geometry'!$F$46)&gt;0,IF((O9+P9*'Geometry'!$G$46+Q9*'Geometry'!$F$46)&lt;=C_eco,C_alpha*C_fck*(1-(1-(O9+P9*'Geometry'!$G$46+Q9*'Geometry'!$F$46)/C_eco)^C_n),C_alpha*C_fck),0)))*'Geometry'!$H$46*'Geometry'!$G$46+((MAX(MIN(S_1_Es*(O9+P9*'Geometry'!$G$47+Q9*'Geometry'!$F$47),S_1_fy),-S_1_fy))-(IF((O9+P9*'Geometry'!$G$47+Q9*'Geometry'!$F$47)&gt;0,IF((O9+P9*'Geometry'!$G$47+Q9*'Geometry'!$F$47)&lt;=C_eco,C_alpha*C_fck*(1-(1-(O9+P9*'Geometry'!$G$47+Q9*'Geometry'!$F$47)/C_eco)^C_n),C_alpha*C_fck),0)))*'Geometry'!$H$47*'Geometry'!$G$47+((MAX(MIN(S_1_Es*(O9+P9*'Geometry'!$G$48+Q9*'Geometry'!$F$48),S_1_fy),-S_1_fy))-(IF((O9+P9*'Geometry'!$G$48+Q9*'Geometry'!$F$48)&gt;0,IF((O9+P9*'Geometry'!$G$48+Q9*'Geometry'!$F$48)&lt;=C_eco,C_alpha*C_fck*(1-(1-(O9+P9*'Geometry'!$G$48+Q9*'Geometry'!$F$48)/C_eco)^C_n),C_alpha*C_fck),0)))*'Geometry'!$H$48*'Geometry'!$G$48+((MAX(MIN(S_1_Es*(O9+P9*'Geometry'!$G$49+Q9*'Geometry'!$F$49),S_1_fy),-S_1_fy))-(IF((O9+P9*'Geometry'!$G$49+Q9*'Geometry'!$F$49)&gt;0,IF((O9+P9*'Geometry'!$G$49+Q9*'Geometry'!$F$49)&lt;=C_eco,C_alpha*C_fck*(1-(1-(O9+P9*'Geometry'!$G$49+Q9*'Geometry'!$F$49)/C_eco)^C_n),C_alpha*C_fck),0)))*'Geometry'!$H$49*'Geometry'!$G$49+((MAX(MIN(S_1_Es*(O9+P9*'Geometry'!$G$50+Q9*'Geometry'!$F$50),S_1_fy),-S_1_fy))-(IF((O9+P9*'Geometry'!$G$50+Q9*'Geometry'!$F$50)&gt;0,IF((O9+P9*'Geometry'!$G$50+Q9*'Geometry'!$F$50)&lt;=C_eco,C_alpha*C_fck*(1-(1-(O9+P9*'Geometry'!$G$50+Q9*'Geometry'!$F$50)/C_eco)^C_n),C_alpha*C_fck),0)))*'Geometry'!$H$50*'Geometry'!$G$50+((MAX(MIN(S_1_Es*(O9+P9*'Geometry'!$G$51+Q9*'Geometry'!$F$51),S_1_fy),-S_1_fy))-(IF((O9+P9*'Geometry'!$G$51+Q9*'Geometry'!$F$51)&gt;0,IF((O9+P9*'Geometry'!$G$51+Q9*'Geometry'!$F$51)&lt;=C_eco,C_alpha*C_fck*(1-(1-(O9+P9*'Geometry'!$G$51+Q9*'Geometry'!$F$51)/C_eco)^C_n),C_alpha*C_fck),0)))*'Geometry'!$H$51*'Geometry'!$G$51+((MAX(MIN(S_1_Es*(O9+P9*'Geometry'!$G$52+Q9*'Geometry'!$F$52),S_1_fy),-S_1_fy))-(IF((O9+P9*'Geometry'!$G$52+Q9*'Geometry'!$F$52)&gt;0,IF((O9+P9*'Geometry'!$G$52+Q9*'Geometry'!$F$52)&lt;=C_eco,C_alpha*C_fck*(1-(1-(O9+P9*'Geometry'!$G$52+Q9*'Geometry'!$F$52)/C_eco)^C_n),C_alpha*C_fck),0)))*'Geometry'!$H$52*'Geometry'!$G$52+((MAX(MIN(S_1_Es*(O9+P9*'Geometry'!$G$53+Q9*'Geometry'!$F$53),S_1_fy),-S_1_fy))-(IF((O9+P9*'Geometry'!$G$53+Q9*'Geometry'!$F$53)&gt;0,IF((O9+P9*'Geometry'!$G$53+Q9*'Geometry'!$F$53)&lt;=C_eco,C_alpha*C_fck*(1-(1-(O9+P9*'Geometry'!$G$53+Q9*'Geometry'!$F$53)/C_eco)^C_n),C_alpha*C_fck),0)))*'Geometry'!$H$53*'Geometry'!$G$53+((MAX(MIN(S_1_Es*(O9+P9*'Geometry'!$G$54+Q9*'Geometry'!$F$54),S_1_fy),-S_1_fy))-(IF((O9+P9*'Geometry'!$G$54+Q9*'Geometry'!$F$54)&gt;0,IF((O9+P9*'Geometry'!$G$54+Q9*'Geometry'!$F$54)&lt;=C_eco,C_alpha*C_fck*(1-(1-(O9+P9*'Geometry'!$G$54+Q9*'Geometry'!$F$54)/C_eco)^C_n),C_alpha*C_fck),0)))*'Geometry'!$H$54*'Geometry'!$G$54+((MAX(MIN(S_1_Es*(O9+P9*'Geometry'!$G$55+Q9*'Geometry'!$F$55),S_1_fy),-S_1_fy))-(IF((O9+P9*'Geometry'!$G$55+Q9*'Geometry'!$F$55)&gt;0,IF((O9+P9*'Geometry'!$G$55+Q9*'Geometry'!$F$55)&lt;=C_eco,C_alpha*C_fck*(1-(1-(O9+P9*'Geometry'!$G$55+Q9*'Geometry'!$F$55)/C_eco)^C_n),C_alpha*C_fck),0)))*'Geometry'!$H$55*'Geometry'!$G$55+((MAX(MIN(S_1_Es*(O9+P9*'Geometry'!$G$56+Q9*'Geometry'!$F$56),S_1_fy),-S_1_fy))-(IF((O9+P9*'Geometry'!$G$56+Q9*'Geometry'!$F$56)&gt;0,IF((O9+P9*'Geometry'!$G$56+Q9*'Geometry'!$F$56)&lt;=C_eco,C_alpha*C_fck*(1-(1-(O9+P9*'Geometry'!$G$56+Q9*'Geometry'!$F$56)/C_eco)^C_n),C_alpha*C_fck),0)))*'Geometry'!$H$56*'Geometry'!$G$56+((MAX(MIN(S_1_Es*(O9+P9*'Geometry'!$G$57+Q9*'Geometry'!$F$57),S_1_fy),-S_1_fy))-(IF((O9+P9*'Geometry'!$G$57+Q9*'Geometry'!$F$57)&gt;0,IF((O9+P9*'Geometry'!$G$57+Q9*'Geometry'!$F$57)&lt;=C_eco,C_alpha*C_fck*(1-(1-(O9+P9*'Geometry'!$G$57+Q9*'Geometry'!$F$57)/C_eco)^C_n),C_alpha*C_fck),0)))*'Geometry'!$H$57*'Geometry'!$G$57)/1000000</f>
        <v>1289.4072172119902</v>
      </c>
      <c r="W9" s="10">
        <f>(((MAX(MIN(S_1_Es*(O9+P9*'Geometry'!$G$40+Q9*'Geometry'!$F$40),S_1_fy),-S_1_fy))-(IF((O9+P9*'Geometry'!$G$40+Q9*'Geometry'!$F$40)&gt;0,IF((O9+P9*'Geometry'!$G$40+Q9*'Geometry'!$F$40)&lt;=C_eco,C_alpha*C_fck*(1-(1-(O9+P9*'Geometry'!$G$40+Q9*'Geometry'!$F$40)/C_eco)^C_n),C_alpha*C_fck),0)))*'Geometry'!$H$40*'Geometry'!$F$40+((MAX(MIN(S_1_Es*(O9+P9*'Geometry'!$G$41+Q9*'Geometry'!$F$41),S_1_fy),-S_1_fy))-(IF((O9+P9*'Geometry'!$G$41+Q9*'Geometry'!$F$41)&gt;0,IF((O9+P9*'Geometry'!$G$41+Q9*'Geometry'!$F$41)&lt;=C_eco,C_alpha*C_fck*(1-(1-(O9+P9*'Geometry'!$G$41+Q9*'Geometry'!$F$41)/C_eco)^C_n),C_alpha*C_fck),0)))*'Geometry'!$H$41*'Geometry'!$F$41+((MAX(MIN(S_1_Es*(O9+P9*'Geometry'!$G$42+Q9*'Geometry'!$F$42),S_1_fy),-S_1_fy))-(IF((O9+P9*'Geometry'!$G$42+Q9*'Geometry'!$F$42)&gt;0,IF((O9+P9*'Geometry'!$G$42+Q9*'Geometry'!$F$42)&lt;=C_eco,C_alpha*C_fck*(1-(1-(O9+P9*'Geometry'!$G$42+Q9*'Geometry'!$F$42)/C_eco)^C_n),C_alpha*C_fck),0)))*'Geometry'!$H$42*'Geometry'!$F$42+((MAX(MIN(S_1_Es*(O9+P9*'Geometry'!$G$43+Q9*'Geometry'!$F$43),S_1_fy),-S_1_fy))-(IF((O9+P9*'Geometry'!$G$43+Q9*'Geometry'!$F$43)&gt;0,IF((O9+P9*'Geometry'!$G$43+Q9*'Geometry'!$F$43)&lt;=C_eco,C_alpha*C_fck*(1-(1-(O9+P9*'Geometry'!$G$43+Q9*'Geometry'!$F$43)/C_eco)^C_n),C_alpha*C_fck),0)))*'Geometry'!$H$43*'Geometry'!$F$43+((MAX(MIN(S_1_Es*(O9+P9*'Geometry'!$G$44+Q9*'Geometry'!$F$44),S_1_fy),-S_1_fy))-(IF((O9+P9*'Geometry'!$G$44+Q9*'Geometry'!$F$44)&gt;0,IF((O9+P9*'Geometry'!$G$44+Q9*'Geometry'!$F$44)&lt;=C_eco,C_alpha*C_fck*(1-(1-(O9+P9*'Geometry'!$G$44+Q9*'Geometry'!$F$44)/C_eco)^C_n),C_alpha*C_fck),0)))*'Geometry'!$H$44*'Geometry'!$F$44+((MAX(MIN(S_1_Es*(O9+P9*'Geometry'!$G$45+Q9*'Geometry'!$F$45),S_1_fy),-S_1_fy))-(IF((O9+P9*'Geometry'!$G$45+Q9*'Geometry'!$F$45)&gt;0,IF((O9+P9*'Geometry'!$G$45+Q9*'Geometry'!$F$45)&lt;=C_eco,C_alpha*C_fck*(1-(1-(O9+P9*'Geometry'!$G$45+Q9*'Geometry'!$F$45)/C_eco)^C_n),C_alpha*C_fck),0)))*'Geometry'!$H$45*'Geometry'!$F$45+((MAX(MIN(S_1_Es*(O9+P9*'Geometry'!$G$46+Q9*'Geometry'!$F$46),S_1_fy),-S_1_fy))-(IF((O9+P9*'Geometry'!$G$46+Q9*'Geometry'!$F$46)&gt;0,IF((O9+P9*'Geometry'!$G$46+Q9*'Geometry'!$F$46)&lt;=C_eco,C_alpha*C_fck*(1-(1-(O9+P9*'Geometry'!$G$46+Q9*'Geometry'!$F$46)/C_eco)^C_n),C_alpha*C_fck),0)))*'Geometry'!$H$46*'Geometry'!$F$46+((MAX(MIN(S_1_Es*(O9+P9*'Geometry'!$G$47+Q9*'Geometry'!$F$47),S_1_fy),-S_1_fy))-(IF((O9+P9*'Geometry'!$G$47+Q9*'Geometry'!$F$47)&gt;0,IF((O9+P9*'Geometry'!$G$47+Q9*'Geometry'!$F$47)&lt;=C_eco,C_alpha*C_fck*(1-(1-(O9+P9*'Geometry'!$G$47+Q9*'Geometry'!$F$47)/C_eco)^C_n),C_alpha*C_fck),0)))*'Geometry'!$H$47*'Geometry'!$F$47+((MAX(MIN(S_1_Es*(O9+P9*'Geometry'!$G$48+Q9*'Geometry'!$F$48),S_1_fy),-S_1_fy))-(IF((O9+P9*'Geometry'!$G$48+Q9*'Geometry'!$F$48)&gt;0,IF((O9+P9*'Geometry'!$G$48+Q9*'Geometry'!$F$48)&lt;=C_eco,C_alpha*C_fck*(1-(1-(O9+P9*'Geometry'!$G$48+Q9*'Geometry'!$F$48)/C_eco)^C_n),C_alpha*C_fck),0)))*'Geometry'!$H$48*'Geometry'!$F$48+((MAX(MIN(S_1_Es*(O9+P9*'Geometry'!$G$49+Q9*'Geometry'!$F$49),S_1_fy),-S_1_fy))-(IF((O9+P9*'Geometry'!$G$49+Q9*'Geometry'!$F$49)&gt;0,IF((O9+P9*'Geometry'!$G$49+Q9*'Geometry'!$F$49)&lt;=C_eco,C_alpha*C_fck*(1-(1-(O9+P9*'Geometry'!$G$49+Q9*'Geometry'!$F$49)/C_eco)^C_n),C_alpha*C_fck),0)))*'Geometry'!$H$49*'Geometry'!$F$49+((MAX(MIN(S_1_Es*(O9+P9*'Geometry'!$G$50+Q9*'Geometry'!$F$50),S_1_fy),-S_1_fy))-(IF((O9+P9*'Geometry'!$G$50+Q9*'Geometry'!$F$50)&gt;0,IF((O9+P9*'Geometry'!$G$50+Q9*'Geometry'!$F$50)&lt;=C_eco,C_alpha*C_fck*(1-(1-(O9+P9*'Geometry'!$G$50+Q9*'Geometry'!$F$50)/C_eco)^C_n),C_alpha*C_fck),0)))*'Geometry'!$H$50*'Geometry'!$F$50+((MAX(MIN(S_1_Es*(O9+P9*'Geometry'!$G$51+Q9*'Geometry'!$F$51),S_1_fy),-S_1_fy))-(IF((O9+P9*'Geometry'!$G$51+Q9*'Geometry'!$F$51)&gt;0,IF((O9+P9*'Geometry'!$G$51+Q9*'Geometry'!$F$51)&lt;=C_eco,C_alpha*C_fck*(1-(1-(O9+P9*'Geometry'!$G$51+Q9*'Geometry'!$F$51)/C_eco)^C_n),C_alpha*C_fck),0)))*'Geometry'!$H$51*'Geometry'!$F$51+((MAX(MIN(S_1_Es*(O9+P9*'Geometry'!$G$52+Q9*'Geometry'!$F$52),S_1_fy),-S_1_fy))-(IF((O9+P9*'Geometry'!$G$52+Q9*'Geometry'!$F$52)&gt;0,IF((O9+P9*'Geometry'!$G$52+Q9*'Geometry'!$F$52)&lt;=C_eco,C_alpha*C_fck*(1-(1-(O9+P9*'Geometry'!$G$52+Q9*'Geometry'!$F$52)/C_eco)^C_n),C_alpha*C_fck),0)))*'Geometry'!$H$52*'Geometry'!$F$52+((MAX(MIN(S_1_Es*(O9+P9*'Geometry'!$G$53+Q9*'Geometry'!$F$53),S_1_fy),-S_1_fy))-(IF((O9+P9*'Geometry'!$G$53+Q9*'Geometry'!$F$53)&gt;0,IF((O9+P9*'Geometry'!$G$53+Q9*'Geometry'!$F$53)&lt;=C_eco,C_alpha*C_fck*(1-(1-(O9+P9*'Geometry'!$G$53+Q9*'Geometry'!$F$53)/C_eco)^C_n),C_alpha*C_fck),0)))*'Geometry'!$H$53*'Geometry'!$F$53+((MAX(MIN(S_1_Es*(O9+P9*'Geometry'!$G$54+Q9*'Geometry'!$F$54),S_1_fy),-S_1_fy))-(IF((O9+P9*'Geometry'!$G$54+Q9*'Geometry'!$F$54)&gt;0,IF((O9+P9*'Geometry'!$G$54+Q9*'Geometry'!$F$54)&lt;=C_eco,C_alpha*C_fck*(1-(1-(O9+P9*'Geometry'!$G$54+Q9*'Geometry'!$F$54)/C_eco)^C_n),C_alpha*C_fck),0)))*'Geometry'!$H$54*'Geometry'!$F$54+((MAX(MIN(S_1_Es*(O9+P9*'Geometry'!$G$55+Q9*'Geometry'!$F$55),S_1_fy),-S_1_fy))-(IF((O9+P9*'Geometry'!$G$55+Q9*'Geometry'!$F$55)&gt;0,IF((O9+P9*'Geometry'!$G$55+Q9*'Geometry'!$F$55)&lt;=C_eco,C_alpha*C_fck*(1-(1-(O9+P9*'Geometry'!$G$55+Q9*'Geometry'!$F$55)/C_eco)^C_n),C_alpha*C_fck),0)))*'Geometry'!$H$55*'Geometry'!$F$55+((MAX(MIN(S_1_Es*(O9+P9*'Geometry'!$G$56+Q9*'Geometry'!$F$56),S_1_fy),-S_1_fy))-(IF((O9+P9*'Geometry'!$G$56+Q9*'Geometry'!$F$56)&gt;0,IF((O9+P9*'Geometry'!$G$56+Q9*'Geometry'!$F$56)&lt;=C_eco,C_alpha*C_fck*(1-(1-(O9+P9*'Geometry'!$G$56+Q9*'Geometry'!$F$56)/C_eco)^C_n),C_alpha*C_fck),0)))*'Geometry'!$H$56*'Geometry'!$F$56+((MAX(MIN(S_1_Es*(O9+P9*'Geometry'!$G$57+Q9*'Geometry'!$F$57),S_1_fy),-S_1_fy))-(IF((O9+P9*'Geometry'!$G$57+Q9*'Geometry'!$F$57)&gt;0,IF((O9+P9*'Geometry'!$G$57+Q9*'Geometry'!$F$57)&lt;=C_eco,C_alpha*C_fck*(1-(1-(O9+P9*'Geometry'!$G$57+Q9*'Geometry'!$F$57)/C_eco)^C_n),C_alpha*C_fck),0)))*'Geometry'!$H$57*'Geometry'!$F$57)/1000000</f>
        <v>301.9252896082106</v>
      </c>
      <c r="X9" s="10">
        <f>R9+U9</f>
        <v>-130.26811212081043</v>
      </c>
      <c r="Y9" s="10">
        <f>S9+V9</f>
        <v>2920.2137348179835</v>
      </c>
      <c r="Z9" s="10">
        <f>T9+W9</f>
        <v>1101.2181855086346</v>
      </c>
      <c r="AA9" s="7">
        <v>0.85</v>
      </c>
      <c r="AB9" s="7">
        <v>0.8499999999999999</v>
      </c>
      <c r="AC9" s="10">
        <f>X9*AA9</f>
        <v>-110.72789530268886</v>
      </c>
      <c r="AD9" s="10">
        <f>Y9*AB9</f>
        <v>2482.181674595286</v>
      </c>
      <c r="AE9" s="10">
        <f>Z9*AB9</f>
        <v>936.0354576823393</v>
      </c>
      <c r="AF9" s="7">
        <v>-110.72789530268886</v>
      </c>
      <c r="AG9" s="7">
        <v>2482.181674595286</v>
      </c>
      <c r="AH9" s="7">
        <v>936.0354576823393</v>
      </c>
      <c r="AI9" s="15">
        <f>AC9-AF9</f>
        <v>0</v>
      </c>
      <c r="AJ9" s="15">
        <f>SQRT((AD9-AG9)^2+(AE9-AH9)^2)</f>
        <v>0</v>
      </c>
      <c r="AK9" s="7" t="s">
        <v>189</v>
      </c>
      <c r="AL9" s="7">
        <v>-130.26811212081043</v>
      </c>
      <c r="AM9" s="7">
        <v>2920.2137348179835</v>
      </c>
      <c r="AN9" s="7">
        <v>1101.2181855086346</v>
      </c>
      <c r="AO9" s="7">
        <v>3130.2981424005684</v>
      </c>
      <c r="AP9" s="7">
        <v>1630.8065176059933</v>
      </c>
      <c r="AQ9" s="7">
        <v>799.292895900424</v>
      </c>
      <c r="AR9" s="7">
        <v>-3260.5662545213786</v>
      </c>
      <c r="AS9" s="7">
        <v>1289.4072172119902</v>
      </c>
      <c r="AT9" s="7">
        <v>301.9252896082106</v>
      </c>
    </row>
    <row r="10" spans="1:46" x14ac:dyDescent="0.25">
      <c r="A10" s="7" t="s">
        <v>193</v>
      </c>
      <c r="B10" s="7">
        <v>1</v>
      </c>
      <c r="C10" s="18">
        <v>20</v>
      </c>
      <c r="D10" s="7" t="s">
        <v>194</v>
      </c>
      <c r="E10" s="7" t="s">
        <v>192</v>
      </c>
      <c r="F10" s="19">
        <v>20</v>
      </c>
      <c r="G10" s="7" t="s">
        <v>188</v>
      </c>
      <c r="H10" s="20">
        <v>7.5</v>
      </c>
      <c r="I10" s="10">
        <f>MAX(('Geometry'!$G$13*COS(RADIANS(F10))+'Geometry'!$F$13*SIN(RADIANS(F10))),('Geometry'!$G$14*COS(RADIANS(F10))+'Geometry'!$F$14*SIN(RADIANS(F10))),('Geometry'!$G$15*COS(RADIANS(F10))+'Geometry'!$F$15*SIN(RADIANS(F10))),('Geometry'!$G$16*COS(RADIANS(F10))+'Geometry'!$F$16*SIN(RADIANS(F10))),('Geometry'!$G$17*COS(RADIANS(F10))+'Geometry'!$F$17*SIN(RADIANS(F10))),('Geometry'!$G$18*COS(RADIANS(F10))+'Geometry'!$F$18*SIN(RADIANS(F10))),('Geometry'!$G$19*COS(RADIANS(F10))+'Geometry'!$F$19*SIN(RADIANS(F10))),('Geometry'!$G$20*COS(RADIANS(F10))+'Geometry'!$F$20*SIN(RADIANS(F10))))</f>
        <v>751.9266513006628</v>
      </c>
      <c r="J10" s="10">
        <f>MIN(('Geometry'!$G$40*COS(RADIANS(F10))+'Geometry'!$F$40*SIN(RADIANS(F10))),('Geometry'!$G$41*COS(RADIANS(F10))+'Geometry'!$F$41*SIN(RADIANS(F10))),('Geometry'!$G$42*COS(RADIANS(F10))+'Geometry'!$F$42*SIN(RADIANS(F10))),('Geometry'!$G$43*COS(RADIANS(F10))+'Geometry'!$F$43*SIN(RADIANS(F10))),('Geometry'!$G$44*COS(RADIANS(F10))+'Geometry'!$F$44*SIN(RADIANS(F10))),('Geometry'!$G$45*COS(RADIANS(F10))+'Geometry'!$F$45*SIN(RADIANS(F10))),('Geometry'!$G$46*COS(RADIANS(F10))+'Geometry'!$F$46*SIN(RADIANS(F10))),('Geometry'!$G$47*COS(RADIANS(F10))+'Geometry'!$F$47*SIN(RADIANS(F10))),('Geometry'!$G$48*COS(RADIANS(F10))+'Geometry'!$F$48*SIN(RADIANS(F10))),('Geometry'!$G$49*COS(RADIANS(F10))+'Geometry'!$F$49*SIN(RADIANS(F10))),('Geometry'!$G$50*COS(RADIANS(F10))+'Geometry'!$F$50*SIN(RADIANS(F10))),('Geometry'!$G$51*COS(RADIANS(F10))+'Geometry'!$F$51*SIN(RADIANS(F10))),('Geometry'!$G$52*COS(RADIANS(F10))+'Geometry'!$F$52*SIN(RADIANS(F10))),('Geometry'!$G$53*COS(RADIANS(F10))+'Geometry'!$F$53*SIN(RADIANS(F10))),('Geometry'!$G$54*COS(RADIANS(F10))+'Geometry'!$F$54*SIN(RADIANS(F10))),('Geometry'!$G$55*COS(RADIANS(F10))+'Geometry'!$F$55*SIN(RADIANS(F10))),('Geometry'!$G$56*COS(RADIANS(F10))+'Geometry'!$F$56*SIN(RADIANS(F10))),('Geometry'!$G$57*COS(RADIANS(F10))+'Geometry'!$F$57*SIN(RADIANS(F10))))</f>
        <v>-634.845146346799</v>
      </c>
      <c r="K10" s="10">
        <f>I10-MIN(('Geometry'!$G$13*COS(RADIANS(F10))+'Geometry'!$F$13*SIN(RADIANS(F10))),('Geometry'!$G$14*COS(RADIANS(F10))+'Geometry'!$F$14*SIN(RADIANS(F10))),('Geometry'!$G$15*COS(RADIANS(F10))+'Geometry'!$F$15*SIN(RADIANS(F10))),('Geometry'!$G$16*COS(RADIANS(F10))+'Geometry'!$F$16*SIN(RADIANS(F10))),('Geometry'!$G$17*COS(RADIANS(F10))+'Geometry'!$F$17*SIN(RADIANS(F10))),('Geometry'!$G$18*COS(RADIANS(F10))+'Geometry'!$F$18*SIN(RADIANS(F10))),('Geometry'!$G$19*COS(RADIANS(F10))+'Geometry'!$F$19*SIN(RADIANS(F10))),('Geometry'!$G$20*COS(RADIANS(F10))+'Geometry'!$F$20*SIN(RADIANS(F10))))</f>
        <v>1503.8533026013256</v>
      </c>
      <c r="L10" s="15">
        <f>C_ecu</f>
        <v>0.0032999999999999982</v>
      </c>
      <c r="M10" s="15">
        <f>-H10*S_1_fy/S_1_Es</f>
        <v>-0.015</v>
      </c>
      <c r="N10" s="21">
        <f>IF(ABS(I10-J10)&lt;0.000000000001,0,(L10-M10)/(I10-J10))</f>
        <v>0.000013196114913098436</v>
      </c>
      <c r="O10" s="15">
        <f>L10-N10*I10</f>
        <v>-0.006622510496784845</v>
      </c>
      <c r="P10" s="21">
        <f>N10*COS(RADIANS(F10))</f>
        <v>0.00001240029180688148</v>
      </c>
      <c r="Q10" s="21">
        <f>N10*SIN(RADIANS(F10))</f>
        <v>0.000004513337113919922</v>
      </c>
      <c r="R10" s="10">
        <f>SUMPRODUCT(C_alpha*C_fck*(1-(1-(((O10+P10*Mesh_Y+Q10*Mesh_X))*((O10+P10*Mesh_Y+Q10*Mesh_X)&gt;0)*((O10+P10*Mesh_Y+Q10*Mesh_X)&lt;C_eco)+C_eco*((O10+P10*Mesh_Y+Q10*Mesh_X)&gt;=C_eco))/C_eco)^C_n)*(((O10+P10*Mesh_Y+Q10*Mesh_X))&gt;0),Mesh_A)/1000</f>
        <v>2382.044416654532</v>
      </c>
      <c r="S10" s="10">
        <f>SUMPRODUCT(C_alpha*C_fck*(1-(1-(((O10+P10*Mesh_Y+Q10*Mesh_X))*((O10+P10*Mesh_Y+Q10*Mesh_X)&gt;0)*((O10+P10*Mesh_Y+Q10*Mesh_X)&lt;C_eco)+C_eco*((O10+P10*Mesh_Y+Q10*Mesh_X)&gt;=C_eco))/C_eco)^C_n)*(((O10+P10*Mesh_Y+Q10*Mesh_X))&gt;0),Mesh_A,Mesh_Y)/1000000</f>
        <v>1180.6766527907785</v>
      </c>
      <c r="T10" s="10">
        <f>SUMPRODUCT(C_alpha*C_fck*(1-(1-(((O10+P10*Mesh_Y+Q10*Mesh_X))*((O10+P10*Mesh_Y+Q10*Mesh_X)&gt;0)*((O10+P10*Mesh_Y+Q10*Mesh_X)&lt;C_eco)+C_eco*((O10+P10*Mesh_Y+Q10*Mesh_X)&gt;=C_eco))/C_eco)^C_n)*(((O10+P10*Mesh_Y+Q10*Mesh_X))&gt;0),Mesh_A,Mesh_X)/1000000</f>
        <v>1037.5996635216509</v>
      </c>
      <c r="U10" s="10">
        <f>(((MAX(MIN(S_1_Es*(O10+P10*'Geometry'!$G$40+Q10*'Geometry'!$F$40),S_1_fy),-S_1_fy))-(IF((O10+P10*'Geometry'!$G$40+Q10*'Geometry'!$F$40)&gt;0,IF((O10+P10*'Geometry'!$G$40+Q10*'Geometry'!$F$40)&lt;=C_eco,C_alpha*C_fck*(1-(1-(O10+P10*'Geometry'!$G$40+Q10*'Geometry'!$F$40)/C_eco)^C_n),C_alpha*C_fck),0)))*'Geometry'!$H$40+((MAX(MIN(S_1_Es*(O10+P10*'Geometry'!$G$41+Q10*'Geometry'!$F$41),S_1_fy),-S_1_fy))-(IF((O10+P10*'Geometry'!$G$41+Q10*'Geometry'!$F$41)&gt;0,IF((O10+P10*'Geometry'!$G$41+Q10*'Geometry'!$F$41)&lt;=C_eco,C_alpha*C_fck*(1-(1-(O10+P10*'Geometry'!$G$41+Q10*'Geometry'!$F$41)/C_eco)^C_n),C_alpha*C_fck),0)))*'Geometry'!$H$41+((MAX(MIN(S_1_Es*(O10+P10*'Geometry'!$G$42+Q10*'Geometry'!$F$42),S_1_fy),-S_1_fy))-(IF((O10+P10*'Geometry'!$G$42+Q10*'Geometry'!$F$42)&gt;0,IF((O10+P10*'Geometry'!$G$42+Q10*'Geometry'!$F$42)&lt;=C_eco,C_alpha*C_fck*(1-(1-(O10+P10*'Geometry'!$G$42+Q10*'Geometry'!$F$42)/C_eco)^C_n),C_alpha*C_fck),0)))*'Geometry'!$H$42+((MAX(MIN(S_1_Es*(O10+P10*'Geometry'!$G$43+Q10*'Geometry'!$F$43),S_1_fy),-S_1_fy))-(IF((O10+P10*'Geometry'!$G$43+Q10*'Geometry'!$F$43)&gt;0,IF((O10+P10*'Geometry'!$G$43+Q10*'Geometry'!$F$43)&lt;=C_eco,C_alpha*C_fck*(1-(1-(O10+P10*'Geometry'!$G$43+Q10*'Geometry'!$F$43)/C_eco)^C_n),C_alpha*C_fck),0)))*'Geometry'!$H$43+((MAX(MIN(S_1_Es*(O10+P10*'Geometry'!$G$44+Q10*'Geometry'!$F$44),S_1_fy),-S_1_fy))-(IF((O10+P10*'Geometry'!$G$44+Q10*'Geometry'!$F$44)&gt;0,IF((O10+P10*'Geometry'!$G$44+Q10*'Geometry'!$F$44)&lt;=C_eco,C_alpha*C_fck*(1-(1-(O10+P10*'Geometry'!$G$44+Q10*'Geometry'!$F$44)/C_eco)^C_n),C_alpha*C_fck),0)))*'Geometry'!$H$44+((MAX(MIN(S_1_Es*(O10+P10*'Geometry'!$G$45+Q10*'Geometry'!$F$45),S_1_fy),-S_1_fy))-(IF((O10+P10*'Geometry'!$G$45+Q10*'Geometry'!$F$45)&gt;0,IF((O10+P10*'Geometry'!$G$45+Q10*'Geometry'!$F$45)&lt;=C_eco,C_alpha*C_fck*(1-(1-(O10+P10*'Geometry'!$G$45+Q10*'Geometry'!$F$45)/C_eco)^C_n),C_alpha*C_fck),0)))*'Geometry'!$H$45+((MAX(MIN(S_1_Es*(O10+P10*'Geometry'!$G$46+Q10*'Geometry'!$F$46),S_1_fy),-S_1_fy))-(IF((O10+P10*'Geometry'!$G$46+Q10*'Geometry'!$F$46)&gt;0,IF((O10+P10*'Geometry'!$G$46+Q10*'Geometry'!$F$46)&lt;=C_eco,C_alpha*C_fck*(1-(1-(O10+P10*'Geometry'!$G$46+Q10*'Geometry'!$F$46)/C_eco)^C_n),C_alpha*C_fck),0)))*'Geometry'!$H$46+((MAX(MIN(S_1_Es*(O10+P10*'Geometry'!$G$47+Q10*'Geometry'!$F$47),S_1_fy),-S_1_fy))-(IF((O10+P10*'Geometry'!$G$47+Q10*'Geometry'!$F$47)&gt;0,IF((O10+P10*'Geometry'!$G$47+Q10*'Geometry'!$F$47)&lt;=C_eco,C_alpha*C_fck*(1-(1-(O10+P10*'Geometry'!$G$47+Q10*'Geometry'!$F$47)/C_eco)^C_n),C_alpha*C_fck),0)))*'Geometry'!$H$47+((MAX(MIN(S_1_Es*(O10+P10*'Geometry'!$G$48+Q10*'Geometry'!$F$48),S_1_fy),-S_1_fy))-(IF((O10+P10*'Geometry'!$G$48+Q10*'Geometry'!$F$48)&gt;0,IF((O10+P10*'Geometry'!$G$48+Q10*'Geometry'!$F$48)&lt;=C_eco,C_alpha*C_fck*(1-(1-(O10+P10*'Geometry'!$G$48+Q10*'Geometry'!$F$48)/C_eco)^C_n),C_alpha*C_fck),0)))*'Geometry'!$H$48+((MAX(MIN(S_1_Es*(O10+P10*'Geometry'!$G$49+Q10*'Geometry'!$F$49),S_1_fy),-S_1_fy))-(IF((O10+P10*'Geometry'!$G$49+Q10*'Geometry'!$F$49)&gt;0,IF((O10+P10*'Geometry'!$G$49+Q10*'Geometry'!$F$49)&lt;=C_eco,C_alpha*C_fck*(1-(1-(O10+P10*'Geometry'!$G$49+Q10*'Geometry'!$F$49)/C_eco)^C_n),C_alpha*C_fck),0)))*'Geometry'!$H$49+((MAX(MIN(S_1_Es*(O10+P10*'Geometry'!$G$50+Q10*'Geometry'!$F$50),S_1_fy),-S_1_fy))-(IF((O10+P10*'Geometry'!$G$50+Q10*'Geometry'!$F$50)&gt;0,IF((O10+P10*'Geometry'!$G$50+Q10*'Geometry'!$F$50)&lt;=C_eco,C_alpha*C_fck*(1-(1-(O10+P10*'Geometry'!$G$50+Q10*'Geometry'!$F$50)/C_eco)^C_n),C_alpha*C_fck),0)))*'Geometry'!$H$50+((MAX(MIN(S_1_Es*(O10+P10*'Geometry'!$G$51+Q10*'Geometry'!$F$51),S_1_fy),-S_1_fy))-(IF((O10+P10*'Geometry'!$G$51+Q10*'Geometry'!$F$51)&gt;0,IF((O10+P10*'Geometry'!$G$51+Q10*'Geometry'!$F$51)&lt;=C_eco,C_alpha*C_fck*(1-(1-(O10+P10*'Geometry'!$G$51+Q10*'Geometry'!$F$51)/C_eco)^C_n),C_alpha*C_fck),0)))*'Geometry'!$H$51+((MAX(MIN(S_1_Es*(O10+P10*'Geometry'!$G$52+Q10*'Geometry'!$F$52),S_1_fy),-S_1_fy))-(IF((O10+P10*'Geometry'!$G$52+Q10*'Geometry'!$F$52)&gt;0,IF((O10+P10*'Geometry'!$G$52+Q10*'Geometry'!$F$52)&lt;=C_eco,C_alpha*C_fck*(1-(1-(O10+P10*'Geometry'!$G$52+Q10*'Geometry'!$F$52)/C_eco)^C_n),C_alpha*C_fck),0)))*'Geometry'!$H$52+((MAX(MIN(S_1_Es*(O10+P10*'Geometry'!$G$53+Q10*'Geometry'!$F$53),S_1_fy),-S_1_fy))-(IF((O10+P10*'Geometry'!$G$53+Q10*'Geometry'!$F$53)&gt;0,IF((O10+P10*'Geometry'!$G$53+Q10*'Geometry'!$F$53)&lt;=C_eco,C_alpha*C_fck*(1-(1-(O10+P10*'Geometry'!$G$53+Q10*'Geometry'!$F$53)/C_eco)^C_n),C_alpha*C_fck),0)))*'Geometry'!$H$53+((MAX(MIN(S_1_Es*(O10+P10*'Geometry'!$G$54+Q10*'Geometry'!$F$54),S_1_fy),-S_1_fy))-(IF((O10+P10*'Geometry'!$G$54+Q10*'Geometry'!$F$54)&gt;0,IF((O10+P10*'Geometry'!$G$54+Q10*'Geometry'!$F$54)&lt;=C_eco,C_alpha*C_fck*(1-(1-(O10+P10*'Geometry'!$G$54+Q10*'Geometry'!$F$54)/C_eco)^C_n),C_alpha*C_fck),0)))*'Geometry'!$H$54+((MAX(MIN(S_1_Es*(O10+P10*'Geometry'!$G$55+Q10*'Geometry'!$F$55),S_1_fy),-S_1_fy))-(IF((O10+P10*'Geometry'!$G$55+Q10*'Geometry'!$F$55)&gt;0,IF((O10+P10*'Geometry'!$G$55+Q10*'Geometry'!$F$55)&lt;=C_eco,C_alpha*C_fck*(1-(1-(O10+P10*'Geometry'!$G$55+Q10*'Geometry'!$F$55)/C_eco)^C_n),C_alpha*C_fck),0)))*'Geometry'!$H$55+((MAX(MIN(S_1_Es*(O10+P10*'Geometry'!$G$56+Q10*'Geometry'!$F$56),S_1_fy),-S_1_fy))-(IF((O10+P10*'Geometry'!$G$56+Q10*'Geometry'!$F$56)&gt;0,IF((O10+P10*'Geometry'!$G$56+Q10*'Geometry'!$F$56)&lt;=C_eco,C_alpha*C_fck*(1-(1-(O10+P10*'Geometry'!$G$56+Q10*'Geometry'!$F$56)/C_eco)^C_n),C_alpha*C_fck),0)))*'Geometry'!$H$56+((MAX(MIN(S_1_Es*(O10+P10*'Geometry'!$G$57+Q10*'Geometry'!$F$57),S_1_fy),-S_1_fy))-(IF((O10+P10*'Geometry'!$G$57+Q10*'Geometry'!$F$57)&gt;0,IF((O10+P10*'Geometry'!$G$57+Q10*'Geometry'!$F$57)&lt;=C_eco,C_alpha*C_fck*(1-(1-(O10+P10*'Geometry'!$G$57+Q10*'Geometry'!$F$57)/C_eco)^C_n),C_alpha*C_fck),0)))*'Geometry'!$H$57)/1000</f>
        <v>-3911.3133908869127</v>
      </c>
      <c r="V10" s="10">
        <f>(((MAX(MIN(S_1_Es*(O10+P10*'Geometry'!$G$40+Q10*'Geometry'!$F$40),S_1_fy),-S_1_fy))-(IF((O10+P10*'Geometry'!$G$40+Q10*'Geometry'!$F$40)&gt;0,IF((O10+P10*'Geometry'!$G$40+Q10*'Geometry'!$F$40)&lt;=C_eco,C_alpha*C_fck*(1-(1-(O10+P10*'Geometry'!$G$40+Q10*'Geometry'!$F$40)/C_eco)^C_n),C_alpha*C_fck),0)))*'Geometry'!$H$40*'Geometry'!$G$40+((MAX(MIN(S_1_Es*(O10+P10*'Geometry'!$G$41+Q10*'Geometry'!$F$41),S_1_fy),-S_1_fy))-(IF((O10+P10*'Geometry'!$G$41+Q10*'Geometry'!$F$41)&gt;0,IF((O10+P10*'Geometry'!$G$41+Q10*'Geometry'!$F$41)&lt;=C_eco,C_alpha*C_fck*(1-(1-(O10+P10*'Geometry'!$G$41+Q10*'Geometry'!$F$41)/C_eco)^C_n),C_alpha*C_fck),0)))*'Geometry'!$H$41*'Geometry'!$G$41+((MAX(MIN(S_1_Es*(O10+P10*'Geometry'!$G$42+Q10*'Geometry'!$F$42),S_1_fy),-S_1_fy))-(IF((O10+P10*'Geometry'!$G$42+Q10*'Geometry'!$F$42)&gt;0,IF((O10+P10*'Geometry'!$G$42+Q10*'Geometry'!$F$42)&lt;=C_eco,C_alpha*C_fck*(1-(1-(O10+P10*'Geometry'!$G$42+Q10*'Geometry'!$F$42)/C_eco)^C_n),C_alpha*C_fck),0)))*'Geometry'!$H$42*'Geometry'!$G$42+((MAX(MIN(S_1_Es*(O10+P10*'Geometry'!$G$43+Q10*'Geometry'!$F$43),S_1_fy),-S_1_fy))-(IF((O10+P10*'Geometry'!$G$43+Q10*'Geometry'!$F$43)&gt;0,IF((O10+P10*'Geometry'!$G$43+Q10*'Geometry'!$F$43)&lt;=C_eco,C_alpha*C_fck*(1-(1-(O10+P10*'Geometry'!$G$43+Q10*'Geometry'!$F$43)/C_eco)^C_n),C_alpha*C_fck),0)))*'Geometry'!$H$43*'Geometry'!$G$43+((MAX(MIN(S_1_Es*(O10+P10*'Geometry'!$G$44+Q10*'Geometry'!$F$44),S_1_fy),-S_1_fy))-(IF((O10+P10*'Geometry'!$G$44+Q10*'Geometry'!$F$44)&gt;0,IF((O10+P10*'Geometry'!$G$44+Q10*'Geometry'!$F$44)&lt;=C_eco,C_alpha*C_fck*(1-(1-(O10+P10*'Geometry'!$G$44+Q10*'Geometry'!$F$44)/C_eco)^C_n),C_alpha*C_fck),0)))*'Geometry'!$H$44*'Geometry'!$G$44+((MAX(MIN(S_1_Es*(O10+P10*'Geometry'!$G$45+Q10*'Geometry'!$F$45),S_1_fy),-S_1_fy))-(IF((O10+P10*'Geometry'!$G$45+Q10*'Geometry'!$F$45)&gt;0,IF((O10+P10*'Geometry'!$G$45+Q10*'Geometry'!$F$45)&lt;=C_eco,C_alpha*C_fck*(1-(1-(O10+P10*'Geometry'!$G$45+Q10*'Geometry'!$F$45)/C_eco)^C_n),C_alpha*C_fck),0)))*'Geometry'!$H$45*'Geometry'!$G$45+((MAX(MIN(S_1_Es*(O10+P10*'Geometry'!$G$46+Q10*'Geometry'!$F$46),S_1_fy),-S_1_fy))-(IF((O10+P10*'Geometry'!$G$46+Q10*'Geometry'!$F$46)&gt;0,IF((O10+P10*'Geometry'!$G$46+Q10*'Geometry'!$F$46)&lt;=C_eco,C_alpha*C_fck*(1-(1-(O10+P10*'Geometry'!$G$46+Q10*'Geometry'!$F$46)/C_eco)^C_n),C_alpha*C_fck),0)))*'Geometry'!$H$46*'Geometry'!$G$46+((MAX(MIN(S_1_Es*(O10+P10*'Geometry'!$G$47+Q10*'Geometry'!$F$47),S_1_fy),-S_1_fy))-(IF((O10+P10*'Geometry'!$G$47+Q10*'Geometry'!$F$47)&gt;0,IF((O10+P10*'Geometry'!$G$47+Q10*'Geometry'!$F$47)&lt;=C_eco,C_alpha*C_fck*(1-(1-(O10+P10*'Geometry'!$G$47+Q10*'Geometry'!$F$47)/C_eco)^C_n),C_alpha*C_fck),0)))*'Geometry'!$H$47*'Geometry'!$G$47+((MAX(MIN(S_1_Es*(O10+P10*'Geometry'!$G$48+Q10*'Geometry'!$F$48),S_1_fy),-S_1_fy))-(IF((O10+P10*'Geometry'!$G$48+Q10*'Geometry'!$F$48)&gt;0,IF((O10+P10*'Geometry'!$G$48+Q10*'Geometry'!$F$48)&lt;=C_eco,C_alpha*C_fck*(1-(1-(O10+P10*'Geometry'!$G$48+Q10*'Geometry'!$F$48)/C_eco)^C_n),C_alpha*C_fck),0)))*'Geometry'!$H$48*'Geometry'!$G$48+((MAX(MIN(S_1_Es*(O10+P10*'Geometry'!$G$49+Q10*'Geometry'!$F$49),S_1_fy),-S_1_fy))-(IF((O10+P10*'Geometry'!$G$49+Q10*'Geometry'!$F$49)&gt;0,IF((O10+P10*'Geometry'!$G$49+Q10*'Geometry'!$F$49)&lt;=C_eco,C_alpha*C_fck*(1-(1-(O10+P10*'Geometry'!$G$49+Q10*'Geometry'!$F$49)/C_eco)^C_n),C_alpha*C_fck),0)))*'Geometry'!$H$49*'Geometry'!$G$49+((MAX(MIN(S_1_Es*(O10+P10*'Geometry'!$G$50+Q10*'Geometry'!$F$50),S_1_fy),-S_1_fy))-(IF((O10+P10*'Geometry'!$G$50+Q10*'Geometry'!$F$50)&gt;0,IF((O10+P10*'Geometry'!$G$50+Q10*'Geometry'!$F$50)&lt;=C_eco,C_alpha*C_fck*(1-(1-(O10+P10*'Geometry'!$G$50+Q10*'Geometry'!$F$50)/C_eco)^C_n),C_alpha*C_fck),0)))*'Geometry'!$H$50*'Geometry'!$G$50+((MAX(MIN(S_1_Es*(O10+P10*'Geometry'!$G$51+Q10*'Geometry'!$F$51),S_1_fy),-S_1_fy))-(IF((O10+P10*'Geometry'!$G$51+Q10*'Geometry'!$F$51)&gt;0,IF((O10+P10*'Geometry'!$G$51+Q10*'Geometry'!$F$51)&lt;=C_eco,C_alpha*C_fck*(1-(1-(O10+P10*'Geometry'!$G$51+Q10*'Geometry'!$F$51)/C_eco)^C_n),C_alpha*C_fck),0)))*'Geometry'!$H$51*'Geometry'!$G$51+((MAX(MIN(S_1_Es*(O10+P10*'Geometry'!$G$52+Q10*'Geometry'!$F$52),S_1_fy),-S_1_fy))-(IF((O10+P10*'Geometry'!$G$52+Q10*'Geometry'!$F$52)&gt;0,IF((O10+P10*'Geometry'!$G$52+Q10*'Geometry'!$F$52)&lt;=C_eco,C_alpha*C_fck*(1-(1-(O10+P10*'Geometry'!$G$52+Q10*'Geometry'!$F$52)/C_eco)^C_n),C_alpha*C_fck),0)))*'Geometry'!$H$52*'Geometry'!$G$52+((MAX(MIN(S_1_Es*(O10+P10*'Geometry'!$G$53+Q10*'Geometry'!$F$53),S_1_fy),-S_1_fy))-(IF((O10+P10*'Geometry'!$G$53+Q10*'Geometry'!$F$53)&gt;0,IF((O10+P10*'Geometry'!$G$53+Q10*'Geometry'!$F$53)&lt;=C_eco,C_alpha*C_fck*(1-(1-(O10+P10*'Geometry'!$G$53+Q10*'Geometry'!$F$53)/C_eco)^C_n),C_alpha*C_fck),0)))*'Geometry'!$H$53*'Geometry'!$G$53+((MAX(MIN(S_1_Es*(O10+P10*'Geometry'!$G$54+Q10*'Geometry'!$F$54),S_1_fy),-S_1_fy))-(IF((O10+P10*'Geometry'!$G$54+Q10*'Geometry'!$F$54)&gt;0,IF((O10+P10*'Geometry'!$G$54+Q10*'Geometry'!$F$54)&lt;=C_eco,C_alpha*C_fck*(1-(1-(O10+P10*'Geometry'!$G$54+Q10*'Geometry'!$F$54)/C_eco)^C_n),C_alpha*C_fck),0)))*'Geometry'!$H$54*'Geometry'!$G$54+((MAX(MIN(S_1_Es*(O10+P10*'Geometry'!$G$55+Q10*'Geometry'!$F$55),S_1_fy),-S_1_fy))-(IF((O10+P10*'Geometry'!$G$55+Q10*'Geometry'!$F$55)&gt;0,IF((O10+P10*'Geometry'!$G$55+Q10*'Geometry'!$F$55)&lt;=C_eco,C_alpha*C_fck*(1-(1-(O10+P10*'Geometry'!$G$55+Q10*'Geometry'!$F$55)/C_eco)^C_n),C_alpha*C_fck),0)))*'Geometry'!$H$55*'Geometry'!$G$55+((MAX(MIN(S_1_Es*(O10+P10*'Geometry'!$G$56+Q10*'Geometry'!$F$56),S_1_fy),-S_1_fy))-(IF((O10+P10*'Geometry'!$G$56+Q10*'Geometry'!$F$56)&gt;0,IF((O10+P10*'Geometry'!$G$56+Q10*'Geometry'!$F$56)&lt;=C_eco,C_alpha*C_fck*(1-(1-(O10+P10*'Geometry'!$G$56+Q10*'Geometry'!$F$56)/C_eco)^C_n),C_alpha*C_fck),0)))*'Geometry'!$H$56*'Geometry'!$G$56+((MAX(MIN(S_1_Es*(O10+P10*'Geometry'!$G$57+Q10*'Geometry'!$F$57),S_1_fy),-S_1_fy))-(IF((O10+P10*'Geometry'!$G$57+Q10*'Geometry'!$F$57)&gt;0,IF((O10+P10*'Geometry'!$G$57+Q10*'Geometry'!$F$57)&lt;=C_eco,C_alpha*C_fck*(1-(1-(O10+P10*'Geometry'!$G$57+Q10*'Geometry'!$F$57)/C_eco)^C_n),C_alpha*C_fck),0)))*'Geometry'!$H$57*'Geometry'!$G$57)/1000000</f>
        <v>916.6105721726215</v>
      </c>
      <c r="W10" s="10">
        <f>(((MAX(MIN(S_1_Es*(O10+P10*'Geometry'!$G$40+Q10*'Geometry'!$F$40),S_1_fy),-S_1_fy))-(IF((O10+P10*'Geometry'!$G$40+Q10*'Geometry'!$F$40)&gt;0,IF((O10+P10*'Geometry'!$G$40+Q10*'Geometry'!$F$40)&lt;=C_eco,C_alpha*C_fck*(1-(1-(O10+P10*'Geometry'!$G$40+Q10*'Geometry'!$F$40)/C_eco)^C_n),C_alpha*C_fck),0)))*'Geometry'!$H$40*'Geometry'!$F$40+((MAX(MIN(S_1_Es*(O10+P10*'Geometry'!$G$41+Q10*'Geometry'!$F$41),S_1_fy),-S_1_fy))-(IF((O10+P10*'Geometry'!$G$41+Q10*'Geometry'!$F$41)&gt;0,IF((O10+P10*'Geometry'!$G$41+Q10*'Geometry'!$F$41)&lt;=C_eco,C_alpha*C_fck*(1-(1-(O10+P10*'Geometry'!$G$41+Q10*'Geometry'!$F$41)/C_eco)^C_n),C_alpha*C_fck),0)))*'Geometry'!$H$41*'Geometry'!$F$41+((MAX(MIN(S_1_Es*(O10+P10*'Geometry'!$G$42+Q10*'Geometry'!$F$42),S_1_fy),-S_1_fy))-(IF((O10+P10*'Geometry'!$G$42+Q10*'Geometry'!$F$42)&gt;0,IF((O10+P10*'Geometry'!$G$42+Q10*'Geometry'!$F$42)&lt;=C_eco,C_alpha*C_fck*(1-(1-(O10+P10*'Geometry'!$G$42+Q10*'Geometry'!$F$42)/C_eco)^C_n),C_alpha*C_fck),0)))*'Geometry'!$H$42*'Geometry'!$F$42+((MAX(MIN(S_1_Es*(O10+P10*'Geometry'!$G$43+Q10*'Geometry'!$F$43),S_1_fy),-S_1_fy))-(IF((O10+P10*'Geometry'!$G$43+Q10*'Geometry'!$F$43)&gt;0,IF((O10+P10*'Geometry'!$G$43+Q10*'Geometry'!$F$43)&lt;=C_eco,C_alpha*C_fck*(1-(1-(O10+P10*'Geometry'!$G$43+Q10*'Geometry'!$F$43)/C_eco)^C_n),C_alpha*C_fck),0)))*'Geometry'!$H$43*'Geometry'!$F$43+((MAX(MIN(S_1_Es*(O10+P10*'Geometry'!$G$44+Q10*'Geometry'!$F$44),S_1_fy),-S_1_fy))-(IF((O10+P10*'Geometry'!$G$44+Q10*'Geometry'!$F$44)&gt;0,IF((O10+P10*'Geometry'!$G$44+Q10*'Geometry'!$F$44)&lt;=C_eco,C_alpha*C_fck*(1-(1-(O10+P10*'Geometry'!$G$44+Q10*'Geometry'!$F$44)/C_eco)^C_n),C_alpha*C_fck),0)))*'Geometry'!$H$44*'Geometry'!$F$44+((MAX(MIN(S_1_Es*(O10+P10*'Geometry'!$G$45+Q10*'Geometry'!$F$45),S_1_fy),-S_1_fy))-(IF((O10+P10*'Geometry'!$G$45+Q10*'Geometry'!$F$45)&gt;0,IF((O10+P10*'Geometry'!$G$45+Q10*'Geometry'!$F$45)&lt;=C_eco,C_alpha*C_fck*(1-(1-(O10+P10*'Geometry'!$G$45+Q10*'Geometry'!$F$45)/C_eco)^C_n),C_alpha*C_fck),0)))*'Geometry'!$H$45*'Geometry'!$F$45+((MAX(MIN(S_1_Es*(O10+P10*'Geometry'!$G$46+Q10*'Geometry'!$F$46),S_1_fy),-S_1_fy))-(IF((O10+P10*'Geometry'!$G$46+Q10*'Geometry'!$F$46)&gt;0,IF((O10+P10*'Geometry'!$G$46+Q10*'Geometry'!$F$46)&lt;=C_eco,C_alpha*C_fck*(1-(1-(O10+P10*'Geometry'!$G$46+Q10*'Geometry'!$F$46)/C_eco)^C_n),C_alpha*C_fck),0)))*'Geometry'!$H$46*'Geometry'!$F$46+((MAX(MIN(S_1_Es*(O10+P10*'Geometry'!$G$47+Q10*'Geometry'!$F$47),S_1_fy),-S_1_fy))-(IF((O10+P10*'Geometry'!$G$47+Q10*'Geometry'!$F$47)&gt;0,IF((O10+P10*'Geometry'!$G$47+Q10*'Geometry'!$F$47)&lt;=C_eco,C_alpha*C_fck*(1-(1-(O10+P10*'Geometry'!$G$47+Q10*'Geometry'!$F$47)/C_eco)^C_n),C_alpha*C_fck),0)))*'Geometry'!$H$47*'Geometry'!$F$47+((MAX(MIN(S_1_Es*(O10+P10*'Geometry'!$G$48+Q10*'Geometry'!$F$48),S_1_fy),-S_1_fy))-(IF((O10+P10*'Geometry'!$G$48+Q10*'Geometry'!$F$48)&gt;0,IF((O10+P10*'Geometry'!$G$48+Q10*'Geometry'!$F$48)&lt;=C_eco,C_alpha*C_fck*(1-(1-(O10+P10*'Geometry'!$G$48+Q10*'Geometry'!$F$48)/C_eco)^C_n),C_alpha*C_fck),0)))*'Geometry'!$H$48*'Geometry'!$F$48+((MAX(MIN(S_1_Es*(O10+P10*'Geometry'!$G$49+Q10*'Geometry'!$F$49),S_1_fy),-S_1_fy))-(IF((O10+P10*'Geometry'!$G$49+Q10*'Geometry'!$F$49)&gt;0,IF((O10+P10*'Geometry'!$G$49+Q10*'Geometry'!$F$49)&lt;=C_eco,C_alpha*C_fck*(1-(1-(O10+P10*'Geometry'!$G$49+Q10*'Geometry'!$F$49)/C_eco)^C_n),C_alpha*C_fck),0)))*'Geometry'!$H$49*'Geometry'!$F$49+((MAX(MIN(S_1_Es*(O10+P10*'Geometry'!$G$50+Q10*'Geometry'!$F$50),S_1_fy),-S_1_fy))-(IF((O10+P10*'Geometry'!$G$50+Q10*'Geometry'!$F$50)&gt;0,IF((O10+P10*'Geometry'!$G$50+Q10*'Geometry'!$F$50)&lt;=C_eco,C_alpha*C_fck*(1-(1-(O10+P10*'Geometry'!$G$50+Q10*'Geometry'!$F$50)/C_eco)^C_n),C_alpha*C_fck),0)))*'Geometry'!$H$50*'Geometry'!$F$50+((MAX(MIN(S_1_Es*(O10+P10*'Geometry'!$G$51+Q10*'Geometry'!$F$51),S_1_fy),-S_1_fy))-(IF((O10+P10*'Geometry'!$G$51+Q10*'Geometry'!$F$51)&gt;0,IF((O10+P10*'Geometry'!$G$51+Q10*'Geometry'!$F$51)&lt;=C_eco,C_alpha*C_fck*(1-(1-(O10+P10*'Geometry'!$G$51+Q10*'Geometry'!$F$51)/C_eco)^C_n),C_alpha*C_fck),0)))*'Geometry'!$H$51*'Geometry'!$F$51+((MAX(MIN(S_1_Es*(O10+P10*'Geometry'!$G$52+Q10*'Geometry'!$F$52),S_1_fy),-S_1_fy))-(IF((O10+P10*'Geometry'!$G$52+Q10*'Geometry'!$F$52)&gt;0,IF((O10+P10*'Geometry'!$G$52+Q10*'Geometry'!$F$52)&lt;=C_eco,C_alpha*C_fck*(1-(1-(O10+P10*'Geometry'!$G$52+Q10*'Geometry'!$F$52)/C_eco)^C_n),C_alpha*C_fck),0)))*'Geometry'!$H$52*'Geometry'!$F$52+((MAX(MIN(S_1_Es*(O10+P10*'Geometry'!$G$53+Q10*'Geometry'!$F$53),S_1_fy),-S_1_fy))-(IF((O10+P10*'Geometry'!$G$53+Q10*'Geometry'!$F$53)&gt;0,IF((O10+P10*'Geometry'!$G$53+Q10*'Geometry'!$F$53)&lt;=C_eco,C_alpha*C_fck*(1-(1-(O10+P10*'Geometry'!$G$53+Q10*'Geometry'!$F$53)/C_eco)^C_n),C_alpha*C_fck),0)))*'Geometry'!$H$53*'Geometry'!$F$53+((MAX(MIN(S_1_Es*(O10+P10*'Geometry'!$G$54+Q10*'Geometry'!$F$54),S_1_fy),-S_1_fy))-(IF((O10+P10*'Geometry'!$G$54+Q10*'Geometry'!$F$54)&gt;0,IF((O10+P10*'Geometry'!$G$54+Q10*'Geometry'!$F$54)&lt;=C_eco,C_alpha*C_fck*(1-(1-(O10+P10*'Geometry'!$G$54+Q10*'Geometry'!$F$54)/C_eco)^C_n),C_alpha*C_fck),0)))*'Geometry'!$H$54*'Geometry'!$F$54+((MAX(MIN(S_1_Es*(O10+P10*'Geometry'!$G$55+Q10*'Geometry'!$F$55),S_1_fy),-S_1_fy))-(IF((O10+P10*'Geometry'!$G$55+Q10*'Geometry'!$F$55)&gt;0,IF((O10+P10*'Geometry'!$G$55+Q10*'Geometry'!$F$55)&lt;=C_eco,C_alpha*C_fck*(1-(1-(O10+P10*'Geometry'!$G$55+Q10*'Geometry'!$F$55)/C_eco)^C_n),C_alpha*C_fck),0)))*'Geometry'!$H$55*'Geometry'!$F$55+((MAX(MIN(S_1_Es*(O10+P10*'Geometry'!$G$56+Q10*'Geometry'!$F$56),S_1_fy),-S_1_fy))-(IF((O10+P10*'Geometry'!$G$56+Q10*'Geometry'!$F$56)&gt;0,IF((O10+P10*'Geometry'!$G$56+Q10*'Geometry'!$F$56)&lt;=C_eco,C_alpha*C_fck*(1-(1-(O10+P10*'Geometry'!$G$56+Q10*'Geometry'!$F$56)/C_eco)^C_n),C_alpha*C_fck),0)))*'Geometry'!$H$56*'Geometry'!$F$56+((MAX(MIN(S_1_Es*(O10+P10*'Geometry'!$G$57+Q10*'Geometry'!$F$57),S_1_fy),-S_1_fy))-(IF((O10+P10*'Geometry'!$G$57+Q10*'Geometry'!$F$57)&gt;0,IF((O10+P10*'Geometry'!$G$57+Q10*'Geometry'!$F$57)&lt;=C_eco,C_alpha*C_fck*(1-(1-(O10+P10*'Geometry'!$G$57+Q10*'Geometry'!$F$57)/C_eco)^C_n),C_alpha*C_fck),0)))*'Geometry'!$H$57*'Geometry'!$F$57)/1000000</f>
        <v>514.3116793360279</v>
      </c>
      <c r="X10" s="10">
        <f>R10+U10</f>
        <v>-1529.2689742323803</v>
      </c>
      <c r="Y10" s="10">
        <f>S10+V10</f>
        <v>2097.2872249633997</v>
      </c>
      <c r="Z10" s="10">
        <f>T10+W10</f>
        <v>1551.9113428576786</v>
      </c>
      <c r="AA10" s="7">
        <v>0.85</v>
      </c>
      <c r="AB10" s="7">
        <v>0.8500000000000001</v>
      </c>
      <c r="AC10" s="10">
        <f>X10*AA10</f>
        <v>-1299.8786280975232</v>
      </c>
      <c r="AD10" s="10">
        <f>Y10*AB10</f>
        <v>1782.6941412188899</v>
      </c>
      <c r="AE10" s="10">
        <f>Z10*AB10</f>
        <v>1319.124641429027</v>
      </c>
      <c r="AF10" s="7">
        <v>-1299.8786280975232</v>
      </c>
      <c r="AG10" s="7">
        <v>1782.6941412188899</v>
      </c>
      <c r="AH10" s="7">
        <v>1319.124641429027</v>
      </c>
      <c r="AI10" s="15">
        <f>AC10-AF10</f>
        <v>0</v>
      </c>
      <c r="AJ10" s="15">
        <f>SQRT((AD10-AG10)^2+(AE10-AH10)^2)</f>
        <v>0</v>
      </c>
      <c r="AK10" s="7" t="s">
        <v>189</v>
      </c>
      <c r="AL10" s="7">
        <v>-1529.2689742323803</v>
      </c>
      <c r="AM10" s="7">
        <v>2097.2872249633997</v>
      </c>
      <c r="AN10" s="7">
        <v>1551.9113428576786</v>
      </c>
      <c r="AO10" s="7">
        <v>2382.044416654532</v>
      </c>
      <c r="AP10" s="7">
        <v>1180.6766527907785</v>
      </c>
      <c r="AQ10" s="7">
        <v>1037.5996635216509</v>
      </c>
      <c r="AR10" s="7">
        <v>-3911.3133908869127</v>
      </c>
      <c r="AS10" s="7">
        <v>916.6105721726215</v>
      </c>
      <c r="AT10" s="7">
        <v>514.3116793360279</v>
      </c>
    </row>
    <row r="11" spans="1:46" x14ac:dyDescent="0.25">
      <c r="A11" s="7" t="s">
        <v>195</v>
      </c>
      <c r="B11" s="7">
        <v>1</v>
      </c>
      <c r="C11" s="18">
        <v>30</v>
      </c>
      <c r="D11" s="7" t="s">
        <v>196</v>
      </c>
      <c r="E11" s="7" t="s">
        <v>192</v>
      </c>
      <c r="F11" s="19">
        <v>30</v>
      </c>
      <c r="G11" s="7" t="s">
        <v>188</v>
      </c>
      <c r="H11" s="20">
        <v>7.5</v>
      </c>
      <c r="I11" s="10">
        <f>MAX(('Geometry'!$G$13*COS(RADIANS(F11))+'Geometry'!$F$13*SIN(RADIANS(F11))),('Geometry'!$G$14*COS(RADIANS(F11))+'Geometry'!$F$14*SIN(RADIANS(F11))),('Geometry'!$G$15*COS(RADIANS(F11))+'Geometry'!$F$15*SIN(RADIANS(F11))),('Geometry'!$G$16*COS(RADIANS(F11))+'Geometry'!$F$16*SIN(RADIANS(F11))),('Geometry'!$G$17*COS(RADIANS(F11))+'Geometry'!$F$17*SIN(RADIANS(F11))),('Geometry'!$G$18*COS(RADIANS(F11))+'Geometry'!$F$18*SIN(RADIANS(F11))),('Geometry'!$G$19*COS(RADIANS(F11))+'Geometry'!$F$19*SIN(RADIANS(F11))),('Geometry'!$G$20*COS(RADIANS(F11))+'Geometry'!$F$20*SIN(RADIANS(F11))))</f>
        <v>794.6152422706632</v>
      </c>
      <c r="J11" s="10">
        <f>MIN(('Geometry'!$G$40*COS(RADIANS(F11))+'Geometry'!$F$40*SIN(RADIANS(F11))),('Geometry'!$G$41*COS(RADIANS(F11))+'Geometry'!$F$41*SIN(RADIANS(F11))),('Geometry'!$G$42*COS(RADIANS(F11))+'Geometry'!$F$42*SIN(RADIANS(F11))),('Geometry'!$G$43*COS(RADIANS(F11))+'Geometry'!$F$43*SIN(RADIANS(F11))),('Geometry'!$G$44*COS(RADIANS(F11))+'Geometry'!$F$44*SIN(RADIANS(F11))),('Geometry'!$G$45*COS(RADIANS(F11))+'Geometry'!$F$45*SIN(RADIANS(F11))),('Geometry'!$G$46*COS(RADIANS(F11))+'Geometry'!$F$46*SIN(RADIANS(F11))),('Geometry'!$G$47*COS(RADIANS(F11))+'Geometry'!$F$47*SIN(RADIANS(F11))),('Geometry'!$G$48*COS(RADIANS(F11))+'Geometry'!$F$48*SIN(RADIANS(F11))),('Geometry'!$G$49*COS(RADIANS(F11))+'Geometry'!$F$49*SIN(RADIANS(F11))),('Geometry'!$G$50*COS(RADIANS(F11))+'Geometry'!$F$50*SIN(RADIANS(F11))),('Geometry'!$G$51*COS(RADIANS(F11))+'Geometry'!$F$51*SIN(RADIANS(F11))),('Geometry'!$G$52*COS(RADIANS(F11))+'Geometry'!$F$52*SIN(RADIANS(F11))),('Geometry'!$G$53*COS(RADIANS(F11))+'Geometry'!$F$53*SIN(RADIANS(F11))),('Geometry'!$G$54*COS(RADIANS(F11))+'Geometry'!$F$54*SIN(RADIANS(F11))),('Geometry'!$G$55*COS(RADIANS(F11))+'Geometry'!$F$55*SIN(RADIANS(F11))),('Geometry'!$G$56*COS(RADIANS(F11))+'Geometry'!$F$56*SIN(RADIANS(F11))),('Geometry'!$G$57*COS(RADIANS(F11))+'Geometry'!$F$57*SIN(RADIANS(F11))))</f>
        <v>-658.9934640057525</v>
      </c>
      <c r="K11" s="10">
        <f>I11-MIN(('Geometry'!$G$13*COS(RADIANS(F11))+'Geometry'!$F$13*SIN(RADIANS(F11))),('Geometry'!$G$14*COS(RADIANS(F11))+'Geometry'!$F$14*SIN(RADIANS(F11))),('Geometry'!$G$15*COS(RADIANS(F11))+'Geometry'!$F$15*SIN(RADIANS(F11))),('Geometry'!$G$16*COS(RADIANS(F11))+'Geometry'!$F$16*SIN(RADIANS(F11))),('Geometry'!$G$17*COS(RADIANS(F11))+'Geometry'!$F$17*SIN(RADIANS(F11))),('Geometry'!$G$18*COS(RADIANS(F11))+'Geometry'!$F$18*SIN(RADIANS(F11))),('Geometry'!$G$19*COS(RADIANS(F11))+'Geometry'!$F$19*SIN(RADIANS(F11))),('Geometry'!$G$20*COS(RADIANS(F11))+'Geometry'!$F$20*SIN(RADIANS(F11))))</f>
        <v>1589.2304845413264</v>
      </c>
      <c r="L11" s="15">
        <f>C_ecu</f>
        <v>0.0033</v>
      </c>
      <c r="M11" s="15">
        <f>-H11*S_1_fy/S_1_Es</f>
        <v>-0.015</v>
      </c>
      <c r="N11" s="21">
        <f>IF(ABS(I11-J11)&lt;0.000000000001,0,(L11-M11)/(I11-J11))</f>
        <v>0.000012589357728103827</v>
      </c>
      <c r="O11" s="15">
        <f>L11-N11*I11</f>
        <v>-0.006703695541149268</v>
      </c>
      <c r="P11" s="21">
        <f>N11*COS(RADIANS(F11))</f>
        <v>0.00001090270360986786</v>
      </c>
      <c r="Q11" s="21">
        <f>N11*SIN(RADIANS(F11))</f>
        <v>0.0000062946788640519126</v>
      </c>
      <c r="R11" s="10">
        <f>SUMPRODUCT(C_alpha*C_fck*(1-(1-(((O11+P11*Mesh_Y+Q11*Mesh_X))*((O11+P11*Mesh_Y+Q11*Mesh_X)&gt;0)*((O11+P11*Mesh_Y+Q11*Mesh_X)&lt;C_eco)+C_eco*((O11+P11*Mesh_Y+Q11*Mesh_X)&gt;=C_eco))/C_eco)^C_n)*(((O11+P11*Mesh_Y+Q11*Mesh_X))&gt;0),Mesh_A)/1000</f>
        <v>2327.234337575016</v>
      </c>
      <c r="S11" s="10">
        <f>SUMPRODUCT(C_alpha*C_fck*(1-(1-(((O11+P11*Mesh_Y+Q11*Mesh_X))*((O11+P11*Mesh_Y+Q11*Mesh_X)&gt;0)*((O11+P11*Mesh_Y+Q11*Mesh_X)&lt;C_eco)+C_eco*((O11+P11*Mesh_Y+Q11*Mesh_X)&gt;=C_eco))/C_eco)^C_n)*(((O11+P11*Mesh_Y+Q11*Mesh_X))&gt;0),Mesh_A,Mesh_Y)/1000000</f>
        <v>1087.4114040386428</v>
      </c>
      <c r="T11" s="10">
        <f>SUMPRODUCT(C_alpha*C_fck*(1-(1-(((O11+P11*Mesh_Y+Q11*Mesh_X))*((O11+P11*Mesh_Y+Q11*Mesh_X)&gt;0)*((O11+P11*Mesh_Y+Q11*Mesh_X)&lt;C_eco)+C_eco*((O11+P11*Mesh_Y+Q11*Mesh_X)&gt;=C_eco))/C_eco)^C_n)*(((O11+P11*Mesh_Y+Q11*Mesh_X))&gt;0),Mesh_A,Mesh_X)/1000000</f>
        <v>1175.8217925491463</v>
      </c>
      <c r="U11" s="10">
        <f>(((MAX(MIN(S_1_Es*(O11+P11*'Geometry'!$G$40+Q11*'Geometry'!$F$40),S_1_fy),-S_1_fy))-(IF((O11+P11*'Geometry'!$G$40+Q11*'Geometry'!$F$40)&gt;0,IF((O11+P11*'Geometry'!$G$40+Q11*'Geometry'!$F$40)&lt;=C_eco,C_alpha*C_fck*(1-(1-(O11+P11*'Geometry'!$G$40+Q11*'Geometry'!$F$40)/C_eco)^C_n),C_alpha*C_fck),0)))*'Geometry'!$H$40+((MAX(MIN(S_1_Es*(O11+P11*'Geometry'!$G$41+Q11*'Geometry'!$F$41),S_1_fy),-S_1_fy))-(IF((O11+P11*'Geometry'!$G$41+Q11*'Geometry'!$F$41)&gt;0,IF((O11+P11*'Geometry'!$G$41+Q11*'Geometry'!$F$41)&lt;=C_eco,C_alpha*C_fck*(1-(1-(O11+P11*'Geometry'!$G$41+Q11*'Geometry'!$F$41)/C_eco)^C_n),C_alpha*C_fck),0)))*'Geometry'!$H$41+((MAX(MIN(S_1_Es*(O11+P11*'Geometry'!$G$42+Q11*'Geometry'!$F$42),S_1_fy),-S_1_fy))-(IF((O11+P11*'Geometry'!$G$42+Q11*'Geometry'!$F$42)&gt;0,IF((O11+P11*'Geometry'!$G$42+Q11*'Geometry'!$F$42)&lt;=C_eco,C_alpha*C_fck*(1-(1-(O11+P11*'Geometry'!$G$42+Q11*'Geometry'!$F$42)/C_eco)^C_n),C_alpha*C_fck),0)))*'Geometry'!$H$42+((MAX(MIN(S_1_Es*(O11+P11*'Geometry'!$G$43+Q11*'Geometry'!$F$43),S_1_fy),-S_1_fy))-(IF((O11+P11*'Geometry'!$G$43+Q11*'Geometry'!$F$43)&gt;0,IF((O11+P11*'Geometry'!$G$43+Q11*'Geometry'!$F$43)&lt;=C_eco,C_alpha*C_fck*(1-(1-(O11+P11*'Geometry'!$G$43+Q11*'Geometry'!$F$43)/C_eco)^C_n),C_alpha*C_fck),0)))*'Geometry'!$H$43+((MAX(MIN(S_1_Es*(O11+P11*'Geometry'!$G$44+Q11*'Geometry'!$F$44),S_1_fy),-S_1_fy))-(IF((O11+P11*'Geometry'!$G$44+Q11*'Geometry'!$F$44)&gt;0,IF((O11+P11*'Geometry'!$G$44+Q11*'Geometry'!$F$44)&lt;=C_eco,C_alpha*C_fck*(1-(1-(O11+P11*'Geometry'!$G$44+Q11*'Geometry'!$F$44)/C_eco)^C_n),C_alpha*C_fck),0)))*'Geometry'!$H$44+((MAX(MIN(S_1_Es*(O11+P11*'Geometry'!$G$45+Q11*'Geometry'!$F$45),S_1_fy),-S_1_fy))-(IF((O11+P11*'Geometry'!$G$45+Q11*'Geometry'!$F$45)&gt;0,IF((O11+P11*'Geometry'!$G$45+Q11*'Geometry'!$F$45)&lt;=C_eco,C_alpha*C_fck*(1-(1-(O11+P11*'Geometry'!$G$45+Q11*'Geometry'!$F$45)/C_eco)^C_n),C_alpha*C_fck),0)))*'Geometry'!$H$45+((MAX(MIN(S_1_Es*(O11+P11*'Geometry'!$G$46+Q11*'Geometry'!$F$46),S_1_fy),-S_1_fy))-(IF((O11+P11*'Geometry'!$G$46+Q11*'Geometry'!$F$46)&gt;0,IF((O11+P11*'Geometry'!$G$46+Q11*'Geometry'!$F$46)&lt;=C_eco,C_alpha*C_fck*(1-(1-(O11+P11*'Geometry'!$G$46+Q11*'Geometry'!$F$46)/C_eco)^C_n),C_alpha*C_fck),0)))*'Geometry'!$H$46+((MAX(MIN(S_1_Es*(O11+P11*'Geometry'!$G$47+Q11*'Geometry'!$F$47),S_1_fy),-S_1_fy))-(IF((O11+P11*'Geometry'!$G$47+Q11*'Geometry'!$F$47)&gt;0,IF((O11+P11*'Geometry'!$G$47+Q11*'Geometry'!$F$47)&lt;=C_eco,C_alpha*C_fck*(1-(1-(O11+P11*'Geometry'!$G$47+Q11*'Geometry'!$F$47)/C_eco)^C_n),C_alpha*C_fck),0)))*'Geometry'!$H$47+((MAX(MIN(S_1_Es*(O11+P11*'Geometry'!$G$48+Q11*'Geometry'!$F$48),S_1_fy),-S_1_fy))-(IF((O11+P11*'Geometry'!$G$48+Q11*'Geometry'!$F$48)&gt;0,IF((O11+P11*'Geometry'!$G$48+Q11*'Geometry'!$F$48)&lt;=C_eco,C_alpha*C_fck*(1-(1-(O11+P11*'Geometry'!$G$48+Q11*'Geometry'!$F$48)/C_eco)^C_n),C_alpha*C_fck),0)))*'Geometry'!$H$48+((MAX(MIN(S_1_Es*(O11+P11*'Geometry'!$G$49+Q11*'Geometry'!$F$49),S_1_fy),-S_1_fy))-(IF((O11+P11*'Geometry'!$G$49+Q11*'Geometry'!$F$49)&gt;0,IF((O11+P11*'Geometry'!$G$49+Q11*'Geometry'!$F$49)&lt;=C_eco,C_alpha*C_fck*(1-(1-(O11+P11*'Geometry'!$G$49+Q11*'Geometry'!$F$49)/C_eco)^C_n),C_alpha*C_fck),0)))*'Geometry'!$H$49+((MAX(MIN(S_1_Es*(O11+P11*'Geometry'!$G$50+Q11*'Geometry'!$F$50),S_1_fy),-S_1_fy))-(IF((O11+P11*'Geometry'!$G$50+Q11*'Geometry'!$F$50)&gt;0,IF((O11+P11*'Geometry'!$G$50+Q11*'Geometry'!$F$50)&lt;=C_eco,C_alpha*C_fck*(1-(1-(O11+P11*'Geometry'!$G$50+Q11*'Geometry'!$F$50)/C_eco)^C_n),C_alpha*C_fck),0)))*'Geometry'!$H$50+((MAX(MIN(S_1_Es*(O11+P11*'Geometry'!$G$51+Q11*'Geometry'!$F$51),S_1_fy),-S_1_fy))-(IF((O11+P11*'Geometry'!$G$51+Q11*'Geometry'!$F$51)&gt;0,IF((O11+P11*'Geometry'!$G$51+Q11*'Geometry'!$F$51)&lt;=C_eco,C_alpha*C_fck*(1-(1-(O11+P11*'Geometry'!$G$51+Q11*'Geometry'!$F$51)/C_eco)^C_n),C_alpha*C_fck),0)))*'Geometry'!$H$51+((MAX(MIN(S_1_Es*(O11+P11*'Geometry'!$G$52+Q11*'Geometry'!$F$52),S_1_fy),-S_1_fy))-(IF((O11+P11*'Geometry'!$G$52+Q11*'Geometry'!$F$52)&gt;0,IF((O11+P11*'Geometry'!$G$52+Q11*'Geometry'!$F$52)&lt;=C_eco,C_alpha*C_fck*(1-(1-(O11+P11*'Geometry'!$G$52+Q11*'Geometry'!$F$52)/C_eco)^C_n),C_alpha*C_fck),0)))*'Geometry'!$H$52+((MAX(MIN(S_1_Es*(O11+P11*'Geometry'!$G$53+Q11*'Geometry'!$F$53),S_1_fy),-S_1_fy))-(IF((O11+P11*'Geometry'!$G$53+Q11*'Geometry'!$F$53)&gt;0,IF((O11+P11*'Geometry'!$G$53+Q11*'Geometry'!$F$53)&lt;=C_eco,C_alpha*C_fck*(1-(1-(O11+P11*'Geometry'!$G$53+Q11*'Geometry'!$F$53)/C_eco)^C_n),C_alpha*C_fck),0)))*'Geometry'!$H$53+((MAX(MIN(S_1_Es*(O11+P11*'Geometry'!$G$54+Q11*'Geometry'!$F$54),S_1_fy),-S_1_fy))-(IF((O11+P11*'Geometry'!$G$54+Q11*'Geometry'!$F$54)&gt;0,IF((O11+P11*'Geometry'!$G$54+Q11*'Geometry'!$F$54)&lt;=C_eco,C_alpha*C_fck*(1-(1-(O11+P11*'Geometry'!$G$54+Q11*'Geometry'!$F$54)/C_eco)^C_n),C_alpha*C_fck),0)))*'Geometry'!$H$54+((MAX(MIN(S_1_Es*(O11+P11*'Geometry'!$G$55+Q11*'Geometry'!$F$55),S_1_fy),-S_1_fy))-(IF((O11+P11*'Geometry'!$G$55+Q11*'Geometry'!$F$55)&gt;0,IF((O11+P11*'Geometry'!$G$55+Q11*'Geometry'!$F$55)&lt;=C_eco,C_alpha*C_fck*(1-(1-(O11+P11*'Geometry'!$G$55+Q11*'Geometry'!$F$55)/C_eco)^C_n),C_alpha*C_fck),0)))*'Geometry'!$H$55+((MAX(MIN(S_1_Es*(O11+P11*'Geometry'!$G$56+Q11*'Geometry'!$F$56),S_1_fy),-S_1_fy))-(IF((O11+P11*'Geometry'!$G$56+Q11*'Geometry'!$F$56)&gt;0,IF((O11+P11*'Geometry'!$G$56+Q11*'Geometry'!$F$56)&lt;=C_eco,C_alpha*C_fck*(1-(1-(O11+P11*'Geometry'!$G$56+Q11*'Geometry'!$F$56)/C_eco)^C_n),C_alpha*C_fck),0)))*'Geometry'!$H$56+((MAX(MIN(S_1_Es*(O11+P11*'Geometry'!$G$57+Q11*'Geometry'!$F$57),S_1_fy),-S_1_fy))-(IF((O11+P11*'Geometry'!$G$57+Q11*'Geometry'!$F$57)&gt;0,IF((O11+P11*'Geometry'!$G$57+Q11*'Geometry'!$F$57)&lt;=C_eco,C_alpha*C_fck*(1-(1-(O11+P11*'Geometry'!$G$57+Q11*'Geometry'!$F$57)/C_eco)^C_n),C_alpha*C_fck),0)))*'Geometry'!$H$57)/1000</f>
        <v>-4138.802369024737</v>
      </c>
      <c r="V11" s="10">
        <f>(((MAX(MIN(S_1_Es*(O11+P11*'Geometry'!$G$40+Q11*'Geometry'!$F$40),S_1_fy),-S_1_fy))-(IF((O11+P11*'Geometry'!$G$40+Q11*'Geometry'!$F$40)&gt;0,IF((O11+P11*'Geometry'!$G$40+Q11*'Geometry'!$F$40)&lt;=C_eco,C_alpha*C_fck*(1-(1-(O11+P11*'Geometry'!$G$40+Q11*'Geometry'!$F$40)/C_eco)^C_n),C_alpha*C_fck),0)))*'Geometry'!$H$40*'Geometry'!$G$40+((MAX(MIN(S_1_Es*(O11+P11*'Geometry'!$G$41+Q11*'Geometry'!$F$41),S_1_fy),-S_1_fy))-(IF((O11+P11*'Geometry'!$G$41+Q11*'Geometry'!$F$41)&gt;0,IF((O11+P11*'Geometry'!$G$41+Q11*'Geometry'!$F$41)&lt;=C_eco,C_alpha*C_fck*(1-(1-(O11+P11*'Geometry'!$G$41+Q11*'Geometry'!$F$41)/C_eco)^C_n),C_alpha*C_fck),0)))*'Geometry'!$H$41*'Geometry'!$G$41+((MAX(MIN(S_1_Es*(O11+P11*'Geometry'!$G$42+Q11*'Geometry'!$F$42),S_1_fy),-S_1_fy))-(IF((O11+P11*'Geometry'!$G$42+Q11*'Geometry'!$F$42)&gt;0,IF((O11+P11*'Geometry'!$G$42+Q11*'Geometry'!$F$42)&lt;=C_eco,C_alpha*C_fck*(1-(1-(O11+P11*'Geometry'!$G$42+Q11*'Geometry'!$F$42)/C_eco)^C_n),C_alpha*C_fck),0)))*'Geometry'!$H$42*'Geometry'!$G$42+((MAX(MIN(S_1_Es*(O11+P11*'Geometry'!$G$43+Q11*'Geometry'!$F$43),S_1_fy),-S_1_fy))-(IF((O11+P11*'Geometry'!$G$43+Q11*'Geometry'!$F$43)&gt;0,IF((O11+P11*'Geometry'!$G$43+Q11*'Geometry'!$F$43)&lt;=C_eco,C_alpha*C_fck*(1-(1-(O11+P11*'Geometry'!$G$43+Q11*'Geometry'!$F$43)/C_eco)^C_n),C_alpha*C_fck),0)))*'Geometry'!$H$43*'Geometry'!$G$43+((MAX(MIN(S_1_Es*(O11+P11*'Geometry'!$G$44+Q11*'Geometry'!$F$44),S_1_fy),-S_1_fy))-(IF((O11+P11*'Geometry'!$G$44+Q11*'Geometry'!$F$44)&gt;0,IF((O11+P11*'Geometry'!$G$44+Q11*'Geometry'!$F$44)&lt;=C_eco,C_alpha*C_fck*(1-(1-(O11+P11*'Geometry'!$G$44+Q11*'Geometry'!$F$44)/C_eco)^C_n),C_alpha*C_fck),0)))*'Geometry'!$H$44*'Geometry'!$G$44+((MAX(MIN(S_1_Es*(O11+P11*'Geometry'!$G$45+Q11*'Geometry'!$F$45),S_1_fy),-S_1_fy))-(IF((O11+P11*'Geometry'!$G$45+Q11*'Geometry'!$F$45)&gt;0,IF((O11+P11*'Geometry'!$G$45+Q11*'Geometry'!$F$45)&lt;=C_eco,C_alpha*C_fck*(1-(1-(O11+P11*'Geometry'!$G$45+Q11*'Geometry'!$F$45)/C_eco)^C_n),C_alpha*C_fck),0)))*'Geometry'!$H$45*'Geometry'!$G$45+((MAX(MIN(S_1_Es*(O11+P11*'Geometry'!$G$46+Q11*'Geometry'!$F$46),S_1_fy),-S_1_fy))-(IF((O11+P11*'Geometry'!$G$46+Q11*'Geometry'!$F$46)&gt;0,IF((O11+P11*'Geometry'!$G$46+Q11*'Geometry'!$F$46)&lt;=C_eco,C_alpha*C_fck*(1-(1-(O11+P11*'Geometry'!$G$46+Q11*'Geometry'!$F$46)/C_eco)^C_n),C_alpha*C_fck),0)))*'Geometry'!$H$46*'Geometry'!$G$46+((MAX(MIN(S_1_Es*(O11+P11*'Geometry'!$G$47+Q11*'Geometry'!$F$47),S_1_fy),-S_1_fy))-(IF((O11+P11*'Geometry'!$G$47+Q11*'Geometry'!$F$47)&gt;0,IF((O11+P11*'Geometry'!$G$47+Q11*'Geometry'!$F$47)&lt;=C_eco,C_alpha*C_fck*(1-(1-(O11+P11*'Geometry'!$G$47+Q11*'Geometry'!$F$47)/C_eco)^C_n),C_alpha*C_fck),0)))*'Geometry'!$H$47*'Geometry'!$G$47+((MAX(MIN(S_1_Es*(O11+P11*'Geometry'!$G$48+Q11*'Geometry'!$F$48),S_1_fy),-S_1_fy))-(IF((O11+P11*'Geometry'!$G$48+Q11*'Geometry'!$F$48)&gt;0,IF((O11+P11*'Geometry'!$G$48+Q11*'Geometry'!$F$48)&lt;=C_eco,C_alpha*C_fck*(1-(1-(O11+P11*'Geometry'!$G$48+Q11*'Geometry'!$F$48)/C_eco)^C_n),C_alpha*C_fck),0)))*'Geometry'!$H$48*'Geometry'!$G$48+((MAX(MIN(S_1_Es*(O11+P11*'Geometry'!$G$49+Q11*'Geometry'!$F$49),S_1_fy),-S_1_fy))-(IF((O11+P11*'Geometry'!$G$49+Q11*'Geometry'!$F$49)&gt;0,IF((O11+P11*'Geometry'!$G$49+Q11*'Geometry'!$F$49)&lt;=C_eco,C_alpha*C_fck*(1-(1-(O11+P11*'Geometry'!$G$49+Q11*'Geometry'!$F$49)/C_eco)^C_n),C_alpha*C_fck),0)))*'Geometry'!$H$49*'Geometry'!$G$49+((MAX(MIN(S_1_Es*(O11+P11*'Geometry'!$G$50+Q11*'Geometry'!$F$50),S_1_fy),-S_1_fy))-(IF((O11+P11*'Geometry'!$G$50+Q11*'Geometry'!$F$50)&gt;0,IF((O11+P11*'Geometry'!$G$50+Q11*'Geometry'!$F$50)&lt;=C_eco,C_alpha*C_fck*(1-(1-(O11+P11*'Geometry'!$G$50+Q11*'Geometry'!$F$50)/C_eco)^C_n),C_alpha*C_fck),0)))*'Geometry'!$H$50*'Geometry'!$G$50+((MAX(MIN(S_1_Es*(O11+P11*'Geometry'!$G$51+Q11*'Geometry'!$F$51),S_1_fy),-S_1_fy))-(IF((O11+P11*'Geometry'!$G$51+Q11*'Geometry'!$F$51)&gt;0,IF((O11+P11*'Geometry'!$G$51+Q11*'Geometry'!$F$51)&lt;=C_eco,C_alpha*C_fck*(1-(1-(O11+P11*'Geometry'!$G$51+Q11*'Geometry'!$F$51)/C_eco)^C_n),C_alpha*C_fck),0)))*'Geometry'!$H$51*'Geometry'!$G$51+((MAX(MIN(S_1_Es*(O11+P11*'Geometry'!$G$52+Q11*'Geometry'!$F$52),S_1_fy),-S_1_fy))-(IF((O11+P11*'Geometry'!$G$52+Q11*'Geometry'!$F$52)&gt;0,IF((O11+P11*'Geometry'!$G$52+Q11*'Geometry'!$F$52)&lt;=C_eco,C_alpha*C_fck*(1-(1-(O11+P11*'Geometry'!$G$52+Q11*'Geometry'!$F$52)/C_eco)^C_n),C_alpha*C_fck),0)))*'Geometry'!$H$52*'Geometry'!$G$52+((MAX(MIN(S_1_Es*(O11+P11*'Geometry'!$G$53+Q11*'Geometry'!$F$53),S_1_fy),-S_1_fy))-(IF((O11+P11*'Geometry'!$G$53+Q11*'Geometry'!$F$53)&gt;0,IF((O11+P11*'Geometry'!$G$53+Q11*'Geometry'!$F$53)&lt;=C_eco,C_alpha*C_fck*(1-(1-(O11+P11*'Geometry'!$G$53+Q11*'Geometry'!$F$53)/C_eco)^C_n),C_alpha*C_fck),0)))*'Geometry'!$H$53*'Geometry'!$G$53+((MAX(MIN(S_1_Es*(O11+P11*'Geometry'!$G$54+Q11*'Geometry'!$F$54),S_1_fy),-S_1_fy))-(IF((O11+P11*'Geometry'!$G$54+Q11*'Geometry'!$F$54)&gt;0,IF((O11+P11*'Geometry'!$G$54+Q11*'Geometry'!$F$54)&lt;=C_eco,C_alpha*C_fck*(1-(1-(O11+P11*'Geometry'!$G$54+Q11*'Geometry'!$F$54)/C_eco)^C_n),C_alpha*C_fck),0)))*'Geometry'!$H$54*'Geometry'!$G$54+((MAX(MIN(S_1_Es*(O11+P11*'Geometry'!$G$55+Q11*'Geometry'!$F$55),S_1_fy),-S_1_fy))-(IF((O11+P11*'Geometry'!$G$55+Q11*'Geometry'!$F$55)&gt;0,IF((O11+P11*'Geometry'!$G$55+Q11*'Geometry'!$F$55)&lt;=C_eco,C_alpha*C_fck*(1-(1-(O11+P11*'Geometry'!$G$55+Q11*'Geometry'!$F$55)/C_eco)^C_n),C_alpha*C_fck),0)))*'Geometry'!$H$55*'Geometry'!$G$55+((MAX(MIN(S_1_Es*(O11+P11*'Geometry'!$G$56+Q11*'Geometry'!$F$56),S_1_fy),-S_1_fy))-(IF((O11+P11*'Geometry'!$G$56+Q11*'Geometry'!$F$56)&gt;0,IF((O11+P11*'Geometry'!$G$56+Q11*'Geometry'!$F$56)&lt;=C_eco,C_alpha*C_fck*(1-(1-(O11+P11*'Geometry'!$G$56+Q11*'Geometry'!$F$56)/C_eco)^C_n),C_alpha*C_fck),0)))*'Geometry'!$H$56*'Geometry'!$G$56+((MAX(MIN(S_1_Es*(O11+P11*'Geometry'!$G$57+Q11*'Geometry'!$F$57),S_1_fy),-S_1_fy))-(IF((O11+P11*'Geometry'!$G$57+Q11*'Geometry'!$F$57)&gt;0,IF((O11+P11*'Geometry'!$G$57+Q11*'Geometry'!$F$57)&lt;=C_eco,C_alpha*C_fck*(1-(1-(O11+P11*'Geometry'!$G$57+Q11*'Geometry'!$F$57)/C_eco)^C_n),C_alpha*C_fck),0)))*'Geometry'!$H$57*'Geometry'!$G$57)/1000000</f>
        <v>727.1201011257455</v>
      </c>
      <c r="W11" s="10">
        <f>(((MAX(MIN(S_1_Es*(O11+P11*'Geometry'!$G$40+Q11*'Geometry'!$F$40),S_1_fy),-S_1_fy))-(IF((O11+P11*'Geometry'!$G$40+Q11*'Geometry'!$F$40)&gt;0,IF((O11+P11*'Geometry'!$G$40+Q11*'Geometry'!$F$40)&lt;=C_eco,C_alpha*C_fck*(1-(1-(O11+P11*'Geometry'!$G$40+Q11*'Geometry'!$F$40)/C_eco)^C_n),C_alpha*C_fck),0)))*'Geometry'!$H$40*'Geometry'!$F$40+((MAX(MIN(S_1_Es*(O11+P11*'Geometry'!$G$41+Q11*'Geometry'!$F$41),S_1_fy),-S_1_fy))-(IF((O11+P11*'Geometry'!$G$41+Q11*'Geometry'!$F$41)&gt;0,IF((O11+P11*'Geometry'!$G$41+Q11*'Geometry'!$F$41)&lt;=C_eco,C_alpha*C_fck*(1-(1-(O11+P11*'Geometry'!$G$41+Q11*'Geometry'!$F$41)/C_eco)^C_n),C_alpha*C_fck),0)))*'Geometry'!$H$41*'Geometry'!$F$41+((MAX(MIN(S_1_Es*(O11+P11*'Geometry'!$G$42+Q11*'Geometry'!$F$42),S_1_fy),-S_1_fy))-(IF((O11+P11*'Geometry'!$G$42+Q11*'Geometry'!$F$42)&gt;0,IF((O11+P11*'Geometry'!$G$42+Q11*'Geometry'!$F$42)&lt;=C_eco,C_alpha*C_fck*(1-(1-(O11+P11*'Geometry'!$G$42+Q11*'Geometry'!$F$42)/C_eco)^C_n),C_alpha*C_fck),0)))*'Geometry'!$H$42*'Geometry'!$F$42+((MAX(MIN(S_1_Es*(O11+P11*'Geometry'!$G$43+Q11*'Geometry'!$F$43),S_1_fy),-S_1_fy))-(IF((O11+P11*'Geometry'!$G$43+Q11*'Geometry'!$F$43)&gt;0,IF((O11+P11*'Geometry'!$G$43+Q11*'Geometry'!$F$43)&lt;=C_eco,C_alpha*C_fck*(1-(1-(O11+P11*'Geometry'!$G$43+Q11*'Geometry'!$F$43)/C_eco)^C_n),C_alpha*C_fck),0)))*'Geometry'!$H$43*'Geometry'!$F$43+((MAX(MIN(S_1_Es*(O11+P11*'Geometry'!$G$44+Q11*'Geometry'!$F$44),S_1_fy),-S_1_fy))-(IF((O11+P11*'Geometry'!$G$44+Q11*'Geometry'!$F$44)&gt;0,IF((O11+P11*'Geometry'!$G$44+Q11*'Geometry'!$F$44)&lt;=C_eco,C_alpha*C_fck*(1-(1-(O11+P11*'Geometry'!$G$44+Q11*'Geometry'!$F$44)/C_eco)^C_n),C_alpha*C_fck),0)))*'Geometry'!$H$44*'Geometry'!$F$44+((MAX(MIN(S_1_Es*(O11+P11*'Geometry'!$G$45+Q11*'Geometry'!$F$45),S_1_fy),-S_1_fy))-(IF((O11+P11*'Geometry'!$G$45+Q11*'Geometry'!$F$45)&gt;0,IF((O11+P11*'Geometry'!$G$45+Q11*'Geometry'!$F$45)&lt;=C_eco,C_alpha*C_fck*(1-(1-(O11+P11*'Geometry'!$G$45+Q11*'Geometry'!$F$45)/C_eco)^C_n),C_alpha*C_fck),0)))*'Geometry'!$H$45*'Geometry'!$F$45+((MAX(MIN(S_1_Es*(O11+P11*'Geometry'!$G$46+Q11*'Geometry'!$F$46),S_1_fy),-S_1_fy))-(IF((O11+P11*'Geometry'!$G$46+Q11*'Geometry'!$F$46)&gt;0,IF((O11+P11*'Geometry'!$G$46+Q11*'Geometry'!$F$46)&lt;=C_eco,C_alpha*C_fck*(1-(1-(O11+P11*'Geometry'!$G$46+Q11*'Geometry'!$F$46)/C_eco)^C_n),C_alpha*C_fck),0)))*'Geometry'!$H$46*'Geometry'!$F$46+((MAX(MIN(S_1_Es*(O11+P11*'Geometry'!$G$47+Q11*'Geometry'!$F$47),S_1_fy),-S_1_fy))-(IF((O11+P11*'Geometry'!$G$47+Q11*'Geometry'!$F$47)&gt;0,IF((O11+P11*'Geometry'!$G$47+Q11*'Geometry'!$F$47)&lt;=C_eco,C_alpha*C_fck*(1-(1-(O11+P11*'Geometry'!$G$47+Q11*'Geometry'!$F$47)/C_eco)^C_n),C_alpha*C_fck),0)))*'Geometry'!$H$47*'Geometry'!$F$47+((MAX(MIN(S_1_Es*(O11+P11*'Geometry'!$G$48+Q11*'Geometry'!$F$48),S_1_fy),-S_1_fy))-(IF((O11+P11*'Geometry'!$G$48+Q11*'Geometry'!$F$48)&gt;0,IF((O11+P11*'Geometry'!$G$48+Q11*'Geometry'!$F$48)&lt;=C_eco,C_alpha*C_fck*(1-(1-(O11+P11*'Geometry'!$G$48+Q11*'Geometry'!$F$48)/C_eco)^C_n),C_alpha*C_fck),0)))*'Geometry'!$H$48*'Geometry'!$F$48+((MAX(MIN(S_1_Es*(O11+P11*'Geometry'!$G$49+Q11*'Geometry'!$F$49),S_1_fy),-S_1_fy))-(IF((O11+P11*'Geometry'!$G$49+Q11*'Geometry'!$F$49)&gt;0,IF((O11+P11*'Geometry'!$G$49+Q11*'Geometry'!$F$49)&lt;=C_eco,C_alpha*C_fck*(1-(1-(O11+P11*'Geometry'!$G$49+Q11*'Geometry'!$F$49)/C_eco)^C_n),C_alpha*C_fck),0)))*'Geometry'!$H$49*'Geometry'!$F$49+((MAX(MIN(S_1_Es*(O11+P11*'Geometry'!$G$50+Q11*'Geometry'!$F$50),S_1_fy),-S_1_fy))-(IF((O11+P11*'Geometry'!$G$50+Q11*'Geometry'!$F$50)&gt;0,IF((O11+P11*'Geometry'!$G$50+Q11*'Geometry'!$F$50)&lt;=C_eco,C_alpha*C_fck*(1-(1-(O11+P11*'Geometry'!$G$50+Q11*'Geometry'!$F$50)/C_eco)^C_n),C_alpha*C_fck),0)))*'Geometry'!$H$50*'Geometry'!$F$50+((MAX(MIN(S_1_Es*(O11+P11*'Geometry'!$G$51+Q11*'Geometry'!$F$51),S_1_fy),-S_1_fy))-(IF((O11+P11*'Geometry'!$G$51+Q11*'Geometry'!$F$51)&gt;0,IF((O11+P11*'Geometry'!$G$51+Q11*'Geometry'!$F$51)&lt;=C_eco,C_alpha*C_fck*(1-(1-(O11+P11*'Geometry'!$G$51+Q11*'Geometry'!$F$51)/C_eco)^C_n),C_alpha*C_fck),0)))*'Geometry'!$H$51*'Geometry'!$F$51+((MAX(MIN(S_1_Es*(O11+P11*'Geometry'!$G$52+Q11*'Geometry'!$F$52),S_1_fy),-S_1_fy))-(IF((O11+P11*'Geometry'!$G$52+Q11*'Geometry'!$F$52)&gt;0,IF((O11+P11*'Geometry'!$G$52+Q11*'Geometry'!$F$52)&lt;=C_eco,C_alpha*C_fck*(1-(1-(O11+P11*'Geometry'!$G$52+Q11*'Geometry'!$F$52)/C_eco)^C_n),C_alpha*C_fck),0)))*'Geometry'!$H$52*'Geometry'!$F$52+((MAX(MIN(S_1_Es*(O11+P11*'Geometry'!$G$53+Q11*'Geometry'!$F$53),S_1_fy),-S_1_fy))-(IF((O11+P11*'Geometry'!$G$53+Q11*'Geometry'!$F$53)&gt;0,IF((O11+P11*'Geometry'!$G$53+Q11*'Geometry'!$F$53)&lt;=C_eco,C_alpha*C_fck*(1-(1-(O11+P11*'Geometry'!$G$53+Q11*'Geometry'!$F$53)/C_eco)^C_n),C_alpha*C_fck),0)))*'Geometry'!$H$53*'Geometry'!$F$53+((MAX(MIN(S_1_Es*(O11+P11*'Geometry'!$G$54+Q11*'Geometry'!$F$54),S_1_fy),-S_1_fy))-(IF((O11+P11*'Geometry'!$G$54+Q11*'Geometry'!$F$54)&gt;0,IF((O11+P11*'Geometry'!$G$54+Q11*'Geometry'!$F$54)&lt;=C_eco,C_alpha*C_fck*(1-(1-(O11+P11*'Geometry'!$G$54+Q11*'Geometry'!$F$54)/C_eco)^C_n),C_alpha*C_fck),0)))*'Geometry'!$H$54*'Geometry'!$F$54+((MAX(MIN(S_1_Es*(O11+P11*'Geometry'!$G$55+Q11*'Geometry'!$F$55),S_1_fy),-S_1_fy))-(IF((O11+P11*'Geometry'!$G$55+Q11*'Geometry'!$F$55)&gt;0,IF((O11+P11*'Geometry'!$G$55+Q11*'Geometry'!$F$55)&lt;=C_eco,C_alpha*C_fck*(1-(1-(O11+P11*'Geometry'!$G$55+Q11*'Geometry'!$F$55)/C_eco)^C_n),C_alpha*C_fck),0)))*'Geometry'!$H$55*'Geometry'!$F$55+((MAX(MIN(S_1_Es*(O11+P11*'Geometry'!$G$56+Q11*'Geometry'!$F$56),S_1_fy),-S_1_fy))-(IF((O11+P11*'Geometry'!$G$56+Q11*'Geometry'!$F$56)&gt;0,IF((O11+P11*'Geometry'!$G$56+Q11*'Geometry'!$F$56)&lt;=C_eco,C_alpha*C_fck*(1-(1-(O11+P11*'Geometry'!$G$56+Q11*'Geometry'!$F$56)/C_eco)^C_n),C_alpha*C_fck),0)))*'Geometry'!$H$56*'Geometry'!$F$56+((MAX(MIN(S_1_Es*(O11+P11*'Geometry'!$G$57+Q11*'Geometry'!$F$57),S_1_fy),-S_1_fy))-(IF((O11+P11*'Geometry'!$G$57+Q11*'Geometry'!$F$57)&gt;0,IF((O11+P11*'Geometry'!$G$57+Q11*'Geometry'!$F$57)&lt;=C_eco,C_alpha*C_fck*(1-(1-(O11+P11*'Geometry'!$G$57+Q11*'Geometry'!$F$57)/C_eco)^C_n),C_alpha*C_fck),0)))*'Geometry'!$H$57*'Geometry'!$F$57)/1000000</f>
        <v>672.1924876123411</v>
      </c>
      <c r="X11" s="10">
        <f>R11+U11</f>
        <v>-1811.5680314497213</v>
      </c>
      <c r="Y11" s="10">
        <f>S11+V11</f>
        <v>1814.5315051643881</v>
      </c>
      <c r="Z11" s="10">
        <f>T11+W11</f>
        <v>1848.014280161487</v>
      </c>
      <c r="AA11" s="7">
        <v>0.85</v>
      </c>
      <c r="AB11" s="7">
        <v>0.85</v>
      </c>
      <c r="AC11" s="10">
        <f>X11*AA11</f>
        <v>-1539.832826732263</v>
      </c>
      <c r="AD11" s="10">
        <f>Y11*AB11</f>
        <v>1542.35177938973</v>
      </c>
      <c r="AE11" s="10">
        <f>Z11*AB11</f>
        <v>1570.812138137264</v>
      </c>
      <c r="AF11" s="7">
        <v>-1539.832826732263</v>
      </c>
      <c r="AG11" s="7">
        <v>1542.35177938973</v>
      </c>
      <c r="AH11" s="7">
        <v>1570.812138137264</v>
      </c>
      <c r="AI11" s="15">
        <f>AC11-AF11</f>
        <v>0</v>
      </c>
      <c r="AJ11" s="15">
        <f>SQRT((AD11-AG11)^2+(AE11-AH11)^2)</f>
        <v>0</v>
      </c>
      <c r="AK11" s="7" t="s">
        <v>189</v>
      </c>
      <c r="AL11" s="7">
        <v>-1811.5680314497213</v>
      </c>
      <c r="AM11" s="7">
        <v>1814.5315051643881</v>
      </c>
      <c r="AN11" s="7">
        <v>1848.014280161487</v>
      </c>
      <c r="AO11" s="7">
        <v>2327.234337575016</v>
      </c>
      <c r="AP11" s="7">
        <v>1087.4114040386428</v>
      </c>
      <c r="AQ11" s="7">
        <v>1175.8217925491463</v>
      </c>
      <c r="AR11" s="7">
        <v>-4138.802369024737</v>
      </c>
      <c r="AS11" s="7">
        <v>727.1201011257455</v>
      </c>
      <c r="AT11" s="7">
        <v>672.1924876123411</v>
      </c>
    </row>
    <row r="12" spans="1:46" x14ac:dyDescent="0.25">
      <c r="A12" s="7" t="s">
        <v>197</v>
      </c>
      <c r="B12" s="7">
        <v>1</v>
      </c>
      <c r="C12" s="18">
        <v>40</v>
      </c>
      <c r="D12" s="7" t="s">
        <v>198</v>
      </c>
      <c r="E12" s="7" t="s">
        <v>192</v>
      </c>
      <c r="F12" s="19">
        <v>40</v>
      </c>
      <c r="G12" s="7" t="s">
        <v>188</v>
      </c>
      <c r="H12" s="20">
        <v>7.500000000000001</v>
      </c>
      <c r="I12" s="10">
        <f>MAX(('Geometry'!$G$13*COS(RADIANS(F12))+'Geometry'!$F$13*SIN(RADIANS(F12))),('Geometry'!$G$14*COS(RADIANS(F12))+'Geometry'!$F$14*SIN(RADIANS(F12))),('Geometry'!$G$15*COS(RADIANS(F12))+'Geometry'!$F$15*SIN(RADIANS(F12))),('Geometry'!$G$16*COS(RADIANS(F12))+'Geometry'!$F$16*SIN(RADIANS(F12))),('Geometry'!$G$17*COS(RADIANS(F12))+'Geometry'!$F$17*SIN(RADIANS(F12))),('Geometry'!$G$18*COS(RADIANS(F12))+'Geometry'!$F$18*SIN(RADIANS(F12))),('Geometry'!$G$19*COS(RADIANS(F12))+'Geometry'!$F$19*SIN(RADIANS(F12))),('Geometry'!$G$20*COS(RADIANS(F12))+'Geometry'!$F$20*SIN(RADIANS(F12))))</f>
        <v>813.1598511989835</v>
      </c>
      <c r="J12" s="10">
        <f>MIN(('Geometry'!$G$40*COS(RADIANS(F12))+'Geometry'!$F$40*SIN(RADIANS(F12))),('Geometry'!$G$41*COS(RADIANS(F12))+'Geometry'!$F$41*SIN(RADIANS(F12))),('Geometry'!$G$42*COS(RADIANS(F12))+'Geometry'!$F$42*SIN(RADIANS(F12))),('Geometry'!$G$43*COS(RADIANS(F12))+'Geometry'!$F$43*SIN(RADIANS(F12))),('Geometry'!$G$44*COS(RADIANS(F12))+'Geometry'!$F$44*SIN(RADIANS(F12))),('Geometry'!$G$45*COS(RADIANS(F12))+'Geometry'!$F$45*SIN(RADIANS(F12))),('Geometry'!$G$46*COS(RADIANS(F12))+'Geometry'!$F$46*SIN(RADIANS(F12))),('Geometry'!$G$47*COS(RADIANS(F12))+'Geometry'!$F$47*SIN(RADIANS(F12))),('Geometry'!$G$48*COS(RADIANS(F12))+'Geometry'!$F$48*SIN(RADIANS(F12))),('Geometry'!$G$49*COS(RADIANS(F12))+'Geometry'!$F$49*SIN(RADIANS(F12))),('Geometry'!$G$50*COS(RADIANS(F12))+'Geometry'!$F$50*SIN(RADIANS(F12))),('Geometry'!$G$51*COS(RADIANS(F12))+'Geometry'!$F$51*SIN(RADIANS(F12))),('Geometry'!$G$52*COS(RADIANS(F12))+'Geometry'!$F$52*SIN(RADIANS(F12))),('Geometry'!$G$53*COS(RADIANS(F12))+'Geometry'!$F$53*SIN(RADIANS(F12))),('Geometry'!$G$54*COS(RADIANS(F12))+'Geometry'!$F$54*SIN(RADIANS(F12))),('Geometry'!$G$55*COS(RADIANS(F12))+'Geometry'!$F$55*SIN(RADIANS(F12))),('Geometry'!$G$56*COS(RADIANS(F12))+'Geometry'!$F$56*SIN(RADIANS(F12))),('Geometry'!$G$57*COS(RADIANS(F12))+'Geometry'!$F$57*SIN(RADIANS(F12))))</f>
        <v>-666.9089075225401</v>
      </c>
      <c r="K12" s="10">
        <f>I12-MIN(('Geometry'!$G$13*COS(RADIANS(F12))+'Geometry'!$F$13*SIN(RADIANS(F12))),('Geometry'!$G$14*COS(RADIANS(F12))+'Geometry'!$F$14*SIN(RADIANS(F12))),('Geometry'!$G$15*COS(RADIANS(F12))+'Geometry'!$F$15*SIN(RADIANS(F12))),('Geometry'!$G$16*COS(RADIANS(F12))+'Geometry'!$F$16*SIN(RADIANS(F12))),('Geometry'!$G$17*COS(RADIANS(F12))+'Geometry'!$F$17*SIN(RADIANS(F12))),('Geometry'!$G$18*COS(RADIANS(F12))+'Geometry'!$F$18*SIN(RADIANS(F12))),('Geometry'!$G$19*COS(RADIANS(F12))+'Geometry'!$F$19*SIN(RADIANS(F12))),('Geometry'!$G$20*COS(RADIANS(F12))+'Geometry'!$F$20*SIN(RADIANS(F12))))</f>
        <v>1626.319702397967</v>
      </c>
      <c r="L12" s="15">
        <f>C_ecu</f>
        <v>0.0033</v>
      </c>
      <c r="M12" s="15">
        <f>-H12*S_1_fy/S_1_Es</f>
        <v>-0.015000000000000003</v>
      </c>
      <c r="N12" s="21">
        <f>IF(ABS(I12-J12)&lt;0.000000000001,0,(L12-M12)/(I12-J12))</f>
        <v>0.000012364290437295262</v>
      </c>
      <c r="O12" s="15">
        <f>L12-N12*I12</f>
        <v>-0.0067541445721720295</v>
      </c>
      <c r="P12" s="21">
        <f>N12*COS(RADIANS(F12))</f>
        <v>0.000009471595982599155</v>
      </c>
      <c r="Q12" s="21">
        <f>N12*SIN(RADIANS(F12))</f>
        <v>0.000007947612695659157</v>
      </c>
      <c r="R12" s="10">
        <f>SUMPRODUCT(C_alpha*C_fck*(1-(1-(((O12+P12*Mesh_Y+Q12*Mesh_X))*((O12+P12*Mesh_Y+Q12*Mesh_X)&gt;0)*((O12+P12*Mesh_Y+Q12*Mesh_X)&lt;C_eco)+C_eco*((O12+P12*Mesh_Y+Q12*Mesh_X)&gt;=C_eco))/C_eco)^C_n)*(((O12+P12*Mesh_Y+Q12*Mesh_X))&gt;0),Mesh_A)/1000</f>
        <v>2506.5417401415066</v>
      </c>
      <c r="S12" s="10">
        <f>SUMPRODUCT(C_alpha*C_fck*(1-(1-(((O12+P12*Mesh_Y+Q12*Mesh_X))*((O12+P12*Mesh_Y+Q12*Mesh_X)&gt;0)*((O12+P12*Mesh_Y+Q12*Mesh_X)&lt;C_eco)+C_eco*((O12+P12*Mesh_Y+Q12*Mesh_X)&gt;=C_eco))/C_eco)^C_n)*(((O12+P12*Mesh_Y+Q12*Mesh_X))&gt;0),Mesh_A,Mesh_Y)/1000000</f>
        <v>1081.3071374057952</v>
      </c>
      <c r="T12" s="10">
        <f>SUMPRODUCT(C_alpha*C_fck*(1-(1-(((O12+P12*Mesh_Y+Q12*Mesh_X))*((O12+P12*Mesh_Y+Q12*Mesh_X)&gt;0)*((O12+P12*Mesh_Y+Q12*Mesh_X)&lt;C_eco)+C_eco*((O12+P12*Mesh_Y+Q12*Mesh_X)&gt;=C_eco))/C_eco)^C_n)*(((O12+P12*Mesh_Y+Q12*Mesh_X))&gt;0),Mesh_A,Mesh_X)/1000000</f>
        <v>1372.3077756628659</v>
      </c>
      <c r="U12" s="10">
        <f>(((MAX(MIN(S_1_Es*(O12+P12*'Geometry'!$G$40+Q12*'Geometry'!$F$40),S_1_fy),-S_1_fy))-(IF((O12+P12*'Geometry'!$G$40+Q12*'Geometry'!$F$40)&gt;0,IF((O12+P12*'Geometry'!$G$40+Q12*'Geometry'!$F$40)&lt;=C_eco,C_alpha*C_fck*(1-(1-(O12+P12*'Geometry'!$G$40+Q12*'Geometry'!$F$40)/C_eco)^C_n),C_alpha*C_fck),0)))*'Geometry'!$H$40+((MAX(MIN(S_1_Es*(O12+P12*'Geometry'!$G$41+Q12*'Geometry'!$F$41),S_1_fy),-S_1_fy))-(IF((O12+P12*'Geometry'!$G$41+Q12*'Geometry'!$F$41)&gt;0,IF((O12+P12*'Geometry'!$G$41+Q12*'Geometry'!$F$41)&lt;=C_eco,C_alpha*C_fck*(1-(1-(O12+P12*'Geometry'!$G$41+Q12*'Geometry'!$F$41)/C_eco)^C_n),C_alpha*C_fck),0)))*'Geometry'!$H$41+((MAX(MIN(S_1_Es*(O12+P12*'Geometry'!$G$42+Q12*'Geometry'!$F$42),S_1_fy),-S_1_fy))-(IF((O12+P12*'Geometry'!$G$42+Q12*'Geometry'!$F$42)&gt;0,IF((O12+P12*'Geometry'!$G$42+Q12*'Geometry'!$F$42)&lt;=C_eco,C_alpha*C_fck*(1-(1-(O12+P12*'Geometry'!$G$42+Q12*'Geometry'!$F$42)/C_eco)^C_n),C_alpha*C_fck),0)))*'Geometry'!$H$42+((MAX(MIN(S_1_Es*(O12+P12*'Geometry'!$G$43+Q12*'Geometry'!$F$43),S_1_fy),-S_1_fy))-(IF((O12+P12*'Geometry'!$G$43+Q12*'Geometry'!$F$43)&gt;0,IF((O12+P12*'Geometry'!$G$43+Q12*'Geometry'!$F$43)&lt;=C_eco,C_alpha*C_fck*(1-(1-(O12+P12*'Geometry'!$G$43+Q12*'Geometry'!$F$43)/C_eco)^C_n),C_alpha*C_fck),0)))*'Geometry'!$H$43+((MAX(MIN(S_1_Es*(O12+P12*'Geometry'!$G$44+Q12*'Geometry'!$F$44),S_1_fy),-S_1_fy))-(IF((O12+P12*'Geometry'!$G$44+Q12*'Geometry'!$F$44)&gt;0,IF((O12+P12*'Geometry'!$G$44+Q12*'Geometry'!$F$44)&lt;=C_eco,C_alpha*C_fck*(1-(1-(O12+P12*'Geometry'!$G$44+Q12*'Geometry'!$F$44)/C_eco)^C_n),C_alpha*C_fck),0)))*'Geometry'!$H$44+((MAX(MIN(S_1_Es*(O12+P12*'Geometry'!$G$45+Q12*'Geometry'!$F$45),S_1_fy),-S_1_fy))-(IF((O12+P12*'Geometry'!$G$45+Q12*'Geometry'!$F$45)&gt;0,IF((O12+P12*'Geometry'!$G$45+Q12*'Geometry'!$F$45)&lt;=C_eco,C_alpha*C_fck*(1-(1-(O12+P12*'Geometry'!$G$45+Q12*'Geometry'!$F$45)/C_eco)^C_n),C_alpha*C_fck),0)))*'Geometry'!$H$45+((MAX(MIN(S_1_Es*(O12+P12*'Geometry'!$G$46+Q12*'Geometry'!$F$46),S_1_fy),-S_1_fy))-(IF((O12+P12*'Geometry'!$G$46+Q12*'Geometry'!$F$46)&gt;0,IF((O12+P12*'Geometry'!$G$46+Q12*'Geometry'!$F$46)&lt;=C_eco,C_alpha*C_fck*(1-(1-(O12+P12*'Geometry'!$G$46+Q12*'Geometry'!$F$46)/C_eco)^C_n),C_alpha*C_fck),0)))*'Geometry'!$H$46+((MAX(MIN(S_1_Es*(O12+P12*'Geometry'!$G$47+Q12*'Geometry'!$F$47),S_1_fy),-S_1_fy))-(IF((O12+P12*'Geometry'!$G$47+Q12*'Geometry'!$F$47)&gt;0,IF((O12+P12*'Geometry'!$G$47+Q12*'Geometry'!$F$47)&lt;=C_eco,C_alpha*C_fck*(1-(1-(O12+P12*'Geometry'!$G$47+Q12*'Geometry'!$F$47)/C_eco)^C_n),C_alpha*C_fck),0)))*'Geometry'!$H$47+((MAX(MIN(S_1_Es*(O12+P12*'Geometry'!$G$48+Q12*'Geometry'!$F$48),S_1_fy),-S_1_fy))-(IF((O12+P12*'Geometry'!$G$48+Q12*'Geometry'!$F$48)&gt;0,IF((O12+P12*'Geometry'!$G$48+Q12*'Geometry'!$F$48)&lt;=C_eco,C_alpha*C_fck*(1-(1-(O12+P12*'Geometry'!$G$48+Q12*'Geometry'!$F$48)/C_eco)^C_n),C_alpha*C_fck),0)))*'Geometry'!$H$48+((MAX(MIN(S_1_Es*(O12+P12*'Geometry'!$G$49+Q12*'Geometry'!$F$49),S_1_fy),-S_1_fy))-(IF((O12+P12*'Geometry'!$G$49+Q12*'Geometry'!$F$49)&gt;0,IF((O12+P12*'Geometry'!$G$49+Q12*'Geometry'!$F$49)&lt;=C_eco,C_alpha*C_fck*(1-(1-(O12+P12*'Geometry'!$G$49+Q12*'Geometry'!$F$49)/C_eco)^C_n),C_alpha*C_fck),0)))*'Geometry'!$H$49+((MAX(MIN(S_1_Es*(O12+P12*'Geometry'!$G$50+Q12*'Geometry'!$F$50),S_1_fy),-S_1_fy))-(IF((O12+P12*'Geometry'!$G$50+Q12*'Geometry'!$F$50)&gt;0,IF((O12+P12*'Geometry'!$G$50+Q12*'Geometry'!$F$50)&lt;=C_eco,C_alpha*C_fck*(1-(1-(O12+P12*'Geometry'!$G$50+Q12*'Geometry'!$F$50)/C_eco)^C_n),C_alpha*C_fck),0)))*'Geometry'!$H$50+((MAX(MIN(S_1_Es*(O12+P12*'Geometry'!$G$51+Q12*'Geometry'!$F$51),S_1_fy),-S_1_fy))-(IF((O12+P12*'Geometry'!$G$51+Q12*'Geometry'!$F$51)&gt;0,IF((O12+P12*'Geometry'!$G$51+Q12*'Geometry'!$F$51)&lt;=C_eco,C_alpha*C_fck*(1-(1-(O12+P12*'Geometry'!$G$51+Q12*'Geometry'!$F$51)/C_eco)^C_n),C_alpha*C_fck),0)))*'Geometry'!$H$51+((MAX(MIN(S_1_Es*(O12+P12*'Geometry'!$G$52+Q12*'Geometry'!$F$52),S_1_fy),-S_1_fy))-(IF((O12+P12*'Geometry'!$G$52+Q12*'Geometry'!$F$52)&gt;0,IF((O12+P12*'Geometry'!$G$52+Q12*'Geometry'!$F$52)&lt;=C_eco,C_alpha*C_fck*(1-(1-(O12+P12*'Geometry'!$G$52+Q12*'Geometry'!$F$52)/C_eco)^C_n),C_alpha*C_fck),0)))*'Geometry'!$H$52+((MAX(MIN(S_1_Es*(O12+P12*'Geometry'!$G$53+Q12*'Geometry'!$F$53),S_1_fy),-S_1_fy))-(IF((O12+P12*'Geometry'!$G$53+Q12*'Geometry'!$F$53)&gt;0,IF((O12+P12*'Geometry'!$G$53+Q12*'Geometry'!$F$53)&lt;=C_eco,C_alpha*C_fck*(1-(1-(O12+P12*'Geometry'!$G$53+Q12*'Geometry'!$F$53)/C_eco)^C_n),C_alpha*C_fck),0)))*'Geometry'!$H$53+((MAX(MIN(S_1_Es*(O12+P12*'Geometry'!$G$54+Q12*'Geometry'!$F$54),S_1_fy),-S_1_fy))-(IF((O12+P12*'Geometry'!$G$54+Q12*'Geometry'!$F$54)&gt;0,IF((O12+P12*'Geometry'!$G$54+Q12*'Geometry'!$F$54)&lt;=C_eco,C_alpha*C_fck*(1-(1-(O12+P12*'Geometry'!$G$54+Q12*'Geometry'!$F$54)/C_eco)^C_n),C_alpha*C_fck),0)))*'Geometry'!$H$54+((MAX(MIN(S_1_Es*(O12+P12*'Geometry'!$G$55+Q12*'Geometry'!$F$55),S_1_fy),-S_1_fy))-(IF((O12+P12*'Geometry'!$G$55+Q12*'Geometry'!$F$55)&gt;0,IF((O12+P12*'Geometry'!$G$55+Q12*'Geometry'!$F$55)&lt;=C_eco,C_alpha*C_fck*(1-(1-(O12+P12*'Geometry'!$G$55+Q12*'Geometry'!$F$55)/C_eco)^C_n),C_alpha*C_fck),0)))*'Geometry'!$H$55+((MAX(MIN(S_1_Es*(O12+P12*'Geometry'!$G$56+Q12*'Geometry'!$F$56),S_1_fy),-S_1_fy))-(IF((O12+P12*'Geometry'!$G$56+Q12*'Geometry'!$F$56)&gt;0,IF((O12+P12*'Geometry'!$G$56+Q12*'Geometry'!$F$56)&lt;=C_eco,C_alpha*C_fck*(1-(1-(O12+P12*'Geometry'!$G$56+Q12*'Geometry'!$F$56)/C_eco)^C_n),C_alpha*C_fck),0)))*'Geometry'!$H$56+((MAX(MIN(S_1_Es*(O12+P12*'Geometry'!$G$57+Q12*'Geometry'!$F$57),S_1_fy),-S_1_fy))-(IF((O12+P12*'Geometry'!$G$57+Q12*'Geometry'!$F$57)&gt;0,IF((O12+P12*'Geometry'!$G$57+Q12*'Geometry'!$F$57)&lt;=C_eco,C_alpha*C_fck*(1-(1-(O12+P12*'Geometry'!$G$57+Q12*'Geometry'!$F$57)/C_eco)^C_n),C_alpha*C_fck),0)))*'Geometry'!$H$57)/1000</f>
        <v>-4114.831651386043</v>
      </c>
      <c r="V12" s="10">
        <f>(((MAX(MIN(S_1_Es*(O12+P12*'Geometry'!$G$40+Q12*'Geometry'!$F$40),S_1_fy),-S_1_fy))-(IF((O12+P12*'Geometry'!$G$40+Q12*'Geometry'!$F$40)&gt;0,IF((O12+P12*'Geometry'!$G$40+Q12*'Geometry'!$F$40)&lt;=C_eco,C_alpha*C_fck*(1-(1-(O12+P12*'Geometry'!$G$40+Q12*'Geometry'!$F$40)/C_eco)^C_n),C_alpha*C_fck),0)))*'Geometry'!$H$40*'Geometry'!$G$40+((MAX(MIN(S_1_Es*(O12+P12*'Geometry'!$G$41+Q12*'Geometry'!$F$41),S_1_fy),-S_1_fy))-(IF((O12+P12*'Geometry'!$G$41+Q12*'Geometry'!$F$41)&gt;0,IF((O12+P12*'Geometry'!$G$41+Q12*'Geometry'!$F$41)&lt;=C_eco,C_alpha*C_fck*(1-(1-(O12+P12*'Geometry'!$G$41+Q12*'Geometry'!$F$41)/C_eco)^C_n),C_alpha*C_fck),0)))*'Geometry'!$H$41*'Geometry'!$G$41+((MAX(MIN(S_1_Es*(O12+P12*'Geometry'!$G$42+Q12*'Geometry'!$F$42),S_1_fy),-S_1_fy))-(IF((O12+P12*'Geometry'!$G$42+Q12*'Geometry'!$F$42)&gt;0,IF((O12+P12*'Geometry'!$G$42+Q12*'Geometry'!$F$42)&lt;=C_eco,C_alpha*C_fck*(1-(1-(O12+P12*'Geometry'!$G$42+Q12*'Geometry'!$F$42)/C_eco)^C_n),C_alpha*C_fck),0)))*'Geometry'!$H$42*'Geometry'!$G$42+((MAX(MIN(S_1_Es*(O12+P12*'Geometry'!$G$43+Q12*'Geometry'!$F$43),S_1_fy),-S_1_fy))-(IF((O12+P12*'Geometry'!$G$43+Q12*'Geometry'!$F$43)&gt;0,IF((O12+P12*'Geometry'!$G$43+Q12*'Geometry'!$F$43)&lt;=C_eco,C_alpha*C_fck*(1-(1-(O12+P12*'Geometry'!$G$43+Q12*'Geometry'!$F$43)/C_eco)^C_n),C_alpha*C_fck),0)))*'Geometry'!$H$43*'Geometry'!$G$43+((MAX(MIN(S_1_Es*(O12+P12*'Geometry'!$G$44+Q12*'Geometry'!$F$44),S_1_fy),-S_1_fy))-(IF((O12+P12*'Geometry'!$G$44+Q12*'Geometry'!$F$44)&gt;0,IF((O12+P12*'Geometry'!$G$44+Q12*'Geometry'!$F$44)&lt;=C_eco,C_alpha*C_fck*(1-(1-(O12+P12*'Geometry'!$G$44+Q12*'Geometry'!$F$44)/C_eco)^C_n),C_alpha*C_fck),0)))*'Geometry'!$H$44*'Geometry'!$G$44+((MAX(MIN(S_1_Es*(O12+P12*'Geometry'!$G$45+Q12*'Geometry'!$F$45),S_1_fy),-S_1_fy))-(IF((O12+P12*'Geometry'!$G$45+Q12*'Geometry'!$F$45)&gt;0,IF((O12+P12*'Geometry'!$G$45+Q12*'Geometry'!$F$45)&lt;=C_eco,C_alpha*C_fck*(1-(1-(O12+P12*'Geometry'!$G$45+Q12*'Geometry'!$F$45)/C_eco)^C_n),C_alpha*C_fck),0)))*'Geometry'!$H$45*'Geometry'!$G$45+((MAX(MIN(S_1_Es*(O12+P12*'Geometry'!$G$46+Q12*'Geometry'!$F$46),S_1_fy),-S_1_fy))-(IF((O12+P12*'Geometry'!$G$46+Q12*'Geometry'!$F$46)&gt;0,IF((O12+P12*'Geometry'!$G$46+Q12*'Geometry'!$F$46)&lt;=C_eco,C_alpha*C_fck*(1-(1-(O12+P12*'Geometry'!$G$46+Q12*'Geometry'!$F$46)/C_eco)^C_n),C_alpha*C_fck),0)))*'Geometry'!$H$46*'Geometry'!$G$46+((MAX(MIN(S_1_Es*(O12+P12*'Geometry'!$G$47+Q12*'Geometry'!$F$47),S_1_fy),-S_1_fy))-(IF((O12+P12*'Geometry'!$G$47+Q12*'Geometry'!$F$47)&gt;0,IF((O12+P12*'Geometry'!$G$47+Q12*'Geometry'!$F$47)&lt;=C_eco,C_alpha*C_fck*(1-(1-(O12+P12*'Geometry'!$G$47+Q12*'Geometry'!$F$47)/C_eco)^C_n),C_alpha*C_fck),0)))*'Geometry'!$H$47*'Geometry'!$G$47+((MAX(MIN(S_1_Es*(O12+P12*'Geometry'!$G$48+Q12*'Geometry'!$F$48),S_1_fy),-S_1_fy))-(IF((O12+P12*'Geometry'!$G$48+Q12*'Geometry'!$F$48)&gt;0,IF((O12+P12*'Geometry'!$G$48+Q12*'Geometry'!$F$48)&lt;=C_eco,C_alpha*C_fck*(1-(1-(O12+P12*'Geometry'!$G$48+Q12*'Geometry'!$F$48)/C_eco)^C_n),C_alpha*C_fck),0)))*'Geometry'!$H$48*'Geometry'!$G$48+((MAX(MIN(S_1_Es*(O12+P12*'Geometry'!$G$49+Q12*'Geometry'!$F$49),S_1_fy),-S_1_fy))-(IF((O12+P12*'Geometry'!$G$49+Q12*'Geometry'!$F$49)&gt;0,IF((O12+P12*'Geometry'!$G$49+Q12*'Geometry'!$F$49)&lt;=C_eco,C_alpha*C_fck*(1-(1-(O12+P12*'Geometry'!$G$49+Q12*'Geometry'!$F$49)/C_eco)^C_n),C_alpha*C_fck),0)))*'Geometry'!$H$49*'Geometry'!$G$49+((MAX(MIN(S_1_Es*(O12+P12*'Geometry'!$G$50+Q12*'Geometry'!$F$50),S_1_fy),-S_1_fy))-(IF((O12+P12*'Geometry'!$G$50+Q12*'Geometry'!$F$50)&gt;0,IF((O12+P12*'Geometry'!$G$50+Q12*'Geometry'!$F$50)&lt;=C_eco,C_alpha*C_fck*(1-(1-(O12+P12*'Geometry'!$G$50+Q12*'Geometry'!$F$50)/C_eco)^C_n),C_alpha*C_fck),0)))*'Geometry'!$H$50*'Geometry'!$G$50+((MAX(MIN(S_1_Es*(O12+P12*'Geometry'!$G$51+Q12*'Geometry'!$F$51),S_1_fy),-S_1_fy))-(IF((O12+P12*'Geometry'!$G$51+Q12*'Geometry'!$F$51)&gt;0,IF((O12+P12*'Geometry'!$G$51+Q12*'Geometry'!$F$51)&lt;=C_eco,C_alpha*C_fck*(1-(1-(O12+P12*'Geometry'!$G$51+Q12*'Geometry'!$F$51)/C_eco)^C_n),C_alpha*C_fck),0)))*'Geometry'!$H$51*'Geometry'!$G$51+((MAX(MIN(S_1_Es*(O12+P12*'Geometry'!$G$52+Q12*'Geometry'!$F$52),S_1_fy),-S_1_fy))-(IF((O12+P12*'Geometry'!$G$52+Q12*'Geometry'!$F$52)&gt;0,IF((O12+P12*'Geometry'!$G$52+Q12*'Geometry'!$F$52)&lt;=C_eco,C_alpha*C_fck*(1-(1-(O12+P12*'Geometry'!$G$52+Q12*'Geometry'!$F$52)/C_eco)^C_n),C_alpha*C_fck),0)))*'Geometry'!$H$52*'Geometry'!$G$52+((MAX(MIN(S_1_Es*(O12+P12*'Geometry'!$G$53+Q12*'Geometry'!$F$53),S_1_fy),-S_1_fy))-(IF((O12+P12*'Geometry'!$G$53+Q12*'Geometry'!$F$53)&gt;0,IF((O12+P12*'Geometry'!$G$53+Q12*'Geometry'!$F$53)&lt;=C_eco,C_alpha*C_fck*(1-(1-(O12+P12*'Geometry'!$G$53+Q12*'Geometry'!$F$53)/C_eco)^C_n),C_alpha*C_fck),0)))*'Geometry'!$H$53*'Geometry'!$G$53+((MAX(MIN(S_1_Es*(O12+P12*'Geometry'!$G$54+Q12*'Geometry'!$F$54),S_1_fy),-S_1_fy))-(IF((O12+P12*'Geometry'!$G$54+Q12*'Geometry'!$F$54)&gt;0,IF((O12+P12*'Geometry'!$G$54+Q12*'Geometry'!$F$54)&lt;=C_eco,C_alpha*C_fck*(1-(1-(O12+P12*'Geometry'!$G$54+Q12*'Geometry'!$F$54)/C_eco)^C_n),C_alpha*C_fck),0)))*'Geometry'!$H$54*'Geometry'!$G$54+((MAX(MIN(S_1_Es*(O12+P12*'Geometry'!$G$55+Q12*'Geometry'!$F$55),S_1_fy),-S_1_fy))-(IF((O12+P12*'Geometry'!$G$55+Q12*'Geometry'!$F$55)&gt;0,IF((O12+P12*'Geometry'!$G$55+Q12*'Geometry'!$F$55)&lt;=C_eco,C_alpha*C_fck*(1-(1-(O12+P12*'Geometry'!$G$55+Q12*'Geometry'!$F$55)/C_eco)^C_n),C_alpha*C_fck),0)))*'Geometry'!$H$55*'Geometry'!$G$55+((MAX(MIN(S_1_Es*(O12+P12*'Geometry'!$G$56+Q12*'Geometry'!$F$56),S_1_fy),-S_1_fy))-(IF((O12+P12*'Geometry'!$G$56+Q12*'Geometry'!$F$56)&gt;0,IF((O12+P12*'Geometry'!$G$56+Q12*'Geometry'!$F$56)&lt;=C_eco,C_alpha*C_fck*(1-(1-(O12+P12*'Geometry'!$G$56+Q12*'Geometry'!$F$56)/C_eco)^C_n),C_alpha*C_fck),0)))*'Geometry'!$H$56*'Geometry'!$G$56+((MAX(MIN(S_1_Es*(O12+P12*'Geometry'!$G$57+Q12*'Geometry'!$F$57),S_1_fy),-S_1_fy))-(IF((O12+P12*'Geometry'!$G$57+Q12*'Geometry'!$F$57)&gt;0,IF((O12+P12*'Geometry'!$G$57+Q12*'Geometry'!$F$57)&lt;=C_eco,C_alpha*C_fck*(1-(1-(O12+P12*'Geometry'!$G$57+Q12*'Geometry'!$F$57)/C_eco)^C_n),C_alpha*C_fck),0)))*'Geometry'!$H$57*'Geometry'!$G$57)/1000000</f>
        <v>652.8994695579886</v>
      </c>
      <c r="W12" s="10">
        <f>(((MAX(MIN(S_1_Es*(O12+P12*'Geometry'!$G$40+Q12*'Geometry'!$F$40),S_1_fy),-S_1_fy))-(IF((O12+P12*'Geometry'!$G$40+Q12*'Geometry'!$F$40)&gt;0,IF((O12+P12*'Geometry'!$G$40+Q12*'Geometry'!$F$40)&lt;=C_eco,C_alpha*C_fck*(1-(1-(O12+P12*'Geometry'!$G$40+Q12*'Geometry'!$F$40)/C_eco)^C_n),C_alpha*C_fck),0)))*'Geometry'!$H$40*'Geometry'!$F$40+((MAX(MIN(S_1_Es*(O12+P12*'Geometry'!$G$41+Q12*'Geometry'!$F$41),S_1_fy),-S_1_fy))-(IF((O12+P12*'Geometry'!$G$41+Q12*'Geometry'!$F$41)&gt;0,IF((O12+P12*'Geometry'!$G$41+Q12*'Geometry'!$F$41)&lt;=C_eco,C_alpha*C_fck*(1-(1-(O12+P12*'Geometry'!$G$41+Q12*'Geometry'!$F$41)/C_eco)^C_n),C_alpha*C_fck),0)))*'Geometry'!$H$41*'Geometry'!$F$41+((MAX(MIN(S_1_Es*(O12+P12*'Geometry'!$G$42+Q12*'Geometry'!$F$42),S_1_fy),-S_1_fy))-(IF((O12+P12*'Geometry'!$G$42+Q12*'Geometry'!$F$42)&gt;0,IF((O12+P12*'Geometry'!$G$42+Q12*'Geometry'!$F$42)&lt;=C_eco,C_alpha*C_fck*(1-(1-(O12+P12*'Geometry'!$G$42+Q12*'Geometry'!$F$42)/C_eco)^C_n),C_alpha*C_fck),0)))*'Geometry'!$H$42*'Geometry'!$F$42+((MAX(MIN(S_1_Es*(O12+P12*'Geometry'!$G$43+Q12*'Geometry'!$F$43),S_1_fy),-S_1_fy))-(IF((O12+P12*'Geometry'!$G$43+Q12*'Geometry'!$F$43)&gt;0,IF((O12+P12*'Geometry'!$G$43+Q12*'Geometry'!$F$43)&lt;=C_eco,C_alpha*C_fck*(1-(1-(O12+P12*'Geometry'!$G$43+Q12*'Geometry'!$F$43)/C_eco)^C_n),C_alpha*C_fck),0)))*'Geometry'!$H$43*'Geometry'!$F$43+((MAX(MIN(S_1_Es*(O12+P12*'Geometry'!$G$44+Q12*'Geometry'!$F$44),S_1_fy),-S_1_fy))-(IF((O12+P12*'Geometry'!$G$44+Q12*'Geometry'!$F$44)&gt;0,IF((O12+P12*'Geometry'!$G$44+Q12*'Geometry'!$F$44)&lt;=C_eco,C_alpha*C_fck*(1-(1-(O12+P12*'Geometry'!$G$44+Q12*'Geometry'!$F$44)/C_eco)^C_n),C_alpha*C_fck),0)))*'Geometry'!$H$44*'Geometry'!$F$44+((MAX(MIN(S_1_Es*(O12+P12*'Geometry'!$G$45+Q12*'Geometry'!$F$45),S_1_fy),-S_1_fy))-(IF((O12+P12*'Geometry'!$G$45+Q12*'Geometry'!$F$45)&gt;0,IF((O12+P12*'Geometry'!$G$45+Q12*'Geometry'!$F$45)&lt;=C_eco,C_alpha*C_fck*(1-(1-(O12+P12*'Geometry'!$G$45+Q12*'Geometry'!$F$45)/C_eco)^C_n),C_alpha*C_fck),0)))*'Geometry'!$H$45*'Geometry'!$F$45+((MAX(MIN(S_1_Es*(O12+P12*'Geometry'!$G$46+Q12*'Geometry'!$F$46),S_1_fy),-S_1_fy))-(IF((O12+P12*'Geometry'!$G$46+Q12*'Geometry'!$F$46)&gt;0,IF((O12+P12*'Geometry'!$G$46+Q12*'Geometry'!$F$46)&lt;=C_eco,C_alpha*C_fck*(1-(1-(O12+P12*'Geometry'!$G$46+Q12*'Geometry'!$F$46)/C_eco)^C_n),C_alpha*C_fck),0)))*'Geometry'!$H$46*'Geometry'!$F$46+((MAX(MIN(S_1_Es*(O12+P12*'Geometry'!$G$47+Q12*'Geometry'!$F$47),S_1_fy),-S_1_fy))-(IF((O12+P12*'Geometry'!$G$47+Q12*'Geometry'!$F$47)&gt;0,IF((O12+P12*'Geometry'!$G$47+Q12*'Geometry'!$F$47)&lt;=C_eco,C_alpha*C_fck*(1-(1-(O12+P12*'Geometry'!$G$47+Q12*'Geometry'!$F$47)/C_eco)^C_n),C_alpha*C_fck),0)))*'Geometry'!$H$47*'Geometry'!$F$47+((MAX(MIN(S_1_Es*(O12+P12*'Geometry'!$G$48+Q12*'Geometry'!$F$48),S_1_fy),-S_1_fy))-(IF((O12+P12*'Geometry'!$G$48+Q12*'Geometry'!$F$48)&gt;0,IF((O12+P12*'Geometry'!$G$48+Q12*'Geometry'!$F$48)&lt;=C_eco,C_alpha*C_fck*(1-(1-(O12+P12*'Geometry'!$G$48+Q12*'Geometry'!$F$48)/C_eco)^C_n),C_alpha*C_fck),0)))*'Geometry'!$H$48*'Geometry'!$F$48+((MAX(MIN(S_1_Es*(O12+P12*'Geometry'!$G$49+Q12*'Geometry'!$F$49),S_1_fy),-S_1_fy))-(IF((O12+P12*'Geometry'!$G$49+Q12*'Geometry'!$F$49)&gt;0,IF((O12+P12*'Geometry'!$G$49+Q12*'Geometry'!$F$49)&lt;=C_eco,C_alpha*C_fck*(1-(1-(O12+P12*'Geometry'!$G$49+Q12*'Geometry'!$F$49)/C_eco)^C_n),C_alpha*C_fck),0)))*'Geometry'!$H$49*'Geometry'!$F$49+((MAX(MIN(S_1_Es*(O12+P12*'Geometry'!$G$50+Q12*'Geometry'!$F$50),S_1_fy),-S_1_fy))-(IF((O12+P12*'Geometry'!$G$50+Q12*'Geometry'!$F$50)&gt;0,IF((O12+P12*'Geometry'!$G$50+Q12*'Geometry'!$F$50)&lt;=C_eco,C_alpha*C_fck*(1-(1-(O12+P12*'Geometry'!$G$50+Q12*'Geometry'!$F$50)/C_eco)^C_n),C_alpha*C_fck),0)))*'Geometry'!$H$50*'Geometry'!$F$50+((MAX(MIN(S_1_Es*(O12+P12*'Geometry'!$G$51+Q12*'Geometry'!$F$51),S_1_fy),-S_1_fy))-(IF((O12+P12*'Geometry'!$G$51+Q12*'Geometry'!$F$51)&gt;0,IF((O12+P12*'Geometry'!$G$51+Q12*'Geometry'!$F$51)&lt;=C_eco,C_alpha*C_fck*(1-(1-(O12+P12*'Geometry'!$G$51+Q12*'Geometry'!$F$51)/C_eco)^C_n),C_alpha*C_fck),0)))*'Geometry'!$H$51*'Geometry'!$F$51+((MAX(MIN(S_1_Es*(O12+P12*'Geometry'!$G$52+Q12*'Geometry'!$F$52),S_1_fy),-S_1_fy))-(IF((O12+P12*'Geometry'!$G$52+Q12*'Geometry'!$F$52)&gt;0,IF((O12+P12*'Geometry'!$G$52+Q12*'Geometry'!$F$52)&lt;=C_eco,C_alpha*C_fck*(1-(1-(O12+P12*'Geometry'!$G$52+Q12*'Geometry'!$F$52)/C_eco)^C_n),C_alpha*C_fck),0)))*'Geometry'!$H$52*'Geometry'!$F$52+((MAX(MIN(S_1_Es*(O12+P12*'Geometry'!$G$53+Q12*'Geometry'!$F$53),S_1_fy),-S_1_fy))-(IF((O12+P12*'Geometry'!$G$53+Q12*'Geometry'!$F$53)&gt;0,IF((O12+P12*'Geometry'!$G$53+Q12*'Geometry'!$F$53)&lt;=C_eco,C_alpha*C_fck*(1-(1-(O12+P12*'Geometry'!$G$53+Q12*'Geometry'!$F$53)/C_eco)^C_n),C_alpha*C_fck),0)))*'Geometry'!$H$53*'Geometry'!$F$53+((MAX(MIN(S_1_Es*(O12+P12*'Geometry'!$G$54+Q12*'Geometry'!$F$54),S_1_fy),-S_1_fy))-(IF((O12+P12*'Geometry'!$G$54+Q12*'Geometry'!$F$54)&gt;0,IF((O12+P12*'Geometry'!$G$54+Q12*'Geometry'!$F$54)&lt;=C_eco,C_alpha*C_fck*(1-(1-(O12+P12*'Geometry'!$G$54+Q12*'Geometry'!$F$54)/C_eco)^C_n),C_alpha*C_fck),0)))*'Geometry'!$H$54*'Geometry'!$F$54+((MAX(MIN(S_1_Es*(O12+P12*'Geometry'!$G$55+Q12*'Geometry'!$F$55),S_1_fy),-S_1_fy))-(IF((O12+P12*'Geometry'!$G$55+Q12*'Geometry'!$F$55)&gt;0,IF((O12+P12*'Geometry'!$G$55+Q12*'Geometry'!$F$55)&lt;=C_eco,C_alpha*C_fck*(1-(1-(O12+P12*'Geometry'!$G$55+Q12*'Geometry'!$F$55)/C_eco)^C_n),C_alpha*C_fck),0)))*'Geometry'!$H$55*'Geometry'!$F$55+((MAX(MIN(S_1_Es*(O12+P12*'Geometry'!$G$56+Q12*'Geometry'!$F$56),S_1_fy),-S_1_fy))-(IF((O12+P12*'Geometry'!$G$56+Q12*'Geometry'!$F$56)&gt;0,IF((O12+P12*'Geometry'!$G$56+Q12*'Geometry'!$F$56)&lt;=C_eco,C_alpha*C_fck*(1-(1-(O12+P12*'Geometry'!$G$56+Q12*'Geometry'!$F$56)/C_eco)^C_n),C_alpha*C_fck),0)))*'Geometry'!$H$56*'Geometry'!$F$56+((MAX(MIN(S_1_Es*(O12+P12*'Geometry'!$G$57+Q12*'Geometry'!$F$57),S_1_fy),-S_1_fy))-(IF((O12+P12*'Geometry'!$G$57+Q12*'Geometry'!$F$57)&gt;0,IF((O12+P12*'Geometry'!$G$57+Q12*'Geometry'!$F$57)&lt;=C_eco,C_alpha*C_fck*(1-(1-(O12+P12*'Geometry'!$G$57+Q12*'Geometry'!$F$57)/C_eco)^C_n),C_alpha*C_fck),0)))*'Geometry'!$H$57*'Geometry'!$F$57)/1000000</f>
        <v>817.3444797306371</v>
      </c>
      <c r="X12" s="10">
        <f>R12+U12</f>
        <v>-1608.289911244536</v>
      </c>
      <c r="Y12" s="10">
        <f>S12+V12</f>
        <v>1734.2066069637838</v>
      </c>
      <c r="Z12" s="10">
        <f>T12+W12</f>
        <v>2189.6522553935033</v>
      </c>
      <c r="AA12" s="7">
        <v>0.85</v>
      </c>
      <c r="AB12" s="7">
        <v>0.85</v>
      </c>
      <c r="AC12" s="10">
        <f>X12*AA12</f>
        <v>-1367.0464245578553</v>
      </c>
      <c r="AD12" s="10">
        <f>Y12*AB12</f>
        <v>1474.0756159192163</v>
      </c>
      <c r="AE12" s="10">
        <f>Z12*AB12</f>
        <v>1861.2044170844777</v>
      </c>
      <c r="AF12" s="7">
        <v>-1367.0464245578553</v>
      </c>
      <c r="AG12" s="7">
        <v>1474.0756159192163</v>
      </c>
      <c r="AH12" s="7">
        <v>1861.2044170844777</v>
      </c>
      <c r="AI12" s="15">
        <f>AC12-AF12</f>
        <v>0</v>
      </c>
      <c r="AJ12" s="15">
        <f>SQRT((AD12-AG12)^2+(AE12-AH12)^2)</f>
        <v>0</v>
      </c>
      <c r="AK12" s="7" t="s">
        <v>189</v>
      </c>
      <c r="AL12" s="7">
        <v>-1608.289911244536</v>
      </c>
      <c r="AM12" s="7">
        <v>1734.2066069637838</v>
      </c>
      <c r="AN12" s="7">
        <v>2189.6522553935033</v>
      </c>
      <c r="AO12" s="7">
        <v>2506.5417401415066</v>
      </c>
      <c r="AP12" s="7">
        <v>1081.3071374057952</v>
      </c>
      <c r="AQ12" s="7">
        <v>1372.3077756628659</v>
      </c>
      <c r="AR12" s="7">
        <v>-4114.831651386043</v>
      </c>
      <c r="AS12" s="7">
        <v>652.8994695579886</v>
      </c>
      <c r="AT12" s="7">
        <v>817.3444797306371</v>
      </c>
    </row>
    <row r="13" spans="1:46" x14ac:dyDescent="0.25">
      <c r="A13" s="7" t="s">
        <v>199</v>
      </c>
      <c r="B13" s="7">
        <v>1</v>
      </c>
      <c r="C13" s="18">
        <v>50</v>
      </c>
      <c r="D13" s="7" t="s">
        <v>200</v>
      </c>
      <c r="E13" s="7" t="s">
        <v>192</v>
      </c>
      <c r="F13" s="19">
        <v>50</v>
      </c>
      <c r="G13" s="7" t="s">
        <v>188</v>
      </c>
      <c r="H13" s="20">
        <v>7.500000000000001</v>
      </c>
      <c r="I13" s="10">
        <f>MAX(('Geometry'!$G$13*COS(RADIANS(F13))+'Geometry'!$F$13*SIN(RADIANS(F13))),('Geometry'!$G$14*COS(RADIANS(F13))+'Geometry'!$F$14*SIN(RADIANS(F13))),('Geometry'!$G$15*COS(RADIANS(F13))+'Geometry'!$F$15*SIN(RADIANS(F13))),('Geometry'!$G$16*COS(RADIANS(F13))+'Geometry'!$F$16*SIN(RADIANS(F13))),('Geometry'!$G$17*COS(RADIANS(F13))+'Geometry'!$F$17*SIN(RADIANS(F13))),('Geometry'!$G$18*COS(RADIANS(F13))+'Geometry'!$F$18*SIN(RADIANS(F13))),('Geometry'!$G$19*COS(RADIANS(F13))+'Geometry'!$F$19*SIN(RADIANS(F13))),('Geometry'!$G$20*COS(RADIANS(F13))+'Geometry'!$F$20*SIN(RADIANS(F13))))</f>
        <v>831.6483762138494</v>
      </c>
      <c r="J13" s="10">
        <f>MIN(('Geometry'!$G$40*COS(RADIANS(F13))+'Geometry'!$F$40*SIN(RADIANS(F13))),('Geometry'!$G$41*COS(RADIANS(F13))+'Geometry'!$F$41*SIN(RADIANS(F13))),('Geometry'!$G$42*COS(RADIANS(F13))+'Geometry'!$F$42*SIN(RADIANS(F13))),('Geometry'!$G$43*COS(RADIANS(F13))+'Geometry'!$F$43*SIN(RADIANS(F13))),('Geometry'!$G$44*COS(RADIANS(F13))+'Geometry'!$F$44*SIN(RADIANS(F13))),('Geometry'!$G$45*COS(RADIANS(F13))+'Geometry'!$F$45*SIN(RADIANS(F13))),('Geometry'!$G$46*COS(RADIANS(F13))+'Geometry'!$F$46*SIN(RADIANS(F13))),('Geometry'!$G$47*COS(RADIANS(F13))+'Geometry'!$F$47*SIN(RADIANS(F13))),('Geometry'!$G$48*COS(RADIANS(F13))+'Geometry'!$F$48*SIN(RADIANS(F13))),('Geometry'!$G$49*COS(RADIANS(F13))+'Geometry'!$F$49*SIN(RADIANS(F13))),('Geometry'!$G$50*COS(RADIANS(F13))+'Geometry'!$F$50*SIN(RADIANS(F13))),('Geometry'!$G$51*COS(RADIANS(F13))+'Geometry'!$F$51*SIN(RADIANS(F13))),('Geometry'!$G$52*COS(RADIANS(F13))+'Geometry'!$F$52*SIN(RADIANS(F13))),('Geometry'!$G$53*COS(RADIANS(F13))+'Geometry'!$F$53*SIN(RADIANS(F13))),('Geometry'!$G$54*COS(RADIANS(F13))+'Geometry'!$F$54*SIN(RADIANS(F13))),('Geometry'!$G$55*COS(RADIANS(F13))+'Geometry'!$F$55*SIN(RADIANS(F13))),('Geometry'!$G$56*COS(RADIANS(F13))+'Geometry'!$F$56*SIN(RADIANS(F13))),('Geometry'!$G$57*COS(RADIANS(F13))+'Geometry'!$F$57*SIN(RADIANS(F13))))</f>
        <v>-713.7465042268668</v>
      </c>
      <c r="K13" s="10">
        <f>I13-MIN(('Geometry'!$G$13*COS(RADIANS(F13))+'Geometry'!$F$13*SIN(RADIANS(F13))),('Geometry'!$G$14*COS(RADIANS(F13))+'Geometry'!$F$14*SIN(RADIANS(F13))),('Geometry'!$G$15*COS(RADIANS(F13))+'Geometry'!$F$15*SIN(RADIANS(F13))),('Geometry'!$G$16*COS(RADIANS(F13))+'Geometry'!$F$16*SIN(RADIANS(F13))),('Geometry'!$G$17*COS(RADIANS(F13))+'Geometry'!$F$17*SIN(RADIANS(F13))),('Geometry'!$G$18*COS(RADIANS(F13))+'Geometry'!$F$18*SIN(RADIANS(F13))),('Geometry'!$G$19*COS(RADIANS(F13))+'Geometry'!$F$19*SIN(RADIANS(F13))),('Geometry'!$G$20*COS(RADIANS(F13))+'Geometry'!$F$20*SIN(RADIANS(F13))))</f>
        <v>1663.2967524276987</v>
      </c>
      <c r="L13" s="15">
        <f>C_ecu</f>
        <v>0.0033</v>
      </c>
      <c r="M13" s="15">
        <f>-H13*S_1_fy/S_1_Es</f>
        <v>-0.015000000000000003</v>
      </c>
      <c r="N13" s="21">
        <f>IF(ABS(I13-J13)&lt;0.000000000001,0,(L13-M13)/(I13-J13))</f>
        <v>0.00001184163363785779</v>
      </c>
      <c r="O13" s="15">
        <f>L13-N13*I13</f>
        <v>-0.006548075386643729</v>
      </c>
      <c r="P13" s="21">
        <f>N13*COS(RADIANS(F13))</f>
        <v>0.000007611655380862328</v>
      </c>
      <c r="Q13" s="21">
        <f>N13*SIN(RADIANS(F13))</f>
        <v>0.000009071217645731727</v>
      </c>
      <c r="R13" s="10">
        <f>SUMPRODUCT(C_alpha*C_fck*(1-(1-(((O13+P13*Mesh_Y+Q13*Mesh_X))*((O13+P13*Mesh_Y+Q13*Mesh_X)&gt;0)*((O13+P13*Mesh_Y+Q13*Mesh_X)&lt;C_eco)+C_eco*((O13+P13*Mesh_Y+Q13*Mesh_X)&gt;=C_eco))/C_eco)^C_n)*(((O13+P13*Mesh_Y+Q13*Mesh_X))&gt;0),Mesh_A)/1000</f>
        <v>2640.0802465283973</v>
      </c>
      <c r="S13" s="10">
        <f>SUMPRODUCT(C_alpha*C_fck*(1-(1-(((O13+P13*Mesh_Y+Q13*Mesh_X))*((O13+P13*Mesh_Y+Q13*Mesh_X)&gt;0)*((O13+P13*Mesh_Y+Q13*Mesh_X)&lt;C_eco)+C_eco*((O13+P13*Mesh_Y+Q13*Mesh_X)&gt;=C_eco))/C_eco)^C_n)*(((O13+P13*Mesh_Y+Q13*Mesh_X))&gt;0),Mesh_A,Mesh_Y)/1000000</f>
        <v>1040.169503107089</v>
      </c>
      <c r="T13" s="10">
        <f>SUMPRODUCT(C_alpha*C_fck*(1-(1-(((O13+P13*Mesh_Y+Q13*Mesh_X))*((O13+P13*Mesh_Y+Q13*Mesh_X)&gt;0)*((O13+P13*Mesh_Y+Q13*Mesh_X)&lt;C_eco)+C_eco*((O13+P13*Mesh_Y+Q13*Mesh_X)&gt;=C_eco))/C_eco)^C_n)*(((O13+P13*Mesh_Y+Q13*Mesh_X))&gt;0),Mesh_A,Mesh_X)/1000000</f>
        <v>1527.1800540993795</v>
      </c>
      <c r="U13" s="10">
        <f>(((MAX(MIN(S_1_Es*(O13+P13*'Geometry'!$G$40+Q13*'Geometry'!$F$40),S_1_fy),-S_1_fy))-(IF((O13+P13*'Geometry'!$G$40+Q13*'Geometry'!$F$40)&gt;0,IF((O13+P13*'Geometry'!$G$40+Q13*'Geometry'!$F$40)&lt;=C_eco,C_alpha*C_fck*(1-(1-(O13+P13*'Geometry'!$G$40+Q13*'Geometry'!$F$40)/C_eco)^C_n),C_alpha*C_fck),0)))*'Geometry'!$H$40+((MAX(MIN(S_1_Es*(O13+P13*'Geometry'!$G$41+Q13*'Geometry'!$F$41),S_1_fy),-S_1_fy))-(IF((O13+P13*'Geometry'!$G$41+Q13*'Geometry'!$F$41)&gt;0,IF((O13+P13*'Geometry'!$G$41+Q13*'Geometry'!$F$41)&lt;=C_eco,C_alpha*C_fck*(1-(1-(O13+P13*'Geometry'!$G$41+Q13*'Geometry'!$F$41)/C_eco)^C_n),C_alpha*C_fck),0)))*'Geometry'!$H$41+((MAX(MIN(S_1_Es*(O13+P13*'Geometry'!$G$42+Q13*'Geometry'!$F$42),S_1_fy),-S_1_fy))-(IF((O13+P13*'Geometry'!$G$42+Q13*'Geometry'!$F$42)&gt;0,IF((O13+P13*'Geometry'!$G$42+Q13*'Geometry'!$F$42)&lt;=C_eco,C_alpha*C_fck*(1-(1-(O13+P13*'Geometry'!$G$42+Q13*'Geometry'!$F$42)/C_eco)^C_n),C_alpha*C_fck),0)))*'Geometry'!$H$42+((MAX(MIN(S_1_Es*(O13+P13*'Geometry'!$G$43+Q13*'Geometry'!$F$43),S_1_fy),-S_1_fy))-(IF((O13+P13*'Geometry'!$G$43+Q13*'Geometry'!$F$43)&gt;0,IF((O13+P13*'Geometry'!$G$43+Q13*'Geometry'!$F$43)&lt;=C_eco,C_alpha*C_fck*(1-(1-(O13+P13*'Geometry'!$G$43+Q13*'Geometry'!$F$43)/C_eco)^C_n),C_alpha*C_fck),0)))*'Geometry'!$H$43+((MAX(MIN(S_1_Es*(O13+P13*'Geometry'!$G$44+Q13*'Geometry'!$F$44),S_1_fy),-S_1_fy))-(IF((O13+P13*'Geometry'!$G$44+Q13*'Geometry'!$F$44)&gt;0,IF((O13+P13*'Geometry'!$G$44+Q13*'Geometry'!$F$44)&lt;=C_eco,C_alpha*C_fck*(1-(1-(O13+P13*'Geometry'!$G$44+Q13*'Geometry'!$F$44)/C_eco)^C_n),C_alpha*C_fck),0)))*'Geometry'!$H$44+((MAX(MIN(S_1_Es*(O13+P13*'Geometry'!$G$45+Q13*'Geometry'!$F$45),S_1_fy),-S_1_fy))-(IF((O13+P13*'Geometry'!$G$45+Q13*'Geometry'!$F$45)&gt;0,IF((O13+P13*'Geometry'!$G$45+Q13*'Geometry'!$F$45)&lt;=C_eco,C_alpha*C_fck*(1-(1-(O13+P13*'Geometry'!$G$45+Q13*'Geometry'!$F$45)/C_eco)^C_n),C_alpha*C_fck),0)))*'Geometry'!$H$45+((MAX(MIN(S_1_Es*(O13+P13*'Geometry'!$G$46+Q13*'Geometry'!$F$46),S_1_fy),-S_1_fy))-(IF((O13+P13*'Geometry'!$G$46+Q13*'Geometry'!$F$46)&gt;0,IF((O13+P13*'Geometry'!$G$46+Q13*'Geometry'!$F$46)&lt;=C_eco,C_alpha*C_fck*(1-(1-(O13+P13*'Geometry'!$G$46+Q13*'Geometry'!$F$46)/C_eco)^C_n),C_alpha*C_fck),0)))*'Geometry'!$H$46+((MAX(MIN(S_1_Es*(O13+P13*'Geometry'!$G$47+Q13*'Geometry'!$F$47),S_1_fy),-S_1_fy))-(IF((O13+P13*'Geometry'!$G$47+Q13*'Geometry'!$F$47)&gt;0,IF((O13+P13*'Geometry'!$G$47+Q13*'Geometry'!$F$47)&lt;=C_eco,C_alpha*C_fck*(1-(1-(O13+P13*'Geometry'!$G$47+Q13*'Geometry'!$F$47)/C_eco)^C_n),C_alpha*C_fck),0)))*'Geometry'!$H$47+((MAX(MIN(S_1_Es*(O13+P13*'Geometry'!$G$48+Q13*'Geometry'!$F$48),S_1_fy),-S_1_fy))-(IF((O13+P13*'Geometry'!$G$48+Q13*'Geometry'!$F$48)&gt;0,IF((O13+P13*'Geometry'!$G$48+Q13*'Geometry'!$F$48)&lt;=C_eco,C_alpha*C_fck*(1-(1-(O13+P13*'Geometry'!$G$48+Q13*'Geometry'!$F$48)/C_eco)^C_n),C_alpha*C_fck),0)))*'Geometry'!$H$48+((MAX(MIN(S_1_Es*(O13+P13*'Geometry'!$G$49+Q13*'Geometry'!$F$49),S_1_fy),-S_1_fy))-(IF((O13+P13*'Geometry'!$G$49+Q13*'Geometry'!$F$49)&gt;0,IF((O13+P13*'Geometry'!$G$49+Q13*'Geometry'!$F$49)&lt;=C_eco,C_alpha*C_fck*(1-(1-(O13+P13*'Geometry'!$G$49+Q13*'Geometry'!$F$49)/C_eco)^C_n),C_alpha*C_fck),0)))*'Geometry'!$H$49+((MAX(MIN(S_1_Es*(O13+P13*'Geometry'!$G$50+Q13*'Geometry'!$F$50),S_1_fy),-S_1_fy))-(IF((O13+P13*'Geometry'!$G$50+Q13*'Geometry'!$F$50)&gt;0,IF((O13+P13*'Geometry'!$G$50+Q13*'Geometry'!$F$50)&lt;=C_eco,C_alpha*C_fck*(1-(1-(O13+P13*'Geometry'!$G$50+Q13*'Geometry'!$F$50)/C_eco)^C_n),C_alpha*C_fck),0)))*'Geometry'!$H$50+((MAX(MIN(S_1_Es*(O13+P13*'Geometry'!$G$51+Q13*'Geometry'!$F$51),S_1_fy),-S_1_fy))-(IF((O13+P13*'Geometry'!$G$51+Q13*'Geometry'!$F$51)&gt;0,IF((O13+P13*'Geometry'!$G$51+Q13*'Geometry'!$F$51)&lt;=C_eco,C_alpha*C_fck*(1-(1-(O13+P13*'Geometry'!$G$51+Q13*'Geometry'!$F$51)/C_eco)^C_n),C_alpha*C_fck),0)))*'Geometry'!$H$51+((MAX(MIN(S_1_Es*(O13+P13*'Geometry'!$G$52+Q13*'Geometry'!$F$52),S_1_fy),-S_1_fy))-(IF((O13+P13*'Geometry'!$G$52+Q13*'Geometry'!$F$52)&gt;0,IF((O13+P13*'Geometry'!$G$52+Q13*'Geometry'!$F$52)&lt;=C_eco,C_alpha*C_fck*(1-(1-(O13+P13*'Geometry'!$G$52+Q13*'Geometry'!$F$52)/C_eco)^C_n),C_alpha*C_fck),0)))*'Geometry'!$H$52+((MAX(MIN(S_1_Es*(O13+P13*'Geometry'!$G$53+Q13*'Geometry'!$F$53),S_1_fy),-S_1_fy))-(IF((O13+P13*'Geometry'!$G$53+Q13*'Geometry'!$F$53)&gt;0,IF((O13+P13*'Geometry'!$G$53+Q13*'Geometry'!$F$53)&lt;=C_eco,C_alpha*C_fck*(1-(1-(O13+P13*'Geometry'!$G$53+Q13*'Geometry'!$F$53)/C_eco)^C_n),C_alpha*C_fck),0)))*'Geometry'!$H$53+((MAX(MIN(S_1_Es*(O13+P13*'Geometry'!$G$54+Q13*'Geometry'!$F$54),S_1_fy),-S_1_fy))-(IF((O13+P13*'Geometry'!$G$54+Q13*'Geometry'!$F$54)&gt;0,IF((O13+P13*'Geometry'!$G$54+Q13*'Geometry'!$F$54)&lt;=C_eco,C_alpha*C_fck*(1-(1-(O13+P13*'Geometry'!$G$54+Q13*'Geometry'!$F$54)/C_eco)^C_n),C_alpha*C_fck),0)))*'Geometry'!$H$54+((MAX(MIN(S_1_Es*(O13+P13*'Geometry'!$G$55+Q13*'Geometry'!$F$55),S_1_fy),-S_1_fy))-(IF((O13+P13*'Geometry'!$G$55+Q13*'Geometry'!$F$55)&gt;0,IF((O13+P13*'Geometry'!$G$55+Q13*'Geometry'!$F$55)&lt;=C_eco,C_alpha*C_fck*(1-(1-(O13+P13*'Geometry'!$G$55+Q13*'Geometry'!$F$55)/C_eco)^C_n),C_alpha*C_fck),0)))*'Geometry'!$H$55+((MAX(MIN(S_1_Es*(O13+P13*'Geometry'!$G$56+Q13*'Geometry'!$F$56),S_1_fy),-S_1_fy))-(IF((O13+P13*'Geometry'!$G$56+Q13*'Geometry'!$F$56)&gt;0,IF((O13+P13*'Geometry'!$G$56+Q13*'Geometry'!$F$56)&lt;=C_eco,C_alpha*C_fck*(1-(1-(O13+P13*'Geometry'!$G$56+Q13*'Geometry'!$F$56)/C_eco)^C_n),C_alpha*C_fck),0)))*'Geometry'!$H$56+((MAX(MIN(S_1_Es*(O13+P13*'Geometry'!$G$57+Q13*'Geometry'!$F$57),S_1_fy),-S_1_fy))-(IF((O13+P13*'Geometry'!$G$57+Q13*'Geometry'!$F$57)&gt;0,IF((O13+P13*'Geometry'!$G$57+Q13*'Geometry'!$F$57)&lt;=C_eco,C_alpha*C_fck*(1-(1-(O13+P13*'Geometry'!$G$57+Q13*'Geometry'!$F$57)/C_eco)^C_n),C_alpha*C_fck),0)))*'Geometry'!$H$57)/1000</f>
        <v>-3975.272915440514</v>
      </c>
      <c r="V13" s="10">
        <f>(((MAX(MIN(S_1_Es*(O13+P13*'Geometry'!$G$40+Q13*'Geometry'!$F$40),S_1_fy),-S_1_fy))-(IF((O13+P13*'Geometry'!$G$40+Q13*'Geometry'!$F$40)&gt;0,IF((O13+P13*'Geometry'!$G$40+Q13*'Geometry'!$F$40)&lt;=C_eco,C_alpha*C_fck*(1-(1-(O13+P13*'Geometry'!$G$40+Q13*'Geometry'!$F$40)/C_eco)^C_n),C_alpha*C_fck),0)))*'Geometry'!$H$40*'Geometry'!$G$40+((MAX(MIN(S_1_Es*(O13+P13*'Geometry'!$G$41+Q13*'Geometry'!$F$41),S_1_fy),-S_1_fy))-(IF((O13+P13*'Geometry'!$G$41+Q13*'Geometry'!$F$41)&gt;0,IF((O13+P13*'Geometry'!$G$41+Q13*'Geometry'!$F$41)&lt;=C_eco,C_alpha*C_fck*(1-(1-(O13+P13*'Geometry'!$G$41+Q13*'Geometry'!$F$41)/C_eco)^C_n),C_alpha*C_fck),0)))*'Geometry'!$H$41*'Geometry'!$G$41+((MAX(MIN(S_1_Es*(O13+P13*'Geometry'!$G$42+Q13*'Geometry'!$F$42),S_1_fy),-S_1_fy))-(IF((O13+P13*'Geometry'!$G$42+Q13*'Geometry'!$F$42)&gt;0,IF((O13+P13*'Geometry'!$G$42+Q13*'Geometry'!$F$42)&lt;=C_eco,C_alpha*C_fck*(1-(1-(O13+P13*'Geometry'!$G$42+Q13*'Geometry'!$F$42)/C_eco)^C_n),C_alpha*C_fck),0)))*'Geometry'!$H$42*'Geometry'!$G$42+((MAX(MIN(S_1_Es*(O13+P13*'Geometry'!$G$43+Q13*'Geometry'!$F$43),S_1_fy),-S_1_fy))-(IF((O13+P13*'Geometry'!$G$43+Q13*'Geometry'!$F$43)&gt;0,IF((O13+P13*'Geometry'!$G$43+Q13*'Geometry'!$F$43)&lt;=C_eco,C_alpha*C_fck*(1-(1-(O13+P13*'Geometry'!$G$43+Q13*'Geometry'!$F$43)/C_eco)^C_n),C_alpha*C_fck),0)))*'Geometry'!$H$43*'Geometry'!$G$43+((MAX(MIN(S_1_Es*(O13+P13*'Geometry'!$G$44+Q13*'Geometry'!$F$44),S_1_fy),-S_1_fy))-(IF((O13+P13*'Geometry'!$G$44+Q13*'Geometry'!$F$44)&gt;0,IF((O13+P13*'Geometry'!$G$44+Q13*'Geometry'!$F$44)&lt;=C_eco,C_alpha*C_fck*(1-(1-(O13+P13*'Geometry'!$G$44+Q13*'Geometry'!$F$44)/C_eco)^C_n),C_alpha*C_fck),0)))*'Geometry'!$H$44*'Geometry'!$G$44+((MAX(MIN(S_1_Es*(O13+P13*'Geometry'!$G$45+Q13*'Geometry'!$F$45),S_1_fy),-S_1_fy))-(IF((O13+P13*'Geometry'!$G$45+Q13*'Geometry'!$F$45)&gt;0,IF((O13+P13*'Geometry'!$G$45+Q13*'Geometry'!$F$45)&lt;=C_eco,C_alpha*C_fck*(1-(1-(O13+P13*'Geometry'!$G$45+Q13*'Geometry'!$F$45)/C_eco)^C_n),C_alpha*C_fck),0)))*'Geometry'!$H$45*'Geometry'!$G$45+((MAX(MIN(S_1_Es*(O13+P13*'Geometry'!$G$46+Q13*'Geometry'!$F$46),S_1_fy),-S_1_fy))-(IF((O13+P13*'Geometry'!$G$46+Q13*'Geometry'!$F$46)&gt;0,IF((O13+P13*'Geometry'!$G$46+Q13*'Geometry'!$F$46)&lt;=C_eco,C_alpha*C_fck*(1-(1-(O13+P13*'Geometry'!$G$46+Q13*'Geometry'!$F$46)/C_eco)^C_n),C_alpha*C_fck),0)))*'Geometry'!$H$46*'Geometry'!$G$46+((MAX(MIN(S_1_Es*(O13+P13*'Geometry'!$G$47+Q13*'Geometry'!$F$47),S_1_fy),-S_1_fy))-(IF((O13+P13*'Geometry'!$G$47+Q13*'Geometry'!$F$47)&gt;0,IF((O13+P13*'Geometry'!$G$47+Q13*'Geometry'!$F$47)&lt;=C_eco,C_alpha*C_fck*(1-(1-(O13+P13*'Geometry'!$G$47+Q13*'Geometry'!$F$47)/C_eco)^C_n),C_alpha*C_fck),0)))*'Geometry'!$H$47*'Geometry'!$G$47+((MAX(MIN(S_1_Es*(O13+P13*'Geometry'!$G$48+Q13*'Geometry'!$F$48),S_1_fy),-S_1_fy))-(IF((O13+P13*'Geometry'!$G$48+Q13*'Geometry'!$F$48)&gt;0,IF((O13+P13*'Geometry'!$G$48+Q13*'Geometry'!$F$48)&lt;=C_eco,C_alpha*C_fck*(1-(1-(O13+P13*'Geometry'!$G$48+Q13*'Geometry'!$F$48)/C_eco)^C_n),C_alpha*C_fck),0)))*'Geometry'!$H$48*'Geometry'!$G$48+((MAX(MIN(S_1_Es*(O13+P13*'Geometry'!$G$49+Q13*'Geometry'!$F$49),S_1_fy),-S_1_fy))-(IF((O13+P13*'Geometry'!$G$49+Q13*'Geometry'!$F$49)&gt;0,IF((O13+P13*'Geometry'!$G$49+Q13*'Geometry'!$F$49)&lt;=C_eco,C_alpha*C_fck*(1-(1-(O13+P13*'Geometry'!$G$49+Q13*'Geometry'!$F$49)/C_eco)^C_n),C_alpha*C_fck),0)))*'Geometry'!$H$49*'Geometry'!$G$49+((MAX(MIN(S_1_Es*(O13+P13*'Geometry'!$G$50+Q13*'Geometry'!$F$50),S_1_fy),-S_1_fy))-(IF((O13+P13*'Geometry'!$G$50+Q13*'Geometry'!$F$50)&gt;0,IF((O13+P13*'Geometry'!$G$50+Q13*'Geometry'!$F$50)&lt;=C_eco,C_alpha*C_fck*(1-(1-(O13+P13*'Geometry'!$G$50+Q13*'Geometry'!$F$50)/C_eco)^C_n),C_alpha*C_fck),0)))*'Geometry'!$H$50*'Geometry'!$G$50+((MAX(MIN(S_1_Es*(O13+P13*'Geometry'!$G$51+Q13*'Geometry'!$F$51),S_1_fy),-S_1_fy))-(IF((O13+P13*'Geometry'!$G$51+Q13*'Geometry'!$F$51)&gt;0,IF((O13+P13*'Geometry'!$G$51+Q13*'Geometry'!$F$51)&lt;=C_eco,C_alpha*C_fck*(1-(1-(O13+P13*'Geometry'!$G$51+Q13*'Geometry'!$F$51)/C_eco)^C_n),C_alpha*C_fck),0)))*'Geometry'!$H$51*'Geometry'!$G$51+((MAX(MIN(S_1_Es*(O13+P13*'Geometry'!$G$52+Q13*'Geometry'!$F$52),S_1_fy),-S_1_fy))-(IF((O13+P13*'Geometry'!$G$52+Q13*'Geometry'!$F$52)&gt;0,IF((O13+P13*'Geometry'!$G$52+Q13*'Geometry'!$F$52)&lt;=C_eco,C_alpha*C_fck*(1-(1-(O13+P13*'Geometry'!$G$52+Q13*'Geometry'!$F$52)/C_eco)^C_n),C_alpha*C_fck),0)))*'Geometry'!$H$52*'Geometry'!$G$52+((MAX(MIN(S_1_Es*(O13+P13*'Geometry'!$G$53+Q13*'Geometry'!$F$53),S_1_fy),-S_1_fy))-(IF((O13+P13*'Geometry'!$G$53+Q13*'Geometry'!$F$53)&gt;0,IF((O13+P13*'Geometry'!$G$53+Q13*'Geometry'!$F$53)&lt;=C_eco,C_alpha*C_fck*(1-(1-(O13+P13*'Geometry'!$G$53+Q13*'Geometry'!$F$53)/C_eco)^C_n),C_alpha*C_fck),0)))*'Geometry'!$H$53*'Geometry'!$G$53+((MAX(MIN(S_1_Es*(O13+P13*'Geometry'!$G$54+Q13*'Geometry'!$F$54),S_1_fy),-S_1_fy))-(IF((O13+P13*'Geometry'!$G$54+Q13*'Geometry'!$F$54)&gt;0,IF((O13+P13*'Geometry'!$G$54+Q13*'Geometry'!$F$54)&lt;=C_eco,C_alpha*C_fck*(1-(1-(O13+P13*'Geometry'!$G$54+Q13*'Geometry'!$F$54)/C_eco)^C_n),C_alpha*C_fck),0)))*'Geometry'!$H$54*'Geometry'!$G$54+((MAX(MIN(S_1_Es*(O13+P13*'Geometry'!$G$55+Q13*'Geometry'!$F$55),S_1_fy),-S_1_fy))-(IF((O13+P13*'Geometry'!$G$55+Q13*'Geometry'!$F$55)&gt;0,IF((O13+P13*'Geometry'!$G$55+Q13*'Geometry'!$F$55)&lt;=C_eco,C_alpha*C_fck*(1-(1-(O13+P13*'Geometry'!$G$55+Q13*'Geometry'!$F$55)/C_eco)^C_n),C_alpha*C_fck),0)))*'Geometry'!$H$55*'Geometry'!$G$55+((MAX(MIN(S_1_Es*(O13+P13*'Geometry'!$G$56+Q13*'Geometry'!$F$56),S_1_fy),-S_1_fy))-(IF((O13+P13*'Geometry'!$G$56+Q13*'Geometry'!$F$56)&gt;0,IF((O13+P13*'Geometry'!$G$56+Q13*'Geometry'!$F$56)&lt;=C_eco,C_alpha*C_fck*(1-(1-(O13+P13*'Geometry'!$G$56+Q13*'Geometry'!$F$56)/C_eco)^C_n),C_alpha*C_fck),0)))*'Geometry'!$H$56*'Geometry'!$G$56+((MAX(MIN(S_1_Es*(O13+P13*'Geometry'!$G$57+Q13*'Geometry'!$F$57),S_1_fy),-S_1_fy))-(IF((O13+P13*'Geometry'!$G$57+Q13*'Geometry'!$F$57)&gt;0,IF((O13+P13*'Geometry'!$G$57+Q13*'Geometry'!$F$57)&lt;=C_eco,C_alpha*C_fck*(1-(1-(O13+P13*'Geometry'!$G$57+Q13*'Geometry'!$F$57)/C_eco)^C_n),C_alpha*C_fck),0)))*'Geometry'!$H$57*'Geometry'!$G$57)/1000000</f>
        <v>573.6554342734157</v>
      </c>
      <c r="W13" s="10">
        <f>(((MAX(MIN(S_1_Es*(O13+P13*'Geometry'!$G$40+Q13*'Geometry'!$F$40),S_1_fy),-S_1_fy))-(IF((O13+P13*'Geometry'!$G$40+Q13*'Geometry'!$F$40)&gt;0,IF((O13+P13*'Geometry'!$G$40+Q13*'Geometry'!$F$40)&lt;=C_eco,C_alpha*C_fck*(1-(1-(O13+P13*'Geometry'!$G$40+Q13*'Geometry'!$F$40)/C_eco)^C_n),C_alpha*C_fck),0)))*'Geometry'!$H$40*'Geometry'!$F$40+((MAX(MIN(S_1_Es*(O13+P13*'Geometry'!$G$41+Q13*'Geometry'!$F$41),S_1_fy),-S_1_fy))-(IF((O13+P13*'Geometry'!$G$41+Q13*'Geometry'!$F$41)&gt;0,IF((O13+P13*'Geometry'!$G$41+Q13*'Geometry'!$F$41)&lt;=C_eco,C_alpha*C_fck*(1-(1-(O13+P13*'Geometry'!$G$41+Q13*'Geometry'!$F$41)/C_eco)^C_n),C_alpha*C_fck),0)))*'Geometry'!$H$41*'Geometry'!$F$41+((MAX(MIN(S_1_Es*(O13+P13*'Geometry'!$G$42+Q13*'Geometry'!$F$42),S_1_fy),-S_1_fy))-(IF((O13+P13*'Geometry'!$G$42+Q13*'Geometry'!$F$42)&gt;0,IF((O13+P13*'Geometry'!$G$42+Q13*'Geometry'!$F$42)&lt;=C_eco,C_alpha*C_fck*(1-(1-(O13+P13*'Geometry'!$G$42+Q13*'Geometry'!$F$42)/C_eco)^C_n),C_alpha*C_fck),0)))*'Geometry'!$H$42*'Geometry'!$F$42+((MAX(MIN(S_1_Es*(O13+P13*'Geometry'!$G$43+Q13*'Geometry'!$F$43),S_1_fy),-S_1_fy))-(IF((O13+P13*'Geometry'!$G$43+Q13*'Geometry'!$F$43)&gt;0,IF((O13+P13*'Geometry'!$G$43+Q13*'Geometry'!$F$43)&lt;=C_eco,C_alpha*C_fck*(1-(1-(O13+P13*'Geometry'!$G$43+Q13*'Geometry'!$F$43)/C_eco)^C_n),C_alpha*C_fck),0)))*'Geometry'!$H$43*'Geometry'!$F$43+((MAX(MIN(S_1_Es*(O13+P13*'Geometry'!$G$44+Q13*'Geometry'!$F$44),S_1_fy),-S_1_fy))-(IF((O13+P13*'Geometry'!$G$44+Q13*'Geometry'!$F$44)&gt;0,IF((O13+P13*'Geometry'!$G$44+Q13*'Geometry'!$F$44)&lt;=C_eco,C_alpha*C_fck*(1-(1-(O13+P13*'Geometry'!$G$44+Q13*'Geometry'!$F$44)/C_eco)^C_n),C_alpha*C_fck),0)))*'Geometry'!$H$44*'Geometry'!$F$44+((MAX(MIN(S_1_Es*(O13+P13*'Geometry'!$G$45+Q13*'Geometry'!$F$45),S_1_fy),-S_1_fy))-(IF((O13+P13*'Geometry'!$G$45+Q13*'Geometry'!$F$45)&gt;0,IF((O13+P13*'Geometry'!$G$45+Q13*'Geometry'!$F$45)&lt;=C_eco,C_alpha*C_fck*(1-(1-(O13+P13*'Geometry'!$G$45+Q13*'Geometry'!$F$45)/C_eco)^C_n),C_alpha*C_fck),0)))*'Geometry'!$H$45*'Geometry'!$F$45+((MAX(MIN(S_1_Es*(O13+P13*'Geometry'!$G$46+Q13*'Geometry'!$F$46),S_1_fy),-S_1_fy))-(IF((O13+P13*'Geometry'!$G$46+Q13*'Geometry'!$F$46)&gt;0,IF((O13+P13*'Geometry'!$G$46+Q13*'Geometry'!$F$46)&lt;=C_eco,C_alpha*C_fck*(1-(1-(O13+P13*'Geometry'!$G$46+Q13*'Geometry'!$F$46)/C_eco)^C_n),C_alpha*C_fck),0)))*'Geometry'!$H$46*'Geometry'!$F$46+((MAX(MIN(S_1_Es*(O13+P13*'Geometry'!$G$47+Q13*'Geometry'!$F$47),S_1_fy),-S_1_fy))-(IF((O13+P13*'Geometry'!$G$47+Q13*'Geometry'!$F$47)&gt;0,IF((O13+P13*'Geometry'!$G$47+Q13*'Geometry'!$F$47)&lt;=C_eco,C_alpha*C_fck*(1-(1-(O13+P13*'Geometry'!$G$47+Q13*'Geometry'!$F$47)/C_eco)^C_n),C_alpha*C_fck),0)))*'Geometry'!$H$47*'Geometry'!$F$47+((MAX(MIN(S_1_Es*(O13+P13*'Geometry'!$G$48+Q13*'Geometry'!$F$48),S_1_fy),-S_1_fy))-(IF((O13+P13*'Geometry'!$G$48+Q13*'Geometry'!$F$48)&gt;0,IF((O13+P13*'Geometry'!$G$48+Q13*'Geometry'!$F$48)&lt;=C_eco,C_alpha*C_fck*(1-(1-(O13+P13*'Geometry'!$G$48+Q13*'Geometry'!$F$48)/C_eco)^C_n),C_alpha*C_fck),0)))*'Geometry'!$H$48*'Geometry'!$F$48+((MAX(MIN(S_1_Es*(O13+P13*'Geometry'!$G$49+Q13*'Geometry'!$F$49),S_1_fy),-S_1_fy))-(IF((O13+P13*'Geometry'!$G$49+Q13*'Geometry'!$F$49)&gt;0,IF((O13+P13*'Geometry'!$G$49+Q13*'Geometry'!$F$49)&lt;=C_eco,C_alpha*C_fck*(1-(1-(O13+P13*'Geometry'!$G$49+Q13*'Geometry'!$F$49)/C_eco)^C_n),C_alpha*C_fck),0)))*'Geometry'!$H$49*'Geometry'!$F$49+((MAX(MIN(S_1_Es*(O13+P13*'Geometry'!$G$50+Q13*'Geometry'!$F$50),S_1_fy),-S_1_fy))-(IF((O13+P13*'Geometry'!$G$50+Q13*'Geometry'!$F$50)&gt;0,IF((O13+P13*'Geometry'!$G$50+Q13*'Geometry'!$F$50)&lt;=C_eco,C_alpha*C_fck*(1-(1-(O13+P13*'Geometry'!$G$50+Q13*'Geometry'!$F$50)/C_eco)^C_n),C_alpha*C_fck),0)))*'Geometry'!$H$50*'Geometry'!$F$50+((MAX(MIN(S_1_Es*(O13+P13*'Geometry'!$G$51+Q13*'Geometry'!$F$51),S_1_fy),-S_1_fy))-(IF((O13+P13*'Geometry'!$G$51+Q13*'Geometry'!$F$51)&gt;0,IF((O13+P13*'Geometry'!$G$51+Q13*'Geometry'!$F$51)&lt;=C_eco,C_alpha*C_fck*(1-(1-(O13+P13*'Geometry'!$G$51+Q13*'Geometry'!$F$51)/C_eco)^C_n),C_alpha*C_fck),0)))*'Geometry'!$H$51*'Geometry'!$F$51+((MAX(MIN(S_1_Es*(O13+P13*'Geometry'!$G$52+Q13*'Geometry'!$F$52),S_1_fy),-S_1_fy))-(IF((O13+P13*'Geometry'!$G$52+Q13*'Geometry'!$F$52)&gt;0,IF((O13+P13*'Geometry'!$G$52+Q13*'Geometry'!$F$52)&lt;=C_eco,C_alpha*C_fck*(1-(1-(O13+P13*'Geometry'!$G$52+Q13*'Geometry'!$F$52)/C_eco)^C_n),C_alpha*C_fck),0)))*'Geometry'!$H$52*'Geometry'!$F$52+((MAX(MIN(S_1_Es*(O13+P13*'Geometry'!$G$53+Q13*'Geometry'!$F$53),S_1_fy),-S_1_fy))-(IF((O13+P13*'Geometry'!$G$53+Q13*'Geometry'!$F$53)&gt;0,IF((O13+P13*'Geometry'!$G$53+Q13*'Geometry'!$F$53)&lt;=C_eco,C_alpha*C_fck*(1-(1-(O13+P13*'Geometry'!$G$53+Q13*'Geometry'!$F$53)/C_eco)^C_n),C_alpha*C_fck),0)))*'Geometry'!$H$53*'Geometry'!$F$53+((MAX(MIN(S_1_Es*(O13+P13*'Geometry'!$G$54+Q13*'Geometry'!$F$54),S_1_fy),-S_1_fy))-(IF((O13+P13*'Geometry'!$G$54+Q13*'Geometry'!$F$54)&gt;0,IF((O13+P13*'Geometry'!$G$54+Q13*'Geometry'!$F$54)&lt;=C_eco,C_alpha*C_fck*(1-(1-(O13+P13*'Geometry'!$G$54+Q13*'Geometry'!$F$54)/C_eco)^C_n),C_alpha*C_fck),0)))*'Geometry'!$H$54*'Geometry'!$F$54+((MAX(MIN(S_1_Es*(O13+P13*'Geometry'!$G$55+Q13*'Geometry'!$F$55),S_1_fy),-S_1_fy))-(IF((O13+P13*'Geometry'!$G$55+Q13*'Geometry'!$F$55)&gt;0,IF((O13+P13*'Geometry'!$G$55+Q13*'Geometry'!$F$55)&lt;=C_eco,C_alpha*C_fck*(1-(1-(O13+P13*'Geometry'!$G$55+Q13*'Geometry'!$F$55)/C_eco)^C_n),C_alpha*C_fck),0)))*'Geometry'!$H$55*'Geometry'!$F$55+((MAX(MIN(S_1_Es*(O13+P13*'Geometry'!$G$56+Q13*'Geometry'!$F$56),S_1_fy),-S_1_fy))-(IF((O13+P13*'Geometry'!$G$56+Q13*'Geometry'!$F$56)&gt;0,IF((O13+P13*'Geometry'!$G$56+Q13*'Geometry'!$F$56)&lt;=C_eco,C_alpha*C_fck*(1-(1-(O13+P13*'Geometry'!$G$56+Q13*'Geometry'!$F$56)/C_eco)^C_n),C_alpha*C_fck),0)))*'Geometry'!$H$56*'Geometry'!$F$56+((MAX(MIN(S_1_Es*(O13+P13*'Geometry'!$G$57+Q13*'Geometry'!$F$57),S_1_fy),-S_1_fy))-(IF((O13+P13*'Geometry'!$G$57+Q13*'Geometry'!$F$57)&gt;0,IF((O13+P13*'Geometry'!$G$57+Q13*'Geometry'!$F$57)&lt;=C_eco,C_alpha*C_fck*(1-(1-(O13+P13*'Geometry'!$G$57+Q13*'Geometry'!$F$57)/C_eco)^C_n),C_alpha*C_fck),0)))*'Geometry'!$H$57*'Geometry'!$F$57)/1000000</f>
        <v>998.3568987492596</v>
      </c>
      <c r="X13" s="10">
        <f>R13+U13</f>
        <v>-1335.192668912117</v>
      </c>
      <c r="Y13" s="10">
        <f>S13+V13</f>
        <v>1613.8249373805047</v>
      </c>
      <c r="Z13" s="10">
        <f>T13+W13</f>
        <v>2525.536952848639</v>
      </c>
      <c r="AA13" s="7">
        <v>0.85</v>
      </c>
      <c r="AB13" s="7">
        <v>0.85</v>
      </c>
      <c r="AC13" s="10">
        <f>X13*AA13</f>
        <v>-1134.9137685752994</v>
      </c>
      <c r="AD13" s="10">
        <f>Y13*AB13</f>
        <v>1371.751196773429</v>
      </c>
      <c r="AE13" s="10">
        <f>Z13*AB13</f>
        <v>2146.706409921343</v>
      </c>
      <c r="AF13" s="7">
        <v>-1134.9137685752994</v>
      </c>
      <c r="AG13" s="7">
        <v>1371.751196773429</v>
      </c>
      <c r="AH13" s="7">
        <v>2146.706409921343</v>
      </c>
      <c r="AI13" s="15">
        <f>AC13-AF13</f>
        <v>0</v>
      </c>
      <c r="AJ13" s="15">
        <f>SQRT((AD13-AG13)^2+(AE13-AH13)^2)</f>
        <v>0</v>
      </c>
      <c r="AK13" s="7" t="s">
        <v>189</v>
      </c>
      <c r="AL13" s="7">
        <v>-1335.192668912117</v>
      </c>
      <c r="AM13" s="7">
        <v>1613.8249373805047</v>
      </c>
      <c r="AN13" s="7">
        <v>2525.536952848639</v>
      </c>
      <c r="AO13" s="7">
        <v>2640.0802465283973</v>
      </c>
      <c r="AP13" s="7">
        <v>1040.169503107089</v>
      </c>
      <c r="AQ13" s="7">
        <v>1527.1800540993795</v>
      </c>
      <c r="AR13" s="7">
        <v>-3975.272915440514</v>
      </c>
      <c r="AS13" s="7">
        <v>573.6554342734157</v>
      </c>
      <c r="AT13" s="7">
        <v>998.3568987492596</v>
      </c>
    </row>
    <row r="14" spans="1:46" x14ac:dyDescent="0.25">
      <c r="A14" s="7" t="s">
        <v>201</v>
      </c>
      <c r="B14" s="7">
        <v>1</v>
      </c>
      <c r="C14" s="18">
        <v>60</v>
      </c>
      <c r="D14" s="7" t="s">
        <v>202</v>
      </c>
      <c r="E14" s="7" t="s">
        <v>192</v>
      </c>
      <c r="F14" s="19">
        <v>60</v>
      </c>
      <c r="G14" s="7" t="s">
        <v>188</v>
      </c>
      <c r="H14" s="20">
        <v>7.500000000000001</v>
      </c>
      <c r="I14" s="10">
        <f>MAX(('Geometry'!$G$13*COS(RADIANS(F14))+'Geometry'!$F$13*SIN(RADIANS(F14))),('Geometry'!$G$14*COS(RADIANS(F14))+'Geometry'!$F$14*SIN(RADIANS(F14))),('Geometry'!$G$15*COS(RADIANS(F14))+'Geometry'!$F$15*SIN(RADIANS(F14))),('Geometry'!$G$16*COS(RADIANS(F14))+'Geometry'!$F$16*SIN(RADIANS(F14))),('Geometry'!$G$17*COS(RADIANS(F14))+'Geometry'!$F$17*SIN(RADIANS(F14))),('Geometry'!$G$18*COS(RADIANS(F14))+'Geometry'!$F$18*SIN(RADIANS(F14))),('Geometry'!$G$19*COS(RADIANS(F14))+'Geometry'!$F$19*SIN(RADIANS(F14))),('Geometry'!$G$20*COS(RADIANS(F14))+'Geometry'!$F$20*SIN(RADIANS(F14))))</f>
        <v>849.5190528383291</v>
      </c>
      <c r="J14" s="10">
        <f>MIN(('Geometry'!$G$40*COS(RADIANS(F14))+'Geometry'!$F$40*SIN(RADIANS(F14))),('Geometry'!$G$41*COS(RADIANS(F14))+'Geometry'!$F$41*SIN(RADIANS(F14))),('Geometry'!$G$42*COS(RADIANS(F14))+'Geometry'!$F$42*SIN(RADIANS(F14))),('Geometry'!$G$43*COS(RADIANS(F14))+'Geometry'!$F$43*SIN(RADIANS(F14))),('Geometry'!$G$44*COS(RADIANS(F14))+'Geometry'!$F$44*SIN(RADIANS(F14))),('Geometry'!$G$45*COS(RADIANS(F14))+'Geometry'!$F$45*SIN(RADIANS(F14))),('Geometry'!$G$46*COS(RADIANS(F14))+'Geometry'!$F$46*SIN(RADIANS(F14))),('Geometry'!$G$47*COS(RADIANS(F14))+'Geometry'!$F$47*SIN(RADIANS(F14))),('Geometry'!$G$48*COS(RADIANS(F14))+'Geometry'!$F$48*SIN(RADIANS(F14))),('Geometry'!$G$49*COS(RADIANS(F14))+'Geometry'!$F$49*SIN(RADIANS(F14))),('Geometry'!$G$50*COS(RADIANS(F14))+'Geometry'!$F$50*SIN(RADIANS(F14))),('Geometry'!$G$51*COS(RADIANS(F14))+'Geometry'!$F$51*SIN(RADIANS(F14))),('Geometry'!$G$52*COS(RADIANS(F14))+'Geometry'!$F$52*SIN(RADIANS(F14))),('Geometry'!$G$53*COS(RADIANS(F14))+'Geometry'!$F$53*SIN(RADIANS(F14))),('Geometry'!$G$54*COS(RADIANS(F14))+'Geometry'!$F$54*SIN(RADIANS(F14))),('Geometry'!$G$55*COS(RADIANS(F14))+'Geometry'!$F$55*SIN(RADIANS(F14))),('Geometry'!$G$56*COS(RADIANS(F14))+'Geometry'!$F$56*SIN(RADIANS(F14))),('Geometry'!$G$57*COS(RADIANS(F14))+'Geometry'!$F$57*SIN(RADIANS(F14))))</f>
        <v>-738.8972745734183</v>
      </c>
      <c r="K14" s="10">
        <f>I14-MIN(('Geometry'!$G$13*COS(RADIANS(F14))+'Geometry'!$F$13*SIN(RADIANS(F14))),('Geometry'!$G$14*COS(RADIANS(F14))+'Geometry'!$F$14*SIN(RADIANS(F14))),('Geometry'!$G$15*COS(RADIANS(F14))+'Geometry'!$F$15*SIN(RADIANS(F14))),('Geometry'!$G$16*COS(RADIANS(F14))+'Geometry'!$F$16*SIN(RADIANS(F14))),('Geometry'!$G$17*COS(RADIANS(F14))+'Geometry'!$F$17*SIN(RADIANS(F14))),('Geometry'!$G$18*COS(RADIANS(F14))+'Geometry'!$F$18*SIN(RADIANS(F14))),('Geometry'!$G$19*COS(RADIANS(F14))+'Geometry'!$F$19*SIN(RADIANS(F14))),('Geometry'!$G$20*COS(RADIANS(F14))+'Geometry'!$F$20*SIN(RADIANS(F14))))</f>
        <v>1699.0381056766582</v>
      </c>
      <c r="L14" s="15">
        <f>C_ecu</f>
        <v>0.0033</v>
      </c>
      <c r="M14" s="15">
        <f>-H14*S_1_fy/S_1_Es</f>
        <v>-0.015000000000000003</v>
      </c>
      <c r="N14" s="21">
        <f>IF(ABS(I14-J14)&lt;0.000000000001,0,(L14-M14)/(I14-J14))</f>
        <v>0.000011520909023781583</v>
      </c>
      <c r="O14" s="15">
        <f>L14-N14*I14</f>
        <v>-0.00648723172171949</v>
      </c>
      <c r="P14" s="21">
        <f>N14*COS(RADIANS(F14))</f>
        <v>0.000005760454511890793</v>
      </c>
      <c r="Q14" s="21">
        <f>N14*SIN(RADIANS(F14))</f>
        <v>0.000009977399889284227</v>
      </c>
      <c r="R14" s="10">
        <f>SUMPRODUCT(C_alpha*C_fck*(1-(1-(((O14+P14*Mesh_Y+Q14*Mesh_X))*((O14+P14*Mesh_Y+Q14*Mesh_X)&gt;0)*((O14+P14*Mesh_Y+Q14*Mesh_X)&lt;C_eco)+C_eco*((O14+P14*Mesh_Y+Q14*Mesh_X)&gt;=C_eco))/C_eco)^C_n)*(((O14+P14*Mesh_Y+Q14*Mesh_X))&gt;0),Mesh_A)/1000</f>
        <v>2664.306533483377</v>
      </c>
      <c r="S14" s="10">
        <f>SUMPRODUCT(C_alpha*C_fck*(1-(1-(((O14+P14*Mesh_Y+Q14*Mesh_X))*((O14+P14*Mesh_Y+Q14*Mesh_X)&gt;0)*((O14+P14*Mesh_Y+Q14*Mesh_X)&lt;C_eco)+C_eco*((O14+P14*Mesh_Y+Q14*Mesh_X)&gt;=C_eco))/C_eco)^C_n)*(((O14+P14*Mesh_Y+Q14*Mesh_X))&gt;0),Mesh_A,Mesh_Y)/1000000</f>
        <v>920.2636475811657</v>
      </c>
      <c r="T14" s="10">
        <f>SUMPRODUCT(C_alpha*C_fck*(1-(1-(((O14+P14*Mesh_Y+Q14*Mesh_X))*((O14+P14*Mesh_Y+Q14*Mesh_X)&gt;0)*((O14+P14*Mesh_Y+Q14*Mesh_X)&lt;C_eco)+C_eco*((O14+P14*Mesh_Y+Q14*Mesh_X)&gt;=C_eco))/C_eco)^C_n)*(((O14+P14*Mesh_Y+Q14*Mesh_X))&gt;0),Mesh_A,Mesh_X)/1000000</f>
        <v>1624.8518531472832</v>
      </c>
      <c r="U14" s="10">
        <f>(((MAX(MIN(S_1_Es*(O14+P14*'Geometry'!$G$40+Q14*'Geometry'!$F$40),S_1_fy),-S_1_fy))-(IF((O14+P14*'Geometry'!$G$40+Q14*'Geometry'!$F$40)&gt;0,IF((O14+P14*'Geometry'!$G$40+Q14*'Geometry'!$F$40)&lt;=C_eco,C_alpha*C_fck*(1-(1-(O14+P14*'Geometry'!$G$40+Q14*'Geometry'!$F$40)/C_eco)^C_n),C_alpha*C_fck),0)))*'Geometry'!$H$40+((MAX(MIN(S_1_Es*(O14+P14*'Geometry'!$G$41+Q14*'Geometry'!$F$41),S_1_fy),-S_1_fy))-(IF((O14+P14*'Geometry'!$G$41+Q14*'Geometry'!$F$41)&gt;0,IF((O14+P14*'Geometry'!$G$41+Q14*'Geometry'!$F$41)&lt;=C_eco,C_alpha*C_fck*(1-(1-(O14+P14*'Geometry'!$G$41+Q14*'Geometry'!$F$41)/C_eco)^C_n),C_alpha*C_fck),0)))*'Geometry'!$H$41+((MAX(MIN(S_1_Es*(O14+P14*'Geometry'!$G$42+Q14*'Geometry'!$F$42),S_1_fy),-S_1_fy))-(IF((O14+P14*'Geometry'!$G$42+Q14*'Geometry'!$F$42)&gt;0,IF((O14+P14*'Geometry'!$G$42+Q14*'Geometry'!$F$42)&lt;=C_eco,C_alpha*C_fck*(1-(1-(O14+P14*'Geometry'!$G$42+Q14*'Geometry'!$F$42)/C_eco)^C_n),C_alpha*C_fck),0)))*'Geometry'!$H$42+((MAX(MIN(S_1_Es*(O14+P14*'Geometry'!$G$43+Q14*'Geometry'!$F$43),S_1_fy),-S_1_fy))-(IF((O14+P14*'Geometry'!$G$43+Q14*'Geometry'!$F$43)&gt;0,IF((O14+P14*'Geometry'!$G$43+Q14*'Geometry'!$F$43)&lt;=C_eco,C_alpha*C_fck*(1-(1-(O14+P14*'Geometry'!$G$43+Q14*'Geometry'!$F$43)/C_eco)^C_n),C_alpha*C_fck),0)))*'Geometry'!$H$43+((MAX(MIN(S_1_Es*(O14+P14*'Geometry'!$G$44+Q14*'Geometry'!$F$44),S_1_fy),-S_1_fy))-(IF((O14+P14*'Geometry'!$G$44+Q14*'Geometry'!$F$44)&gt;0,IF((O14+P14*'Geometry'!$G$44+Q14*'Geometry'!$F$44)&lt;=C_eco,C_alpha*C_fck*(1-(1-(O14+P14*'Geometry'!$G$44+Q14*'Geometry'!$F$44)/C_eco)^C_n),C_alpha*C_fck),0)))*'Geometry'!$H$44+((MAX(MIN(S_1_Es*(O14+P14*'Geometry'!$G$45+Q14*'Geometry'!$F$45),S_1_fy),-S_1_fy))-(IF((O14+P14*'Geometry'!$G$45+Q14*'Geometry'!$F$45)&gt;0,IF((O14+P14*'Geometry'!$G$45+Q14*'Geometry'!$F$45)&lt;=C_eco,C_alpha*C_fck*(1-(1-(O14+P14*'Geometry'!$G$45+Q14*'Geometry'!$F$45)/C_eco)^C_n),C_alpha*C_fck),0)))*'Geometry'!$H$45+((MAX(MIN(S_1_Es*(O14+P14*'Geometry'!$G$46+Q14*'Geometry'!$F$46),S_1_fy),-S_1_fy))-(IF((O14+P14*'Geometry'!$G$46+Q14*'Geometry'!$F$46)&gt;0,IF((O14+P14*'Geometry'!$G$46+Q14*'Geometry'!$F$46)&lt;=C_eco,C_alpha*C_fck*(1-(1-(O14+P14*'Geometry'!$G$46+Q14*'Geometry'!$F$46)/C_eco)^C_n),C_alpha*C_fck),0)))*'Geometry'!$H$46+((MAX(MIN(S_1_Es*(O14+P14*'Geometry'!$G$47+Q14*'Geometry'!$F$47),S_1_fy),-S_1_fy))-(IF((O14+P14*'Geometry'!$G$47+Q14*'Geometry'!$F$47)&gt;0,IF((O14+P14*'Geometry'!$G$47+Q14*'Geometry'!$F$47)&lt;=C_eco,C_alpha*C_fck*(1-(1-(O14+P14*'Geometry'!$G$47+Q14*'Geometry'!$F$47)/C_eco)^C_n),C_alpha*C_fck),0)))*'Geometry'!$H$47+((MAX(MIN(S_1_Es*(O14+P14*'Geometry'!$G$48+Q14*'Geometry'!$F$48),S_1_fy),-S_1_fy))-(IF((O14+P14*'Geometry'!$G$48+Q14*'Geometry'!$F$48)&gt;0,IF((O14+P14*'Geometry'!$G$48+Q14*'Geometry'!$F$48)&lt;=C_eco,C_alpha*C_fck*(1-(1-(O14+P14*'Geometry'!$G$48+Q14*'Geometry'!$F$48)/C_eco)^C_n),C_alpha*C_fck),0)))*'Geometry'!$H$48+((MAX(MIN(S_1_Es*(O14+P14*'Geometry'!$G$49+Q14*'Geometry'!$F$49),S_1_fy),-S_1_fy))-(IF((O14+P14*'Geometry'!$G$49+Q14*'Geometry'!$F$49)&gt;0,IF((O14+P14*'Geometry'!$G$49+Q14*'Geometry'!$F$49)&lt;=C_eco,C_alpha*C_fck*(1-(1-(O14+P14*'Geometry'!$G$49+Q14*'Geometry'!$F$49)/C_eco)^C_n),C_alpha*C_fck),0)))*'Geometry'!$H$49+((MAX(MIN(S_1_Es*(O14+P14*'Geometry'!$G$50+Q14*'Geometry'!$F$50),S_1_fy),-S_1_fy))-(IF((O14+P14*'Geometry'!$G$50+Q14*'Geometry'!$F$50)&gt;0,IF((O14+P14*'Geometry'!$G$50+Q14*'Geometry'!$F$50)&lt;=C_eco,C_alpha*C_fck*(1-(1-(O14+P14*'Geometry'!$G$50+Q14*'Geometry'!$F$50)/C_eco)^C_n),C_alpha*C_fck),0)))*'Geometry'!$H$50+((MAX(MIN(S_1_Es*(O14+P14*'Geometry'!$G$51+Q14*'Geometry'!$F$51),S_1_fy),-S_1_fy))-(IF((O14+P14*'Geometry'!$G$51+Q14*'Geometry'!$F$51)&gt;0,IF((O14+P14*'Geometry'!$G$51+Q14*'Geometry'!$F$51)&lt;=C_eco,C_alpha*C_fck*(1-(1-(O14+P14*'Geometry'!$G$51+Q14*'Geometry'!$F$51)/C_eco)^C_n),C_alpha*C_fck),0)))*'Geometry'!$H$51+((MAX(MIN(S_1_Es*(O14+P14*'Geometry'!$G$52+Q14*'Geometry'!$F$52),S_1_fy),-S_1_fy))-(IF((O14+P14*'Geometry'!$G$52+Q14*'Geometry'!$F$52)&gt;0,IF((O14+P14*'Geometry'!$G$52+Q14*'Geometry'!$F$52)&lt;=C_eco,C_alpha*C_fck*(1-(1-(O14+P14*'Geometry'!$G$52+Q14*'Geometry'!$F$52)/C_eco)^C_n),C_alpha*C_fck),0)))*'Geometry'!$H$52+((MAX(MIN(S_1_Es*(O14+P14*'Geometry'!$G$53+Q14*'Geometry'!$F$53),S_1_fy),-S_1_fy))-(IF((O14+P14*'Geometry'!$G$53+Q14*'Geometry'!$F$53)&gt;0,IF((O14+P14*'Geometry'!$G$53+Q14*'Geometry'!$F$53)&lt;=C_eco,C_alpha*C_fck*(1-(1-(O14+P14*'Geometry'!$G$53+Q14*'Geometry'!$F$53)/C_eco)^C_n),C_alpha*C_fck),0)))*'Geometry'!$H$53+((MAX(MIN(S_1_Es*(O14+P14*'Geometry'!$G$54+Q14*'Geometry'!$F$54),S_1_fy),-S_1_fy))-(IF((O14+P14*'Geometry'!$G$54+Q14*'Geometry'!$F$54)&gt;0,IF((O14+P14*'Geometry'!$G$54+Q14*'Geometry'!$F$54)&lt;=C_eco,C_alpha*C_fck*(1-(1-(O14+P14*'Geometry'!$G$54+Q14*'Geometry'!$F$54)/C_eco)^C_n),C_alpha*C_fck),0)))*'Geometry'!$H$54+((MAX(MIN(S_1_Es*(O14+P14*'Geometry'!$G$55+Q14*'Geometry'!$F$55),S_1_fy),-S_1_fy))-(IF((O14+P14*'Geometry'!$G$55+Q14*'Geometry'!$F$55)&gt;0,IF((O14+P14*'Geometry'!$G$55+Q14*'Geometry'!$F$55)&lt;=C_eco,C_alpha*C_fck*(1-(1-(O14+P14*'Geometry'!$G$55+Q14*'Geometry'!$F$55)/C_eco)^C_n),C_alpha*C_fck),0)))*'Geometry'!$H$55+((MAX(MIN(S_1_Es*(O14+P14*'Geometry'!$G$56+Q14*'Geometry'!$F$56),S_1_fy),-S_1_fy))-(IF((O14+P14*'Geometry'!$G$56+Q14*'Geometry'!$F$56)&gt;0,IF((O14+P14*'Geometry'!$G$56+Q14*'Geometry'!$F$56)&lt;=C_eco,C_alpha*C_fck*(1-(1-(O14+P14*'Geometry'!$G$56+Q14*'Geometry'!$F$56)/C_eco)^C_n),C_alpha*C_fck),0)))*'Geometry'!$H$56+((MAX(MIN(S_1_Es*(O14+P14*'Geometry'!$G$57+Q14*'Geometry'!$F$57),S_1_fy),-S_1_fy))-(IF((O14+P14*'Geometry'!$G$57+Q14*'Geometry'!$F$57)&gt;0,IF((O14+P14*'Geometry'!$G$57+Q14*'Geometry'!$F$57)&lt;=C_eco,C_alpha*C_fck*(1-(1-(O14+P14*'Geometry'!$G$57+Q14*'Geometry'!$F$57)/C_eco)^C_n),C_alpha*C_fck),0)))*'Geometry'!$H$57)/1000</f>
        <v>-3859.3485484296625</v>
      </c>
      <c r="V14" s="10">
        <f>(((MAX(MIN(S_1_Es*(O14+P14*'Geometry'!$G$40+Q14*'Geometry'!$F$40),S_1_fy),-S_1_fy))-(IF((O14+P14*'Geometry'!$G$40+Q14*'Geometry'!$F$40)&gt;0,IF((O14+P14*'Geometry'!$G$40+Q14*'Geometry'!$F$40)&lt;=C_eco,C_alpha*C_fck*(1-(1-(O14+P14*'Geometry'!$G$40+Q14*'Geometry'!$F$40)/C_eco)^C_n),C_alpha*C_fck),0)))*'Geometry'!$H$40*'Geometry'!$G$40+((MAX(MIN(S_1_Es*(O14+P14*'Geometry'!$G$41+Q14*'Geometry'!$F$41),S_1_fy),-S_1_fy))-(IF((O14+P14*'Geometry'!$G$41+Q14*'Geometry'!$F$41)&gt;0,IF((O14+P14*'Geometry'!$G$41+Q14*'Geometry'!$F$41)&lt;=C_eco,C_alpha*C_fck*(1-(1-(O14+P14*'Geometry'!$G$41+Q14*'Geometry'!$F$41)/C_eco)^C_n),C_alpha*C_fck),0)))*'Geometry'!$H$41*'Geometry'!$G$41+((MAX(MIN(S_1_Es*(O14+P14*'Geometry'!$G$42+Q14*'Geometry'!$F$42),S_1_fy),-S_1_fy))-(IF((O14+P14*'Geometry'!$G$42+Q14*'Geometry'!$F$42)&gt;0,IF((O14+P14*'Geometry'!$G$42+Q14*'Geometry'!$F$42)&lt;=C_eco,C_alpha*C_fck*(1-(1-(O14+P14*'Geometry'!$G$42+Q14*'Geometry'!$F$42)/C_eco)^C_n),C_alpha*C_fck),0)))*'Geometry'!$H$42*'Geometry'!$G$42+((MAX(MIN(S_1_Es*(O14+P14*'Geometry'!$G$43+Q14*'Geometry'!$F$43),S_1_fy),-S_1_fy))-(IF((O14+P14*'Geometry'!$G$43+Q14*'Geometry'!$F$43)&gt;0,IF((O14+P14*'Geometry'!$G$43+Q14*'Geometry'!$F$43)&lt;=C_eco,C_alpha*C_fck*(1-(1-(O14+P14*'Geometry'!$G$43+Q14*'Geometry'!$F$43)/C_eco)^C_n),C_alpha*C_fck),0)))*'Geometry'!$H$43*'Geometry'!$G$43+((MAX(MIN(S_1_Es*(O14+P14*'Geometry'!$G$44+Q14*'Geometry'!$F$44),S_1_fy),-S_1_fy))-(IF((O14+P14*'Geometry'!$G$44+Q14*'Geometry'!$F$44)&gt;0,IF((O14+P14*'Geometry'!$G$44+Q14*'Geometry'!$F$44)&lt;=C_eco,C_alpha*C_fck*(1-(1-(O14+P14*'Geometry'!$G$44+Q14*'Geometry'!$F$44)/C_eco)^C_n),C_alpha*C_fck),0)))*'Geometry'!$H$44*'Geometry'!$G$44+((MAX(MIN(S_1_Es*(O14+P14*'Geometry'!$G$45+Q14*'Geometry'!$F$45),S_1_fy),-S_1_fy))-(IF((O14+P14*'Geometry'!$G$45+Q14*'Geometry'!$F$45)&gt;0,IF((O14+P14*'Geometry'!$G$45+Q14*'Geometry'!$F$45)&lt;=C_eco,C_alpha*C_fck*(1-(1-(O14+P14*'Geometry'!$G$45+Q14*'Geometry'!$F$45)/C_eco)^C_n),C_alpha*C_fck),0)))*'Geometry'!$H$45*'Geometry'!$G$45+((MAX(MIN(S_1_Es*(O14+P14*'Geometry'!$G$46+Q14*'Geometry'!$F$46),S_1_fy),-S_1_fy))-(IF((O14+P14*'Geometry'!$G$46+Q14*'Geometry'!$F$46)&gt;0,IF((O14+P14*'Geometry'!$G$46+Q14*'Geometry'!$F$46)&lt;=C_eco,C_alpha*C_fck*(1-(1-(O14+P14*'Geometry'!$G$46+Q14*'Geometry'!$F$46)/C_eco)^C_n),C_alpha*C_fck),0)))*'Geometry'!$H$46*'Geometry'!$G$46+((MAX(MIN(S_1_Es*(O14+P14*'Geometry'!$G$47+Q14*'Geometry'!$F$47),S_1_fy),-S_1_fy))-(IF((O14+P14*'Geometry'!$G$47+Q14*'Geometry'!$F$47)&gt;0,IF((O14+P14*'Geometry'!$G$47+Q14*'Geometry'!$F$47)&lt;=C_eco,C_alpha*C_fck*(1-(1-(O14+P14*'Geometry'!$G$47+Q14*'Geometry'!$F$47)/C_eco)^C_n),C_alpha*C_fck),0)))*'Geometry'!$H$47*'Geometry'!$G$47+((MAX(MIN(S_1_Es*(O14+P14*'Geometry'!$G$48+Q14*'Geometry'!$F$48),S_1_fy),-S_1_fy))-(IF((O14+P14*'Geometry'!$G$48+Q14*'Geometry'!$F$48)&gt;0,IF((O14+P14*'Geometry'!$G$48+Q14*'Geometry'!$F$48)&lt;=C_eco,C_alpha*C_fck*(1-(1-(O14+P14*'Geometry'!$G$48+Q14*'Geometry'!$F$48)/C_eco)^C_n),C_alpha*C_fck),0)))*'Geometry'!$H$48*'Geometry'!$G$48+((MAX(MIN(S_1_Es*(O14+P14*'Geometry'!$G$49+Q14*'Geometry'!$F$49),S_1_fy),-S_1_fy))-(IF((O14+P14*'Geometry'!$G$49+Q14*'Geometry'!$F$49)&gt;0,IF((O14+P14*'Geometry'!$G$49+Q14*'Geometry'!$F$49)&lt;=C_eco,C_alpha*C_fck*(1-(1-(O14+P14*'Geometry'!$G$49+Q14*'Geometry'!$F$49)/C_eco)^C_n),C_alpha*C_fck),0)))*'Geometry'!$H$49*'Geometry'!$G$49+((MAX(MIN(S_1_Es*(O14+P14*'Geometry'!$G$50+Q14*'Geometry'!$F$50),S_1_fy),-S_1_fy))-(IF((O14+P14*'Geometry'!$G$50+Q14*'Geometry'!$F$50)&gt;0,IF((O14+P14*'Geometry'!$G$50+Q14*'Geometry'!$F$50)&lt;=C_eco,C_alpha*C_fck*(1-(1-(O14+P14*'Geometry'!$G$50+Q14*'Geometry'!$F$50)/C_eco)^C_n),C_alpha*C_fck),0)))*'Geometry'!$H$50*'Geometry'!$G$50+((MAX(MIN(S_1_Es*(O14+P14*'Geometry'!$G$51+Q14*'Geometry'!$F$51),S_1_fy),-S_1_fy))-(IF((O14+P14*'Geometry'!$G$51+Q14*'Geometry'!$F$51)&gt;0,IF((O14+P14*'Geometry'!$G$51+Q14*'Geometry'!$F$51)&lt;=C_eco,C_alpha*C_fck*(1-(1-(O14+P14*'Geometry'!$G$51+Q14*'Geometry'!$F$51)/C_eco)^C_n),C_alpha*C_fck),0)))*'Geometry'!$H$51*'Geometry'!$G$51+((MAX(MIN(S_1_Es*(O14+P14*'Geometry'!$G$52+Q14*'Geometry'!$F$52),S_1_fy),-S_1_fy))-(IF((O14+P14*'Geometry'!$G$52+Q14*'Geometry'!$F$52)&gt;0,IF((O14+P14*'Geometry'!$G$52+Q14*'Geometry'!$F$52)&lt;=C_eco,C_alpha*C_fck*(1-(1-(O14+P14*'Geometry'!$G$52+Q14*'Geometry'!$F$52)/C_eco)^C_n),C_alpha*C_fck),0)))*'Geometry'!$H$52*'Geometry'!$G$52+((MAX(MIN(S_1_Es*(O14+P14*'Geometry'!$G$53+Q14*'Geometry'!$F$53),S_1_fy),-S_1_fy))-(IF((O14+P14*'Geometry'!$G$53+Q14*'Geometry'!$F$53)&gt;0,IF((O14+P14*'Geometry'!$G$53+Q14*'Geometry'!$F$53)&lt;=C_eco,C_alpha*C_fck*(1-(1-(O14+P14*'Geometry'!$G$53+Q14*'Geometry'!$F$53)/C_eco)^C_n),C_alpha*C_fck),0)))*'Geometry'!$H$53*'Geometry'!$G$53+((MAX(MIN(S_1_Es*(O14+P14*'Geometry'!$G$54+Q14*'Geometry'!$F$54),S_1_fy),-S_1_fy))-(IF((O14+P14*'Geometry'!$G$54+Q14*'Geometry'!$F$54)&gt;0,IF((O14+P14*'Geometry'!$G$54+Q14*'Geometry'!$F$54)&lt;=C_eco,C_alpha*C_fck*(1-(1-(O14+P14*'Geometry'!$G$54+Q14*'Geometry'!$F$54)/C_eco)^C_n),C_alpha*C_fck),0)))*'Geometry'!$H$54*'Geometry'!$G$54+((MAX(MIN(S_1_Es*(O14+P14*'Geometry'!$G$55+Q14*'Geometry'!$F$55),S_1_fy),-S_1_fy))-(IF((O14+P14*'Geometry'!$G$55+Q14*'Geometry'!$F$55)&gt;0,IF((O14+P14*'Geometry'!$G$55+Q14*'Geometry'!$F$55)&lt;=C_eco,C_alpha*C_fck*(1-(1-(O14+P14*'Geometry'!$G$55+Q14*'Geometry'!$F$55)/C_eco)^C_n),C_alpha*C_fck),0)))*'Geometry'!$H$55*'Geometry'!$G$55+((MAX(MIN(S_1_Es*(O14+P14*'Geometry'!$G$56+Q14*'Geometry'!$F$56),S_1_fy),-S_1_fy))-(IF((O14+P14*'Geometry'!$G$56+Q14*'Geometry'!$F$56)&gt;0,IF((O14+P14*'Geometry'!$G$56+Q14*'Geometry'!$F$56)&lt;=C_eco,C_alpha*C_fck*(1-(1-(O14+P14*'Geometry'!$G$56+Q14*'Geometry'!$F$56)/C_eco)^C_n),C_alpha*C_fck),0)))*'Geometry'!$H$56*'Geometry'!$G$56+((MAX(MIN(S_1_Es*(O14+P14*'Geometry'!$G$57+Q14*'Geometry'!$F$57),S_1_fy),-S_1_fy))-(IF((O14+P14*'Geometry'!$G$57+Q14*'Geometry'!$F$57)&gt;0,IF((O14+P14*'Geometry'!$G$57+Q14*'Geometry'!$F$57)&lt;=C_eco,C_alpha*C_fck*(1-(1-(O14+P14*'Geometry'!$G$57+Q14*'Geometry'!$F$57)/C_eco)^C_n),C_alpha*C_fck),0)))*'Geometry'!$H$57*'Geometry'!$G$57)/1000000</f>
        <v>437.1342758718778</v>
      </c>
      <c r="W14" s="10">
        <f>(((MAX(MIN(S_1_Es*(O14+P14*'Geometry'!$G$40+Q14*'Geometry'!$F$40),S_1_fy),-S_1_fy))-(IF((O14+P14*'Geometry'!$G$40+Q14*'Geometry'!$F$40)&gt;0,IF((O14+P14*'Geometry'!$G$40+Q14*'Geometry'!$F$40)&lt;=C_eco,C_alpha*C_fck*(1-(1-(O14+P14*'Geometry'!$G$40+Q14*'Geometry'!$F$40)/C_eco)^C_n),C_alpha*C_fck),0)))*'Geometry'!$H$40*'Geometry'!$F$40+((MAX(MIN(S_1_Es*(O14+P14*'Geometry'!$G$41+Q14*'Geometry'!$F$41),S_1_fy),-S_1_fy))-(IF((O14+P14*'Geometry'!$G$41+Q14*'Geometry'!$F$41)&gt;0,IF((O14+P14*'Geometry'!$G$41+Q14*'Geometry'!$F$41)&lt;=C_eco,C_alpha*C_fck*(1-(1-(O14+P14*'Geometry'!$G$41+Q14*'Geometry'!$F$41)/C_eco)^C_n),C_alpha*C_fck),0)))*'Geometry'!$H$41*'Geometry'!$F$41+((MAX(MIN(S_1_Es*(O14+P14*'Geometry'!$G$42+Q14*'Geometry'!$F$42),S_1_fy),-S_1_fy))-(IF((O14+P14*'Geometry'!$G$42+Q14*'Geometry'!$F$42)&gt;0,IF((O14+P14*'Geometry'!$G$42+Q14*'Geometry'!$F$42)&lt;=C_eco,C_alpha*C_fck*(1-(1-(O14+P14*'Geometry'!$G$42+Q14*'Geometry'!$F$42)/C_eco)^C_n),C_alpha*C_fck),0)))*'Geometry'!$H$42*'Geometry'!$F$42+((MAX(MIN(S_1_Es*(O14+P14*'Geometry'!$G$43+Q14*'Geometry'!$F$43),S_1_fy),-S_1_fy))-(IF((O14+P14*'Geometry'!$G$43+Q14*'Geometry'!$F$43)&gt;0,IF((O14+P14*'Geometry'!$G$43+Q14*'Geometry'!$F$43)&lt;=C_eco,C_alpha*C_fck*(1-(1-(O14+P14*'Geometry'!$G$43+Q14*'Geometry'!$F$43)/C_eco)^C_n),C_alpha*C_fck),0)))*'Geometry'!$H$43*'Geometry'!$F$43+((MAX(MIN(S_1_Es*(O14+P14*'Geometry'!$G$44+Q14*'Geometry'!$F$44),S_1_fy),-S_1_fy))-(IF((O14+P14*'Geometry'!$G$44+Q14*'Geometry'!$F$44)&gt;0,IF((O14+P14*'Geometry'!$G$44+Q14*'Geometry'!$F$44)&lt;=C_eco,C_alpha*C_fck*(1-(1-(O14+P14*'Geometry'!$G$44+Q14*'Geometry'!$F$44)/C_eco)^C_n),C_alpha*C_fck),0)))*'Geometry'!$H$44*'Geometry'!$F$44+((MAX(MIN(S_1_Es*(O14+P14*'Geometry'!$G$45+Q14*'Geometry'!$F$45),S_1_fy),-S_1_fy))-(IF((O14+P14*'Geometry'!$G$45+Q14*'Geometry'!$F$45)&gt;0,IF((O14+P14*'Geometry'!$G$45+Q14*'Geometry'!$F$45)&lt;=C_eco,C_alpha*C_fck*(1-(1-(O14+P14*'Geometry'!$G$45+Q14*'Geometry'!$F$45)/C_eco)^C_n),C_alpha*C_fck),0)))*'Geometry'!$H$45*'Geometry'!$F$45+((MAX(MIN(S_1_Es*(O14+P14*'Geometry'!$G$46+Q14*'Geometry'!$F$46),S_1_fy),-S_1_fy))-(IF((O14+P14*'Geometry'!$G$46+Q14*'Geometry'!$F$46)&gt;0,IF((O14+P14*'Geometry'!$G$46+Q14*'Geometry'!$F$46)&lt;=C_eco,C_alpha*C_fck*(1-(1-(O14+P14*'Geometry'!$G$46+Q14*'Geometry'!$F$46)/C_eco)^C_n),C_alpha*C_fck),0)))*'Geometry'!$H$46*'Geometry'!$F$46+((MAX(MIN(S_1_Es*(O14+P14*'Geometry'!$G$47+Q14*'Geometry'!$F$47),S_1_fy),-S_1_fy))-(IF((O14+P14*'Geometry'!$G$47+Q14*'Geometry'!$F$47)&gt;0,IF((O14+P14*'Geometry'!$G$47+Q14*'Geometry'!$F$47)&lt;=C_eco,C_alpha*C_fck*(1-(1-(O14+P14*'Geometry'!$G$47+Q14*'Geometry'!$F$47)/C_eco)^C_n),C_alpha*C_fck),0)))*'Geometry'!$H$47*'Geometry'!$F$47+((MAX(MIN(S_1_Es*(O14+P14*'Geometry'!$G$48+Q14*'Geometry'!$F$48),S_1_fy),-S_1_fy))-(IF((O14+P14*'Geometry'!$G$48+Q14*'Geometry'!$F$48)&gt;0,IF((O14+P14*'Geometry'!$G$48+Q14*'Geometry'!$F$48)&lt;=C_eco,C_alpha*C_fck*(1-(1-(O14+P14*'Geometry'!$G$48+Q14*'Geometry'!$F$48)/C_eco)^C_n),C_alpha*C_fck),0)))*'Geometry'!$H$48*'Geometry'!$F$48+((MAX(MIN(S_1_Es*(O14+P14*'Geometry'!$G$49+Q14*'Geometry'!$F$49),S_1_fy),-S_1_fy))-(IF((O14+P14*'Geometry'!$G$49+Q14*'Geometry'!$F$49)&gt;0,IF((O14+P14*'Geometry'!$G$49+Q14*'Geometry'!$F$49)&lt;=C_eco,C_alpha*C_fck*(1-(1-(O14+P14*'Geometry'!$G$49+Q14*'Geometry'!$F$49)/C_eco)^C_n),C_alpha*C_fck),0)))*'Geometry'!$H$49*'Geometry'!$F$49+((MAX(MIN(S_1_Es*(O14+P14*'Geometry'!$G$50+Q14*'Geometry'!$F$50),S_1_fy),-S_1_fy))-(IF((O14+P14*'Geometry'!$G$50+Q14*'Geometry'!$F$50)&gt;0,IF((O14+P14*'Geometry'!$G$50+Q14*'Geometry'!$F$50)&lt;=C_eco,C_alpha*C_fck*(1-(1-(O14+P14*'Geometry'!$G$50+Q14*'Geometry'!$F$50)/C_eco)^C_n),C_alpha*C_fck),0)))*'Geometry'!$H$50*'Geometry'!$F$50+((MAX(MIN(S_1_Es*(O14+P14*'Geometry'!$G$51+Q14*'Geometry'!$F$51),S_1_fy),-S_1_fy))-(IF((O14+P14*'Geometry'!$G$51+Q14*'Geometry'!$F$51)&gt;0,IF((O14+P14*'Geometry'!$G$51+Q14*'Geometry'!$F$51)&lt;=C_eco,C_alpha*C_fck*(1-(1-(O14+P14*'Geometry'!$G$51+Q14*'Geometry'!$F$51)/C_eco)^C_n),C_alpha*C_fck),0)))*'Geometry'!$H$51*'Geometry'!$F$51+((MAX(MIN(S_1_Es*(O14+P14*'Geometry'!$G$52+Q14*'Geometry'!$F$52),S_1_fy),-S_1_fy))-(IF((O14+P14*'Geometry'!$G$52+Q14*'Geometry'!$F$52)&gt;0,IF((O14+P14*'Geometry'!$G$52+Q14*'Geometry'!$F$52)&lt;=C_eco,C_alpha*C_fck*(1-(1-(O14+P14*'Geometry'!$G$52+Q14*'Geometry'!$F$52)/C_eco)^C_n),C_alpha*C_fck),0)))*'Geometry'!$H$52*'Geometry'!$F$52+((MAX(MIN(S_1_Es*(O14+P14*'Geometry'!$G$53+Q14*'Geometry'!$F$53),S_1_fy),-S_1_fy))-(IF((O14+P14*'Geometry'!$G$53+Q14*'Geometry'!$F$53)&gt;0,IF((O14+P14*'Geometry'!$G$53+Q14*'Geometry'!$F$53)&lt;=C_eco,C_alpha*C_fck*(1-(1-(O14+P14*'Geometry'!$G$53+Q14*'Geometry'!$F$53)/C_eco)^C_n),C_alpha*C_fck),0)))*'Geometry'!$H$53*'Geometry'!$F$53+((MAX(MIN(S_1_Es*(O14+P14*'Geometry'!$G$54+Q14*'Geometry'!$F$54),S_1_fy),-S_1_fy))-(IF((O14+P14*'Geometry'!$G$54+Q14*'Geometry'!$F$54)&gt;0,IF((O14+P14*'Geometry'!$G$54+Q14*'Geometry'!$F$54)&lt;=C_eco,C_alpha*C_fck*(1-(1-(O14+P14*'Geometry'!$G$54+Q14*'Geometry'!$F$54)/C_eco)^C_n),C_alpha*C_fck),0)))*'Geometry'!$H$54*'Geometry'!$F$54+((MAX(MIN(S_1_Es*(O14+P14*'Geometry'!$G$55+Q14*'Geometry'!$F$55),S_1_fy),-S_1_fy))-(IF((O14+P14*'Geometry'!$G$55+Q14*'Geometry'!$F$55)&gt;0,IF((O14+P14*'Geometry'!$G$55+Q14*'Geometry'!$F$55)&lt;=C_eco,C_alpha*C_fck*(1-(1-(O14+P14*'Geometry'!$G$55+Q14*'Geometry'!$F$55)/C_eco)^C_n),C_alpha*C_fck),0)))*'Geometry'!$H$55*'Geometry'!$F$55+((MAX(MIN(S_1_Es*(O14+P14*'Geometry'!$G$56+Q14*'Geometry'!$F$56),S_1_fy),-S_1_fy))-(IF((O14+P14*'Geometry'!$G$56+Q14*'Geometry'!$F$56)&gt;0,IF((O14+P14*'Geometry'!$G$56+Q14*'Geometry'!$F$56)&lt;=C_eco,C_alpha*C_fck*(1-(1-(O14+P14*'Geometry'!$G$56+Q14*'Geometry'!$F$56)/C_eco)^C_n),C_alpha*C_fck),0)))*'Geometry'!$H$56*'Geometry'!$F$56+((MAX(MIN(S_1_Es*(O14+P14*'Geometry'!$G$57+Q14*'Geometry'!$F$57),S_1_fy),-S_1_fy))-(IF((O14+P14*'Geometry'!$G$57+Q14*'Geometry'!$F$57)&gt;0,IF((O14+P14*'Geometry'!$G$57+Q14*'Geometry'!$F$57)&lt;=C_eco,C_alpha*C_fck*(1-(1-(O14+P14*'Geometry'!$G$57+Q14*'Geometry'!$F$57)/C_eco)^C_n),C_alpha*C_fck),0)))*'Geometry'!$H$57*'Geometry'!$F$57)/1000000</f>
        <v>1157.5046224785335</v>
      </c>
      <c r="X14" s="10">
        <f>R14+U14</f>
        <v>-1195.0420149462857</v>
      </c>
      <c r="Y14" s="10">
        <f>S14+V14</f>
        <v>1357.3979234530434</v>
      </c>
      <c r="Z14" s="10">
        <f>T14+W14</f>
        <v>2782.356475625817</v>
      </c>
      <c r="AA14" s="7">
        <v>0.85</v>
      </c>
      <c r="AB14" s="7">
        <v>0.85</v>
      </c>
      <c r="AC14" s="10">
        <f>X14*AA14</f>
        <v>-1015.7857127043428</v>
      </c>
      <c r="AD14" s="10">
        <f>Y14*AB14</f>
        <v>1153.788234935087</v>
      </c>
      <c r="AE14" s="10">
        <f>Z14*AB14</f>
        <v>2365.0030042819444</v>
      </c>
      <c r="AF14" s="7">
        <v>-1015.7857127043428</v>
      </c>
      <c r="AG14" s="7">
        <v>1153.788234935087</v>
      </c>
      <c r="AH14" s="7">
        <v>2365.0030042819444</v>
      </c>
      <c r="AI14" s="15">
        <f>AC14-AF14</f>
        <v>0</v>
      </c>
      <c r="AJ14" s="15">
        <f>SQRT((AD14-AG14)^2+(AE14-AH14)^2)</f>
        <v>0</v>
      </c>
      <c r="AK14" s="7" t="s">
        <v>189</v>
      </c>
      <c r="AL14" s="7">
        <v>-1195.0420149462857</v>
      </c>
      <c r="AM14" s="7">
        <v>1357.3979234530434</v>
      </c>
      <c r="AN14" s="7">
        <v>2782.356475625817</v>
      </c>
      <c r="AO14" s="7">
        <v>2664.306533483377</v>
      </c>
      <c r="AP14" s="7">
        <v>920.2636475811657</v>
      </c>
      <c r="AQ14" s="7">
        <v>1624.8518531472832</v>
      </c>
      <c r="AR14" s="7">
        <v>-3859.3485484296625</v>
      </c>
      <c r="AS14" s="7">
        <v>437.1342758718778</v>
      </c>
      <c r="AT14" s="7">
        <v>1157.5046224785335</v>
      </c>
    </row>
    <row r="15" spans="1:46" x14ac:dyDescent="0.25">
      <c r="A15" s="7" t="s">
        <v>203</v>
      </c>
      <c r="B15" s="7">
        <v>1</v>
      </c>
      <c r="C15" s="18">
        <v>70</v>
      </c>
      <c r="D15" s="7" t="s">
        <v>204</v>
      </c>
      <c r="E15" s="7" t="s">
        <v>192</v>
      </c>
      <c r="F15" s="19">
        <v>70</v>
      </c>
      <c r="G15" s="7" t="s">
        <v>188</v>
      </c>
      <c r="H15" s="20">
        <v>7.5</v>
      </c>
      <c r="I15" s="10">
        <f>MAX(('Geometry'!$G$13*COS(RADIANS(F15))+'Geometry'!$F$13*SIN(RADIANS(F15))),('Geometry'!$G$14*COS(RADIANS(F15))+'Geometry'!$F$14*SIN(RADIANS(F15))),('Geometry'!$G$15*COS(RADIANS(F15))+'Geometry'!$F$15*SIN(RADIANS(F15))),('Geometry'!$G$16*COS(RADIANS(F15))+'Geometry'!$F$16*SIN(RADIANS(F15))),('Geometry'!$G$17*COS(RADIANS(F15))+'Geometry'!$F$17*SIN(RADIANS(F15))),('Geometry'!$G$18*COS(RADIANS(F15))+'Geometry'!$F$18*SIN(RADIANS(F15))),('Geometry'!$G$19*COS(RADIANS(F15))+'Geometry'!$F$19*SIN(RADIANS(F15))),('Geometry'!$G$20*COS(RADIANS(F15))+'Geometry'!$F$20*SIN(RADIANS(F15))))</f>
        <v>841.5775229196987</v>
      </c>
      <c r="J15" s="10">
        <f>MIN(('Geometry'!$G$40*COS(RADIANS(F15))+'Geometry'!$F$40*SIN(RADIANS(F15))),('Geometry'!$G$41*COS(RADIANS(F15))+'Geometry'!$F$41*SIN(RADIANS(F15))),('Geometry'!$G$42*COS(RADIANS(F15))+'Geometry'!$F$42*SIN(RADIANS(F15))),('Geometry'!$G$43*COS(RADIANS(F15))+'Geometry'!$F$43*SIN(RADIANS(F15))),('Geometry'!$G$44*COS(RADIANS(F15))+'Geometry'!$F$44*SIN(RADIANS(F15))),('Geometry'!$G$45*COS(RADIANS(F15))+'Geometry'!$F$45*SIN(RADIANS(F15))),('Geometry'!$G$46*COS(RADIANS(F15))+'Geometry'!$F$46*SIN(RADIANS(F15))),('Geometry'!$G$47*COS(RADIANS(F15))+'Geometry'!$F$47*SIN(RADIANS(F15))),('Geometry'!$G$48*COS(RADIANS(F15))+'Geometry'!$F$48*SIN(RADIANS(F15))),('Geometry'!$G$49*COS(RADIANS(F15))+'Geometry'!$F$49*SIN(RADIANS(F15))),('Geometry'!$G$50*COS(RADIANS(F15))+'Geometry'!$F$50*SIN(RADIANS(F15))),('Geometry'!$G$51*COS(RADIANS(F15))+'Geometry'!$F$51*SIN(RADIANS(F15))),('Geometry'!$G$52*COS(RADIANS(F15))+'Geometry'!$F$52*SIN(RADIANS(F15))),('Geometry'!$G$53*COS(RADIANS(F15))+'Geometry'!$F$53*SIN(RADIANS(F15))),('Geometry'!$G$54*COS(RADIANS(F15))+'Geometry'!$F$54*SIN(RADIANS(F15))),('Geometry'!$G$55*COS(RADIANS(F15))+'Geometry'!$F$55*SIN(RADIANS(F15))),('Geometry'!$G$56*COS(RADIANS(F15))+'Geometry'!$F$56*SIN(RADIANS(F15))),('Geometry'!$G$57*COS(RADIANS(F15))+'Geometry'!$F$57*SIN(RADIANS(F15))))</f>
        <v>-741.5970251321183</v>
      </c>
      <c r="K15" s="10">
        <f>I15-MIN(('Geometry'!$G$13*COS(RADIANS(F15))+'Geometry'!$F$13*SIN(RADIANS(F15))),('Geometry'!$G$14*COS(RADIANS(F15))+'Geometry'!$F$14*SIN(RADIANS(F15))),('Geometry'!$G$15*COS(RADIANS(F15))+'Geometry'!$F$15*SIN(RADIANS(F15))),('Geometry'!$G$16*COS(RADIANS(F15))+'Geometry'!$F$16*SIN(RADIANS(F15))),('Geometry'!$G$17*COS(RADIANS(F15))+'Geometry'!$F$17*SIN(RADIANS(F15))),('Geometry'!$G$18*COS(RADIANS(F15))+'Geometry'!$F$18*SIN(RADIANS(F15))),('Geometry'!$G$19*COS(RADIANS(F15))+'Geometry'!$F$19*SIN(RADIANS(F15))),('Geometry'!$G$20*COS(RADIANS(F15))+'Geometry'!$F$20*SIN(RADIANS(F15))))</f>
        <v>1683.1550458393974</v>
      </c>
      <c r="L15" s="15">
        <f>C_ecu</f>
        <v>0.0032999999999999982</v>
      </c>
      <c r="M15" s="15">
        <f>-H15*S_1_fy/S_1_Es</f>
        <v>-0.015</v>
      </c>
      <c r="N15" s="21">
        <f>IF(ABS(I15-J15)&lt;0.000000000001,0,(L15-M15)/(I15-J15))</f>
        <v>0.000011559053941663697</v>
      </c>
      <c r="O15" s="15">
        <f>L15-N15*I15</f>
        <v>-0.006427839983520515</v>
      </c>
      <c r="P15" s="21">
        <f>N15*COS(RADIANS(F15))</f>
        <v>0.000003953429285836955</v>
      </c>
      <c r="Q15" s="21">
        <f>N15*SIN(RADIANS(F15))</f>
        <v>0.000010861957692247645</v>
      </c>
      <c r="R15" s="10">
        <f>SUMPRODUCT(C_alpha*C_fck*(1-(1-(((O15+P15*Mesh_Y+Q15*Mesh_X))*((O15+P15*Mesh_Y+Q15*Mesh_X)&gt;0)*((O15+P15*Mesh_Y+Q15*Mesh_X)&lt;C_eco)+C_eco*((O15+P15*Mesh_Y+Q15*Mesh_X)&gt;=C_eco))/C_eco)^C_n)*(((O15+P15*Mesh_Y+Q15*Mesh_X))&gt;0),Mesh_A)/1000</f>
        <v>2979.7916066739353</v>
      </c>
      <c r="S15" s="10">
        <f>SUMPRODUCT(C_alpha*C_fck*(1-(1-(((O15+P15*Mesh_Y+Q15*Mesh_X))*((O15+P15*Mesh_Y+Q15*Mesh_X)&gt;0)*((O15+P15*Mesh_Y+Q15*Mesh_X)&lt;C_eco)+C_eco*((O15+P15*Mesh_Y+Q15*Mesh_X)&gt;=C_eco))/C_eco)^C_n)*(((O15+P15*Mesh_Y+Q15*Mesh_X))&gt;0),Mesh_A,Mesh_Y)/1000000</f>
        <v>783.3014888631714</v>
      </c>
      <c r="T15" s="10">
        <f>SUMPRODUCT(C_alpha*C_fck*(1-(1-(((O15+P15*Mesh_Y+Q15*Mesh_X))*((O15+P15*Mesh_Y+Q15*Mesh_X)&gt;0)*((O15+P15*Mesh_Y+Q15*Mesh_X)&lt;C_eco)+C_eco*((O15+P15*Mesh_Y+Q15*Mesh_X)&gt;=C_eco))/C_eco)^C_n)*(((O15+P15*Mesh_Y+Q15*Mesh_X))&gt;0),Mesh_A,Mesh_X)/1000000</f>
        <v>1894.4753706183646</v>
      </c>
      <c r="U15" s="10">
        <f>(((MAX(MIN(S_1_Es*(O15+P15*'Geometry'!$G$40+Q15*'Geometry'!$F$40),S_1_fy),-S_1_fy))-(IF((O15+P15*'Geometry'!$G$40+Q15*'Geometry'!$F$40)&gt;0,IF((O15+P15*'Geometry'!$G$40+Q15*'Geometry'!$F$40)&lt;=C_eco,C_alpha*C_fck*(1-(1-(O15+P15*'Geometry'!$G$40+Q15*'Geometry'!$F$40)/C_eco)^C_n),C_alpha*C_fck),0)))*'Geometry'!$H$40+((MAX(MIN(S_1_Es*(O15+P15*'Geometry'!$G$41+Q15*'Geometry'!$F$41),S_1_fy),-S_1_fy))-(IF((O15+P15*'Geometry'!$G$41+Q15*'Geometry'!$F$41)&gt;0,IF((O15+P15*'Geometry'!$G$41+Q15*'Geometry'!$F$41)&lt;=C_eco,C_alpha*C_fck*(1-(1-(O15+P15*'Geometry'!$G$41+Q15*'Geometry'!$F$41)/C_eco)^C_n),C_alpha*C_fck),0)))*'Geometry'!$H$41+((MAX(MIN(S_1_Es*(O15+P15*'Geometry'!$G$42+Q15*'Geometry'!$F$42),S_1_fy),-S_1_fy))-(IF((O15+P15*'Geometry'!$G$42+Q15*'Geometry'!$F$42)&gt;0,IF((O15+P15*'Geometry'!$G$42+Q15*'Geometry'!$F$42)&lt;=C_eco,C_alpha*C_fck*(1-(1-(O15+P15*'Geometry'!$G$42+Q15*'Geometry'!$F$42)/C_eco)^C_n),C_alpha*C_fck),0)))*'Geometry'!$H$42+((MAX(MIN(S_1_Es*(O15+P15*'Geometry'!$G$43+Q15*'Geometry'!$F$43),S_1_fy),-S_1_fy))-(IF((O15+P15*'Geometry'!$G$43+Q15*'Geometry'!$F$43)&gt;0,IF((O15+P15*'Geometry'!$G$43+Q15*'Geometry'!$F$43)&lt;=C_eco,C_alpha*C_fck*(1-(1-(O15+P15*'Geometry'!$G$43+Q15*'Geometry'!$F$43)/C_eco)^C_n),C_alpha*C_fck),0)))*'Geometry'!$H$43+((MAX(MIN(S_1_Es*(O15+P15*'Geometry'!$G$44+Q15*'Geometry'!$F$44),S_1_fy),-S_1_fy))-(IF((O15+P15*'Geometry'!$G$44+Q15*'Geometry'!$F$44)&gt;0,IF((O15+P15*'Geometry'!$G$44+Q15*'Geometry'!$F$44)&lt;=C_eco,C_alpha*C_fck*(1-(1-(O15+P15*'Geometry'!$G$44+Q15*'Geometry'!$F$44)/C_eco)^C_n),C_alpha*C_fck),0)))*'Geometry'!$H$44+((MAX(MIN(S_1_Es*(O15+P15*'Geometry'!$G$45+Q15*'Geometry'!$F$45),S_1_fy),-S_1_fy))-(IF((O15+P15*'Geometry'!$G$45+Q15*'Geometry'!$F$45)&gt;0,IF((O15+P15*'Geometry'!$G$45+Q15*'Geometry'!$F$45)&lt;=C_eco,C_alpha*C_fck*(1-(1-(O15+P15*'Geometry'!$G$45+Q15*'Geometry'!$F$45)/C_eco)^C_n),C_alpha*C_fck),0)))*'Geometry'!$H$45+((MAX(MIN(S_1_Es*(O15+P15*'Geometry'!$G$46+Q15*'Geometry'!$F$46),S_1_fy),-S_1_fy))-(IF((O15+P15*'Geometry'!$G$46+Q15*'Geometry'!$F$46)&gt;0,IF((O15+P15*'Geometry'!$G$46+Q15*'Geometry'!$F$46)&lt;=C_eco,C_alpha*C_fck*(1-(1-(O15+P15*'Geometry'!$G$46+Q15*'Geometry'!$F$46)/C_eco)^C_n),C_alpha*C_fck),0)))*'Geometry'!$H$46+((MAX(MIN(S_1_Es*(O15+P15*'Geometry'!$G$47+Q15*'Geometry'!$F$47),S_1_fy),-S_1_fy))-(IF((O15+P15*'Geometry'!$G$47+Q15*'Geometry'!$F$47)&gt;0,IF((O15+P15*'Geometry'!$G$47+Q15*'Geometry'!$F$47)&lt;=C_eco,C_alpha*C_fck*(1-(1-(O15+P15*'Geometry'!$G$47+Q15*'Geometry'!$F$47)/C_eco)^C_n),C_alpha*C_fck),0)))*'Geometry'!$H$47+((MAX(MIN(S_1_Es*(O15+P15*'Geometry'!$G$48+Q15*'Geometry'!$F$48),S_1_fy),-S_1_fy))-(IF((O15+P15*'Geometry'!$G$48+Q15*'Geometry'!$F$48)&gt;0,IF((O15+P15*'Geometry'!$G$48+Q15*'Geometry'!$F$48)&lt;=C_eco,C_alpha*C_fck*(1-(1-(O15+P15*'Geometry'!$G$48+Q15*'Geometry'!$F$48)/C_eco)^C_n),C_alpha*C_fck),0)))*'Geometry'!$H$48+((MAX(MIN(S_1_Es*(O15+P15*'Geometry'!$G$49+Q15*'Geometry'!$F$49),S_1_fy),-S_1_fy))-(IF((O15+P15*'Geometry'!$G$49+Q15*'Geometry'!$F$49)&gt;0,IF((O15+P15*'Geometry'!$G$49+Q15*'Geometry'!$F$49)&lt;=C_eco,C_alpha*C_fck*(1-(1-(O15+P15*'Geometry'!$G$49+Q15*'Geometry'!$F$49)/C_eco)^C_n),C_alpha*C_fck),0)))*'Geometry'!$H$49+((MAX(MIN(S_1_Es*(O15+P15*'Geometry'!$G$50+Q15*'Geometry'!$F$50),S_1_fy),-S_1_fy))-(IF((O15+P15*'Geometry'!$G$50+Q15*'Geometry'!$F$50)&gt;0,IF((O15+P15*'Geometry'!$G$50+Q15*'Geometry'!$F$50)&lt;=C_eco,C_alpha*C_fck*(1-(1-(O15+P15*'Geometry'!$G$50+Q15*'Geometry'!$F$50)/C_eco)^C_n),C_alpha*C_fck),0)))*'Geometry'!$H$50+((MAX(MIN(S_1_Es*(O15+P15*'Geometry'!$G$51+Q15*'Geometry'!$F$51),S_1_fy),-S_1_fy))-(IF((O15+P15*'Geometry'!$G$51+Q15*'Geometry'!$F$51)&gt;0,IF((O15+P15*'Geometry'!$G$51+Q15*'Geometry'!$F$51)&lt;=C_eco,C_alpha*C_fck*(1-(1-(O15+P15*'Geometry'!$G$51+Q15*'Geometry'!$F$51)/C_eco)^C_n),C_alpha*C_fck),0)))*'Geometry'!$H$51+((MAX(MIN(S_1_Es*(O15+P15*'Geometry'!$G$52+Q15*'Geometry'!$F$52),S_1_fy),-S_1_fy))-(IF((O15+P15*'Geometry'!$G$52+Q15*'Geometry'!$F$52)&gt;0,IF((O15+P15*'Geometry'!$G$52+Q15*'Geometry'!$F$52)&lt;=C_eco,C_alpha*C_fck*(1-(1-(O15+P15*'Geometry'!$G$52+Q15*'Geometry'!$F$52)/C_eco)^C_n),C_alpha*C_fck),0)))*'Geometry'!$H$52+((MAX(MIN(S_1_Es*(O15+P15*'Geometry'!$G$53+Q15*'Geometry'!$F$53),S_1_fy),-S_1_fy))-(IF((O15+P15*'Geometry'!$G$53+Q15*'Geometry'!$F$53)&gt;0,IF((O15+P15*'Geometry'!$G$53+Q15*'Geometry'!$F$53)&lt;=C_eco,C_alpha*C_fck*(1-(1-(O15+P15*'Geometry'!$G$53+Q15*'Geometry'!$F$53)/C_eco)^C_n),C_alpha*C_fck),0)))*'Geometry'!$H$53+((MAX(MIN(S_1_Es*(O15+P15*'Geometry'!$G$54+Q15*'Geometry'!$F$54),S_1_fy),-S_1_fy))-(IF((O15+P15*'Geometry'!$G$54+Q15*'Geometry'!$F$54)&gt;0,IF((O15+P15*'Geometry'!$G$54+Q15*'Geometry'!$F$54)&lt;=C_eco,C_alpha*C_fck*(1-(1-(O15+P15*'Geometry'!$G$54+Q15*'Geometry'!$F$54)/C_eco)^C_n),C_alpha*C_fck),0)))*'Geometry'!$H$54+((MAX(MIN(S_1_Es*(O15+P15*'Geometry'!$G$55+Q15*'Geometry'!$F$55),S_1_fy),-S_1_fy))-(IF((O15+P15*'Geometry'!$G$55+Q15*'Geometry'!$F$55)&gt;0,IF((O15+P15*'Geometry'!$G$55+Q15*'Geometry'!$F$55)&lt;=C_eco,C_alpha*C_fck*(1-(1-(O15+P15*'Geometry'!$G$55+Q15*'Geometry'!$F$55)/C_eco)^C_n),C_alpha*C_fck),0)))*'Geometry'!$H$55+((MAX(MIN(S_1_Es*(O15+P15*'Geometry'!$G$56+Q15*'Geometry'!$F$56),S_1_fy),-S_1_fy))-(IF((O15+P15*'Geometry'!$G$56+Q15*'Geometry'!$F$56)&gt;0,IF((O15+P15*'Geometry'!$G$56+Q15*'Geometry'!$F$56)&lt;=C_eco,C_alpha*C_fck*(1-(1-(O15+P15*'Geometry'!$G$56+Q15*'Geometry'!$F$56)/C_eco)^C_n),C_alpha*C_fck),0)))*'Geometry'!$H$56+((MAX(MIN(S_1_Es*(O15+P15*'Geometry'!$G$57+Q15*'Geometry'!$F$57),S_1_fy),-S_1_fy))-(IF((O15+P15*'Geometry'!$G$57+Q15*'Geometry'!$F$57)&gt;0,IF((O15+P15*'Geometry'!$G$57+Q15*'Geometry'!$F$57)&lt;=C_eco,C_alpha*C_fck*(1-(1-(O15+P15*'Geometry'!$G$57+Q15*'Geometry'!$F$57)/C_eco)^C_n),C_alpha*C_fck),0)))*'Geometry'!$H$57)/1000</f>
        <v>-3635.812564656076</v>
      </c>
      <c r="V15" s="10">
        <f>(((MAX(MIN(S_1_Es*(O15+P15*'Geometry'!$G$40+Q15*'Geometry'!$F$40),S_1_fy),-S_1_fy))-(IF((O15+P15*'Geometry'!$G$40+Q15*'Geometry'!$F$40)&gt;0,IF((O15+P15*'Geometry'!$G$40+Q15*'Geometry'!$F$40)&lt;=C_eco,C_alpha*C_fck*(1-(1-(O15+P15*'Geometry'!$G$40+Q15*'Geometry'!$F$40)/C_eco)^C_n),C_alpha*C_fck),0)))*'Geometry'!$H$40*'Geometry'!$G$40+((MAX(MIN(S_1_Es*(O15+P15*'Geometry'!$G$41+Q15*'Geometry'!$F$41),S_1_fy),-S_1_fy))-(IF((O15+P15*'Geometry'!$G$41+Q15*'Geometry'!$F$41)&gt;0,IF((O15+P15*'Geometry'!$G$41+Q15*'Geometry'!$F$41)&lt;=C_eco,C_alpha*C_fck*(1-(1-(O15+P15*'Geometry'!$G$41+Q15*'Geometry'!$F$41)/C_eco)^C_n),C_alpha*C_fck),0)))*'Geometry'!$H$41*'Geometry'!$G$41+((MAX(MIN(S_1_Es*(O15+P15*'Geometry'!$G$42+Q15*'Geometry'!$F$42),S_1_fy),-S_1_fy))-(IF((O15+P15*'Geometry'!$G$42+Q15*'Geometry'!$F$42)&gt;0,IF((O15+P15*'Geometry'!$G$42+Q15*'Geometry'!$F$42)&lt;=C_eco,C_alpha*C_fck*(1-(1-(O15+P15*'Geometry'!$G$42+Q15*'Geometry'!$F$42)/C_eco)^C_n),C_alpha*C_fck),0)))*'Geometry'!$H$42*'Geometry'!$G$42+((MAX(MIN(S_1_Es*(O15+P15*'Geometry'!$G$43+Q15*'Geometry'!$F$43),S_1_fy),-S_1_fy))-(IF((O15+P15*'Geometry'!$G$43+Q15*'Geometry'!$F$43)&gt;0,IF((O15+P15*'Geometry'!$G$43+Q15*'Geometry'!$F$43)&lt;=C_eco,C_alpha*C_fck*(1-(1-(O15+P15*'Geometry'!$G$43+Q15*'Geometry'!$F$43)/C_eco)^C_n),C_alpha*C_fck),0)))*'Geometry'!$H$43*'Geometry'!$G$43+((MAX(MIN(S_1_Es*(O15+P15*'Geometry'!$G$44+Q15*'Geometry'!$F$44),S_1_fy),-S_1_fy))-(IF((O15+P15*'Geometry'!$G$44+Q15*'Geometry'!$F$44)&gt;0,IF((O15+P15*'Geometry'!$G$44+Q15*'Geometry'!$F$44)&lt;=C_eco,C_alpha*C_fck*(1-(1-(O15+P15*'Geometry'!$G$44+Q15*'Geometry'!$F$44)/C_eco)^C_n),C_alpha*C_fck),0)))*'Geometry'!$H$44*'Geometry'!$G$44+((MAX(MIN(S_1_Es*(O15+P15*'Geometry'!$G$45+Q15*'Geometry'!$F$45),S_1_fy),-S_1_fy))-(IF((O15+P15*'Geometry'!$G$45+Q15*'Geometry'!$F$45)&gt;0,IF((O15+P15*'Geometry'!$G$45+Q15*'Geometry'!$F$45)&lt;=C_eco,C_alpha*C_fck*(1-(1-(O15+P15*'Geometry'!$G$45+Q15*'Geometry'!$F$45)/C_eco)^C_n),C_alpha*C_fck),0)))*'Geometry'!$H$45*'Geometry'!$G$45+((MAX(MIN(S_1_Es*(O15+P15*'Geometry'!$G$46+Q15*'Geometry'!$F$46),S_1_fy),-S_1_fy))-(IF((O15+P15*'Geometry'!$G$46+Q15*'Geometry'!$F$46)&gt;0,IF((O15+P15*'Geometry'!$G$46+Q15*'Geometry'!$F$46)&lt;=C_eco,C_alpha*C_fck*(1-(1-(O15+P15*'Geometry'!$G$46+Q15*'Geometry'!$F$46)/C_eco)^C_n),C_alpha*C_fck),0)))*'Geometry'!$H$46*'Geometry'!$G$46+((MAX(MIN(S_1_Es*(O15+P15*'Geometry'!$G$47+Q15*'Geometry'!$F$47),S_1_fy),-S_1_fy))-(IF((O15+P15*'Geometry'!$G$47+Q15*'Geometry'!$F$47)&gt;0,IF((O15+P15*'Geometry'!$G$47+Q15*'Geometry'!$F$47)&lt;=C_eco,C_alpha*C_fck*(1-(1-(O15+P15*'Geometry'!$G$47+Q15*'Geometry'!$F$47)/C_eco)^C_n),C_alpha*C_fck),0)))*'Geometry'!$H$47*'Geometry'!$G$47+((MAX(MIN(S_1_Es*(O15+P15*'Geometry'!$G$48+Q15*'Geometry'!$F$48),S_1_fy),-S_1_fy))-(IF((O15+P15*'Geometry'!$G$48+Q15*'Geometry'!$F$48)&gt;0,IF((O15+P15*'Geometry'!$G$48+Q15*'Geometry'!$F$48)&lt;=C_eco,C_alpha*C_fck*(1-(1-(O15+P15*'Geometry'!$G$48+Q15*'Geometry'!$F$48)/C_eco)^C_n),C_alpha*C_fck),0)))*'Geometry'!$H$48*'Geometry'!$G$48+((MAX(MIN(S_1_Es*(O15+P15*'Geometry'!$G$49+Q15*'Geometry'!$F$49),S_1_fy),-S_1_fy))-(IF((O15+P15*'Geometry'!$G$49+Q15*'Geometry'!$F$49)&gt;0,IF((O15+P15*'Geometry'!$G$49+Q15*'Geometry'!$F$49)&lt;=C_eco,C_alpha*C_fck*(1-(1-(O15+P15*'Geometry'!$G$49+Q15*'Geometry'!$F$49)/C_eco)^C_n),C_alpha*C_fck),0)))*'Geometry'!$H$49*'Geometry'!$G$49+((MAX(MIN(S_1_Es*(O15+P15*'Geometry'!$G$50+Q15*'Geometry'!$F$50),S_1_fy),-S_1_fy))-(IF((O15+P15*'Geometry'!$G$50+Q15*'Geometry'!$F$50)&gt;0,IF((O15+P15*'Geometry'!$G$50+Q15*'Geometry'!$F$50)&lt;=C_eco,C_alpha*C_fck*(1-(1-(O15+P15*'Geometry'!$G$50+Q15*'Geometry'!$F$50)/C_eco)^C_n),C_alpha*C_fck),0)))*'Geometry'!$H$50*'Geometry'!$G$50+((MAX(MIN(S_1_Es*(O15+P15*'Geometry'!$G$51+Q15*'Geometry'!$F$51),S_1_fy),-S_1_fy))-(IF((O15+P15*'Geometry'!$G$51+Q15*'Geometry'!$F$51)&gt;0,IF((O15+P15*'Geometry'!$G$51+Q15*'Geometry'!$F$51)&lt;=C_eco,C_alpha*C_fck*(1-(1-(O15+P15*'Geometry'!$G$51+Q15*'Geometry'!$F$51)/C_eco)^C_n),C_alpha*C_fck),0)))*'Geometry'!$H$51*'Geometry'!$G$51+((MAX(MIN(S_1_Es*(O15+P15*'Geometry'!$G$52+Q15*'Geometry'!$F$52),S_1_fy),-S_1_fy))-(IF((O15+P15*'Geometry'!$G$52+Q15*'Geometry'!$F$52)&gt;0,IF((O15+P15*'Geometry'!$G$52+Q15*'Geometry'!$F$52)&lt;=C_eco,C_alpha*C_fck*(1-(1-(O15+P15*'Geometry'!$G$52+Q15*'Geometry'!$F$52)/C_eco)^C_n),C_alpha*C_fck),0)))*'Geometry'!$H$52*'Geometry'!$G$52+((MAX(MIN(S_1_Es*(O15+P15*'Geometry'!$G$53+Q15*'Geometry'!$F$53),S_1_fy),-S_1_fy))-(IF((O15+P15*'Geometry'!$G$53+Q15*'Geometry'!$F$53)&gt;0,IF((O15+P15*'Geometry'!$G$53+Q15*'Geometry'!$F$53)&lt;=C_eco,C_alpha*C_fck*(1-(1-(O15+P15*'Geometry'!$G$53+Q15*'Geometry'!$F$53)/C_eco)^C_n),C_alpha*C_fck),0)))*'Geometry'!$H$53*'Geometry'!$G$53+((MAX(MIN(S_1_Es*(O15+P15*'Geometry'!$G$54+Q15*'Geometry'!$F$54),S_1_fy),-S_1_fy))-(IF((O15+P15*'Geometry'!$G$54+Q15*'Geometry'!$F$54)&gt;0,IF((O15+P15*'Geometry'!$G$54+Q15*'Geometry'!$F$54)&lt;=C_eco,C_alpha*C_fck*(1-(1-(O15+P15*'Geometry'!$G$54+Q15*'Geometry'!$F$54)/C_eco)^C_n),C_alpha*C_fck),0)))*'Geometry'!$H$54*'Geometry'!$G$54+((MAX(MIN(S_1_Es*(O15+P15*'Geometry'!$G$55+Q15*'Geometry'!$F$55),S_1_fy),-S_1_fy))-(IF((O15+P15*'Geometry'!$G$55+Q15*'Geometry'!$F$55)&gt;0,IF((O15+P15*'Geometry'!$G$55+Q15*'Geometry'!$F$55)&lt;=C_eco,C_alpha*C_fck*(1-(1-(O15+P15*'Geometry'!$G$55+Q15*'Geometry'!$F$55)/C_eco)^C_n),C_alpha*C_fck),0)))*'Geometry'!$H$55*'Geometry'!$G$55+((MAX(MIN(S_1_Es*(O15+P15*'Geometry'!$G$56+Q15*'Geometry'!$F$56),S_1_fy),-S_1_fy))-(IF((O15+P15*'Geometry'!$G$56+Q15*'Geometry'!$F$56)&gt;0,IF((O15+P15*'Geometry'!$G$56+Q15*'Geometry'!$F$56)&lt;=C_eco,C_alpha*C_fck*(1-(1-(O15+P15*'Geometry'!$G$56+Q15*'Geometry'!$F$56)/C_eco)^C_n),C_alpha*C_fck),0)))*'Geometry'!$H$56*'Geometry'!$G$56+((MAX(MIN(S_1_Es*(O15+P15*'Geometry'!$G$57+Q15*'Geometry'!$F$57),S_1_fy),-S_1_fy))-(IF((O15+P15*'Geometry'!$G$57+Q15*'Geometry'!$F$57)&gt;0,IF((O15+P15*'Geometry'!$G$57+Q15*'Geometry'!$F$57)&lt;=C_eco,C_alpha*C_fck*(1-(1-(O15+P15*'Geometry'!$G$57+Q15*'Geometry'!$F$57)/C_eco)^C_n),C_alpha*C_fck),0)))*'Geometry'!$H$57*'Geometry'!$G$57)/1000000</f>
        <v>284.6331024035582</v>
      </c>
      <c r="W15" s="10">
        <f>(((MAX(MIN(S_1_Es*(O15+P15*'Geometry'!$G$40+Q15*'Geometry'!$F$40),S_1_fy),-S_1_fy))-(IF((O15+P15*'Geometry'!$G$40+Q15*'Geometry'!$F$40)&gt;0,IF((O15+P15*'Geometry'!$G$40+Q15*'Geometry'!$F$40)&lt;=C_eco,C_alpha*C_fck*(1-(1-(O15+P15*'Geometry'!$G$40+Q15*'Geometry'!$F$40)/C_eco)^C_n),C_alpha*C_fck),0)))*'Geometry'!$H$40*'Geometry'!$F$40+((MAX(MIN(S_1_Es*(O15+P15*'Geometry'!$G$41+Q15*'Geometry'!$F$41),S_1_fy),-S_1_fy))-(IF((O15+P15*'Geometry'!$G$41+Q15*'Geometry'!$F$41)&gt;0,IF((O15+P15*'Geometry'!$G$41+Q15*'Geometry'!$F$41)&lt;=C_eco,C_alpha*C_fck*(1-(1-(O15+P15*'Geometry'!$G$41+Q15*'Geometry'!$F$41)/C_eco)^C_n),C_alpha*C_fck),0)))*'Geometry'!$H$41*'Geometry'!$F$41+((MAX(MIN(S_1_Es*(O15+P15*'Geometry'!$G$42+Q15*'Geometry'!$F$42),S_1_fy),-S_1_fy))-(IF((O15+P15*'Geometry'!$G$42+Q15*'Geometry'!$F$42)&gt;0,IF((O15+P15*'Geometry'!$G$42+Q15*'Geometry'!$F$42)&lt;=C_eco,C_alpha*C_fck*(1-(1-(O15+P15*'Geometry'!$G$42+Q15*'Geometry'!$F$42)/C_eco)^C_n),C_alpha*C_fck),0)))*'Geometry'!$H$42*'Geometry'!$F$42+((MAX(MIN(S_1_Es*(O15+P15*'Geometry'!$G$43+Q15*'Geometry'!$F$43),S_1_fy),-S_1_fy))-(IF((O15+P15*'Geometry'!$G$43+Q15*'Geometry'!$F$43)&gt;0,IF((O15+P15*'Geometry'!$G$43+Q15*'Geometry'!$F$43)&lt;=C_eco,C_alpha*C_fck*(1-(1-(O15+P15*'Geometry'!$G$43+Q15*'Geometry'!$F$43)/C_eco)^C_n),C_alpha*C_fck),0)))*'Geometry'!$H$43*'Geometry'!$F$43+((MAX(MIN(S_1_Es*(O15+P15*'Geometry'!$G$44+Q15*'Geometry'!$F$44),S_1_fy),-S_1_fy))-(IF((O15+P15*'Geometry'!$G$44+Q15*'Geometry'!$F$44)&gt;0,IF((O15+P15*'Geometry'!$G$44+Q15*'Geometry'!$F$44)&lt;=C_eco,C_alpha*C_fck*(1-(1-(O15+P15*'Geometry'!$G$44+Q15*'Geometry'!$F$44)/C_eco)^C_n),C_alpha*C_fck),0)))*'Geometry'!$H$44*'Geometry'!$F$44+((MAX(MIN(S_1_Es*(O15+P15*'Geometry'!$G$45+Q15*'Geometry'!$F$45),S_1_fy),-S_1_fy))-(IF((O15+P15*'Geometry'!$G$45+Q15*'Geometry'!$F$45)&gt;0,IF((O15+P15*'Geometry'!$G$45+Q15*'Geometry'!$F$45)&lt;=C_eco,C_alpha*C_fck*(1-(1-(O15+P15*'Geometry'!$G$45+Q15*'Geometry'!$F$45)/C_eco)^C_n),C_alpha*C_fck),0)))*'Geometry'!$H$45*'Geometry'!$F$45+((MAX(MIN(S_1_Es*(O15+P15*'Geometry'!$G$46+Q15*'Geometry'!$F$46),S_1_fy),-S_1_fy))-(IF((O15+P15*'Geometry'!$G$46+Q15*'Geometry'!$F$46)&gt;0,IF((O15+P15*'Geometry'!$G$46+Q15*'Geometry'!$F$46)&lt;=C_eco,C_alpha*C_fck*(1-(1-(O15+P15*'Geometry'!$G$46+Q15*'Geometry'!$F$46)/C_eco)^C_n),C_alpha*C_fck),0)))*'Geometry'!$H$46*'Geometry'!$F$46+((MAX(MIN(S_1_Es*(O15+P15*'Geometry'!$G$47+Q15*'Geometry'!$F$47),S_1_fy),-S_1_fy))-(IF((O15+P15*'Geometry'!$G$47+Q15*'Geometry'!$F$47)&gt;0,IF((O15+P15*'Geometry'!$G$47+Q15*'Geometry'!$F$47)&lt;=C_eco,C_alpha*C_fck*(1-(1-(O15+P15*'Geometry'!$G$47+Q15*'Geometry'!$F$47)/C_eco)^C_n),C_alpha*C_fck),0)))*'Geometry'!$H$47*'Geometry'!$F$47+((MAX(MIN(S_1_Es*(O15+P15*'Geometry'!$G$48+Q15*'Geometry'!$F$48),S_1_fy),-S_1_fy))-(IF((O15+P15*'Geometry'!$G$48+Q15*'Geometry'!$F$48)&gt;0,IF((O15+P15*'Geometry'!$G$48+Q15*'Geometry'!$F$48)&lt;=C_eco,C_alpha*C_fck*(1-(1-(O15+P15*'Geometry'!$G$48+Q15*'Geometry'!$F$48)/C_eco)^C_n),C_alpha*C_fck),0)))*'Geometry'!$H$48*'Geometry'!$F$48+((MAX(MIN(S_1_Es*(O15+P15*'Geometry'!$G$49+Q15*'Geometry'!$F$49),S_1_fy),-S_1_fy))-(IF((O15+P15*'Geometry'!$G$49+Q15*'Geometry'!$F$49)&gt;0,IF((O15+P15*'Geometry'!$G$49+Q15*'Geometry'!$F$49)&lt;=C_eco,C_alpha*C_fck*(1-(1-(O15+P15*'Geometry'!$G$49+Q15*'Geometry'!$F$49)/C_eco)^C_n),C_alpha*C_fck),0)))*'Geometry'!$H$49*'Geometry'!$F$49+((MAX(MIN(S_1_Es*(O15+P15*'Geometry'!$G$50+Q15*'Geometry'!$F$50),S_1_fy),-S_1_fy))-(IF((O15+P15*'Geometry'!$G$50+Q15*'Geometry'!$F$50)&gt;0,IF((O15+P15*'Geometry'!$G$50+Q15*'Geometry'!$F$50)&lt;=C_eco,C_alpha*C_fck*(1-(1-(O15+P15*'Geometry'!$G$50+Q15*'Geometry'!$F$50)/C_eco)^C_n),C_alpha*C_fck),0)))*'Geometry'!$H$50*'Geometry'!$F$50+((MAX(MIN(S_1_Es*(O15+P15*'Geometry'!$G$51+Q15*'Geometry'!$F$51),S_1_fy),-S_1_fy))-(IF((O15+P15*'Geometry'!$G$51+Q15*'Geometry'!$F$51)&gt;0,IF((O15+P15*'Geometry'!$G$51+Q15*'Geometry'!$F$51)&lt;=C_eco,C_alpha*C_fck*(1-(1-(O15+P15*'Geometry'!$G$51+Q15*'Geometry'!$F$51)/C_eco)^C_n),C_alpha*C_fck),0)))*'Geometry'!$H$51*'Geometry'!$F$51+((MAX(MIN(S_1_Es*(O15+P15*'Geometry'!$G$52+Q15*'Geometry'!$F$52),S_1_fy),-S_1_fy))-(IF((O15+P15*'Geometry'!$G$52+Q15*'Geometry'!$F$52)&gt;0,IF((O15+P15*'Geometry'!$G$52+Q15*'Geometry'!$F$52)&lt;=C_eco,C_alpha*C_fck*(1-(1-(O15+P15*'Geometry'!$G$52+Q15*'Geometry'!$F$52)/C_eco)^C_n),C_alpha*C_fck),0)))*'Geometry'!$H$52*'Geometry'!$F$52+((MAX(MIN(S_1_Es*(O15+P15*'Geometry'!$G$53+Q15*'Geometry'!$F$53),S_1_fy),-S_1_fy))-(IF((O15+P15*'Geometry'!$G$53+Q15*'Geometry'!$F$53)&gt;0,IF((O15+P15*'Geometry'!$G$53+Q15*'Geometry'!$F$53)&lt;=C_eco,C_alpha*C_fck*(1-(1-(O15+P15*'Geometry'!$G$53+Q15*'Geometry'!$F$53)/C_eco)^C_n),C_alpha*C_fck),0)))*'Geometry'!$H$53*'Geometry'!$F$53+((MAX(MIN(S_1_Es*(O15+P15*'Geometry'!$G$54+Q15*'Geometry'!$F$54),S_1_fy),-S_1_fy))-(IF((O15+P15*'Geometry'!$G$54+Q15*'Geometry'!$F$54)&gt;0,IF((O15+P15*'Geometry'!$G$54+Q15*'Geometry'!$F$54)&lt;=C_eco,C_alpha*C_fck*(1-(1-(O15+P15*'Geometry'!$G$54+Q15*'Geometry'!$F$54)/C_eco)^C_n),C_alpha*C_fck),0)))*'Geometry'!$H$54*'Geometry'!$F$54+((MAX(MIN(S_1_Es*(O15+P15*'Geometry'!$G$55+Q15*'Geometry'!$F$55),S_1_fy),-S_1_fy))-(IF((O15+P15*'Geometry'!$G$55+Q15*'Geometry'!$F$55)&gt;0,IF((O15+P15*'Geometry'!$G$55+Q15*'Geometry'!$F$55)&lt;=C_eco,C_alpha*C_fck*(1-(1-(O15+P15*'Geometry'!$G$55+Q15*'Geometry'!$F$55)/C_eco)^C_n),C_alpha*C_fck),0)))*'Geometry'!$H$55*'Geometry'!$F$55+((MAX(MIN(S_1_Es*(O15+P15*'Geometry'!$G$56+Q15*'Geometry'!$F$56),S_1_fy),-S_1_fy))-(IF((O15+P15*'Geometry'!$G$56+Q15*'Geometry'!$F$56)&gt;0,IF((O15+P15*'Geometry'!$G$56+Q15*'Geometry'!$F$56)&lt;=C_eco,C_alpha*C_fck*(1-(1-(O15+P15*'Geometry'!$G$56+Q15*'Geometry'!$F$56)/C_eco)^C_n),C_alpha*C_fck),0)))*'Geometry'!$H$56*'Geometry'!$F$56+((MAX(MIN(S_1_Es*(O15+P15*'Geometry'!$G$57+Q15*'Geometry'!$F$57),S_1_fy),-S_1_fy))-(IF((O15+P15*'Geometry'!$G$57+Q15*'Geometry'!$F$57)&gt;0,IF((O15+P15*'Geometry'!$G$57+Q15*'Geometry'!$F$57)&lt;=C_eco,C_alpha*C_fck*(1-(1-(O15+P15*'Geometry'!$G$57+Q15*'Geometry'!$F$57)/C_eco)^C_n),C_alpha*C_fck),0)))*'Geometry'!$H$57*'Geometry'!$F$57)/1000000</f>
        <v>1374.6865419294927</v>
      </c>
      <c r="X15" s="10">
        <f>R15+U15</f>
        <v>-656.0209579821405</v>
      </c>
      <c r="Y15" s="10">
        <f>S15+V15</f>
        <v>1067.9345912667295</v>
      </c>
      <c r="Z15" s="10">
        <f>T15+W15</f>
        <v>3269.1619125478574</v>
      </c>
      <c r="AA15" s="7">
        <v>0.8500000000000001</v>
      </c>
      <c r="AB15" s="7">
        <v>0.8499999999999999</v>
      </c>
      <c r="AC15" s="10">
        <f>X15*AA15</f>
        <v>-557.6178142848195</v>
      </c>
      <c r="AD15" s="10">
        <f>Y15*AB15</f>
        <v>907.7444025767201</v>
      </c>
      <c r="AE15" s="10">
        <f>Z15*AB15</f>
        <v>2778.7876256656787</v>
      </c>
      <c r="AF15" s="7">
        <v>-557.6178142848195</v>
      </c>
      <c r="AG15" s="7">
        <v>907.7444025767201</v>
      </c>
      <c r="AH15" s="7">
        <v>2778.7876256656787</v>
      </c>
      <c r="AI15" s="15">
        <f>AC15-AF15</f>
        <v>0</v>
      </c>
      <c r="AJ15" s="15">
        <f>SQRT((AD15-AG15)^2+(AE15-AH15)^2)</f>
        <v>0</v>
      </c>
      <c r="AK15" s="7" t="s">
        <v>189</v>
      </c>
      <c r="AL15" s="7">
        <v>-656.0209579821405</v>
      </c>
      <c r="AM15" s="7">
        <v>1067.9345912667295</v>
      </c>
      <c r="AN15" s="7">
        <v>3269.1619125478574</v>
      </c>
      <c r="AO15" s="7">
        <v>2979.7916066739353</v>
      </c>
      <c r="AP15" s="7">
        <v>783.3014888631714</v>
      </c>
      <c r="AQ15" s="7">
        <v>1894.4753706183646</v>
      </c>
      <c r="AR15" s="7">
        <v>-3635.812564656076</v>
      </c>
      <c r="AS15" s="7">
        <v>284.6331024035582</v>
      </c>
      <c r="AT15" s="7">
        <v>1374.6865419294927</v>
      </c>
    </row>
    <row r="16" spans="1:46" x14ac:dyDescent="0.25">
      <c r="A16" s="7" t="s">
        <v>205</v>
      </c>
      <c r="B16" s="7">
        <v>1</v>
      </c>
      <c r="C16" s="18">
        <v>80</v>
      </c>
      <c r="D16" s="7" t="s">
        <v>206</v>
      </c>
      <c r="E16" s="7" t="s">
        <v>207</v>
      </c>
      <c r="F16" s="19">
        <v>80</v>
      </c>
      <c r="G16" s="7" t="s">
        <v>188</v>
      </c>
      <c r="H16" s="20">
        <v>10</v>
      </c>
      <c r="I16" s="10">
        <f>MAX(('Geometry'!$G$13*COS(RADIANS(F16))+'Geometry'!$F$13*SIN(RADIANS(F16))),('Geometry'!$G$14*COS(RADIANS(F16))+'Geometry'!$F$14*SIN(RADIANS(F16))),('Geometry'!$G$15*COS(RADIANS(F16))+'Geometry'!$F$15*SIN(RADIANS(F16))),('Geometry'!$G$16*COS(RADIANS(F16))+'Geometry'!$F$16*SIN(RADIANS(F16))),('Geometry'!$G$17*COS(RADIANS(F16))+'Geometry'!$F$17*SIN(RADIANS(F16))),('Geometry'!$G$18*COS(RADIANS(F16))+'Geometry'!$F$18*SIN(RADIANS(F16))),('Geometry'!$G$19*COS(RADIANS(F16))+'Geometry'!$F$19*SIN(RADIANS(F16))),('Geometry'!$G$20*COS(RADIANS(F16))+'Geometry'!$F$20*SIN(RADIANS(F16))))</f>
        <v>808.0650858259282</v>
      </c>
      <c r="J16" s="10">
        <f>MIN(('Geometry'!$G$40*COS(RADIANS(F16))+'Geometry'!$F$40*SIN(RADIANS(F16))),('Geometry'!$G$41*COS(RADIANS(F16))+'Geometry'!$F$41*SIN(RADIANS(F16))),('Geometry'!$G$42*COS(RADIANS(F16))+'Geometry'!$F$42*SIN(RADIANS(F16))),('Geometry'!$G$43*COS(RADIANS(F16))+'Geometry'!$F$43*SIN(RADIANS(F16))),('Geometry'!$G$44*COS(RADIANS(F16))+'Geometry'!$F$44*SIN(RADIANS(F16))),('Geometry'!$G$45*COS(RADIANS(F16))+'Geometry'!$F$45*SIN(RADIANS(F16))),('Geometry'!$G$46*COS(RADIANS(F16))+'Geometry'!$F$46*SIN(RADIANS(F16))),('Geometry'!$G$47*COS(RADIANS(F16))+'Geometry'!$F$47*SIN(RADIANS(F16))),('Geometry'!$G$48*COS(RADIANS(F16))+'Geometry'!$F$48*SIN(RADIANS(F16))),('Geometry'!$G$49*COS(RADIANS(F16))+'Geometry'!$F$49*SIN(RADIANS(F16))),('Geometry'!$G$50*COS(RADIANS(F16))+'Geometry'!$F$50*SIN(RADIANS(F16))),('Geometry'!$G$51*COS(RADIANS(F16))+'Geometry'!$F$51*SIN(RADIANS(F16))),('Geometry'!$G$52*COS(RADIANS(F16))+'Geometry'!$F$52*SIN(RADIANS(F16))),('Geometry'!$G$53*COS(RADIANS(F16))+'Geometry'!$F$53*SIN(RADIANS(F16))),('Geometry'!$G$54*COS(RADIANS(F16))+'Geometry'!$F$54*SIN(RADIANS(F16))),('Geometry'!$G$55*COS(RADIANS(F16))+'Geometry'!$F$55*SIN(RADIANS(F16))),('Geometry'!$G$56*COS(RADIANS(F16))+'Geometry'!$F$56*SIN(RADIANS(F16))),('Geometry'!$G$57*COS(RADIANS(F16))+'Geometry'!$F$57*SIN(RADIANS(F16))))</f>
        <v>-721.7637253483806</v>
      </c>
      <c r="K16" s="10">
        <f>I16-MIN(('Geometry'!$G$13*COS(RADIANS(F16))+'Geometry'!$F$13*SIN(RADIANS(F16))),('Geometry'!$G$14*COS(RADIANS(F16))+'Geometry'!$F$14*SIN(RADIANS(F16))),('Geometry'!$G$15*COS(RADIANS(F16))+'Geometry'!$F$15*SIN(RADIANS(F16))),('Geometry'!$G$16*COS(RADIANS(F16))+'Geometry'!$F$16*SIN(RADIANS(F16))),('Geometry'!$G$17*COS(RADIANS(F16))+'Geometry'!$F$17*SIN(RADIANS(F16))),('Geometry'!$G$18*COS(RADIANS(F16))+'Geometry'!$F$18*SIN(RADIANS(F16))),('Geometry'!$G$19*COS(RADIANS(F16))+'Geometry'!$F$19*SIN(RADIANS(F16))),('Geometry'!$G$20*COS(RADIANS(F16))+'Geometry'!$F$20*SIN(RADIANS(F16))))</f>
        <v>1616.1301716518565</v>
      </c>
      <c r="L16" s="15">
        <f>C_ecu</f>
        <v>0.003299999999999999</v>
      </c>
      <c r="M16" s="15">
        <f>-H16*S_1_fy/S_1_Es</f>
        <v>-0.02</v>
      </c>
      <c r="N16" s="21">
        <f>IF(ABS(I16-J16)&lt;0.000000000001,0,(L16-M16)/(I16-J16))</f>
        <v>0.000015230462277746444</v>
      </c>
      <c r="O16" s="15">
        <f>L16-N16*I16</f>
        <v>-0.009007204807635744</v>
      </c>
      <c r="P16" s="21">
        <f>N16*COS(RADIANS(F16))</f>
        <v>0.0000026447420195555964</v>
      </c>
      <c r="Q16" s="21">
        <f>N16*SIN(RADIANS(F16))</f>
        <v>0.000014999077333084674</v>
      </c>
      <c r="R16" s="10">
        <f>SUMPRODUCT(C_alpha*C_fck*(1-(1-(((O16+P16*Mesh_Y+Q16*Mesh_X))*((O16+P16*Mesh_Y+Q16*Mesh_X)&gt;0)*((O16+P16*Mesh_Y+Q16*Mesh_X)&lt;C_eco)+C_eco*((O16+P16*Mesh_Y+Q16*Mesh_X)&gt;=C_eco))/C_eco)^C_n)*(((O16+P16*Mesh_Y+Q16*Mesh_X))&gt;0),Mesh_A)/1000</f>
        <v>2655.4479361138187</v>
      </c>
      <c r="S16" s="10">
        <f>SUMPRODUCT(C_alpha*C_fck*(1-(1-(((O16+P16*Mesh_Y+Q16*Mesh_X))*((O16+P16*Mesh_Y+Q16*Mesh_X)&gt;0)*((O16+P16*Mesh_Y+Q16*Mesh_X)&lt;C_eco)+C_eco*((O16+P16*Mesh_Y+Q16*Mesh_X)&gt;=C_eco))/C_eco)^C_n)*(((O16+P16*Mesh_Y+Q16*Mesh_X))&gt;0),Mesh_A,Mesh_Y)/1000000</f>
        <v>412.4102201053611</v>
      </c>
      <c r="T16" s="10">
        <f>SUMPRODUCT(C_alpha*C_fck*(1-(1-(((O16+P16*Mesh_Y+Q16*Mesh_X))*((O16+P16*Mesh_Y+Q16*Mesh_X)&gt;0)*((O16+P16*Mesh_Y+Q16*Mesh_X)&lt;C_eco)+C_eco*((O16+P16*Mesh_Y+Q16*Mesh_X)&gt;=C_eco))/C_eco)^C_n)*(((O16+P16*Mesh_Y+Q16*Mesh_X))&gt;0),Mesh_A,Mesh_X)/1000000</f>
        <v>1785.7439836223227</v>
      </c>
      <c r="U16" s="10">
        <f>(((MAX(MIN(S_1_Es*(O16+P16*'Geometry'!$G$40+Q16*'Geometry'!$F$40),S_1_fy),-S_1_fy))-(IF((O16+P16*'Geometry'!$G$40+Q16*'Geometry'!$F$40)&gt;0,IF((O16+P16*'Geometry'!$G$40+Q16*'Geometry'!$F$40)&lt;=C_eco,C_alpha*C_fck*(1-(1-(O16+P16*'Geometry'!$G$40+Q16*'Geometry'!$F$40)/C_eco)^C_n),C_alpha*C_fck),0)))*'Geometry'!$H$40+((MAX(MIN(S_1_Es*(O16+P16*'Geometry'!$G$41+Q16*'Geometry'!$F$41),S_1_fy),-S_1_fy))-(IF((O16+P16*'Geometry'!$G$41+Q16*'Geometry'!$F$41)&gt;0,IF((O16+P16*'Geometry'!$G$41+Q16*'Geometry'!$F$41)&lt;=C_eco,C_alpha*C_fck*(1-(1-(O16+P16*'Geometry'!$G$41+Q16*'Geometry'!$F$41)/C_eco)^C_n),C_alpha*C_fck),0)))*'Geometry'!$H$41+((MAX(MIN(S_1_Es*(O16+P16*'Geometry'!$G$42+Q16*'Geometry'!$F$42),S_1_fy),-S_1_fy))-(IF((O16+P16*'Geometry'!$G$42+Q16*'Geometry'!$F$42)&gt;0,IF((O16+P16*'Geometry'!$G$42+Q16*'Geometry'!$F$42)&lt;=C_eco,C_alpha*C_fck*(1-(1-(O16+P16*'Geometry'!$G$42+Q16*'Geometry'!$F$42)/C_eco)^C_n),C_alpha*C_fck),0)))*'Geometry'!$H$42+((MAX(MIN(S_1_Es*(O16+P16*'Geometry'!$G$43+Q16*'Geometry'!$F$43),S_1_fy),-S_1_fy))-(IF((O16+P16*'Geometry'!$G$43+Q16*'Geometry'!$F$43)&gt;0,IF((O16+P16*'Geometry'!$G$43+Q16*'Geometry'!$F$43)&lt;=C_eco,C_alpha*C_fck*(1-(1-(O16+P16*'Geometry'!$G$43+Q16*'Geometry'!$F$43)/C_eco)^C_n),C_alpha*C_fck),0)))*'Geometry'!$H$43+((MAX(MIN(S_1_Es*(O16+P16*'Geometry'!$G$44+Q16*'Geometry'!$F$44),S_1_fy),-S_1_fy))-(IF((O16+P16*'Geometry'!$G$44+Q16*'Geometry'!$F$44)&gt;0,IF((O16+P16*'Geometry'!$G$44+Q16*'Geometry'!$F$44)&lt;=C_eco,C_alpha*C_fck*(1-(1-(O16+P16*'Geometry'!$G$44+Q16*'Geometry'!$F$44)/C_eco)^C_n),C_alpha*C_fck),0)))*'Geometry'!$H$44+((MAX(MIN(S_1_Es*(O16+P16*'Geometry'!$G$45+Q16*'Geometry'!$F$45),S_1_fy),-S_1_fy))-(IF((O16+P16*'Geometry'!$G$45+Q16*'Geometry'!$F$45)&gt;0,IF((O16+P16*'Geometry'!$G$45+Q16*'Geometry'!$F$45)&lt;=C_eco,C_alpha*C_fck*(1-(1-(O16+P16*'Geometry'!$G$45+Q16*'Geometry'!$F$45)/C_eco)^C_n),C_alpha*C_fck),0)))*'Geometry'!$H$45+((MAX(MIN(S_1_Es*(O16+P16*'Geometry'!$G$46+Q16*'Geometry'!$F$46),S_1_fy),-S_1_fy))-(IF((O16+P16*'Geometry'!$G$46+Q16*'Geometry'!$F$46)&gt;0,IF((O16+P16*'Geometry'!$G$46+Q16*'Geometry'!$F$46)&lt;=C_eco,C_alpha*C_fck*(1-(1-(O16+P16*'Geometry'!$G$46+Q16*'Geometry'!$F$46)/C_eco)^C_n),C_alpha*C_fck),0)))*'Geometry'!$H$46+((MAX(MIN(S_1_Es*(O16+P16*'Geometry'!$G$47+Q16*'Geometry'!$F$47),S_1_fy),-S_1_fy))-(IF((O16+P16*'Geometry'!$G$47+Q16*'Geometry'!$F$47)&gt;0,IF((O16+P16*'Geometry'!$G$47+Q16*'Geometry'!$F$47)&lt;=C_eco,C_alpha*C_fck*(1-(1-(O16+P16*'Geometry'!$G$47+Q16*'Geometry'!$F$47)/C_eco)^C_n),C_alpha*C_fck),0)))*'Geometry'!$H$47+((MAX(MIN(S_1_Es*(O16+P16*'Geometry'!$G$48+Q16*'Geometry'!$F$48),S_1_fy),-S_1_fy))-(IF((O16+P16*'Geometry'!$G$48+Q16*'Geometry'!$F$48)&gt;0,IF((O16+P16*'Geometry'!$G$48+Q16*'Geometry'!$F$48)&lt;=C_eco,C_alpha*C_fck*(1-(1-(O16+P16*'Geometry'!$G$48+Q16*'Geometry'!$F$48)/C_eco)^C_n),C_alpha*C_fck),0)))*'Geometry'!$H$48+((MAX(MIN(S_1_Es*(O16+P16*'Geometry'!$G$49+Q16*'Geometry'!$F$49),S_1_fy),-S_1_fy))-(IF((O16+P16*'Geometry'!$G$49+Q16*'Geometry'!$F$49)&gt;0,IF((O16+P16*'Geometry'!$G$49+Q16*'Geometry'!$F$49)&lt;=C_eco,C_alpha*C_fck*(1-(1-(O16+P16*'Geometry'!$G$49+Q16*'Geometry'!$F$49)/C_eco)^C_n),C_alpha*C_fck),0)))*'Geometry'!$H$49+((MAX(MIN(S_1_Es*(O16+P16*'Geometry'!$G$50+Q16*'Geometry'!$F$50),S_1_fy),-S_1_fy))-(IF((O16+P16*'Geometry'!$G$50+Q16*'Geometry'!$F$50)&gt;0,IF((O16+P16*'Geometry'!$G$50+Q16*'Geometry'!$F$50)&lt;=C_eco,C_alpha*C_fck*(1-(1-(O16+P16*'Geometry'!$G$50+Q16*'Geometry'!$F$50)/C_eco)^C_n),C_alpha*C_fck),0)))*'Geometry'!$H$50+((MAX(MIN(S_1_Es*(O16+P16*'Geometry'!$G$51+Q16*'Geometry'!$F$51),S_1_fy),-S_1_fy))-(IF((O16+P16*'Geometry'!$G$51+Q16*'Geometry'!$F$51)&gt;0,IF((O16+P16*'Geometry'!$G$51+Q16*'Geometry'!$F$51)&lt;=C_eco,C_alpha*C_fck*(1-(1-(O16+P16*'Geometry'!$G$51+Q16*'Geometry'!$F$51)/C_eco)^C_n),C_alpha*C_fck),0)))*'Geometry'!$H$51+((MAX(MIN(S_1_Es*(O16+P16*'Geometry'!$G$52+Q16*'Geometry'!$F$52),S_1_fy),-S_1_fy))-(IF((O16+P16*'Geometry'!$G$52+Q16*'Geometry'!$F$52)&gt;0,IF((O16+P16*'Geometry'!$G$52+Q16*'Geometry'!$F$52)&lt;=C_eco,C_alpha*C_fck*(1-(1-(O16+P16*'Geometry'!$G$52+Q16*'Geometry'!$F$52)/C_eco)^C_n),C_alpha*C_fck),0)))*'Geometry'!$H$52+((MAX(MIN(S_1_Es*(O16+P16*'Geometry'!$G$53+Q16*'Geometry'!$F$53),S_1_fy),-S_1_fy))-(IF((O16+P16*'Geometry'!$G$53+Q16*'Geometry'!$F$53)&gt;0,IF((O16+P16*'Geometry'!$G$53+Q16*'Geometry'!$F$53)&lt;=C_eco,C_alpha*C_fck*(1-(1-(O16+P16*'Geometry'!$G$53+Q16*'Geometry'!$F$53)/C_eco)^C_n),C_alpha*C_fck),0)))*'Geometry'!$H$53+((MAX(MIN(S_1_Es*(O16+P16*'Geometry'!$G$54+Q16*'Geometry'!$F$54),S_1_fy),-S_1_fy))-(IF((O16+P16*'Geometry'!$G$54+Q16*'Geometry'!$F$54)&gt;0,IF((O16+P16*'Geometry'!$G$54+Q16*'Geometry'!$F$54)&lt;=C_eco,C_alpha*C_fck*(1-(1-(O16+P16*'Geometry'!$G$54+Q16*'Geometry'!$F$54)/C_eco)^C_n),C_alpha*C_fck),0)))*'Geometry'!$H$54+((MAX(MIN(S_1_Es*(O16+P16*'Geometry'!$G$55+Q16*'Geometry'!$F$55),S_1_fy),-S_1_fy))-(IF((O16+P16*'Geometry'!$G$55+Q16*'Geometry'!$F$55)&gt;0,IF((O16+P16*'Geometry'!$G$55+Q16*'Geometry'!$F$55)&lt;=C_eco,C_alpha*C_fck*(1-(1-(O16+P16*'Geometry'!$G$55+Q16*'Geometry'!$F$55)/C_eco)^C_n),C_alpha*C_fck),0)))*'Geometry'!$H$55+((MAX(MIN(S_1_Es*(O16+P16*'Geometry'!$G$56+Q16*'Geometry'!$F$56),S_1_fy),-S_1_fy))-(IF((O16+P16*'Geometry'!$G$56+Q16*'Geometry'!$F$56)&gt;0,IF((O16+P16*'Geometry'!$G$56+Q16*'Geometry'!$F$56)&lt;=C_eco,C_alpha*C_fck*(1-(1-(O16+P16*'Geometry'!$G$56+Q16*'Geometry'!$F$56)/C_eco)^C_n),C_alpha*C_fck),0)))*'Geometry'!$H$56+((MAX(MIN(S_1_Es*(O16+P16*'Geometry'!$G$57+Q16*'Geometry'!$F$57),S_1_fy),-S_1_fy))-(IF((O16+P16*'Geometry'!$G$57+Q16*'Geometry'!$F$57)&gt;0,IF((O16+P16*'Geometry'!$G$57+Q16*'Geometry'!$F$57)&lt;=C_eco,C_alpha*C_fck*(1-(1-(O16+P16*'Geometry'!$G$57+Q16*'Geometry'!$F$57)/C_eco)^C_n),C_alpha*C_fck),0)))*'Geometry'!$H$57)/1000</f>
        <v>-3734.828762296767</v>
      </c>
      <c r="V16" s="10">
        <f>(((MAX(MIN(S_1_Es*(O16+P16*'Geometry'!$G$40+Q16*'Geometry'!$F$40),S_1_fy),-S_1_fy))-(IF((O16+P16*'Geometry'!$G$40+Q16*'Geometry'!$F$40)&gt;0,IF((O16+P16*'Geometry'!$G$40+Q16*'Geometry'!$F$40)&lt;=C_eco,C_alpha*C_fck*(1-(1-(O16+P16*'Geometry'!$G$40+Q16*'Geometry'!$F$40)/C_eco)^C_n),C_alpha*C_fck),0)))*'Geometry'!$H$40*'Geometry'!$G$40+((MAX(MIN(S_1_Es*(O16+P16*'Geometry'!$G$41+Q16*'Geometry'!$F$41),S_1_fy),-S_1_fy))-(IF((O16+P16*'Geometry'!$G$41+Q16*'Geometry'!$F$41)&gt;0,IF((O16+P16*'Geometry'!$G$41+Q16*'Geometry'!$F$41)&lt;=C_eco,C_alpha*C_fck*(1-(1-(O16+P16*'Geometry'!$G$41+Q16*'Geometry'!$F$41)/C_eco)^C_n),C_alpha*C_fck),0)))*'Geometry'!$H$41*'Geometry'!$G$41+((MAX(MIN(S_1_Es*(O16+P16*'Geometry'!$G$42+Q16*'Geometry'!$F$42),S_1_fy),-S_1_fy))-(IF((O16+P16*'Geometry'!$G$42+Q16*'Geometry'!$F$42)&gt;0,IF((O16+P16*'Geometry'!$G$42+Q16*'Geometry'!$F$42)&lt;=C_eco,C_alpha*C_fck*(1-(1-(O16+P16*'Geometry'!$G$42+Q16*'Geometry'!$F$42)/C_eco)^C_n),C_alpha*C_fck),0)))*'Geometry'!$H$42*'Geometry'!$G$42+((MAX(MIN(S_1_Es*(O16+P16*'Geometry'!$G$43+Q16*'Geometry'!$F$43),S_1_fy),-S_1_fy))-(IF((O16+P16*'Geometry'!$G$43+Q16*'Geometry'!$F$43)&gt;0,IF((O16+P16*'Geometry'!$G$43+Q16*'Geometry'!$F$43)&lt;=C_eco,C_alpha*C_fck*(1-(1-(O16+P16*'Geometry'!$G$43+Q16*'Geometry'!$F$43)/C_eco)^C_n),C_alpha*C_fck),0)))*'Geometry'!$H$43*'Geometry'!$G$43+((MAX(MIN(S_1_Es*(O16+P16*'Geometry'!$G$44+Q16*'Geometry'!$F$44),S_1_fy),-S_1_fy))-(IF((O16+P16*'Geometry'!$G$44+Q16*'Geometry'!$F$44)&gt;0,IF((O16+P16*'Geometry'!$G$44+Q16*'Geometry'!$F$44)&lt;=C_eco,C_alpha*C_fck*(1-(1-(O16+P16*'Geometry'!$G$44+Q16*'Geometry'!$F$44)/C_eco)^C_n),C_alpha*C_fck),0)))*'Geometry'!$H$44*'Geometry'!$G$44+((MAX(MIN(S_1_Es*(O16+P16*'Geometry'!$G$45+Q16*'Geometry'!$F$45),S_1_fy),-S_1_fy))-(IF((O16+P16*'Geometry'!$G$45+Q16*'Geometry'!$F$45)&gt;0,IF((O16+P16*'Geometry'!$G$45+Q16*'Geometry'!$F$45)&lt;=C_eco,C_alpha*C_fck*(1-(1-(O16+P16*'Geometry'!$G$45+Q16*'Geometry'!$F$45)/C_eco)^C_n),C_alpha*C_fck),0)))*'Geometry'!$H$45*'Geometry'!$G$45+((MAX(MIN(S_1_Es*(O16+P16*'Geometry'!$G$46+Q16*'Geometry'!$F$46),S_1_fy),-S_1_fy))-(IF((O16+P16*'Geometry'!$G$46+Q16*'Geometry'!$F$46)&gt;0,IF((O16+P16*'Geometry'!$G$46+Q16*'Geometry'!$F$46)&lt;=C_eco,C_alpha*C_fck*(1-(1-(O16+P16*'Geometry'!$G$46+Q16*'Geometry'!$F$46)/C_eco)^C_n),C_alpha*C_fck),0)))*'Geometry'!$H$46*'Geometry'!$G$46+((MAX(MIN(S_1_Es*(O16+P16*'Geometry'!$G$47+Q16*'Geometry'!$F$47),S_1_fy),-S_1_fy))-(IF((O16+P16*'Geometry'!$G$47+Q16*'Geometry'!$F$47)&gt;0,IF((O16+P16*'Geometry'!$G$47+Q16*'Geometry'!$F$47)&lt;=C_eco,C_alpha*C_fck*(1-(1-(O16+P16*'Geometry'!$G$47+Q16*'Geometry'!$F$47)/C_eco)^C_n),C_alpha*C_fck),0)))*'Geometry'!$H$47*'Geometry'!$G$47+((MAX(MIN(S_1_Es*(O16+P16*'Geometry'!$G$48+Q16*'Geometry'!$F$48),S_1_fy),-S_1_fy))-(IF((O16+P16*'Geometry'!$G$48+Q16*'Geometry'!$F$48)&gt;0,IF((O16+P16*'Geometry'!$G$48+Q16*'Geometry'!$F$48)&lt;=C_eco,C_alpha*C_fck*(1-(1-(O16+P16*'Geometry'!$G$48+Q16*'Geometry'!$F$48)/C_eco)^C_n),C_alpha*C_fck),0)))*'Geometry'!$H$48*'Geometry'!$G$48+((MAX(MIN(S_1_Es*(O16+P16*'Geometry'!$G$49+Q16*'Geometry'!$F$49),S_1_fy),-S_1_fy))-(IF((O16+P16*'Geometry'!$G$49+Q16*'Geometry'!$F$49)&gt;0,IF((O16+P16*'Geometry'!$G$49+Q16*'Geometry'!$F$49)&lt;=C_eco,C_alpha*C_fck*(1-(1-(O16+P16*'Geometry'!$G$49+Q16*'Geometry'!$F$49)/C_eco)^C_n),C_alpha*C_fck),0)))*'Geometry'!$H$49*'Geometry'!$G$49+((MAX(MIN(S_1_Es*(O16+P16*'Geometry'!$G$50+Q16*'Geometry'!$F$50),S_1_fy),-S_1_fy))-(IF((O16+P16*'Geometry'!$G$50+Q16*'Geometry'!$F$50)&gt;0,IF((O16+P16*'Geometry'!$G$50+Q16*'Geometry'!$F$50)&lt;=C_eco,C_alpha*C_fck*(1-(1-(O16+P16*'Geometry'!$G$50+Q16*'Geometry'!$F$50)/C_eco)^C_n),C_alpha*C_fck),0)))*'Geometry'!$H$50*'Geometry'!$G$50+((MAX(MIN(S_1_Es*(O16+P16*'Geometry'!$G$51+Q16*'Geometry'!$F$51),S_1_fy),-S_1_fy))-(IF((O16+P16*'Geometry'!$G$51+Q16*'Geometry'!$F$51)&gt;0,IF((O16+P16*'Geometry'!$G$51+Q16*'Geometry'!$F$51)&lt;=C_eco,C_alpha*C_fck*(1-(1-(O16+P16*'Geometry'!$G$51+Q16*'Geometry'!$F$51)/C_eco)^C_n),C_alpha*C_fck),0)))*'Geometry'!$H$51*'Geometry'!$G$51+((MAX(MIN(S_1_Es*(O16+P16*'Geometry'!$G$52+Q16*'Geometry'!$F$52),S_1_fy),-S_1_fy))-(IF((O16+P16*'Geometry'!$G$52+Q16*'Geometry'!$F$52)&gt;0,IF((O16+P16*'Geometry'!$G$52+Q16*'Geometry'!$F$52)&lt;=C_eco,C_alpha*C_fck*(1-(1-(O16+P16*'Geometry'!$G$52+Q16*'Geometry'!$F$52)/C_eco)^C_n),C_alpha*C_fck),0)))*'Geometry'!$H$52*'Geometry'!$G$52+((MAX(MIN(S_1_Es*(O16+P16*'Geometry'!$G$53+Q16*'Geometry'!$F$53),S_1_fy),-S_1_fy))-(IF((O16+P16*'Geometry'!$G$53+Q16*'Geometry'!$F$53)&gt;0,IF((O16+P16*'Geometry'!$G$53+Q16*'Geometry'!$F$53)&lt;=C_eco,C_alpha*C_fck*(1-(1-(O16+P16*'Geometry'!$G$53+Q16*'Geometry'!$F$53)/C_eco)^C_n),C_alpha*C_fck),0)))*'Geometry'!$H$53*'Geometry'!$G$53+((MAX(MIN(S_1_Es*(O16+P16*'Geometry'!$G$54+Q16*'Geometry'!$F$54),S_1_fy),-S_1_fy))-(IF((O16+P16*'Geometry'!$G$54+Q16*'Geometry'!$F$54)&gt;0,IF((O16+P16*'Geometry'!$G$54+Q16*'Geometry'!$F$54)&lt;=C_eco,C_alpha*C_fck*(1-(1-(O16+P16*'Geometry'!$G$54+Q16*'Geometry'!$F$54)/C_eco)^C_n),C_alpha*C_fck),0)))*'Geometry'!$H$54*'Geometry'!$G$54+((MAX(MIN(S_1_Es*(O16+P16*'Geometry'!$G$55+Q16*'Geometry'!$F$55),S_1_fy),-S_1_fy))-(IF((O16+P16*'Geometry'!$G$55+Q16*'Geometry'!$F$55)&gt;0,IF((O16+P16*'Geometry'!$G$55+Q16*'Geometry'!$F$55)&lt;=C_eco,C_alpha*C_fck*(1-(1-(O16+P16*'Geometry'!$G$55+Q16*'Geometry'!$F$55)/C_eco)^C_n),C_alpha*C_fck),0)))*'Geometry'!$H$55*'Geometry'!$G$55+((MAX(MIN(S_1_Es*(O16+P16*'Geometry'!$G$56+Q16*'Geometry'!$F$56),S_1_fy),-S_1_fy))-(IF((O16+P16*'Geometry'!$G$56+Q16*'Geometry'!$F$56)&gt;0,IF((O16+P16*'Geometry'!$G$56+Q16*'Geometry'!$F$56)&lt;=C_eco,C_alpha*C_fck*(1-(1-(O16+P16*'Geometry'!$G$56+Q16*'Geometry'!$F$56)/C_eco)^C_n),C_alpha*C_fck),0)))*'Geometry'!$H$56*'Geometry'!$G$56+((MAX(MIN(S_1_Es*(O16+P16*'Geometry'!$G$57+Q16*'Geometry'!$F$57),S_1_fy),-S_1_fy))-(IF((O16+P16*'Geometry'!$G$57+Q16*'Geometry'!$F$57)&gt;0,IF((O16+P16*'Geometry'!$G$57+Q16*'Geometry'!$F$57)&lt;=C_eco,C_alpha*C_fck*(1-(1-(O16+P16*'Geometry'!$G$57+Q16*'Geometry'!$F$57)/C_eco)^C_n),C_alpha*C_fck),0)))*'Geometry'!$H$57*'Geometry'!$G$57)/1000000</f>
        <v>114.29997685711247</v>
      </c>
      <c r="W16" s="10">
        <f>(((MAX(MIN(S_1_Es*(O16+P16*'Geometry'!$G$40+Q16*'Geometry'!$F$40),S_1_fy),-S_1_fy))-(IF((O16+P16*'Geometry'!$G$40+Q16*'Geometry'!$F$40)&gt;0,IF((O16+P16*'Geometry'!$G$40+Q16*'Geometry'!$F$40)&lt;=C_eco,C_alpha*C_fck*(1-(1-(O16+P16*'Geometry'!$G$40+Q16*'Geometry'!$F$40)/C_eco)^C_n),C_alpha*C_fck),0)))*'Geometry'!$H$40*'Geometry'!$F$40+((MAX(MIN(S_1_Es*(O16+P16*'Geometry'!$G$41+Q16*'Geometry'!$F$41),S_1_fy),-S_1_fy))-(IF((O16+P16*'Geometry'!$G$41+Q16*'Geometry'!$F$41)&gt;0,IF((O16+P16*'Geometry'!$G$41+Q16*'Geometry'!$F$41)&lt;=C_eco,C_alpha*C_fck*(1-(1-(O16+P16*'Geometry'!$G$41+Q16*'Geometry'!$F$41)/C_eco)^C_n),C_alpha*C_fck),0)))*'Geometry'!$H$41*'Geometry'!$F$41+((MAX(MIN(S_1_Es*(O16+P16*'Geometry'!$G$42+Q16*'Geometry'!$F$42),S_1_fy),-S_1_fy))-(IF((O16+P16*'Geometry'!$G$42+Q16*'Geometry'!$F$42)&gt;0,IF((O16+P16*'Geometry'!$G$42+Q16*'Geometry'!$F$42)&lt;=C_eco,C_alpha*C_fck*(1-(1-(O16+P16*'Geometry'!$G$42+Q16*'Geometry'!$F$42)/C_eco)^C_n),C_alpha*C_fck),0)))*'Geometry'!$H$42*'Geometry'!$F$42+((MAX(MIN(S_1_Es*(O16+P16*'Geometry'!$G$43+Q16*'Geometry'!$F$43),S_1_fy),-S_1_fy))-(IF((O16+P16*'Geometry'!$G$43+Q16*'Geometry'!$F$43)&gt;0,IF((O16+P16*'Geometry'!$G$43+Q16*'Geometry'!$F$43)&lt;=C_eco,C_alpha*C_fck*(1-(1-(O16+P16*'Geometry'!$G$43+Q16*'Geometry'!$F$43)/C_eco)^C_n),C_alpha*C_fck),0)))*'Geometry'!$H$43*'Geometry'!$F$43+((MAX(MIN(S_1_Es*(O16+P16*'Geometry'!$G$44+Q16*'Geometry'!$F$44),S_1_fy),-S_1_fy))-(IF((O16+P16*'Geometry'!$G$44+Q16*'Geometry'!$F$44)&gt;0,IF((O16+P16*'Geometry'!$G$44+Q16*'Geometry'!$F$44)&lt;=C_eco,C_alpha*C_fck*(1-(1-(O16+P16*'Geometry'!$G$44+Q16*'Geometry'!$F$44)/C_eco)^C_n),C_alpha*C_fck),0)))*'Geometry'!$H$44*'Geometry'!$F$44+((MAX(MIN(S_1_Es*(O16+P16*'Geometry'!$G$45+Q16*'Geometry'!$F$45),S_1_fy),-S_1_fy))-(IF((O16+P16*'Geometry'!$G$45+Q16*'Geometry'!$F$45)&gt;0,IF((O16+P16*'Geometry'!$G$45+Q16*'Geometry'!$F$45)&lt;=C_eco,C_alpha*C_fck*(1-(1-(O16+P16*'Geometry'!$G$45+Q16*'Geometry'!$F$45)/C_eco)^C_n),C_alpha*C_fck),0)))*'Geometry'!$H$45*'Geometry'!$F$45+((MAX(MIN(S_1_Es*(O16+P16*'Geometry'!$G$46+Q16*'Geometry'!$F$46),S_1_fy),-S_1_fy))-(IF((O16+P16*'Geometry'!$G$46+Q16*'Geometry'!$F$46)&gt;0,IF((O16+P16*'Geometry'!$G$46+Q16*'Geometry'!$F$46)&lt;=C_eco,C_alpha*C_fck*(1-(1-(O16+P16*'Geometry'!$G$46+Q16*'Geometry'!$F$46)/C_eco)^C_n),C_alpha*C_fck),0)))*'Geometry'!$H$46*'Geometry'!$F$46+((MAX(MIN(S_1_Es*(O16+P16*'Geometry'!$G$47+Q16*'Geometry'!$F$47),S_1_fy),-S_1_fy))-(IF((O16+P16*'Geometry'!$G$47+Q16*'Geometry'!$F$47)&gt;0,IF((O16+P16*'Geometry'!$G$47+Q16*'Geometry'!$F$47)&lt;=C_eco,C_alpha*C_fck*(1-(1-(O16+P16*'Geometry'!$G$47+Q16*'Geometry'!$F$47)/C_eco)^C_n),C_alpha*C_fck),0)))*'Geometry'!$H$47*'Geometry'!$F$47+((MAX(MIN(S_1_Es*(O16+P16*'Geometry'!$G$48+Q16*'Geometry'!$F$48),S_1_fy),-S_1_fy))-(IF((O16+P16*'Geometry'!$G$48+Q16*'Geometry'!$F$48)&gt;0,IF((O16+P16*'Geometry'!$G$48+Q16*'Geometry'!$F$48)&lt;=C_eco,C_alpha*C_fck*(1-(1-(O16+P16*'Geometry'!$G$48+Q16*'Geometry'!$F$48)/C_eco)^C_n),C_alpha*C_fck),0)))*'Geometry'!$H$48*'Geometry'!$F$48+((MAX(MIN(S_1_Es*(O16+P16*'Geometry'!$G$49+Q16*'Geometry'!$F$49),S_1_fy),-S_1_fy))-(IF((O16+P16*'Geometry'!$G$49+Q16*'Geometry'!$F$49)&gt;0,IF((O16+P16*'Geometry'!$G$49+Q16*'Geometry'!$F$49)&lt;=C_eco,C_alpha*C_fck*(1-(1-(O16+P16*'Geometry'!$G$49+Q16*'Geometry'!$F$49)/C_eco)^C_n),C_alpha*C_fck),0)))*'Geometry'!$H$49*'Geometry'!$F$49+((MAX(MIN(S_1_Es*(O16+P16*'Geometry'!$G$50+Q16*'Geometry'!$F$50),S_1_fy),-S_1_fy))-(IF((O16+P16*'Geometry'!$G$50+Q16*'Geometry'!$F$50)&gt;0,IF((O16+P16*'Geometry'!$G$50+Q16*'Geometry'!$F$50)&lt;=C_eco,C_alpha*C_fck*(1-(1-(O16+P16*'Geometry'!$G$50+Q16*'Geometry'!$F$50)/C_eco)^C_n),C_alpha*C_fck),0)))*'Geometry'!$H$50*'Geometry'!$F$50+((MAX(MIN(S_1_Es*(O16+P16*'Geometry'!$G$51+Q16*'Geometry'!$F$51),S_1_fy),-S_1_fy))-(IF((O16+P16*'Geometry'!$G$51+Q16*'Geometry'!$F$51)&gt;0,IF((O16+P16*'Geometry'!$G$51+Q16*'Geometry'!$F$51)&lt;=C_eco,C_alpha*C_fck*(1-(1-(O16+P16*'Geometry'!$G$51+Q16*'Geometry'!$F$51)/C_eco)^C_n),C_alpha*C_fck),0)))*'Geometry'!$H$51*'Geometry'!$F$51+((MAX(MIN(S_1_Es*(O16+P16*'Geometry'!$G$52+Q16*'Geometry'!$F$52),S_1_fy),-S_1_fy))-(IF((O16+P16*'Geometry'!$G$52+Q16*'Geometry'!$F$52)&gt;0,IF((O16+P16*'Geometry'!$G$52+Q16*'Geometry'!$F$52)&lt;=C_eco,C_alpha*C_fck*(1-(1-(O16+P16*'Geometry'!$G$52+Q16*'Geometry'!$F$52)/C_eco)^C_n),C_alpha*C_fck),0)))*'Geometry'!$H$52*'Geometry'!$F$52+((MAX(MIN(S_1_Es*(O16+P16*'Geometry'!$G$53+Q16*'Geometry'!$F$53),S_1_fy),-S_1_fy))-(IF((O16+P16*'Geometry'!$G$53+Q16*'Geometry'!$F$53)&gt;0,IF((O16+P16*'Geometry'!$G$53+Q16*'Geometry'!$F$53)&lt;=C_eco,C_alpha*C_fck*(1-(1-(O16+P16*'Geometry'!$G$53+Q16*'Geometry'!$F$53)/C_eco)^C_n),C_alpha*C_fck),0)))*'Geometry'!$H$53*'Geometry'!$F$53+((MAX(MIN(S_1_Es*(O16+P16*'Geometry'!$G$54+Q16*'Geometry'!$F$54),S_1_fy),-S_1_fy))-(IF((O16+P16*'Geometry'!$G$54+Q16*'Geometry'!$F$54)&gt;0,IF((O16+P16*'Geometry'!$G$54+Q16*'Geometry'!$F$54)&lt;=C_eco,C_alpha*C_fck*(1-(1-(O16+P16*'Geometry'!$G$54+Q16*'Geometry'!$F$54)/C_eco)^C_n),C_alpha*C_fck),0)))*'Geometry'!$H$54*'Geometry'!$F$54+((MAX(MIN(S_1_Es*(O16+P16*'Geometry'!$G$55+Q16*'Geometry'!$F$55),S_1_fy),-S_1_fy))-(IF((O16+P16*'Geometry'!$G$55+Q16*'Geometry'!$F$55)&gt;0,IF((O16+P16*'Geometry'!$G$55+Q16*'Geometry'!$F$55)&lt;=C_eco,C_alpha*C_fck*(1-(1-(O16+P16*'Geometry'!$G$55+Q16*'Geometry'!$F$55)/C_eco)^C_n),C_alpha*C_fck),0)))*'Geometry'!$H$55*'Geometry'!$F$55+((MAX(MIN(S_1_Es*(O16+P16*'Geometry'!$G$56+Q16*'Geometry'!$F$56),S_1_fy),-S_1_fy))-(IF((O16+P16*'Geometry'!$G$56+Q16*'Geometry'!$F$56)&gt;0,IF((O16+P16*'Geometry'!$G$56+Q16*'Geometry'!$F$56)&lt;=C_eco,C_alpha*C_fck*(1-(1-(O16+P16*'Geometry'!$G$56+Q16*'Geometry'!$F$56)/C_eco)^C_n),C_alpha*C_fck),0)))*'Geometry'!$H$56*'Geometry'!$F$56+((MAX(MIN(S_1_Es*(O16+P16*'Geometry'!$G$57+Q16*'Geometry'!$F$57),S_1_fy),-S_1_fy))-(IF((O16+P16*'Geometry'!$G$57+Q16*'Geometry'!$F$57)&gt;0,IF((O16+P16*'Geometry'!$G$57+Q16*'Geometry'!$F$57)&lt;=C_eco,C_alpha*C_fck*(1-(1-(O16+P16*'Geometry'!$G$57+Q16*'Geometry'!$F$57)/C_eco)^C_n),C_alpha*C_fck),0)))*'Geometry'!$H$57*'Geometry'!$F$57)/1000000</f>
        <v>1380.1620756473444</v>
      </c>
      <c r="X16" s="10">
        <f>R16+U16</f>
        <v>-1079.3808261829483</v>
      </c>
      <c r="Y16" s="10">
        <f>S16+V16</f>
        <v>526.7101969624736</v>
      </c>
      <c r="Z16" s="10">
        <f>T16+W16</f>
        <v>3165.9060592696674</v>
      </c>
      <c r="AA16" s="7">
        <v>0.85</v>
      </c>
      <c r="AB16" s="7">
        <v>0.85</v>
      </c>
      <c r="AC16" s="10">
        <f>X16*AA16</f>
        <v>-917.4737022555062</v>
      </c>
      <c r="AD16" s="10">
        <f>Y16*AB16</f>
        <v>447.7036674181025</v>
      </c>
      <c r="AE16" s="10">
        <f>Z16*AB16</f>
        <v>2691.0201503792173</v>
      </c>
      <c r="AF16" s="7">
        <v>-917.4737022555062</v>
      </c>
      <c r="AG16" s="7">
        <v>447.7036674181025</v>
      </c>
      <c r="AH16" s="7">
        <v>2691.0201503792173</v>
      </c>
      <c r="AI16" s="15">
        <f>AC16-AF16</f>
        <v>0</v>
      </c>
      <c r="AJ16" s="15">
        <f>SQRT((AD16-AG16)^2+(AE16-AH16)^2)</f>
        <v>0</v>
      </c>
      <c r="AK16" s="7" t="s">
        <v>189</v>
      </c>
      <c r="AL16" s="7">
        <v>-1079.3808261829483</v>
      </c>
      <c r="AM16" s="7">
        <v>526.7101969624736</v>
      </c>
      <c r="AN16" s="7">
        <v>3165.9060592696674</v>
      </c>
      <c r="AO16" s="7">
        <v>2655.4479361138187</v>
      </c>
      <c r="AP16" s="7">
        <v>412.4102201053611</v>
      </c>
      <c r="AQ16" s="7">
        <v>1785.7439836223227</v>
      </c>
      <c r="AR16" s="7">
        <v>-3734.828762296767</v>
      </c>
      <c r="AS16" s="7">
        <v>114.29997685711247</v>
      </c>
      <c r="AT16" s="7">
        <v>1380.1620756473444</v>
      </c>
    </row>
    <row r="17" spans="1:46" x14ac:dyDescent="0.25">
      <c r="A17" s="7" t="s">
        <v>208</v>
      </c>
      <c r="B17" s="7">
        <v>1</v>
      </c>
      <c r="C17" s="18">
        <v>90</v>
      </c>
      <c r="D17" s="7" t="s">
        <v>209</v>
      </c>
      <c r="E17" s="7" t="s">
        <v>187</v>
      </c>
      <c r="F17" s="19">
        <v>90</v>
      </c>
      <c r="G17" s="7" t="s">
        <v>188</v>
      </c>
      <c r="H17" s="20">
        <v>20</v>
      </c>
      <c r="I17" s="10">
        <f>MAX(('Geometry'!$G$13*COS(RADIANS(F17))+'Geometry'!$F$13*SIN(RADIANS(F17))),('Geometry'!$G$14*COS(RADIANS(F17))+'Geometry'!$F$14*SIN(RADIANS(F17))),('Geometry'!$G$15*COS(RADIANS(F17))+'Geometry'!$F$15*SIN(RADIANS(F17))),('Geometry'!$G$16*COS(RADIANS(F17))+'Geometry'!$F$16*SIN(RADIANS(F17))),('Geometry'!$G$17*COS(RADIANS(F17))+'Geometry'!$F$17*SIN(RADIANS(F17))),('Geometry'!$G$18*COS(RADIANS(F17))+'Geometry'!$F$18*SIN(RADIANS(F17))),('Geometry'!$G$19*COS(RADIANS(F17))+'Geometry'!$F$19*SIN(RADIANS(F17))),('Geometry'!$G$20*COS(RADIANS(F17))+'Geometry'!$F$20*SIN(RADIANS(F17))))</f>
        <v>750</v>
      </c>
      <c r="J17" s="10">
        <f>MIN(('Geometry'!$G$40*COS(RADIANS(F17))+'Geometry'!$F$40*SIN(RADIANS(F17))),('Geometry'!$G$41*COS(RADIANS(F17))+'Geometry'!$F$41*SIN(RADIANS(F17))),('Geometry'!$G$42*COS(RADIANS(F17))+'Geometry'!$F$42*SIN(RADIANS(F17))),('Geometry'!$G$43*COS(RADIANS(F17))+'Geometry'!$F$43*SIN(RADIANS(F17))),('Geometry'!$G$44*COS(RADIANS(F17))+'Geometry'!$F$44*SIN(RADIANS(F17))),('Geometry'!$G$45*COS(RADIANS(F17))+'Geometry'!$F$45*SIN(RADIANS(F17))),('Geometry'!$G$46*COS(RADIANS(F17))+'Geometry'!$F$46*SIN(RADIANS(F17))),('Geometry'!$G$47*COS(RADIANS(F17))+'Geometry'!$F$47*SIN(RADIANS(F17))),('Geometry'!$G$48*COS(RADIANS(F17))+'Geometry'!$F$48*SIN(RADIANS(F17))),('Geometry'!$G$49*COS(RADIANS(F17))+'Geometry'!$F$49*SIN(RADIANS(F17))),('Geometry'!$G$50*COS(RADIANS(F17))+'Geometry'!$F$50*SIN(RADIANS(F17))),('Geometry'!$G$51*COS(RADIANS(F17))+'Geometry'!$F$51*SIN(RADIANS(F17))),('Geometry'!$G$52*COS(RADIANS(F17))+'Geometry'!$F$52*SIN(RADIANS(F17))),('Geometry'!$G$53*COS(RADIANS(F17))+'Geometry'!$F$53*SIN(RADIANS(F17))),('Geometry'!$G$54*COS(RADIANS(F17))+'Geometry'!$F$54*SIN(RADIANS(F17))),('Geometry'!$G$55*COS(RADIANS(F17))+'Geometry'!$F$55*SIN(RADIANS(F17))),('Geometry'!$G$56*COS(RADIANS(F17))+'Geometry'!$F$56*SIN(RADIANS(F17))),('Geometry'!$G$57*COS(RADIANS(F17))+'Geometry'!$F$57*SIN(RADIANS(F17))))</f>
        <v>-680</v>
      </c>
      <c r="K17" s="10">
        <f>I17-MIN(('Geometry'!$G$13*COS(RADIANS(F17))+'Geometry'!$F$13*SIN(RADIANS(F17))),('Geometry'!$G$14*COS(RADIANS(F17))+'Geometry'!$F$14*SIN(RADIANS(F17))),('Geometry'!$G$15*COS(RADIANS(F17))+'Geometry'!$F$15*SIN(RADIANS(F17))),('Geometry'!$G$16*COS(RADIANS(F17))+'Geometry'!$F$16*SIN(RADIANS(F17))),('Geometry'!$G$17*COS(RADIANS(F17))+'Geometry'!$F$17*SIN(RADIANS(F17))),('Geometry'!$G$18*COS(RADIANS(F17))+'Geometry'!$F$18*SIN(RADIANS(F17))),('Geometry'!$G$19*COS(RADIANS(F17))+'Geometry'!$F$19*SIN(RADIANS(F17))),('Geometry'!$G$20*COS(RADIANS(F17))+'Geometry'!$F$20*SIN(RADIANS(F17))))</f>
        <v>1500</v>
      </c>
      <c r="L17" s="15">
        <f>C_ecu</f>
        <v>0.003300000000000001</v>
      </c>
      <c r="M17" s="15">
        <f>-H17*S_1_fy/S_1_Es</f>
        <v>-0.04</v>
      </c>
      <c r="N17" s="21">
        <f>IF(ABS(I17-J17)&lt;0.000000000001,0,(L17-M17)/(I17-J17))</f>
        <v>0.00003027972027972028</v>
      </c>
      <c r="O17" s="15">
        <f>L17-N17*I17</f>
        <v>-0.01940979020979021</v>
      </c>
      <c r="P17" s="21">
        <f>N17*COS(RADIANS(F17))</f>
        <v>1.854098125981832e-21</v>
      </c>
      <c r="Q17" s="21">
        <f>N17*SIN(RADIANS(F17))</f>
        <v>0.00003027972027972028</v>
      </c>
      <c r="R17" s="10">
        <f>SUMPRODUCT(C_alpha*C_fck*(1-(1-(((O17+P17*Mesh_Y+Q17*Mesh_X))*((O17+P17*Mesh_Y+Q17*Mesh_X)&gt;0)*((O17+P17*Mesh_Y+Q17*Mesh_X)&lt;C_eco)+C_eco*((O17+P17*Mesh_Y+Q17*Mesh_X)&gt;=C_eco))/C_eco)^C_n)*(((O17+P17*Mesh_Y+Q17*Mesh_X))&gt;0),Mesh_A)/1000</f>
        <v>1861.2149105404849</v>
      </c>
      <c r="S17" s="10">
        <f>SUMPRODUCT(C_alpha*C_fck*(1-(1-(((O17+P17*Mesh_Y+Q17*Mesh_X))*((O17+P17*Mesh_Y+Q17*Mesh_X)&gt;0)*((O17+P17*Mesh_Y+Q17*Mesh_X)&lt;C_eco)+C_eco*((O17+P17*Mesh_Y+Q17*Mesh_X)&gt;=C_eco))/C_eco)^C_n)*(((O17+P17*Mesh_Y+Q17*Mesh_X))&gt;0),Mesh_A,Mesh_Y)/1000000</f>
        <v>-10.107930405909423</v>
      </c>
      <c r="T17" s="10">
        <f>SUMPRODUCT(C_alpha*C_fck*(1-(1-(((O17+P17*Mesh_Y+Q17*Mesh_X))*((O17+P17*Mesh_Y+Q17*Mesh_X)&gt;0)*((O17+P17*Mesh_Y+Q17*Mesh_X)&lt;C_eco)+C_eco*((O17+P17*Mesh_Y+Q17*Mesh_X)&gt;=C_eco))/C_eco)^C_n)*(((O17+P17*Mesh_Y+Q17*Mesh_X))&gt;0),Mesh_A,Mesh_X)/1000000</f>
        <v>1319.3506066418852</v>
      </c>
      <c r="U17" s="10">
        <f>(((MAX(MIN(S_1_Es*(O17+P17*'Geometry'!$G$40+Q17*'Geometry'!$F$40),S_1_fy),-S_1_fy))-(IF((O17+P17*'Geometry'!$G$40+Q17*'Geometry'!$F$40)&gt;0,IF((O17+P17*'Geometry'!$G$40+Q17*'Geometry'!$F$40)&lt;=C_eco,C_alpha*C_fck*(1-(1-(O17+P17*'Geometry'!$G$40+Q17*'Geometry'!$F$40)/C_eco)^C_n),C_alpha*C_fck),0)))*'Geometry'!$H$40+((MAX(MIN(S_1_Es*(O17+P17*'Geometry'!$G$41+Q17*'Geometry'!$F$41),S_1_fy),-S_1_fy))-(IF((O17+P17*'Geometry'!$G$41+Q17*'Geometry'!$F$41)&gt;0,IF((O17+P17*'Geometry'!$G$41+Q17*'Geometry'!$F$41)&lt;=C_eco,C_alpha*C_fck*(1-(1-(O17+P17*'Geometry'!$G$41+Q17*'Geometry'!$F$41)/C_eco)^C_n),C_alpha*C_fck),0)))*'Geometry'!$H$41+((MAX(MIN(S_1_Es*(O17+P17*'Geometry'!$G$42+Q17*'Geometry'!$F$42),S_1_fy),-S_1_fy))-(IF((O17+P17*'Geometry'!$G$42+Q17*'Geometry'!$F$42)&gt;0,IF((O17+P17*'Geometry'!$G$42+Q17*'Geometry'!$F$42)&lt;=C_eco,C_alpha*C_fck*(1-(1-(O17+P17*'Geometry'!$G$42+Q17*'Geometry'!$F$42)/C_eco)^C_n),C_alpha*C_fck),0)))*'Geometry'!$H$42+((MAX(MIN(S_1_Es*(O17+P17*'Geometry'!$G$43+Q17*'Geometry'!$F$43),S_1_fy),-S_1_fy))-(IF((O17+P17*'Geometry'!$G$43+Q17*'Geometry'!$F$43)&gt;0,IF((O17+P17*'Geometry'!$G$43+Q17*'Geometry'!$F$43)&lt;=C_eco,C_alpha*C_fck*(1-(1-(O17+P17*'Geometry'!$G$43+Q17*'Geometry'!$F$43)/C_eco)^C_n),C_alpha*C_fck),0)))*'Geometry'!$H$43+((MAX(MIN(S_1_Es*(O17+P17*'Geometry'!$G$44+Q17*'Geometry'!$F$44),S_1_fy),-S_1_fy))-(IF((O17+P17*'Geometry'!$G$44+Q17*'Geometry'!$F$44)&gt;0,IF((O17+P17*'Geometry'!$G$44+Q17*'Geometry'!$F$44)&lt;=C_eco,C_alpha*C_fck*(1-(1-(O17+P17*'Geometry'!$G$44+Q17*'Geometry'!$F$44)/C_eco)^C_n),C_alpha*C_fck),0)))*'Geometry'!$H$44+((MAX(MIN(S_1_Es*(O17+P17*'Geometry'!$G$45+Q17*'Geometry'!$F$45),S_1_fy),-S_1_fy))-(IF((O17+P17*'Geometry'!$G$45+Q17*'Geometry'!$F$45)&gt;0,IF((O17+P17*'Geometry'!$G$45+Q17*'Geometry'!$F$45)&lt;=C_eco,C_alpha*C_fck*(1-(1-(O17+P17*'Geometry'!$G$45+Q17*'Geometry'!$F$45)/C_eco)^C_n),C_alpha*C_fck),0)))*'Geometry'!$H$45+((MAX(MIN(S_1_Es*(O17+P17*'Geometry'!$G$46+Q17*'Geometry'!$F$46),S_1_fy),-S_1_fy))-(IF((O17+P17*'Geometry'!$G$46+Q17*'Geometry'!$F$46)&gt;0,IF((O17+P17*'Geometry'!$G$46+Q17*'Geometry'!$F$46)&lt;=C_eco,C_alpha*C_fck*(1-(1-(O17+P17*'Geometry'!$G$46+Q17*'Geometry'!$F$46)/C_eco)^C_n),C_alpha*C_fck),0)))*'Geometry'!$H$46+((MAX(MIN(S_1_Es*(O17+P17*'Geometry'!$G$47+Q17*'Geometry'!$F$47),S_1_fy),-S_1_fy))-(IF((O17+P17*'Geometry'!$G$47+Q17*'Geometry'!$F$47)&gt;0,IF((O17+P17*'Geometry'!$G$47+Q17*'Geometry'!$F$47)&lt;=C_eco,C_alpha*C_fck*(1-(1-(O17+P17*'Geometry'!$G$47+Q17*'Geometry'!$F$47)/C_eco)^C_n),C_alpha*C_fck),0)))*'Geometry'!$H$47+((MAX(MIN(S_1_Es*(O17+P17*'Geometry'!$G$48+Q17*'Geometry'!$F$48),S_1_fy),-S_1_fy))-(IF((O17+P17*'Geometry'!$G$48+Q17*'Geometry'!$F$48)&gt;0,IF((O17+P17*'Geometry'!$G$48+Q17*'Geometry'!$F$48)&lt;=C_eco,C_alpha*C_fck*(1-(1-(O17+P17*'Geometry'!$G$48+Q17*'Geometry'!$F$48)/C_eco)^C_n),C_alpha*C_fck),0)))*'Geometry'!$H$48+((MAX(MIN(S_1_Es*(O17+P17*'Geometry'!$G$49+Q17*'Geometry'!$F$49),S_1_fy),-S_1_fy))-(IF((O17+P17*'Geometry'!$G$49+Q17*'Geometry'!$F$49)&gt;0,IF((O17+P17*'Geometry'!$G$49+Q17*'Geometry'!$F$49)&lt;=C_eco,C_alpha*C_fck*(1-(1-(O17+P17*'Geometry'!$G$49+Q17*'Geometry'!$F$49)/C_eco)^C_n),C_alpha*C_fck),0)))*'Geometry'!$H$49+((MAX(MIN(S_1_Es*(O17+P17*'Geometry'!$G$50+Q17*'Geometry'!$F$50),S_1_fy),-S_1_fy))-(IF((O17+P17*'Geometry'!$G$50+Q17*'Geometry'!$F$50)&gt;0,IF((O17+P17*'Geometry'!$G$50+Q17*'Geometry'!$F$50)&lt;=C_eco,C_alpha*C_fck*(1-(1-(O17+P17*'Geometry'!$G$50+Q17*'Geometry'!$F$50)/C_eco)^C_n),C_alpha*C_fck),0)))*'Geometry'!$H$50+((MAX(MIN(S_1_Es*(O17+P17*'Geometry'!$G$51+Q17*'Geometry'!$F$51),S_1_fy),-S_1_fy))-(IF((O17+P17*'Geometry'!$G$51+Q17*'Geometry'!$F$51)&gt;0,IF((O17+P17*'Geometry'!$G$51+Q17*'Geometry'!$F$51)&lt;=C_eco,C_alpha*C_fck*(1-(1-(O17+P17*'Geometry'!$G$51+Q17*'Geometry'!$F$51)/C_eco)^C_n),C_alpha*C_fck),0)))*'Geometry'!$H$51+((MAX(MIN(S_1_Es*(O17+P17*'Geometry'!$G$52+Q17*'Geometry'!$F$52),S_1_fy),-S_1_fy))-(IF((O17+P17*'Geometry'!$G$52+Q17*'Geometry'!$F$52)&gt;0,IF((O17+P17*'Geometry'!$G$52+Q17*'Geometry'!$F$52)&lt;=C_eco,C_alpha*C_fck*(1-(1-(O17+P17*'Geometry'!$G$52+Q17*'Geometry'!$F$52)/C_eco)^C_n),C_alpha*C_fck),0)))*'Geometry'!$H$52+((MAX(MIN(S_1_Es*(O17+P17*'Geometry'!$G$53+Q17*'Geometry'!$F$53),S_1_fy),-S_1_fy))-(IF((O17+P17*'Geometry'!$G$53+Q17*'Geometry'!$F$53)&gt;0,IF((O17+P17*'Geometry'!$G$53+Q17*'Geometry'!$F$53)&lt;=C_eco,C_alpha*C_fck*(1-(1-(O17+P17*'Geometry'!$G$53+Q17*'Geometry'!$F$53)/C_eco)^C_n),C_alpha*C_fck),0)))*'Geometry'!$H$53+((MAX(MIN(S_1_Es*(O17+P17*'Geometry'!$G$54+Q17*'Geometry'!$F$54),S_1_fy),-S_1_fy))-(IF((O17+P17*'Geometry'!$G$54+Q17*'Geometry'!$F$54)&gt;0,IF((O17+P17*'Geometry'!$G$54+Q17*'Geometry'!$F$54)&lt;=C_eco,C_alpha*C_fck*(1-(1-(O17+P17*'Geometry'!$G$54+Q17*'Geometry'!$F$54)/C_eco)^C_n),C_alpha*C_fck),0)))*'Geometry'!$H$54+((MAX(MIN(S_1_Es*(O17+P17*'Geometry'!$G$55+Q17*'Geometry'!$F$55),S_1_fy),-S_1_fy))-(IF((O17+P17*'Geometry'!$G$55+Q17*'Geometry'!$F$55)&gt;0,IF((O17+P17*'Geometry'!$G$55+Q17*'Geometry'!$F$55)&lt;=C_eco,C_alpha*C_fck*(1-(1-(O17+P17*'Geometry'!$G$55+Q17*'Geometry'!$F$55)/C_eco)^C_n),C_alpha*C_fck),0)))*'Geometry'!$H$55+((MAX(MIN(S_1_Es*(O17+P17*'Geometry'!$G$56+Q17*'Geometry'!$F$56),S_1_fy),-S_1_fy))-(IF((O17+P17*'Geometry'!$G$56+Q17*'Geometry'!$F$56)&gt;0,IF((O17+P17*'Geometry'!$G$56+Q17*'Geometry'!$F$56)&lt;=C_eco,C_alpha*C_fck*(1-(1-(O17+P17*'Geometry'!$G$56+Q17*'Geometry'!$F$56)/C_eco)^C_n),C_alpha*C_fck),0)))*'Geometry'!$H$56+((MAX(MIN(S_1_Es*(O17+P17*'Geometry'!$G$57+Q17*'Geometry'!$F$57),S_1_fy),-S_1_fy))-(IF((O17+P17*'Geometry'!$G$57+Q17*'Geometry'!$F$57)&gt;0,IF((O17+P17*'Geometry'!$G$57+Q17*'Geometry'!$F$57)&lt;=C_eco,C_alpha*C_fck*(1-(1-(O17+P17*'Geometry'!$G$57+Q17*'Geometry'!$F$57)/C_eco)^C_n),C_alpha*C_fck),0)))*'Geometry'!$H$57)/1000</f>
        <v>-3812.5650074045184</v>
      </c>
      <c r="V17" s="10">
        <f>(((MAX(MIN(S_1_Es*(O17+P17*'Geometry'!$G$40+Q17*'Geometry'!$F$40),S_1_fy),-S_1_fy))-(IF((O17+P17*'Geometry'!$G$40+Q17*'Geometry'!$F$40)&gt;0,IF((O17+P17*'Geometry'!$G$40+Q17*'Geometry'!$F$40)&lt;=C_eco,C_alpha*C_fck*(1-(1-(O17+P17*'Geometry'!$G$40+Q17*'Geometry'!$F$40)/C_eco)^C_n),C_alpha*C_fck),0)))*'Geometry'!$H$40*'Geometry'!$G$40+((MAX(MIN(S_1_Es*(O17+P17*'Geometry'!$G$41+Q17*'Geometry'!$F$41),S_1_fy),-S_1_fy))-(IF((O17+P17*'Geometry'!$G$41+Q17*'Geometry'!$F$41)&gt;0,IF((O17+P17*'Geometry'!$G$41+Q17*'Geometry'!$F$41)&lt;=C_eco,C_alpha*C_fck*(1-(1-(O17+P17*'Geometry'!$G$41+Q17*'Geometry'!$F$41)/C_eco)^C_n),C_alpha*C_fck),0)))*'Geometry'!$H$41*'Geometry'!$G$41+((MAX(MIN(S_1_Es*(O17+P17*'Geometry'!$G$42+Q17*'Geometry'!$F$42),S_1_fy),-S_1_fy))-(IF((O17+P17*'Geometry'!$G$42+Q17*'Geometry'!$F$42)&gt;0,IF((O17+P17*'Geometry'!$G$42+Q17*'Geometry'!$F$42)&lt;=C_eco,C_alpha*C_fck*(1-(1-(O17+P17*'Geometry'!$G$42+Q17*'Geometry'!$F$42)/C_eco)^C_n),C_alpha*C_fck),0)))*'Geometry'!$H$42*'Geometry'!$G$42+((MAX(MIN(S_1_Es*(O17+P17*'Geometry'!$G$43+Q17*'Geometry'!$F$43),S_1_fy),-S_1_fy))-(IF((O17+P17*'Geometry'!$G$43+Q17*'Geometry'!$F$43)&gt;0,IF((O17+P17*'Geometry'!$G$43+Q17*'Geometry'!$F$43)&lt;=C_eco,C_alpha*C_fck*(1-(1-(O17+P17*'Geometry'!$G$43+Q17*'Geometry'!$F$43)/C_eco)^C_n),C_alpha*C_fck),0)))*'Geometry'!$H$43*'Geometry'!$G$43+((MAX(MIN(S_1_Es*(O17+P17*'Geometry'!$G$44+Q17*'Geometry'!$F$44),S_1_fy),-S_1_fy))-(IF((O17+P17*'Geometry'!$G$44+Q17*'Geometry'!$F$44)&gt;0,IF((O17+P17*'Geometry'!$G$44+Q17*'Geometry'!$F$44)&lt;=C_eco,C_alpha*C_fck*(1-(1-(O17+P17*'Geometry'!$G$44+Q17*'Geometry'!$F$44)/C_eco)^C_n),C_alpha*C_fck),0)))*'Geometry'!$H$44*'Geometry'!$G$44+((MAX(MIN(S_1_Es*(O17+P17*'Geometry'!$G$45+Q17*'Geometry'!$F$45),S_1_fy),-S_1_fy))-(IF((O17+P17*'Geometry'!$G$45+Q17*'Geometry'!$F$45)&gt;0,IF((O17+P17*'Geometry'!$G$45+Q17*'Geometry'!$F$45)&lt;=C_eco,C_alpha*C_fck*(1-(1-(O17+P17*'Geometry'!$G$45+Q17*'Geometry'!$F$45)/C_eco)^C_n),C_alpha*C_fck),0)))*'Geometry'!$H$45*'Geometry'!$G$45+((MAX(MIN(S_1_Es*(O17+P17*'Geometry'!$G$46+Q17*'Geometry'!$F$46),S_1_fy),-S_1_fy))-(IF((O17+P17*'Geometry'!$G$46+Q17*'Geometry'!$F$46)&gt;0,IF((O17+P17*'Geometry'!$G$46+Q17*'Geometry'!$F$46)&lt;=C_eco,C_alpha*C_fck*(1-(1-(O17+P17*'Geometry'!$G$46+Q17*'Geometry'!$F$46)/C_eco)^C_n),C_alpha*C_fck),0)))*'Geometry'!$H$46*'Geometry'!$G$46+((MAX(MIN(S_1_Es*(O17+P17*'Geometry'!$G$47+Q17*'Geometry'!$F$47),S_1_fy),-S_1_fy))-(IF((O17+P17*'Geometry'!$G$47+Q17*'Geometry'!$F$47)&gt;0,IF((O17+P17*'Geometry'!$G$47+Q17*'Geometry'!$F$47)&lt;=C_eco,C_alpha*C_fck*(1-(1-(O17+P17*'Geometry'!$G$47+Q17*'Geometry'!$F$47)/C_eco)^C_n),C_alpha*C_fck),0)))*'Geometry'!$H$47*'Geometry'!$G$47+((MAX(MIN(S_1_Es*(O17+P17*'Geometry'!$G$48+Q17*'Geometry'!$F$48),S_1_fy),-S_1_fy))-(IF((O17+P17*'Geometry'!$G$48+Q17*'Geometry'!$F$48)&gt;0,IF((O17+P17*'Geometry'!$G$48+Q17*'Geometry'!$F$48)&lt;=C_eco,C_alpha*C_fck*(1-(1-(O17+P17*'Geometry'!$G$48+Q17*'Geometry'!$F$48)/C_eco)^C_n),C_alpha*C_fck),0)))*'Geometry'!$H$48*'Geometry'!$G$48+((MAX(MIN(S_1_Es*(O17+P17*'Geometry'!$G$49+Q17*'Geometry'!$F$49),S_1_fy),-S_1_fy))-(IF((O17+P17*'Geometry'!$G$49+Q17*'Geometry'!$F$49)&gt;0,IF((O17+P17*'Geometry'!$G$49+Q17*'Geometry'!$F$49)&lt;=C_eco,C_alpha*C_fck*(1-(1-(O17+P17*'Geometry'!$G$49+Q17*'Geometry'!$F$49)/C_eco)^C_n),C_alpha*C_fck),0)))*'Geometry'!$H$49*'Geometry'!$G$49+((MAX(MIN(S_1_Es*(O17+P17*'Geometry'!$G$50+Q17*'Geometry'!$F$50),S_1_fy),-S_1_fy))-(IF((O17+P17*'Geometry'!$G$50+Q17*'Geometry'!$F$50)&gt;0,IF((O17+P17*'Geometry'!$G$50+Q17*'Geometry'!$F$50)&lt;=C_eco,C_alpha*C_fck*(1-(1-(O17+P17*'Geometry'!$G$50+Q17*'Geometry'!$F$50)/C_eco)^C_n),C_alpha*C_fck),0)))*'Geometry'!$H$50*'Geometry'!$G$50+((MAX(MIN(S_1_Es*(O17+P17*'Geometry'!$G$51+Q17*'Geometry'!$F$51),S_1_fy),-S_1_fy))-(IF((O17+P17*'Geometry'!$G$51+Q17*'Geometry'!$F$51)&gt;0,IF((O17+P17*'Geometry'!$G$51+Q17*'Geometry'!$F$51)&lt;=C_eco,C_alpha*C_fck*(1-(1-(O17+P17*'Geometry'!$G$51+Q17*'Geometry'!$F$51)/C_eco)^C_n),C_alpha*C_fck),0)))*'Geometry'!$H$51*'Geometry'!$G$51+((MAX(MIN(S_1_Es*(O17+P17*'Geometry'!$G$52+Q17*'Geometry'!$F$52),S_1_fy),-S_1_fy))-(IF((O17+P17*'Geometry'!$G$52+Q17*'Geometry'!$F$52)&gt;0,IF((O17+P17*'Geometry'!$G$52+Q17*'Geometry'!$F$52)&lt;=C_eco,C_alpha*C_fck*(1-(1-(O17+P17*'Geometry'!$G$52+Q17*'Geometry'!$F$52)/C_eco)^C_n),C_alpha*C_fck),0)))*'Geometry'!$H$52*'Geometry'!$G$52+((MAX(MIN(S_1_Es*(O17+P17*'Geometry'!$G$53+Q17*'Geometry'!$F$53),S_1_fy),-S_1_fy))-(IF((O17+P17*'Geometry'!$G$53+Q17*'Geometry'!$F$53)&gt;0,IF((O17+P17*'Geometry'!$G$53+Q17*'Geometry'!$F$53)&lt;=C_eco,C_alpha*C_fck*(1-(1-(O17+P17*'Geometry'!$G$53+Q17*'Geometry'!$F$53)/C_eco)^C_n),C_alpha*C_fck),0)))*'Geometry'!$H$53*'Geometry'!$G$53+((MAX(MIN(S_1_Es*(O17+P17*'Geometry'!$G$54+Q17*'Geometry'!$F$54),S_1_fy),-S_1_fy))-(IF((O17+P17*'Geometry'!$G$54+Q17*'Geometry'!$F$54)&gt;0,IF((O17+P17*'Geometry'!$G$54+Q17*'Geometry'!$F$54)&lt;=C_eco,C_alpha*C_fck*(1-(1-(O17+P17*'Geometry'!$G$54+Q17*'Geometry'!$F$54)/C_eco)^C_n),C_alpha*C_fck),0)))*'Geometry'!$H$54*'Geometry'!$G$54+((MAX(MIN(S_1_Es*(O17+P17*'Geometry'!$G$55+Q17*'Geometry'!$F$55),S_1_fy),-S_1_fy))-(IF((O17+P17*'Geometry'!$G$55+Q17*'Geometry'!$F$55)&gt;0,IF((O17+P17*'Geometry'!$G$55+Q17*'Geometry'!$F$55)&lt;=C_eco,C_alpha*C_fck*(1-(1-(O17+P17*'Geometry'!$G$55+Q17*'Geometry'!$F$55)/C_eco)^C_n),C_alpha*C_fck),0)))*'Geometry'!$H$55*'Geometry'!$G$55+((MAX(MIN(S_1_Es*(O17+P17*'Geometry'!$G$56+Q17*'Geometry'!$F$56),S_1_fy),-S_1_fy))-(IF((O17+P17*'Geometry'!$G$56+Q17*'Geometry'!$F$56)&gt;0,IF((O17+P17*'Geometry'!$G$56+Q17*'Geometry'!$F$56)&lt;=C_eco,C_alpha*C_fck*(1-(1-(O17+P17*'Geometry'!$G$56+Q17*'Geometry'!$F$56)/C_eco)^C_n),C_alpha*C_fck),0)))*'Geometry'!$H$56*'Geometry'!$G$56+((MAX(MIN(S_1_Es*(O17+P17*'Geometry'!$G$57+Q17*'Geometry'!$F$57),S_1_fy),-S_1_fy))-(IF((O17+P17*'Geometry'!$G$57+Q17*'Geometry'!$F$57)&gt;0,IF((O17+P17*'Geometry'!$G$57+Q17*'Geometry'!$F$57)&lt;=C_eco,C_alpha*C_fck*(1-(1-(O17+P17*'Geometry'!$G$57+Q17*'Geometry'!$F$57)/C_eco)^C_n),C_alpha*C_fck),0)))*'Geometry'!$H$57*'Geometry'!$G$57)/1000000</f>
        <v>-7.450580596923828e-15</v>
      </c>
      <c r="W17" s="10">
        <f>(((MAX(MIN(S_1_Es*(O17+P17*'Geometry'!$G$40+Q17*'Geometry'!$F$40),S_1_fy),-S_1_fy))-(IF((O17+P17*'Geometry'!$G$40+Q17*'Geometry'!$F$40)&gt;0,IF((O17+P17*'Geometry'!$G$40+Q17*'Geometry'!$F$40)&lt;=C_eco,C_alpha*C_fck*(1-(1-(O17+P17*'Geometry'!$G$40+Q17*'Geometry'!$F$40)/C_eco)^C_n),C_alpha*C_fck),0)))*'Geometry'!$H$40*'Geometry'!$F$40+((MAX(MIN(S_1_Es*(O17+P17*'Geometry'!$G$41+Q17*'Geometry'!$F$41),S_1_fy),-S_1_fy))-(IF((O17+P17*'Geometry'!$G$41+Q17*'Geometry'!$F$41)&gt;0,IF((O17+P17*'Geometry'!$G$41+Q17*'Geometry'!$F$41)&lt;=C_eco,C_alpha*C_fck*(1-(1-(O17+P17*'Geometry'!$G$41+Q17*'Geometry'!$F$41)/C_eco)^C_n),C_alpha*C_fck),0)))*'Geometry'!$H$41*'Geometry'!$F$41+((MAX(MIN(S_1_Es*(O17+P17*'Geometry'!$G$42+Q17*'Geometry'!$F$42),S_1_fy),-S_1_fy))-(IF((O17+P17*'Geometry'!$G$42+Q17*'Geometry'!$F$42)&gt;0,IF((O17+P17*'Geometry'!$G$42+Q17*'Geometry'!$F$42)&lt;=C_eco,C_alpha*C_fck*(1-(1-(O17+P17*'Geometry'!$G$42+Q17*'Geometry'!$F$42)/C_eco)^C_n),C_alpha*C_fck),0)))*'Geometry'!$H$42*'Geometry'!$F$42+((MAX(MIN(S_1_Es*(O17+P17*'Geometry'!$G$43+Q17*'Geometry'!$F$43),S_1_fy),-S_1_fy))-(IF((O17+P17*'Geometry'!$G$43+Q17*'Geometry'!$F$43)&gt;0,IF((O17+P17*'Geometry'!$G$43+Q17*'Geometry'!$F$43)&lt;=C_eco,C_alpha*C_fck*(1-(1-(O17+P17*'Geometry'!$G$43+Q17*'Geometry'!$F$43)/C_eco)^C_n),C_alpha*C_fck),0)))*'Geometry'!$H$43*'Geometry'!$F$43+((MAX(MIN(S_1_Es*(O17+P17*'Geometry'!$G$44+Q17*'Geometry'!$F$44),S_1_fy),-S_1_fy))-(IF((O17+P17*'Geometry'!$G$44+Q17*'Geometry'!$F$44)&gt;0,IF((O17+P17*'Geometry'!$G$44+Q17*'Geometry'!$F$44)&lt;=C_eco,C_alpha*C_fck*(1-(1-(O17+P17*'Geometry'!$G$44+Q17*'Geometry'!$F$44)/C_eco)^C_n),C_alpha*C_fck),0)))*'Geometry'!$H$44*'Geometry'!$F$44+((MAX(MIN(S_1_Es*(O17+P17*'Geometry'!$G$45+Q17*'Geometry'!$F$45),S_1_fy),-S_1_fy))-(IF((O17+P17*'Geometry'!$G$45+Q17*'Geometry'!$F$45)&gt;0,IF((O17+P17*'Geometry'!$G$45+Q17*'Geometry'!$F$45)&lt;=C_eco,C_alpha*C_fck*(1-(1-(O17+P17*'Geometry'!$G$45+Q17*'Geometry'!$F$45)/C_eco)^C_n),C_alpha*C_fck),0)))*'Geometry'!$H$45*'Geometry'!$F$45+((MAX(MIN(S_1_Es*(O17+P17*'Geometry'!$G$46+Q17*'Geometry'!$F$46),S_1_fy),-S_1_fy))-(IF((O17+P17*'Geometry'!$G$46+Q17*'Geometry'!$F$46)&gt;0,IF((O17+P17*'Geometry'!$G$46+Q17*'Geometry'!$F$46)&lt;=C_eco,C_alpha*C_fck*(1-(1-(O17+P17*'Geometry'!$G$46+Q17*'Geometry'!$F$46)/C_eco)^C_n),C_alpha*C_fck),0)))*'Geometry'!$H$46*'Geometry'!$F$46+((MAX(MIN(S_1_Es*(O17+P17*'Geometry'!$G$47+Q17*'Geometry'!$F$47),S_1_fy),-S_1_fy))-(IF((O17+P17*'Geometry'!$G$47+Q17*'Geometry'!$F$47)&gt;0,IF((O17+P17*'Geometry'!$G$47+Q17*'Geometry'!$F$47)&lt;=C_eco,C_alpha*C_fck*(1-(1-(O17+P17*'Geometry'!$G$47+Q17*'Geometry'!$F$47)/C_eco)^C_n),C_alpha*C_fck),0)))*'Geometry'!$H$47*'Geometry'!$F$47+((MAX(MIN(S_1_Es*(O17+P17*'Geometry'!$G$48+Q17*'Geometry'!$F$48),S_1_fy),-S_1_fy))-(IF((O17+P17*'Geometry'!$G$48+Q17*'Geometry'!$F$48)&gt;0,IF((O17+P17*'Geometry'!$G$48+Q17*'Geometry'!$F$48)&lt;=C_eco,C_alpha*C_fck*(1-(1-(O17+P17*'Geometry'!$G$48+Q17*'Geometry'!$F$48)/C_eco)^C_n),C_alpha*C_fck),0)))*'Geometry'!$H$48*'Geometry'!$F$48+((MAX(MIN(S_1_Es*(O17+P17*'Geometry'!$G$49+Q17*'Geometry'!$F$49),S_1_fy),-S_1_fy))-(IF((O17+P17*'Geometry'!$G$49+Q17*'Geometry'!$F$49)&gt;0,IF((O17+P17*'Geometry'!$G$49+Q17*'Geometry'!$F$49)&lt;=C_eco,C_alpha*C_fck*(1-(1-(O17+P17*'Geometry'!$G$49+Q17*'Geometry'!$F$49)/C_eco)^C_n),C_alpha*C_fck),0)))*'Geometry'!$H$49*'Geometry'!$F$49+((MAX(MIN(S_1_Es*(O17+P17*'Geometry'!$G$50+Q17*'Geometry'!$F$50),S_1_fy),-S_1_fy))-(IF((O17+P17*'Geometry'!$G$50+Q17*'Geometry'!$F$50)&gt;0,IF((O17+P17*'Geometry'!$G$50+Q17*'Geometry'!$F$50)&lt;=C_eco,C_alpha*C_fck*(1-(1-(O17+P17*'Geometry'!$G$50+Q17*'Geometry'!$F$50)/C_eco)^C_n),C_alpha*C_fck),0)))*'Geometry'!$H$50*'Geometry'!$F$50+((MAX(MIN(S_1_Es*(O17+P17*'Geometry'!$G$51+Q17*'Geometry'!$F$51),S_1_fy),-S_1_fy))-(IF((O17+P17*'Geometry'!$G$51+Q17*'Geometry'!$F$51)&gt;0,IF((O17+P17*'Geometry'!$G$51+Q17*'Geometry'!$F$51)&lt;=C_eco,C_alpha*C_fck*(1-(1-(O17+P17*'Geometry'!$G$51+Q17*'Geometry'!$F$51)/C_eco)^C_n),C_alpha*C_fck),0)))*'Geometry'!$H$51*'Geometry'!$F$51+((MAX(MIN(S_1_Es*(O17+P17*'Geometry'!$G$52+Q17*'Geometry'!$F$52),S_1_fy),-S_1_fy))-(IF((O17+P17*'Geometry'!$G$52+Q17*'Geometry'!$F$52)&gt;0,IF((O17+P17*'Geometry'!$G$52+Q17*'Geometry'!$F$52)&lt;=C_eco,C_alpha*C_fck*(1-(1-(O17+P17*'Geometry'!$G$52+Q17*'Geometry'!$F$52)/C_eco)^C_n),C_alpha*C_fck),0)))*'Geometry'!$H$52*'Geometry'!$F$52+((MAX(MIN(S_1_Es*(O17+P17*'Geometry'!$G$53+Q17*'Geometry'!$F$53),S_1_fy),-S_1_fy))-(IF((O17+P17*'Geometry'!$G$53+Q17*'Geometry'!$F$53)&gt;0,IF((O17+P17*'Geometry'!$G$53+Q17*'Geometry'!$F$53)&lt;=C_eco,C_alpha*C_fck*(1-(1-(O17+P17*'Geometry'!$G$53+Q17*'Geometry'!$F$53)/C_eco)^C_n),C_alpha*C_fck),0)))*'Geometry'!$H$53*'Geometry'!$F$53+((MAX(MIN(S_1_Es*(O17+P17*'Geometry'!$G$54+Q17*'Geometry'!$F$54),S_1_fy),-S_1_fy))-(IF((O17+P17*'Geometry'!$G$54+Q17*'Geometry'!$F$54)&gt;0,IF((O17+P17*'Geometry'!$G$54+Q17*'Geometry'!$F$54)&lt;=C_eco,C_alpha*C_fck*(1-(1-(O17+P17*'Geometry'!$G$54+Q17*'Geometry'!$F$54)/C_eco)^C_n),C_alpha*C_fck),0)))*'Geometry'!$H$54*'Geometry'!$F$54+((MAX(MIN(S_1_Es*(O17+P17*'Geometry'!$G$55+Q17*'Geometry'!$F$55),S_1_fy),-S_1_fy))-(IF((O17+P17*'Geometry'!$G$55+Q17*'Geometry'!$F$55)&gt;0,IF((O17+P17*'Geometry'!$G$55+Q17*'Geometry'!$F$55)&lt;=C_eco,C_alpha*C_fck*(1-(1-(O17+P17*'Geometry'!$G$55+Q17*'Geometry'!$F$55)/C_eco)^C_n),C_alpha*C_fck),0)))*'Geometry'!$H$55*'Geometry'!$F$55+((MAX(MIN(S_1_Es*(O17+P17*'Geometry'!$G$56+Q17*'Geometry'!$F$56),S_1_fy),-S_1_fy))-(IF((O17+P17*'Geometry'!$G$56+Q17*'Geometry'!$F$56)&gt;0,IF((O17+P17*'Geometry'!$G$56+Q17*'Geometry'!$F$56)&lt;=C_eco,C_alpha*C_fck*(1-(1-(O17+P17*'Geometry'!$G$56+Q17*'Geometry'!$F$56)/C_eco)^C_n),C_alpha*C_fck),0)))*'Geometry'!$H$56*'Geometry'!$F$56+((MAX(MIN(S_1_Es*(O17+P17*'Geometry'!$G$57+Q17*'Geometry'!$F$57),S_1_fy),-S_1_fy))-(IF((O17+P17*'Geometry'!$G$57+Q17*'Geometry'!$F$57)&gt;0,IF((O17+P17*'Geometry'!$G$57+Q17*'Geometry'!$F$57)&lt;=C_eco,C_alpha*C_fck*(1-(1-(O17+P17*'Geometry'!$G$57+Q17*'Geometry'!$F$57)/C_eco)^C_n),C_alpha*C_fck),0)))*'Geometry'!$H$57*'Geometry'!$F$57)/1000000</f>
        <v>1345.0526287506873</v>
      </c>
      <c r="X17" s="10">
        <f>R17+U17</f>
        <v>-1951.3500968640335</v>
      </c>
      <c r="Y17" s="10">
        <f>S17+V17</f>
        <v>-10.10793040590943</v>
      </c>
      <c r="Z17" s="10">
        <f>T17+W17</f>
        <v>2664.4032353925722</v>
      </c>
      <c r="AA17" s="7">
        <v>0.85</v>
      </c>
      <c r="AB17" s="7">
        <v>0.85</v>
      </c>
      <c r="AC17" s="10">
        <f>X17*AA17</f>
        <v>-1658.6475823344283</v>
      </c>
      <c r="AD17" s="10">
        <f>Y17*AB17</f>
        <v>-8.591740845023015</v>
      </c>
      <c r="AE17" s="10">
        <f>Z17*AB17</f>
        <v>2264.742750083686</v>
      </c>
      <c r="AF17" s="7">
        <v>-1658.6475823344283</v>
      </c>
      <c r="AG17" s="7">
        <v>-8.591740845023015</v>
      </c>
      <c r="AH17" s="7">
        <v>2264.742750083686</v>
      </c>
      <c r="AI17" s="15">
        <f>AC17-AF17</f>
        <v>0</v>
      </c>
      <c r="AJ17" s="15">
        <f>SQRT((AD17-AG17)^2+(AE17-AH17)^2)</f>
        <v>0</v>
      </c>
      <c r="AK17" s="7" t="s">
        <v>189</v>
      </c>
      <c r="AL17" s="7">
        <v>-1951.3500968640335</v>
      </c>
      <c r="AM17" s="7">
        <v>-10.10793040590943</v>
      </c>
      <c r="AN17" s="7">
        <v>2664.4032353925722</v>
      </c>
      <c r="AO17" s="7">
        <v>1861.2149105404849</v>
      </c>
      <c r="AP17" s="7">
        <v>-10.107930405909423</v>
      </c>
      <c r="AQ17" s="7">
        <v>1319.3506066418852</v>
      </c>
      <c r="AR17" s="7">
        <v>-3812.5650074045184</v>
      </c>
      <c r="AS17" s="7">
        <v>-7.450580596923828e-15</v>
      </c>
      <c r="AT17" s="7">
        <v>1345.0526287506873</v>
      </c>
    </row>
    <row r="18" spans="1:46" x14ac:dyDescent="0.25">
      <c r="A18" s="7" t="s">
        <v>210</v>
      </c>
      <c r="B18" s="7">
        <v>1</v>
      </c>
      <c r="C18" s="18">
        <v>100</v>
      </c>
      <c r="D18" s="7" t="s">
        <v>211</v>
      </c>
      <c r="E18" s="7" t="s">
        <v>207</v>
      </c>
      <c r="F18" s="19">
        <v>100</v>
      </c>
      <c r="G18" s="7" t="s">
        <v>188</v>
      </c>
      <c r="H18" s="20">
        <v>9.999999999999998</v>
      </c>
      <c r="I18" s="10">
        <f>MAX(('Geometry'!$G$13*COS(RADIANS(F18))+'Geometry'!$F$13*SIN(RADIANS(F18))),('Geometry'!$G$14*COS(RADIANS(F18))+'Geometry'!$F$14*SIN(RADIANS(F18))),('Geometry'!$G$15*COS(RADIANS(F18))+'Geometry'!$F$15*SIN(RADIANS(F18))),('Geometry'!$G$16*COS(RADIANS(F18))+'Geometry'!$F$16*SIN(RADIANS(F18))),('Geometry'!$G$17*COS(RADIANS(F18))+'Geometry'!$F$17*SIN(RADIANS(F18))),('Geometry'!$G$18*COS(RADIANS(F18))+'Geometry'!$F$18*SIN(RADIANS(F18))),('Geometry'!$G$19*COS(RADIANS(F18))+'Geometry'!$F$19*SIN(RADIANS(F18))),('Geometry'!$G$20*COS(RADIANS(F18))+'Geometry'!$F$20*SIN(RADIANS(F18))))</f>
        <v>808.0650858259281</v>
      </c>
      <c r="J18" s="10">
        <f>MIN(('Geometry'!$G$40*COS(RADIANS(F18))+'Geometry'!$F$40*SIN(RADIANS(F18))),('Geometry'!$G$41*COS(RADIANS(F18))+'Geometry'!$F$41*SIN(RADIANS(F18))),('Geometry'!$G$42*COS(RADIANS(F18))+'Geometry'!$F$42*SIN(RADIANS(F18))),('Geometry'!$G$43*COS(RADIANS(F18))+'Geometry'!$F$43*SIN(RADIANS(F18))),('Geometry'!$G$44*COS(RADIANS(F18))+'Geometry'!$F$44*SIN(RADIANS(F18))),('Geometry'!$G$45*COS(RADIANS(F18))+'Geometry'!$F$45*SIN(RADIANS(F18))),('Geometry'!$G$46*COS(RADIANS(F18))+'Geometry'!$F$46*SIN(RADIANS(F18))),('Geometry'!$G$47*COS(RADIANS(F18))+'Geometry'!$F$47*SIN(RADIANS(F18))),('Geometry'!$G$48*COS(RADIANS(F18))+'Geometry'!$F$48*SIN(RADIANS(F18))),('Geometry'!$G$49*COS(RADIANS(F18))+'Geometry'!$F$49*SIN(RADIANS(F18))),('Geometry'!$G$50*COS(RADIANS(F18))+'Geometry'!$F$50*SIN(RADIANS(F18))),('Geometry'!$G$51*COS(RADIANS(F18))+'Geometry'!$F$51*SIN(RADIANS(F18))),('Geometry'!$G$52*COS(RADIANS(F18))+'Geometry'!$F$52*SIN(RADIANS(F18))),('Geometry'!$G$53*COS(RADIANS(F18))+'Geometry'!$F$53*SIN(RADIANS(F18))),('Geometry'!$G$54*COS(RADIANS(F18))+'Geometry'!$F$54*SIN(RADIANS(F18))),('Geometry'!$G$55*COS(RADIANS(F18))+'Geometry'!$F$55*SIN(RADIANS(F18))),('Geometry'!$G$56*COS(RADIANS(F18))+'Geometry'!$F$56*SIN(RADIANS(F18))),('Geometry'!$G$57*COS(RADIANS(F18))+'Geometry'!$F$57*SIN(RADIANS(F18))))</f>
        <v>-721.7637253483805</v>
      </c>
      <c r="K18" s="10">
        <f>I18-MIN(('Geometry'!$G$13*COS(RADIANS(F18))+'Geometry'!$F$13*SIN(RADIANS(F18))),('Geometry'!$G$14*COS(RADIANS(F18))+'Geometry'!$F$14*SIN(RADIANS(F18))),('Geometry'!$G$15*COS(RADIANS(F18))+'Geometry'!$F$15*SIN(RADIANS(F18))),('Geometry'!$G$16*COS(RADIANS(F18))+'Geometry'!$F$16*SIN(RADIANS(F18))),('Geometry'!$G$17*COS(RADIANS(F18))+'Geometry'!$F$17*SIN(RADIANS(F18))),('Geometry'!$G$18*COS(RADIANS(F18))+'Geometry'!$F$18*SIN(RADIANS(F18))),('Geometry'!$G$19*COS(RADIANS(F18))+'Geometry'!$F$19*SIN(RADIANS(F18))),('Geometry'!$G$20*COS(RADIANS(F18))+'Geometry'!$F$20*SIN(RADIANS(F18))))</f>
        <v>1616.1301716518562</v>
      </c>
      <c r="L18" s="15">
        <f>C_ecu</f>
        <v>0.0032999999999999974</v>
      </c>
      <c r="M18" s="15">
        <f>-H18*S_1_fy/S_1_Es</f>
        <v>-0.019999999999999997</v>
      </c>
      <c r="N18" s="21">
        <f>IF(ABS(I18-J18)&lt;0.000000000001,0,(L18-M18)/(I18-J18))</f>
        <v>0.000015230462277746446</v>
      </c>
      <c r="O18" s="15">
        <f>L18-N18*I18</f>
        <v>-0.009007204807635744</v>
      </c>
      <c r="P18" s="21">
        <f>N18*COS(RADIANS(F18))</f>
        <v>-0.000002644742019555595</v>
      </c>
      <c r="Q18" s="21">
        <f>N18*SIN(RADIANS(F18))</f>
        <v>0.000014999077333084675</v>
      </c>
      <c r="R18" s="10">
        <f>SUMPRODUCT(C_alpha*C_fck*(1-(1-(((O18+P18*Mesh_Y+Q18*Mesh_X))*((O18+P18*Mesh_Y+Q18*Mesh_X)&gt;0)*((O18+P18*Mesh_Y+Q18*Mesh_X)&lt;C_eco)+C_eco*((O18+P18*Mesh_Y+Q18*Mesh_X)&gt;=C_eco))/C_eco)^C_n)*(((O18+P18*Mesh_Y+Q18*Mesh_X))&gt;0),Mesh_A)/1000</f>
        <v>2668.112004128857</v>
      </c>
      <c r="S18" s="10">
        <f>SUMPRODUCT(C_alpha*C_fck*(1-(1-(((O18+P18*Mesh_Y+Q18*Mesh_X))*((O18+P18*Mesh_Y+Q18*Mesh_X)&gt;0)*((O18+P18*Mesh_Y+Q18*Mesh_X)&lt;C_eco)+C_eco*((O18+P18*Mesh_Y+Q18*Mesh_X)&gt;=C_eco))/C_eco)^C_n)*(((O18+P18*Mesh_Y+Q18*Mesh_X))&gt;0),Mesh_A,Mesh_Y)/1000000</f>
        <v>-416.0009503389328</v>
      </c>
      <c r="T18" s="10">
        <f>SUMPRODUCT(C_alpha*C_fck*(1-(1-(((O18+P18*Mesh_Y+Q18*Mesh_X))*((O18+P18*Mesh_Y+Q18*Mesh_X)&gt;0)*((O18+P18*Mesh_Y+Q18*Mesh_X)&lt;C_eco)+C_eco*((O18+P18*Mesh_Y+Q18*Mesh_X)&gt;=C_eco))/C_eco)^C_n)*(((O18+P18*Mesh_Y+Q18*Mesh_X))&gt;0),Mesh_A,Mesh_X)/1000000</f>
        <v>1793.0037812869673</v>
      </c>
      <c r="U18" s="10">
        <f>(((MAX(MIN(S_1_Es*(O18+P18*'Geometry'!$G$40+Q18*'Geometry'!$F$40),S_1_fy),-S_1_fy))-(IF((O18+P18*'Geometry'!$G$40+Q18*'Geometry'!$F$40)&gt;0,IF((O18+P18*'Geometry'!$G$40+Q18*'Geometry'!$F$40)&lt;=C_eco,C_alpha*C_fck*(1-(1-(O18+P18*'Geometry'!$G$40+Q18*'Geometry'!$F$40)/C_eco)^C_n),C_alpha*C_fck),0)))*'Geometry'!$H$40+((MAX(MIN(S_1_Es*(O18+P18*'Geometry'!$G$41+Q18*'Geometry'!$F$41),S_1_fy),-S_1_fy))-(IF((O18+P18*'Geometry'!$G$41+Q18*'Geometry'!$F$41)&gt;0,IF((O18+P18*'Geometry'!$G$41+Q18*'Geometry'!$F$41)&lt;=C_eco,C_alpha*C_fck*(1-(1-(O18+P18*'Geometry'!$G$41+Q18*'Geometry'!$F$41)/C_eco)^C_n),C_alpha*C_fck),0)))*'Geometry'!$H$41+((MAX(MIN(S_1_Es*(O18+P18*'Geometry'!$G$42+Q18*'Geometry'!$F$42),S_1_fy),-S_1_fy))-(IF((O18+P18*'Geometry'!$G$42+Q18*'Geometry'!$F$42)&gt;0,IF((O18+P18*'Geometry'!$G$42+Q18*'Geometry'!$F$42)&lt;=C_eco,C_alpha*C_fck*(1-(1-(O18+P18*'Geometry'!$G$42+Q18*'Geometry'!$F$42)/C_eco)^C_n),C_alpha*C_fck),0)))*'Geometry'!$H$42+((MAX(MIN(S_1_Es*(O18+P18*'Geometry'!$G$43+Q18*'Geometry'!$F$43),S_1_fy),-S_1_fy))-(IF((O18+P18*'Geometry'!$G$43+Q18*'Geometry'!$F$43)&gt;0,IF((O18+P18*'Geometry'!$G$43+Q18*'Geometry'!$F$43)&lt;=C_eco,C_alpha*C_fck*(1-(1-(O18+P18*'Geometry'!$G$43+Q18*'Geometry'!$F$43)/C_eco)^C_n),C_alpha*C_fck),0)))*'Geometry'!$H$43+((MAX(MIN(S_1_Es*(O18+P18*'Geometry'!$G$44+Q18*'Geometry'!$F$44),S_1_fy),-S_1_fy))-(IF((O18+P18*'Geometry'!$G$44+Q18*'Geometry'!$F$44)&gt;0,IF((O18+P18*'Geometry'!$G$44+Q18*'Geometry'!$F$44)&lt;=C_eco,C_alpha*C_fck*(1-(1-(O18+P18*'Geometry'!$G$44+Q18*'Geometry'!$F$44)/C_eco)^C_n),C_alpha*C_fck),0)))*'Geometry'!$H$44+((MAX(MIN(S_1_Es*(O18+P18*'Geometry'!$G$45+Q18*'Geometry'!$F$45),S_1_fy),-S_1_fy))-(IF((O18+P18*'Geometry'!$G$45+Q18*'Geometry'!$F$45)&gt;0,IF((O18+P18*'Geometry'!$G$45+Q18*'Geometry'!$F$45)&lt;=C_eco,C_alpha*C_fck*(1-(1-(O18+P18*'Geometry'!$G$45+Q18*'Geometry'!$F$45)/C_eco)^C_n),C_alpha*C_fck),0)))*'Geometry'!$H$45+((MAX(MIN(S_1_Es*(O18+P18*'Geometry'!$G$46+Q18*'Geometry'!$F$46),S_1_fy),-S_1_fy))-(IF((O18+P18*'Geometry'!$G$46+Q18*'Geometry'!$F$46)&gt;0,IF((O18+P18*'Geometry'!$G$46+Q18*'Geometry'!$F$46)&lt;=C_eco,C_alpha*C_fck*(1-(1-(O18+P18*'Geometry'!$G$46+Q18*'Geometry'!$F$46)/C_eco)^C_n),C_alpha*C_fck),0)))*'Geometry'!$H$46+((MAX(MIN(S_1_Es*(O18+P18*'Geometry'!$G$47+Q18*'Geometry'!$F$47),S_1_fy),-S_1_fy))-(IF((O18+P18*'Geometry'!$G$47+Q18*'Geometry'!$F$47)&gt;0,IF((O18+P18*'Geometry'!$G$47+Q18*'Geometry'!$F$47)&lt;=C_eco,C_alpha*C_fck*(1-(1-(O18+P18*'Geometry'!$G$47+Q18*'Geometry'!$F$47)/C_eco)^C_n),C_alpha*C_fck),0)))*'Geometry'!$H$47+((MAX(MIN(S_1_Es*(O18+P18*'Geometry'!$G$48+Q18*'Geometry'!$F$48),S_1_fy),-S_1_fy))-(IF((O18+P18*'Geometry'!$G$48+Q18*'Geometry'!$F$48)&gt;0,IF((O18+P18*'Geometry'!$G$48+Q18*'Geometry'!$F$48)&lt;=C_eco,C_alpha*C_fck*(1-(1-(O18+P18*'Geometry'!$G$48+Q18*'Geometry'!$F$48)/C_eco)^C_n),C_alpha*C_fck),0)))*'Geometry'!$H$48+((MAX(MIN(S_1_Es*(O18+P18*'Geometry'!$G$49+Q18*'Geometry'!$F$49),S_1_fy),-S_1_fy))-(IF((O18+P18*'Geometry'!$G$49+Q18*'Geometry'!$F$49)&gt;0,IF((O18+P18*'Geometry'!$G$49+Q18*'Geometry'!$F$49)&lt;=C_eco,C_alpha*C_fck*(1-(1-(O18+P18*'Geometry'!$G$49+Q18*'Geometry'!$F$49)/C_eco)^C_n),C_alpha*C_fck),0)))*'Geometry'!$H$49+((MAX(MIN(S_1_Es*(O18+P18*'Geometry'!$G$50+Q18*'Geometry'!$F$50),S_1_fy),-S_1_fy))-(IF((O18+P18*'Geometry'!$G$50+Q18*'Geometry'!$F$50)&gt;0,IF((O18+P18*'Geometry'!$G$50+Q18*'Geometry'!$F$50)&lt;=C_eco,C_alpha*C_fck*(1-(1-(O18+P18*'Geometry'!$G$50+Q18*'Geometry'!$F$50)/C_eco)^C_n),C_alpha*C_fck),0)))*'Geometry'!$H$50+((MAX(MIN(S_1_Es*(O18+P18*'Geometry'!$G$51+Q18*'Geometry'!$F$51),S_1_fy),-S_1_fy))-(IF((O18+P18*'Geometry'!$G$51+Q18*'Geometry'!$F$51)&gt;0,IF((O18+P18*'Geometry'!$G$51+Q18*'Geometry'!$F$51)&lt;=C_eco,C_alpha*C_fck*(1-(1-(O18+P18*'Geometry'!$G$51+Q18*'Geometry'!$F$51)/C_eco)^C_n),C_alpha*C_fck),0)))*'Geometry'!$H$51+((MAX(MIN(S_1_Es*(O18+P18*'Geometry'!$G$52+Q18*'Geometry'!$F$52),S_1_fy),-S_1_fy))-(IF((O18+P18*'Geometry'!$G$52+Q18*'Geometry'!$F$52)&gt;0,IF((O18+P18*'Geometry'!$G$52+Q18*'Geometry'!$F$52)&lt;=C_eco,C_alpha*C_fck*(1-(1-(O18+P18*'Geometry'!$G$52+Q18*'Geometry'!$F$52)/C_eco)^C_n),C_alpha*C_fck),0)))*'Geometry'!$H$52+((MAX(MIN(S_1_Es*(O18+P18*'Geometry'!$G$53+Q18*'Geometry'!$F$53),S_1_fy),-S_1_fy))-(IF((O18+P18*'Geometry'!$G$53+Q18*'Geometry'!$F$53)&gt;0,IF((O18+P18*'Geometry'!$G$53+Q18*'Geometry'!$F$53)&lt;=C_eco,C_alpha*C_fck*(1-(1-(O18+P18*'Geometry'!$G$53+Q18*'Geometry'!$F$53)/C_eco)^C_n),C_alpha*C_fck),0)))*'Geometry'!$H$53+((MAX(MIN(S_1_Es*(O18+P18*'Geometry'!$G$54+Q18*'Geometry'!$F$54),S_1_fy),-S_1_fy))-(IF((O18+P18*'Geometry'!$G$54+Q18*'Geometry'!$F$54)&gt;0,IF((O18+P18*'Geometry'!$G$54+Q18*'Geometry'!$F$54)&lt;=C_eco,C_alpha*C_fck*(1-(1-(O18+P18*'Geometry'!$G$54+Q18*'Geometry'!$F$54)/C_eco)^C_n),C_alpha*C_fck),0)))*'Geometry'!$H$54+((MAX(MIN(S_1_Es*(O18+P18*'Geometry'!$G$55+Q18*'Geometry'!$F$55),S_1_fy),-S_1_fy))-(IF((O18+P18*'Geometry'!$G$55+Q18*'Geometry'!$F$55)&gt;0,IF((O18+P18*'Geometry'!$G$55+Q18*'Geometry'!$F$55)&lt;=C_eco,C_alpha*C_fck*(1-(1-(O18+P18*'Geometry'!$G$55+Q18*'Geometry'!$F$55)/C_eco)^C_n),C_alpha*C_fck),0)))*'Geometry'!$H$55+((MAX(MIN(S_1_Es*(O18+P18*'Geometry'!$G$56+Q18*'Geometry'!$F$56),S_1_fy),-S_1_fy))-(IF((O18+P18*'Geometry'!$G$56+Q18*'Geometry'!$F$56)&gt;0,IF((O18+P18*'Geometry'!$G$56+Q18*'Geometry'!$F$56)&lt;=C_eco,C_alpha*C_fck*(1-(1-(O18+P18*'Geometry'!$G$56+Q18*'Geometry'!$F$56)/C_eco)^C_n),C_alpha*C_fck),0)))*'Geometry'!$H$56+((MAX(MIN(S_1_Es*(O18+P18*'Geometry'!$G$57+Q18*'Geometry'!$F$57),S_1_fy),-S_1_fy))-(IF((O18+P18*'Geometry'!$G$57+Q18*'Geometry'!$F$57)&gt;0,IF((O18+P18*'Geometry'!$G$57+Q18*'Geometry'!$F$57)&lt;=C_eco,C_alpha*C_fck*(1-(1-(O18+P18*'Geometry'!$G$57+Q18*'Geometry'!$F$57)/C_eco)^C_n),C_alpha*C_fck),0)))*'Geometry'!$H$57)/1000</f>
        <v>-3734.8287622967655</v>
      </c>
      <c r="V18" s="10">
        <f>(((MAX(MIN(S_1_Es*(O18+P18*'Geometry'!$G$40+Q18*'Geometry'!$F$40),S_1_fy),-S_1_fy))-(IF((O18+P18*'Geometry'!$G$40+Q18*'Geometry'!$F$40)&gt;0,IF((O18+P18*'Geometry'!$G$40+Q18*'Geometry'!$F$40)&lt;=C_eco,C_alpha*C_fck*(1-(1-(O18+P18*'Geometry'!$G$40+Q18*'Geometry'!$F$40)/C_eco)^C_n),C_alpha*C_fck),0)))*'Geometry'!$H$40*'Geometry'!$G$40+((MAX(MIN(S_1_Es*(O18+P18*'Geometry'!$G$41+Q18*'Geometry'!$F$41),S_1_fy),-S_1_fy))-(IF((O18+P18*'Geometry'!$G$41+Q18*'Geometry'!$F$41)&gt;0,IF((O18+P18*'Geometry'!$G$41+Q18*'Geometry'!$F$41)&lt;=C_eco,C_alpha*C_fck*(1-(1-(O18+P18*'Geometry'!$G$41+Q18*'Geometry'!$F$41)/C_eco)^C_n),C_alpha*C_fck),0)))*'Geometry'!$H$41*'Geometry'!$G$41+((MAX(MIN(S_1_Es*(O18+P18*'Geometry'!$G$42+Q18*'Geometry'!$F$42),S_1_fy),-S_1_fy))-(IF((O18+P18*'Geometry'!$G$42+Q18*'Geometry'!$F$42)&gt;0,IF((O18+P18*'Geometry'!$G$42+Q18*'Geometry'!$F$42)&lt;=C_eco,C_alpha*C_fck*(1-(1-(O18+P18*'Geometry'!$G$42+Q18*'Geometry'!$F$42)/C_eco)^C_n),C_alpha*C_fck),0)))*'Geometry'!$H$42*'Geometry'!$G$42+((MAX(MIN(S_1_Es*(O18+P18*'Geometry'!$G$43+Q18*'Geometry'!$F$43),S_1_fy),-S_1_fy))-(IF((O18+P18*'Geometry'!$G$43+Q18*'Geometry'!$F$43)&gt;0,IF((O18+P18*'Geometry'!$G$43+Q18*'Geometry'!$F$43)&lt;=C_eco,C_alpha*C_fck*(1-(1-(O18+P18*'Geometry'!$G$43+Q18*'Geometry'!$F$43)/C_eco)^C_n),C_alpha*C_fck),0)))*'Geometry'!$H$43*'Geometry'!$G$43+((MAX(MIN(S_1_Es*(O18+P18*'Geometry'!$G$44+Q18*'Geometry'!$F$44),S_1_fy),-S_1_fy))-(IF((O18+P18*'Geometry'!$G$44+Q18*'Geometry'!$F$44)&gt;0,IF((O18+P18*'Geometry'!$G$44+Q18*'Geometry'!$F$44)&lt;=C_eco,C_alpha*C_fck*(1-(1-(O18+P18*'Geometry'!$G$44+Q18*'Geometry'!$F$44)/C_eco)^C_n),C_alpha*C_fck),0)))*'Geometry'!$H$44*'Geometry'!$G$44+((MAX(MIN(S_1_Es*(O18+P18*'Geometry'!$G$45+Q18*'Geometry'!$F$45),S_1_fy),-S_1_fy))-(IF((O18+P18*'Geometry'!$G$45+Q18*'Geometry'!$F$45)&gt;0,IF((O18+P18*'Geometry'!$G$45+Q18*'Geometry'!$F$45)&lt;=C_eco,C_alpha*C_fck*(1-(1-(O18+P18*'Geometry'!$G$45+Q18*'Geometry'!$F$45)/C_eco)^C_n),C_alpha*C_fck),0)))*'Geometry'!$H$45*'Geometry'!$G$45+((MAX(MIN(S_1_Es*(O18+P18*'Geometry'!$G$46+Q18*'Geometry'!$F$46),S_1_fy),-S_1_fy))-(IF((O18+P18*'Geometry'!$G$46+Q18*'Geometry'!$F$46)&gt;0,IF((O18+P18*'Geometry'!$G$46+Q18*'Geometry'!$F$46)&lt;=C_eco,C_alpha*C_fck*(1-(1-(O18+P18*'Geometry'!$G$46+Q18*'Geometry'!$F$46)/C_eco)^C_n),C_alpha*C_fck),0)))*'Geometry'!$H$46*'Geometry'!$G$46+((MAX(MIN(S_1_Es*(O18+P18*'Geometry'!$G$47+Q18*'Geometry'!$F$47),S_1_fy),-S_1_fy))-(IF((O18+P18*'Geometry'!$G$47+Q18*'Geometry'!$F$47)&gt;0,IF((O18+P18*'Geometry'!$G$47+Q18*'Geometry'!$F$47)&lt;=C_eco,C_alpha*C_fck*(1-(1-(O18+P18*'Geometry'!$G$47+Q18*'Geometry'!$F$47)/C_eco)^C_n),C_alpha*C_fck),0)))*'Geometry'!$H$47*'Geometry'!$G$47+((MAX(MIN(S_1_Es*(O18+P18*'Geometry'!$G$48+Q18*'Geometry'!$F$48),S_1_fy),-S_1_fy))-(IF((O18+P18*'Geometry'!$G$48+Q18*'Geometry'!$F$48)&gt;0,IF((O18+P18*'Geometry'!$G$48+Q18*'Geometry'!$F$48)&lt;=C_eco,C_alpha*C_fck*(1-(1-(O18+P18*'Geometry'!$G$48+Q18*'Geometry'!$F$48)/C_eco)^C_n),C_alpha*C_fck),0)))*'Geometry'!$H$48*'Geometry'!$G$48+((MAX(MIN(S_1_Es*(O18+P18*'Geometry'!$G$49+Q18*'Geometry'!$F$49),S_1_fy),-S_1_fy))-(IF((O18+P18*'Geometry'!$G$49+Q18*'Geometry'!$F$49)&gt;0,IF((O18+P18*'Geometry'!$G$49+Q18*'Geometry'!$F$49)&lt;=C_eco,C_alpha*C_fck*(1-(1-(O18+P18*'Geometry'!$G$49+Q18*'Geometry'!$F$49)/C_eco)^C_n),C_alpha*C_fck),0)))*'Geometry'!$H$49*'Geometry'!$G$49+((MAX(MIN(S_1_Es*(O18+P18*'Geometry'!$G$50+Q18*'Geometry'!$F$50),S_1_fy),-S_1_fy))-(IF((O18+P18*'Geometry'!$G$50+Q18*'Geometry'!$F$50)&gt;0,IF((O18+P18*'Geometry'!$G$50+Q18*'Geometry'!$F$50)&lt;=C_eco,C_alpha*C_fck*(1-(1-(O18+P18*'Geometry'!$G$50+Q18*'Geometry'!$F$50)/C_eco)^C_n),C_alpha*C_fck),0)))*'Geometry'!$H$50*'Geometry'!$G$50+((MAX(MIN(S_1_Es*(O18+P18*'Geometry'!$G$51+Q18*'Geometry'!$F$51),S_1_fy),-S_1_fy))-(IF((O18+P18*'Geometry'!$G$51+Q18*'Geometry'!$F$51)&gt;0,IF((O18+P18*'Geometry'!$G$51+Q18*'Geometry'!$F$51)&lt;=C_eco,C_alpha*C_fck*(1-(1-(O18+P18*'Geometry'!$G$51+Q18*'Geometry'!$F$51)/C_eco)^C_n),C_alpha*C_fck),0)))*'Geometry'!$H$51*'Geometry'!$G$51+((MAX(MIN(S_1_Es*(O18+P18*'Geometry'!$G$52+Q18*'Geometry'!$F$52),S_1_fy),-S_1_fy))-(IF((O18+P18*'Geometry'!$G$52+Q18*'Geometry'!$F$52)&gt;0,IF((O18+P18*'Geometry'!$G$52+Q18*'Geometry'!$F$52)&lt;=C_eco,C_alpha*C_fck*(1-(1-(O18+P18*'Geometry'!$G$52+Q18*'Geometry'!$F$52)/C_eco)^C_n),C_alpha*C_fck),0)))*'Geometry'!$H$52*'Geometry'!$G$52+((MAX(MIN(S_1_Es*(O18+P18*'Geometry'!$G$53+Q18*'Geometry'!$F$53),S_1_fy),-S_1_fy))-(IF((O18+P18*'Geometry'!$G$53+Q18*'Geometry'!$F$53)&gt;0,IF((O18+P18*'Geometry'!$G$53+Q18*'Geometry'!$F$53)&lt;=C_eco,C_alpha*C_fck*(1-(1-(O18+P18*'Geometry'!$G$53+Q18*'Geometry'!$F$53)/C_eco)^C_n),C_alpha*C_fck),0)))*'Geometry'!$H$53*'Geometry'!$G$53+((MAX(MIN(S_1_Es*(O18+P18*'Geometry'!$G$54+Q18*'Geometry'!$F$54),S_1_fy),-S_1_fy))-(IF((O18+P18*'Geometry'!$G$54+Q18*'Geometry'!$F$54)&gt;0,IF((O18+P18*'Geometry'!$G$54+Q18*'Geometry'!$F$54)&lt;=C_eco,C_alpha*C_fck*(1-(1-(O18+P18*'Geometry'!$G$54+Q18*'Geometry'!$F$54)/C_eco)^C_n),C_alpha*C_fck),0)))*'Geometry'!$H$54*'Geometry'!$G$54+((MAX(MIN(S_1_Es*(O18+P18*'Geometry'!$G$55+Q18*'Geometry'!$F$55),S_1_fy),-S_1_fy))-(IF((O18+P18*'Geometry'!$G$55+Q18*'Geometry'!$F$55)&gt;0,IF((O18+P18*'Geometry'!$G$55+Q18*'Geometry'!$F$55)&lt;=C_eco,C_alpha*C_fck*(1-(1-(O18+P18*'Geometry'!$G$55+Q18*'Geometry'!$F$55)/C_eco)^C_n),C_alpha*C_fck),0)))*'Geometry'!$H$55*'Geometry'!$G$55+((MAX(MIN(S_1_Es*(O18+P18*'Geometry'!$G$56+Q18*'Geometry'!$F$56),S_1_fy),-S_1_fy))-(IF((O18+P18*'Geometry'!$G$56+Q18*'Geometry'!$F$56)&gt;0,IF((O18+P18*'Geometry'!$G$56+Q18*'Geometry'!$F$56)&lt;=C_eco,C_alpha*C_fck*(1-(1-(O18+P18*'Geometry'!$G$56+Q18*'Geometry'!$F$56)/C_eco)^C_n),C_alpha*C_fck),0)))*'Geometry'!$H$56*'Geometry'!$G$56+((MAX(MIN(S_1_Es*(O18+P18*'Geometry'!$G$57+Q18*'Geometry'!$F$57),S_1_fy),-S_1_fy))-(IF((O18+P18*'Geometry'!$G$57+Q18*'Geometry'!$F$57)&gt;0,IF((O18+P18*'Geometry'!$G$57+Q18*'Geometry'!$F$57)&lt;=C_eco,C_alpha*C_fck*(1-(1-(O18+P18*'Geometry'!$G$57+Q18*'Geometry'!$F$57)/C_eco)^C_n),C_alpha*C_fck),0)))*'Geometry'!$H$57*'Geometry'!$G$57)/1000000</f>
        <v>-114.29997685711255</v>
      </c>
      <c r="W18" s="10">
        <f>(((MAX(MIN(S_1_Es*(O18+P18*'Geometry'!$G$40+Q18*'Geometry'!$F$40),S_1_fy),-S_1_fy))-(IF((O18+P18*'Geometry'!$G$40+Q18*'Geometry'!$F$40)&gt;0,IF((O18+P18*'Geometry'!$G$40+Q18*'Geometry'!$F$40)&lt;=C_eco,C_alpha*C_fck*(1-(1-(O18+P18*'Geometry'!$G$40+Q18*'Geometry'!$F$40)/C_eco)^C_n),C_alpha*C_fck),0)))*'Geometry'!$H$40*'Geometry'!$F$40+((MAX(MIN(S_1_Es*(O18+P18*'Geometry'!$G$41+Q18*'Geometry'!$F$41),S_1_fy),-S_1_fy))-(IF((O18+P18*'Geometry'!$G$41+Q18*'Geometry'!$F$41)&gt;0,IF((O18+P18*'Geometry'!$G$41+Q18*'Geometry'!$F$41)&lt;=C_eco,C_alpha*C_fck*(1-(1-(O18+P18*'Geometry'!$G$41+Q18*'Geometry'!$F$41)/C_eco)^C_n),C_alpha*C_fck),0)))*'Geometry'!$H$41*'Geometry'!$F$41+((MAX(MIN(S_1_Es*(O18+P18*'Geometry'!$G$42+Q18*'Geometry'!$F$42),S_1_fy),-S_1_fy))-(IF((O18+P18*'Geometry'!$G$42+Q18*'Geometry'!$F$42)&gt;0,IF((O18+P18*'Geometry'!$G$42+Q18*'Geometry'!$F$42)&lt;=C_eco,C_alpha*C_fck*(1-(1-(O18+P18*'Geometry'!$G$42+Q18*'Geometry'!$F$42)/C_eco)^C_n),C_alpha*C_fck),0)))*'Geometry'!$H$42*'Geometry'!$F$42+((MAX(MIN(S_1_Es*(O18+P18*'Geometry'!$G$43+Q18*'Geometry'!$F$43),S_1_fy),-S_1_fy))-(IF((O18+P18*'Geometry'!$G$43+Q18*'Geometry'!$F$43)&gt;0,IF((O18+P18*'Geometry'!$G$43+Q18*'Geometry'!$F$43)&lt;=C_eco,C_alpha*C_fck*(1-(1-(O18+P18*'Geometry'!$G$43+Q18*'Geometry'!$F$43)/C_eco)^C_n),C_alpha*C_fck),0)))*'Geometry'!$H$43*'Geometry'!$F$43+((MAX(MIN(S_1_Es*(O18+P18*'Geometry'!$G$44+Q18*'Geometry'!$F$44),S_1_fy),-S_1_fy))-(IF((O18+P18*'Geometry'!$G$44+Q18*'Geometry'!$F$44)&gt;0,IF((O18+P18*'Geometry'!$G$44+Q18*'Geometry'!$F$44)&lt;=C_eco,C_alpha*C_fck*(1-(1-(O18+P18*'Geometry'!$G$44+Q18*'Geometry'!$F$44)/C_eco)^C_n),C_alpha*C_fck),0)))*'Geometry'!$H$44*'Geometry'!$F$44+((MAX(MIN(S_1_Es*(O18+P18*'Geometry'!$G$45+Q18*'Geometry'!$F$45),S_1_fy),-S_1_fy))-(IF((O18+P18*'Geometry'!$G$45+Q18*'Geometry'!$F$45)&gt;0,IF((O18+P18*'Geometry'!$G$45+Q18*'Geometry'!$F$45)&lt;=C_eco,C_alpha*C_fck*(1-(1-(O18+P18*'Geometry'!$G$45+Q18*'Geometry'!$F$45)/C_eco)^C_n),C_alpha*C_fck),0)))*'Geometry'!$H$45*'Geometry'!$F$45+((MAX(MIN(S_1_Es*(O18+P18*'Geometry'!$G$46+Q18*'Geometry'!$F$46),S_1_fy),-S_1_fy))-(IF((O18+P18*'Geometry'!$G$46+Q18*'Geometry'!$F$46)&gt;0,IF((O18+P18*'Geometry'!$G$46+Q18*'Geometry'!$F$46)&lt;=C_eco,C_alpha*C_fck*(1-(1-(O18+P18*'Geometry'!$G$46+Q18*'Geometry'!$F$46)/C_eco)^C_n),C_alpha*C_fck),0)))*'Geometry'!$H$46*'Geometry'!$F$46+((MAX(MIN(S_1_Es*(O18+P18*'Geometry'!$G$47+Q18*'Geometry'!$F$47),S_1_fy),-S_1_fy))-(IF((O18+P18*'Geometry'!$G$47+Q18*'Geometry'!$F$47)&gt;0,IF((O18+P18*'Geometry'!$G$47+Q18*'Geometry'!$F$47)&lt;=C_eco,C_alpha*C_fck*(1-(1-(O18+P18*'Geometry'!$G$47+Q18*'Geometry'!$F$47)/C_eco)^C_n),C_alpha*C_fck),0)))*'Geometry'!$H$47*'Geometry'!$F$47+((MAX(MIN(S_1_Es*(O18+P18*'Geometry'!$G$48+Q18*'Geometry'!$F$48),S_1_fy),-S_1_fy))-(IF((O18+P18*'Geometry'!$G$48+Q18*'Geometry'!$F$48)&gt;0,IF((O18+P18*'Geometry'!$G$48+Q18*'Geometry'!$F$48)&lt;=C_eco,C_alpha*C_fck*(1-(1-(O18+P18*'Geometry'!$G$48+Q18*'Geometry'!$F$48)/C_eco)^C_n),C_alpha*C_fck),0)))*'Geometry'!$H$48*'Geometry'!$F$48+((MAX(MIN(S_1_Es*(O18+P18*'Geometry'!$G$49+Q18*'Geometry'!$F$49),S_1_fy),-S_1_fy))-(IF((O18+P18*'Geometry'!$G$49+Q18*'Geometry'!$F$49)&gt;0,IF((O18+P18*'Geometry'!$G$49+Q18*'Geometry'!$F$49)&lt;=C_eco,C_alpha*C_fck*(1-(1-(O18+P18*'Geometry'!$G$49+Q18*'Geometry'!$F$49)/C_eco)^C_n),C_alpha*C_fck),0)))*'Geometry'!$H$49*'Geometry'!$F$49+((MAX(MIN(S_1_Es*(O18+P18*'Geometry'!$G$50+Q18*'Geometry'!$F$50),S_1_fy),-S_1_fy))-(IF((O18+P18*'Geometry'!$G$50+Q18*'Geometry'!$F$50)&gt;0,IF((O18+P18*'Geometry'!$G$50+Q18*'Geometry'!$F$50)&lt;=C_eco,C_alpha*C_fck*(1-(1-(O18+P18*'Geometry'!$G$50+Q18*'Geometry'!$F$50)/C_eco)^C_n),C_alpha*C_fck),0)))*'Geometry'!$H$50*'Geometry'!$F$50+((MAX(MIN(S_1_Es*(O18+P18*'Geometry'!$G$51+Q18*'Geometry'!$F$51),S_1_fy),-S_1_fy))-(IF((O18+P18*'Geometry'!$G$51+Q18*'Geometry'!$F$51)&gt;0,IF((O18+P18*'Geometry'!$G$51+Q18*'Geometry'!$F$51)&lt;=C_eco,C_alpha*C_fck*(1-(1-(O18+P18*'Geometry'!$G$51+Q18*'Geometry'!$F$51)/C_eco)^C_n),C_alpha*C_fck),0)))*'Geometry'!$H$51*'Geometry'!$F$51+((MAX(MIN(S_1_Es*(O18+P18*'Geometry'!$G$52+Q18*'Geometry'!$F$52),S_1_fy),-S_1_fy))-(IF((O18+P18*'Geometry'!$G$52+Q18*'Geometry'!$F$52)&gt;0,IF((O18+P18*'Geometry'!$G$52+Q18*'Geometry'!$F$52)&lt;=C_eco,C_alpha*C_fck*(1-(1-(O18+P18*'Geometry'!$G$52+Q18*'Geometry'!$F$52)/C_eco)^C_n),C_alpha*C_fck),0)))*'Geometry'!$H$52*'Geometry'!$F$52+((MAX(MIN(S_1_Es*(O18+P18*'Geometry'!$G$53+Q18*'Geometry'!$F$53),S_1_fy),-S_1_fy))-(IF((O18+P18*'Geometry'!$G$53+Q18*'Geometry'!$F$53)&gt;0,IF((O18+P18*'Geometry'!$G$53+Q18*'Geometry'!$F$53)&lt;=C_eco,C_alpha*C_fck*(1-(1-(O18+P18*'Geometry'!$G$53+Q18*'Geometry'!$F$53)/C_eco)^C_n),C_alpha*C_fck),0)))*'Geometry'!$H$53*'Geometry'!$F$53+((MAX(MIN(S_1_Es*(O18+P18*'Geometry'!$G$54+Q18*'Geometry'!$F$54),S_1_fy),-S_1_fy))-(IF((O18+P18*'Geometry'!$G$54+Q18*'Geometry'!$F$54)&gt;0,IF((O18+P18*'Geometry'!$G$54+Q18*'Geometry'!$F$54)&lt;=C_eco,C_alpha*C_fck*(1-(1-(O18+P18*'Geometry'!$G$54+Q18*'Geometry'!$F$54)/C_eco)^C_n),C_alpha*C_fck),0)))*'Geometry'!$H$54*'Geometry'!$F$54+((MAX(MIN(S_1_Es*(O18+P18*'Geometry'!$G$55+Q18*'Geometry'!$F$55),S_1_fy),-S_1_fy))-(IF((O18+P18*'Geometry'!$G$55+Q18*'Geometry'!$F$55)&gt;0,IF((O18+P18*'Geometry'!$G$55+Q18*'Geometry'!$F$55)&lt;=C_eco,C_alpha*C_fck*(1-(1-(O18+P18*'Geometry'!$G$55+Q18*'Geometry'!$F$55)/C_eco)^C_n),C_alpha*C_fck),0)))*'Geometry'!$H$55*'Geometry'!$F$55+((MAX(MIN(S_1_Es*(O18+P18*'Geometry'!$G$56+Q18*'Geometry'!$F$56),S_1_fy),-S_1_fy))-(IF((O18+P18*'Geometry'!$G$56+Q18*'Geometry'!$F$56)&gt;0,IF((O18+P18*'Geometry'!$G$56+Q18*'Geometry'!$F$56)&lt;=C_eco,C_alpha*C_fck*(1-(1-(O18+P18*'Geometry'!$G$56+Q18*'Geometry'!$F$56)/C_eco)^C_n),C_alpha*C_fck),0)))*'Geometry'!$H$56*'Geometry'!$F$56+((MAX(MIN(S_1_Es*(O18+P18*'Geometry'!$G$57+Q18*'Geometry'!$F$57),S_1_fy),-S_1_fy))-(IF((O18+P18*'Geometry'!$G$57+Q18*'Geometry'!$F$57)&gt;0,IF((O18+P18*'Geometry'!$G$57+Q18*'Geometry'!$F$57)&lt;=C_eco,C_alpha*C_fck*(1-(1-(O18+P18*'Geometry'!$G$57+Q18*'Geometry'!$F$57)/C_eco)^C_n),C_alpha*C_fck),0)))*'Geometry'!$H$57*'Geometry'!$F$57)/1000000</f>
        <v>1380.162075647345</v>
      </c>
      <c r="X18" s="10">
        <f>R18+U18</f>
        <v>-1066.7167581679084</v>
      </c>
      <c r="Y18" s="10">
        <f>S18+V18</f>
        <v>-530.3009271960454</v>
      </c>
      <c r="Z18" s="10">
        <f>T18+W18</f>
        <v>3173.165856934312</v>
      </c>
      <c r="AA18" s="7">
        <v>0.85</v>
      </c>
      <c r="AB18" s="7">
        <v>0.85</v>
      </c>
      <c r="AC18" s="10">
        <f>X18*AA18</f>
        <v>-906.7092444427221</v>
      </c>
      <c r="AD18" s="10">
        <f>Y18*AB18</f>
        <v>-450.7557881166386</v>
      </c>
      <c r="AE18" s="10">
        <f>Z18*AB18</f>
        <v>2697.1909783941655</v>
      </c>
      <c r="AF18" s="7">
        <v>-906.7092444427221</v>
      </c>
      <c r="AG18" s="7">
        <v>-450.7557881166386</v>
      </c>
      <c r="AH18" s="7">
        <v>2697.1909783941655</v>
      </c>
      <c r="AI18" s="15">
        <f>AC18-AF18</f>
        <v>0</v>
      </c>
      <c r="AJ18" s="15">
        <f>SQRT((AD18-AG18)^2+(AE18-AH18)^2)</f>
        <v>0</v>
      </c>
      <c r="AK18" s="7" t="s">
        <v>189</v>
      </c>
      <c r="AL18" s="7">
        <v>-1066.7167581679084</v>
      </c>
      <c r="AM18" s="7">
        <v>-530.3009271960454</v>
      </c>
      <c r="AN18" s="7">
        <v>3173.165856934312</v>
      </c>
      <c r="AO18" s="7">
        <v>2668.112004128857</v>
      </c>
      <c r="AP18" s="7">
        <v>-416.0009503389328</v>
      </c>
      <c r="AQ18" s="7">
        <v>1793.0037812869673</v>
      </c>
      <c r="AR18" s="7">
        <v>-3734.8287622967655</v>
      </c>
      <c r="AS18" s="7">
        <v>-114.29997685711255</v>
      </c>
      <c r="AT18" s="7">
        <v>1380.162075647345</v>
      </c>
    </row>
    <row r="19" spans="1:46" x14ac:dyDescent="0.25">
      <c r="A19" s="7" t="s">
        <v>212</v>
      </c>
      <c r="B19" s="7">
        <v>1</v>
      </c>
      <c r="C19" s="18">
        <v>110</v>
      </c>
      <c r="D19" s="7" t="s">
        <v>213</v>
      </c>
      <c r="E19" s="7" t="s">
        <v>192</v>
      </c>
      <c r="F19" s="19">
        <v>110</v>
      </c>
      <c r="G19" s="7" t="s">
        <v>188</v>
      </c>
      <c r="H19" s="20">
        <v>7.500000000000001</v>
      </c>
      <c r="I19" s="10">
        <f>MAX(('Geometry'!$G$13*COS(RADIANS(F19))+'Geometry'!$F$13*SIN(RADIANS(F19))),('Geometry'!$G$14*COS(RADIANS(F19))+'Geometry'!$F$14*SIN(RADIANS(F19))),('Geometry'!$G$15*COS(RADIANS(F19))+'Geometry'!$F$15*SIN(RADIANS(F19))),('Geometry'!$G$16*COS(RADIANS(F19))+'Geometry'!$F$16*SIN(RADIANS(F19))),('Geometry'!$G$17*COS(RADIANS(F19))+'Geometry'!$F$17*SIN(RADIANS(F19))),('Geometry'!$G$18*COS(RADIANS(F19))+'Geometry'!$F$18*SIN(RADIANS(F19))),('Geometry'!$G$19*COS(RADIANS(F19))+'Geometry'!$F$19*SIN(RADIANS(F19))),('Geometry'!$G$20*COS(RADIANS(F19))+'Geometry'!$F$20*SIN(RADIANS(F19))))</f>
        <v>841.5775229196988</v>
      </c>
      <c r="J19" s="10">
        <f>MIN(('Geometry'!$G$40*COS(RADIANS(F19))+'Geometry'!$F$40*SIN(RADIANS(F19))),('Geometry'!$G$41*COS(RADIANS(F19))+'Geometry'!$F$41*SIN(RADIANS(F19))),('Geometry'!$G$42*COS(RADIANS(F19))+'Geometry'!$F$42*SIN(RADIANS(F19))),('Geometry'!$G$43*COS(RADIANS(F19))+'Geometry'!$F$43*SIN(RADIANS(F19))),('Geometry'!$G$44*COS(RADIANS(F19))+'Geometry'!$F$44*SIN(RADIANS(F19))),('Geometry'!$G$45*COS(RADIANS(F19))+'Geometry'!$F$45*SIN(RADIANS(F19))),('Geometry'!$G$46*COS(RADIANS(F19))+'Geometry'!$F$46*SIN(RADIANS(F19))),('Geometry'!$G$47*COS(RADIANS(F19))+'Geometry'!$F$47*SIN(RADIANS(F19))),('Geometry'!$G$48*COS(RADIANS(F19))+'Geometry'!$F$48*SIN(RADIANS(F19))),('Geometry'!$G$49*COS(RADIANS(F19))+'Geometry'!$F$49*SIN(RADIANS(F19))),('Geometry'!$G$50*COS(RADIANS(F19))+'Geometry'!$F$50*SIN(RADIANS(F19))),('Geometry'!$G$51*COS(RADIANS(F19))+'Geometry'!$F$51*SIN(RADIANS(F19))),('Geometry'!$G$52*COS(RADIANS(F19))+'Geometry'!$F$52*SIN(RADIANS(F19))),('Geometry'!$G$53*COS(RADIANS(F19))+'Geometry'!$F$53*SIN(RADIANS(F19))),('Geometry'!$G$54*COS(RADIANS(F19))+'Geometry'!$F$54*SIN(RADIANS(F19))),('Geometry'!$G$55*COS(RADIANS(F19))+'Geometry'!$F$55*SIN(RADIANS(F19))),('Geometry'!$G$56*COS(RADIANS(F19))+'Geometry'!$F$56*SIN(RADIANS(F19))),('Geometry'!$G$57*COS(RADIANS(F19))+'Geometry'!$F$57*SIN(RADIANS(F19))))</f>
        <v>-741.5970251321183</v>
      </c>
      <c r="K19" s="10">
        <f>I19-MIN(('Geometry'!$G$13*COS(RADIANS(F19))+'Geometry'!$F$13*SIN(RADIANS(F19))),('Geometry'!$G$14*COS(RADIANS(F19))+'Geometry'!$F$14*SIN(RADIANS(F19))),('Geometry'!$G$15*COS(RADIANS(F19))+'Geometry'!$F$15*SIN(RADIANS(F19))),('Geometry'!$G$16*COS(RADIANS(F19))+'Geometry'!$F$16*SIN(RADIANS(F19))),('Geometry'!$G$17*COS(RADIANS(F19))+'Geometry'!$F$17*SIN(RADIANS(F19))),('Geometry'!$G$18*COS(RADIANS(F19))+'Geometry'!$F$18*SIN(RADIANS(F19))),('Geometry'!$G$19*COS(RADIANS(F19))+'Geometry'!$F$19*SIN(RADIANS(F19))),('Geometry'!$G$20*COS(RADIANS(F19))+'Geometry'!$F$20*SIN(RADIANS(F19))))</f>
        <v>1683.1550458393976</v>
      </c>
      <c r="L19" s="15">
        <f>C_ecu</f>
        <v>0.0033000000000000017</v>
      </c>
      <c r="M19" s="15">
        <f>-H19*S_1_fy/S_1_Es</f>
        <v>-0.015000000000000003</v>
      </c>
      <c r="N19" s="21">
        <f>IF(ABS(I19-J19)&lt;0.000000000001,0,(L19-M19)/(I19-J19))</f>
        <v>0.000011559053941663699</v>
      </c>
      <c r="O19" s="15">
        <f>L19-N19*I19</f>
        <v>-0.006427839983520515</v>
      </c>
      <c r="P19" s="21">
        <f>N19*COS(RADIANS(F19))</f>
        <v>-0.000003953429285836952</v>
      </c>
      <c r="Q19" s="21">
        <f>N19*SIN(RADIANS(F19))</f>
        <v>0.000010861957692247647</v>
      </c>
      <c r="R19" s="10">
        <f>SUMPRODUCT(C_alpha*C_fck*(1-(1-(((O19+P19*Mesh_Y+Q19*Mesh_X))*((O19+P19*Mesh_Y+Q19*Mesh_X)&gt;0)*((O19+P19*Mesh_Y+Q19*Mesh_X)&lt;C_eco)+C_eco*((O19+P19*Mesh_Y+Q19*Mesh_X)&gt;=C_eco))/C_eco)^C_n)*(((O19+P19*Mesh_Y+Q19*Mesh_X))&gt;0),Mesh_A)/1000</f>
        <v>2985.3124436654393</v>
      </c>
      <c r="S19" s="10">
        <f>SUMPRODUCT(C_alpha*C_fck*(1-(1-(((O19+P19*Mesh_Y+Q19*Mesh_X))*((O19+P19*Mesh_Y+Q19*Mesh_X)&gt;0)*((O19+P19*Mesh_Y+Q19*Mesh_X)&lt;C_eco)+C_eco*((O19+P19*Mesh_Y+Q19*Mesh_X)&gt;=C_eco))/C_eco)^C_n)*(((O19+P19*Mesh_Y+Q19*Mesh_X))&gt;0),Mesh_A,Mesh_Y)/1000000</f>
        <v>-782.5196698047154</v>
      </c>
      <c r="T19" s="10">
        <f>SUMPRODUCT(C_alpha*C_fck*(1-(1-(((O19+P19*Mesh_Y+Q19*Mesh_X))*((O19+P19*Mesh_Y+Q19*Mesh_X)&gt;0)*((O19+P19*Mesh_Y+Q19*Mesh_X)&lt;C_eco)+C_eco*((O19+P19*Mesh_Y+Q19*Mesh_X)&gt;=C_eco))/C_eco)^C_n)*(((O19+P19*Mesh_Y+Q19*Mesh_X))&gt;0),Mesh_A,Mesh_X)/1000000</f>
        <v>1897.5576372965718</v>
      </c>
      <c r="U19" s="10">
        <f>(((MAX(MIN(S_1_Es*(O19+P19*'Geometry'!$G$40+Q19*'Geometry'!$F$40),S_1_fy),-S_1_fy))-(IF((O19+P19*'Geometry'!$G$40+Q19*'Geometry'!$F$40)&gt;0,IF((O19+P19*'Geometry'!$G$40+Q19*'Geometry'!$F$40)&lt;=C_eco,C_alpha*C_fck*(1-(1-(O19+P19*'Geometry'!$G$40+Q19*'Geometry'!$F$40)/C_eco)^C_n),C_alpha*C_fck),0)))*'Geometry'!$H$40+((MAX(MIN(S_1_Es*(O19+P19*'Geometry'!$G$41+Q19*'Geometry'!$F$41),S_1_fy),-S_1_fy))-(IF((O19+P19*'Geometry'!$G$41+Q19*'Geometry'!$F$41)&gt;0,IF((O19+P19*'Geometry'!$G$41+Q19*'Geometry'!$F$41)&lt;=C_eco,C_alpha*C_fck*(1-(1-(O19+P19*'Geometry'!$G$41+Q19*'Geometry'!$F$41)/C_eco)^C_n),C_alpha*C_fck),0)))*'Geometry'!$H$41+((MAX(MIN(S_1_Es*(O19+P19*'Geometry'!$G$42+Q19*'Geometry'!$F$42),S_1_fy),-S_1_fy))-(IF((O19+P19*'Geometry'!$G$42+Q19*'Geometry'!$F$42)&gt;0,IF((O19+P19*'Geometry'!$G$42+Q19*'Geometry'!$F$42)&lt;=C_eco,C_alpha*C_fck*(1-(1-(O19+P19*'Geometry'!$G$42+Q19*'Geometry'!$F$42)/C_eco)^C_n),C_alpha*C_fck),0)))*'Geometry'!$H$42+((MAX(MIN(S_1_Es*(O19+P19*'Geometry'!$G$43+Q19*'Geometry'!$F$43),S_1_fy),-S_1_fy))-(IF((O19+P19*'Geometry'!$G$43+Q19*'Geometry'!$F$43)&gt;0,IF((O19+P19*'Geometry'!$G$43+Q19*'Geometry'!$F$43)&lt;=C_eco,C_alpha*C_fck*(1-(1-(O19+P19*'Geometry'!$G$43+Q19*'Geometry'!$F$43)/C_eco)^C_n),C_alpha*C_fck),0)))*'Geometry'!$H$43+((MAX(MIN(S_1_Es*(O19+P19*'Geometry'!$G$44+Q19*'Geometry'!$F$44),S_1_fy),-S_1_fy))-(IF((O19+P19*'Geometry'!$G$44+Q19*'Geometry'!$F$44)&gt;0,IF((O19+P19*'Geometry'!$G$44+Q19*'Geometry'!$F$44)&lt;=C_eco,C_alpha*C_fck*(1-(1-(O19+P19*'Geometry'!$G$44+Q19*'Geometry'!$F$44)/C_eco)^C_n),C_alpha*C_fck),0)))*'Geometry'!$H$44+((MAX(MIN(S_1_Es*(O19+P19*'Geometry'!$G$45+Q19*'Geometry'!$F$45),S_1_fy),-S_1_fy))-(IF((O19+P19*'Geometry'!$G$45+Q19*'Geometry'!$F$45)&gt;0,IF((O19+P19*'Geometry'!$G$45+Q19*'Geometry'!$F$45)&lt;=C_eco,C_alpha*C_fck*(1-(1-(O19+P19*'Geometry'!$G$45+Q19*'Geometry'!$F$45)/C_eco)^C_n),C_alpha*C_fck),0)))*'Geometry'!$H$45+((MAX(MIN(S_1_Es*(O19+P19*'Geometry'!$G$46+Q19*'Geometry'!$F$46),S_1_fy),-S_1_fy))-(IF((O19+P19*'Geometry'!$G$46+Q19*'Geometry'!$F$46)&gt;0,IF((O19+P19*'Geometry'!$G$46+Q19*'Geometry'!$F$46)&lt;=C_eco,C_alpha*C_fck*(1-(1-(O19+P19*'Geometry'!$G$46+Q19*'Geometry'!$F$46)/C_eco)^C_n),C_alpha*C_fck),0)))*'Geometry'!$H$46+((MAX(MIN(S_1_Es*(O19+P19*'Geometry'!$G$47+Q19*'Geometry'!$F$47),S_1_fy),-S_1_fy))-(IF((O19+P19*'Geometry'!$G$47+Q19*'Geometry'!$F$47)&gt;0,IF((O19+P19*'Geometry'!$G$47+Q19*'Geometry'!$F$47)&lt;=C_eco,C_alpha*C_fck*(1-(1-(O19+P19*'Geometry'!$G$47+Q19*'Geometry'!$F$47)/C_eco)^C_n),C_alpha*C_fck),0)))*'Geometry'!$H$47+((MAX(MIN(S_1_Es*(O19+P19*'Geometry'!$G$48+Q19*'Geometry'!$F$48),S_1_fy),-S_1_fy))-(IF((O19+P19*'Geometry'!$G$48+Q19*'Geometry'!$F$48)&gt;0,IF((O19+P19*'Geometry'!$G$48+Q19*'Geometry'!$F$48)&lt;=C_eco,C_alpha*C_fck*(1-(1-(O19+P19*'Geometry'!$G$48+Q19*'Geometry'!$F$48)/C_eco)^C_n),C_alpha*C_fck),0)))*'Geometry'!$H$48+((MAX(MIN(S_1_Es*(O19+P19*'Geometry'!$G$49+Q19*'Geometry'!$F$49),S_1_fy),-S_1_fy))-(IF((O19+P19*'Geometry'!$G$49+Q19*'Geometry'!$F$49)&gt;0,IF((O19+P19*'Geometry'!$G$49+Q19*'Geometry'!$F$49)&lt;=C_eco,C_alpha*C_fck*(1-(1-(O19+P19*'Geometry'!$G$49+Q19*'Geometry'!$F$49)/C_eco)^C_n),C_alpha*C_fck),0)))*'Geometry'!$H$49+((MAX(MIN(S_1_Es*(O19+P19*'Geometry'!$G$50+Q19*'Geometry'!$F$50),S_1_fy),-S_1_fy))-(IF((O19+P19*'Geometry'!$G$50+Q19*'Geometry'!$F$50)&gt;0,IF((O19+P19*'Geometry'!$G$50+Q19*'Geometry'!$F$50)&lt;=C_eco,C_alpha*C_fck*(1-(1-(O19+P19*'Geometry'!$G$50+Q19*'Geometry'!$F$50)/C_eco)^C_n),C_alpha*C_fck),0)))*'Geometry'!$H$50+((MAX(MIN(S_1_Es*(O19+P19*'Geometry'!$G$51+Q19*'Geometry'!$F$51),S_1_fy),-S_1_fy))-(IF((O19+P19*'Geometry'!$G$51+Q19*'Geometry'!$F$51)&gt;0,IF((O19+P19*'Geometry'!$G$51+Q19*'Geometry'!$F$51)&lt;=C_eco,C_alpha*C_fck*(1-(1-(O19+P19*'Geometry'!$G$51+Q19*'Geometry'!$F$51)/C_eco)^C_n),C_alpha*C_fck),0)))*'Geometry'!$H$51+((MAX(MIN(S_1_Es*(O19+P19*'Geometry'!$G$52+Q19*'Geometry'!$F$52),S_1_fy),-S_1_fy))-(IF((O19+P19*'Geometry'!$G$52+Q19*'Geometry'!$F$52)&gt;0,IF((O19+P19*'Geometry'!$G$52+Q19*'Geometry'!$F$52)&lt;=C_eco,C_alpha*C_fck*(1-(1-(O19+P19*'Geometry'!$G$52+Q19*'Geometry'!$F$52)/C_eco)^C_n),C_alpha*C_fck),0)))*'Geometry'!$H$52+((MAX(MIN(S_1_Es*(O19+P19*'Geometry'!$G$53+Q19*'Geometry'!$F$53),S_1_fy),-S_1_fy))-(IF((O19+P19*'Geometry'!$G$53+Q19*'Geometry'!$F$53)&gt;0,IF((O19+P19*'Geometry'!$G$53+Q19*'Geometry'!$F$53)&lt;=C_eco,C_alpha*C_fck*(1-(1-(O19+P19*'Geometry'!$G$53+Q19*'Geometry'!$F$53)/C_eco)^C_n),C_alpha*C_fck),0)))*'Geometry'!$H$53+((MAX(MIN(S_1_Es*(O19+P19*'Geometry'!$G$54+Q19*'Geometry'!$F$54),S_1_fy),-S_1_fy))-(IF((O19+P19*'Geometry'!$G$54+Q19*'Geometry'!$F$54)&gt;0,IF((O19+P19*'Geometry'!$G$54+Q19*'Geometry'!$F$54)&lt;=C_eco,C_alpha*C_fck*(1-(1-(O19+P19*'Geometry'!$G$54+Q19*'Geometry'!$F$54)/C_eco)^C_n),C_alpha*C_fck),0)))*'Geometry'!$H$54+((MAX(MIN(S_1_Es*(O19+P19*'Geometry'!$G$55+Q19*'Geometry'!$F$55),S_1_fy),-S_1_fy))-(IF((O19+P19*'Geometry'!$G$55+Q19*'Geometry'!$F$55)&gt;0,IF((O19+P19*'Geometry'!$G$55+Q19*'Geometry'!$F$55)&lt;=C_eco,C_alpha*C_fck*(1-(1-(O19+P19*'Geometry'!$G$55+Q19*'Geometry'!$F$55)/C_eco)^C_n),C_alpha*C_fck),0)))*'Geometry'!$H$55+((MAX(MIN(S_1_Es*(O19+P19*'Geometry'!$G$56+Q19*'Geometry'!$F$56),S_1_fy),-S_1_fy))-(IF((O19+P19*'Geometry'!$G$56+Q19*'Geometry'!$F$56)&gt;0,IF((O19+P19*'Geometry'!$G$56+Q19*'Geometry'!$F$56)&lt;=C_eco,C_alpha*C_fck*(1-(1-(O19+P19*'Geometry'!$G$56+Q19*'Geometry'!$F$56)/C_eco)^C_n),C_alpha*C_fck),0)))*'Geometry'!$H$56+((MAX(MIN(S_1_Es*(O19+P19*'Geometry'!$G$57+Q19*'Geometry'!$F$57),S_1_fy),-S_1_fy))-(IF((O19+P19*'Geometry'!$G$57+Q19*'Geometry'!$F$57)&gt;0,IF((O19+P19*'Geometry'!$G$57+Q19*'Geometry'!$F$57)&lt;=C_eco,C_alpha*C_fck*(1-(1-(O19+P19*'Geometry'!$G$57+Q19*'Geometry'!$F$57)/C_eco)^C_n),C_alpha*C_fck),0)))*'Geometry'!$H$57)/1000</f>
        <v>-3635.8125646560757</v>
      </c>
      <c r="V19" s="10">
        <f>(((MAX(MIN(S_1_Es*(O19+P19*'Geometry'!$G$40+Q19*'Geometry'!$F$40),S_1_fy),-S_1_fy))-(IF((O19+P19*'Geometry'!$G$40+Q19*'Geometry'!$F$40)&gt;0,IF((O19+P19*'Geometry'!$G$40+Q19*'Geometry'!$F$40)&lt;=C_eco,C_alpha*C_fck*(1-(1-(O19+P19*'Geometry'!$G$40+Q19*'Geometry'!$F$40)/C_eco)^C_n),C_alpha*C_fck),0)))*'Geometry'!$H$40*'Geometry'!$G$40+((MAX(MIN(S_1_Es*(O19+P19*'Geometry'!$G$41+Q19*'Geometry'!$F$41),S_1_fy),-S_1_fy))-(IF((O19+P19*'Geometry'!$G$41+Q19*'Geometry'!$F$41)&gt;0,IF((O19+P19*'Geometry'!$G$41+Q19*'Geometry'!$F$41)&lt;=C_eco,C_alpha*C_fck*(1-(1-(O19+P19*'Geometry'!$G$41+Q19*'Geometry'!$F$41)/C_eco)^C_n),C_alpha*C_fck),0)))*'Geometry'!$H$41*'Geometry'!$G$41+((MAX(MIN(S_1_Es*(O19+P19*'Geometry'!$G$42+Q19*'Geometry'!$F$42),S_1_fy),-S_1_fy))-(IF((O19+P19*'Geometry'!$G$42+Q19*'Geometry'!$F$42)&gt;0,IF((O19+P19*'Geometry'!$G$42+Q19*'Geometry'!$F$42)&lt;=C_eco,C_alpha*C_fck*(1-(1-(O19+P19*'Geometry'!$G$42+Q19*'Geometry'!$F$42)/C_eco)^C_n),C_alpha*C_fck),0)))*'Geometry'!$H$42*'Geometry'!$G$42+((MAX(MIN(S_1_Es*(O19+P19*'Geometry'!$G$43+Q19*'Geometry'!$F$43),S_1_fy),-S_1_fy))-(IF((O19+P19*'Geometry'!$G$43+Q19*'Geometry'!$F$43)&gt;0,IF((O19+P19*'Geometry'!$G$43+Q19*'Geometry'!$F$43)&lt;=C_eco,C_alpha*C_fck*(1-(1-(O19+P19*'Geometry'!$G$43+Q19*'Geometry'!$F$43)/C_eco)^C_n),C_alpha*C_fck),0)))*'Geometry'!$H$43*'Geometry'!$G$43+((MAX(MIN(S_1_Es*(O19+P19*'Geometry'!$G$44+Q19*'Geometry'!$F$44),S_1_fy),-S_1_fy))-(IF((O19+P19*'Geometry'!$G$44+Q19*'Geometry'!$F$44)&gt;0,IF((O19+P19*'Geometry'!$G$44+Q19*'Geometry'!$F$44)&lt;=C_eco,C_alpha*C_fck*(1-(1-(O19+P19*'Geometry'!$G$44+Q19*'Geometry'!$F$44)/C_eco)^C_n),C_alpha*C_fck),0)))*'Geometry'!$H$44*'Geometry'!$G$44+((MAX(MIN(S_1_Es*(O19+P19*'Geometry'!$G$45+Q19*'Geometry'!$F$45),S_1_fy),-S_1_fy))-(IF((O19+P19*'Geometry'!$G$45+Q19*'Geometry'!$F$45)&gt;0,IF((O19+P19*'Geometry'!$G$45+Q19*'Geometry'!$F$45)&lt;=C_eco,C_alpha*C_fck*(1-(1-(O19+P19*'Geometry'!$G$45+Q19*'Geometry'!$F$45)/C_eco)^C_n),C_alpha*C_fck),0)))*'Geometry'!$H$45*'Geometry'!$G$45+((MAX(MIN(S_1_Es*(O19+P19*'Geometry'!$G$46+Q19*'Geometry'!$F$46),S_1_fy),-S_1_fy))-(IF((O19+P19*'Geometry'!$G$46+Q19*'Geometry'!$F$46)&gt;0,IF((O19+P19*'Geometry'!$G$46+Q19*'Geometry'!$F$46)&lt;=C_eco,C_alpha*C_fck*(1-(1-(O19+P19*'Geometry'!$G$46+Q19*'Geometry'!$F$46)/C_eco)^C_n),C_alpha*C_fck),0)))*'Geometry'!$H$46*'Geometry'!$G$46+((MAX(MIN(S_1_Es*(O19+P19*'Geometry'!$G$47+Q19*'Geometry'!$F$47),S_1_fy),-S_1_fy))-(IF((O19+P19*'Geometry'!$G$47+Q19*'Geometry'!$F$47)&gt;0,IF((O19+P19*'Geometry'!$G$47+Q19*'Geometry'!$F$47)&lt;=C_eco,C_alpha*C_fck*(1-(1-(O19+P19*'Geometry'!$G$47+Q19*'Geometry'!$F$47)/C_eco)^C_n),C_alpha*C_fck),0)))*'Geometry'!$H$47*'Geometry'!$G$47+((MAX(MIN(S_1_Es*(O19+P19*'Geometry'!$G$48+Q19*'Geometry'!$F$48),S_1_fy),-S_1_fy))-(IF((O19+P19*'Geometry'!$G$48+Q19*'Geometry'!$F$48)&gt;0,IF((O19+P19*'Geometry'!$G$48+Q19*'Geometry'!$F$48)&lt;=C_eco,C_alpha*C_fck*(1-(1-(O19+P19*'Geometry'!$G$48+Q19*'Geometry'!$F$48)/C_eco)^C_n),C_alpha*C_fck),0)))*'Geometry'!$H$48*'Geometry'!$G$48+((MAX(MIN(S_1_Es*(O19+P19*'Geometry'!$G$49+Q19*'Geometry'!$F$49),S_1_fy),-S_1_fy))-(IF((O19+P19*'Geometry'!$G$49+Q19*'Geometry'!$F$49)&gt;0,IF((O19+P19*'Geometry'!$G$49+Q19*'Geometry'!$F$49)&lt;=C_eco,C_alpha*C_fck*(1-(1-(O19+P19*'Geometry'!$G$49+Q19*'Geometry'!$F$49)/C_eco)^C_n),C_alpha*C_fck),0)))*'Geometry'!$H$49*'Geometry'!$G$49+((MAX(MIN(S_1_Es*(O19+P19*'Geometry'!$G$50+Q19*'Geometry'!$F$50),S_1_fy),-S_1_fy))-(IF((O19+P19*'Geometry'!$G$50+Q19*'Geometry'!$F$50)&gt;0,IF((O19+P19*'Geometry'!$G$50+Q19*'Geometry'!$F$50)&lt;=C_eco,C_alpha*C_fck*(1-(1-(O19+P19*'Geometry'!$G$50+Q19*'Geometry'!$F$50)/C_eco)^C_n),C_alpha*C_fck),0)))*'Geometry'!$H$50*'Geometry'!$G$50+((MAX(MIN(S_1_Es*(O19+P19*'Geometry'!$G$51+Q19*'Geometry'!$F$51),S_1_fy),-S_1_fy))-(IF((O19+P19*'Geometry'!$G$51+Q19*'Geometry'!$F$51)&gt;0,IF((O19+P19*'Geometry'!$G$51+Q19*'Geometry'!$F$51)&lt;=C_eco,C_alpha*C_fck*(1-(1-(O19+P19*'Geometry'!$G$51+Q19*'Geometry'!$F$51)/C_eco)^C_n),C_alpha*C_fck),0)))*'Geometry'!$H$51*'Geometry'!$G$51+((MAX(MIN(S_1_Es*(O19+P19*'Geometry'!$G$52+Q19*'Geometry'!$F$52),S_1_fy),-S_1_fy))-(IF((O19+P19*'Geometry'!$G$52+Q19*'Geometry'!$F$52)&gt;0,IF((O19+P19*'Geometry'!$G$52+Q19*'Geometry'!$F$52)&lt;=C_eco,C_alpha*C_fck*(1-(1-(O19+P19*'Geometry'!$G$52+Q19*'Geometry'!$F$52)/C_eco)^C_n),C_alpha*C_fck),0)))*'Geometry'!$H$52*'Geometry'!$G$52+((MAX(MIN(S_1_Es*(O19+P19*'Geometry'!$G$53+Q19*'Geometry'!$F$53),S_1_fy),-S_1_fy))-(IF((O19+P19*'Geometry'!$G$53+Q19*'Geometry'!$F$53)&gt;0,IF((O19+P19*'Geometry'!$G$53+Q19*'Geometry'!$F$53)&lt;=C_eco,C_alpha*C_fck*(1-(1-(O19+P19*'Geometry'!$G$53+Q19*'Geometry'!$F$53)/C_eco)^C_n),C_alpha*C_fck),0)))*'Geometry'!$H$53*'Geometry'!$G$53+((MAX(MIN(S_1_Es*(O19+P19*'Geometry'!$G$54+Q19*'Geometry'!$F$54),S_1_fy),-S_1_fy))-(IF((O19+P19*'Geometry'!$G$54+Q19*'Geometry'!$F$54)&gt;0,IF((O19+P19*'Geometry'!$G$54+Q19*'Geometry'!$F$54)&lt;=C_eco,C_alpha*C_fck*(1-(1-(O19+P19*'Geometry'!$G$54+Q19*'Geometry'!$F$54)/C_eco)^C_n),C_alpha*C_fck),0)))*'Geometry'!$H$54*'Geometry'!$G$54+((MAX(MIN(S_1_Es*(O19+P19*'Geometry'!$G$55+Q19*'Geometry'!$F$55),S_1_fy),-S_1_fy))-(IF((O19+P19*'Geometry'!$G$55+Q19*'Geometry'!$F$55)&gt;0,IF((O19+P19*'Geometry'!$G$55+Q19*'Geometry'!$F$55)&lt;=C_eco,C_alpha*C_fck*(1-(1-(O19+P19*'Geometry'!$G$55+Q19*'Geometry'!$F$55)/C_eco)^C_n),C_alpha*C_fck),0)))*'Geometry'!$H$55*'Geometry'!$G$55+((MAX(MIN(S_1_Es*(O19+P19*'Geometry'!$G$56+Q19*'Geometry'!$F$56),S_1_fy),-S_1_fy))-(IF((O19+P19*'Geometry'!$G$56+Q19*'Geometry'!$F$56)&gt;0,IF((O19+P19*'Geometry'!$G$56+Q19*'Geometry'!$F$56)&lt;=C_eco,C_alpha*C_fck*(1-(1-(O19+P19*'Geometry'!$G$56+Q19*'Geometry'!$F$56)/C_eco)^C_n),C_alpha*C_fck),0)))*'Geometry'!$H$56*'Geometry'!$G$56+((MAX(MIN(S_1_Es*(O19+P19*'Geometry'!$G$57+Q19*'Geometry'!$F$57),S_1_fy),-S_1_fy))-(IF((O19+P19*'Geometry'!$G$57+Q19*'Geometry'!$F$57)&gt;0,IF((O19+P19*'Geometry'!$G$57+Q19*'Geometry'!$F$57)&lt;=C_eco,C_alpha*C_fck*(1-(1-(O19+P19*'Geometry'!$G$57+Q19*'Geometry'!$F$57)/C_eco)^C_n),C_alpha*C_fck),0)))*'Geometry'!$H$57*'Geometry'!$G$57)/1000000</f>
        <v>-284.63310240355815</v>
      </c>
      <c r="W19" s="10">
        <f>(((MAX(MIN(S_1_Es*(O19+P19*'Geometry'!$G$40+Q19*'Geometry'!$F$40),S_1_fy),-S_1_fy))-(IF((O19+P19*'Geometry'!$G$40+Q19*'Geometry'!$F$40)&gt;0,IF((O19+P19*'Geometry'!$G$40+Q19*'Geometry'!$F$40)&lt;=C_eco,C_alpha*C_fck*(1-(1-(O19+P19*'Geometry'!$G$40+Q19*'Geometry'!$F$40)/C_eco)^C_n),C_alpha*C_fck),0)))*'Geometry'!$H$40*'Geometry'!$F$40+((MAX(MIN(S_1_Es*(O19+P19*'Geometry'!$G$41+Q19*'Geometry'!$F$41),S_1_fy),-S_1_fy))-(IF((O19+P19*'Geometry'!$G$41+Q19*'Geometry'!$F$41)&gt;0,IF((O19+P19*'Geometry'!$G$41+Q19*'Geometry'!$F$41)&lt;=C_eco,C_alpha*C_fck*(1-(1-(O19+P19*'Geometry'!$G$41+Q19*'Geometry'!$F$41)/C_eco)^C_n),C_alpha*C_fck),0)))*'Geometry'!$H$41*'Geometry'!$F$41+((MAX(MIN(S_1_Es*(O19+P19*'Geometry'!$G$42+Q19*'Geometry'!$F$42),S_1_fy),-S_1_fy))-(IF((O19+P19*'Geometry'!$G$42+Q19*'Geometry'!$F$42)&gt;0,IF((O19+P19*'Geometry'!$G$42+Q19*'Geometry'!$F$42)&lt;=C_eco,C_alpha*C_fck*(1-(1-(O19+P19*'Geometry'!$G$42+Q19*'Geometry'!$F$42)/C_eco)^C_n),C_alpha*C_fck),0)))*'Geometry'!$H$42*'Geometry'!$F$42+((MAX(MIN(S_1_Es*(O19+P19*'Geometry'!$G$43+Q19*'Geometry'!$F$43),S_1_fy),-S_1_fy))-(IF((O19+P19*'Geometry'!$G$43+Q19*'Geometry'!$F$43)&gt;0,IF((O19+P19*'Geometry'!$G$43+Q19*'Geometry'!$F$43)&lt;=C_eco,C_alpha*C_fck*(1-(1-(O19+P19*'Geometry'!$G$43+Q19*'Geometry'!$F$43)/C_eco)^C_n),C_alpha*C_fck),0)))*'Geometry'!$H$43*'Geometry'!$F$43+((MAX(MIN(S_1_Es*(O19+P19*'Geometry'!$G$44+Q19*'Geometry'!$F$44),S_1_fy),-S_1_fy))-(IF((O19+P19*'Geometry'!$G$44+Q19*'Geometry'!$F$44)&gt;0,IF((O19+P19*'Geometry'!$G$44+Q19*'Geometry'!$F$44)&lt;=C_eco,C_alpha*C_fck*(1-(1-(O19+P19*'Geometry'!$G$44+Q19*'Geometry'!$F$44)/C_eco)^C_n),C_alpha*C_fck),0)))*'Geometry'!$H$44*'Geometry'!$F$44+((MAX(MIN(S_1_Es*(O19+P19*'Geometry'!$G$45+Q19*'Geometry'!$F$45),S_1_fy),-S_1_fy))-(IF((O19+P19*'Geometry'!$G$45+Q19*'Geometry'!$F$45)&gt;0,IF((O19+P19*'Geometry'!$G$45+Q19*'Geometry'!$F$45)&lt;=C_eco,C_alpha*C_fck*(1-(1-(O19+P19*'Geometry'!$G$45+Q19*'Geometry'!$F$45)/C_eco)^C_n),C_alpha*C_fck),0)))*'Geometry'!$H$45*'Geometry'!$F$45+((MAX(MIN(S_1_Es*(O19+P19*'Geometry'!$G$46+Q19*'Geometry'!$F$46),S_1_fy),-S_1_fy))-(IF((O19+P19*'Geometry'!$G$46+Q19*'Geometry'!$F$46)&gt;0,IF((O19+P19*'Geometry'!$G$46+Q19*'Geometry'!$F$46)&lt;=C_eco,C_alpha*C_fck*(1-(1-(O19+P19*'Geometry'!$G$46+Q19*'Geometry'!$F$46)/C_eco)^C_n),C_alpha*C_fck),0)))*'Geometry'!$H$46*'Geometry'!$F$46+((MAX(MIN(S_1_Es*(O19+P19*'Geometry'!$G$47+Q19*'Geometry'!$F$47),S_1_fy),-S_1_fy))-(IF((O19+P19*'Geometry'!$G$47+Q19*'Geometry'!$F$47)&gt;0,IF((O19+P19*'Geometry'!$G$47+Q19*'Geometry'!$F$47)&lt;=C_eco,C_alpha*C_fck*(1-(1-(O19+P19*'Geometry'!$G$47+Q19*'Geometry'!$F$47)/C_eco)^C_n),C_alpha*C_fck),0)))*'Geometry'!$H$47*'Geometry'!$F$47+((MAX(MIN(S_1_Es*(O19+P19*'Geometry'!$G$48+Q19*'Geometry'!$F$48),S_1_fy),-S_1_fy))-(IF((O19+P19*'Geometry'!$G$48+Q19*'Geometry'!$F$48)&gt;0,IF((O19+P19*'Geometry'!$G$48+Q19*'Geometry'!$F$48)&lt;=C_eco,C_alpha*C_fck*(1-(1-(O19+P19*'Geometry'!$G$48+Q19*'Geometry'!$F$48)/C_eco)^C_n),C_alpha*C_fck),0)))*'Geometry'!$H$48*'Geometry'!$F$48+((MAX(MIN(S_1_Es*(O19+P19*'Geometry'!$G$49+Q19*'Geometry'!$F$49),S_1_fy),-S_1_fy))-(IF((O19+P19*'Geometry'!$G$49+Q19*'Geometry'!$F$49)&gt;0,IF((O19+P19*'Geometry'!$G$49+Q19*'Geometry'!$F$49)&lt;=C_eco,C_alpha*C_fck*(1-(1-(O19+P19*'Geometry'!$G$49+Q19*'Geometry'!$F$49)/C_eco)^C_n),C_alpha*C_fck),0)))*'Geometry'!$H$49*'Geometry'!$F$49+((MAX(MIN(S_1_Es*(O19+P19*'Geometry'!$G$50+Q19*'Geometry'!$F$50),S_1_fy),-S_1_fy))-(IF((O19+P19*'Geometry'!$G$50+Q19*'Geometry'!$F$50)&gt;0,IF((O19+P19*'Geometry'!$G$50+Q19*'Geometry'!$F$50)&lt;=C_eco,C_alpha*C_fck*(1-(1-(O19+P19*'Geometry'!$G$50+Q19*'Geometry'!$F$50)/C_eco)^C_n),C_alpha*C_fck),0)))*'Geometry'!$H$50*'Geometry'!$F$50+((MAX(MIN(S_1_Es*(O19+P19*'Geometry'!$G$51+Q19*'Geometry'!$F$51),S_1_fy),-S_1_fy))-(IF((O19+P19*'Geometry'!$G$51+Q19*'Geometry'!$F$51)&gt;0,IF((O19+P19*'Geometry'!$G$51+Q19*'Geometry'!$F$51)&lt;=C_eco,C_alpha*C_fck*(1-(1-(O19+P19*'Geometry'!$G$51+Q19*'Geometry'!$F$51)/C_eco)^C_n),C_alpha*C_fck),0)))*'Geometry'!$H$51*'Geometry'!$F$51+((MAX(MIN(S_1_Es*(O19+P19*'Geometry'!$G$52+Q19*'Geometry'!$F$52),S_1_fy),-S_1_fy))-(IF((O19+P19*'Geometry'!$G$52+Q19*'Geometry'!$F$52)&gt;0,IF((O19+P19*'Geometry'!$G$52+Q19*'Geometry'!$F$52)&lt;=C_eco,C_alpha*C_fck*(1-(1-(O19+P19*'Geometry'!$G$52+Q19*'Geometry'!$F$52)/C_eco)^C_n),C_alpha*C_fck),0)))*'Geometry'!$H$52*'Geometry'!$F$52+((MAX(MIN(S_1_Es*(O19+P19*'Geometry'!$G$53+Q19*'Geometry'!$F$53),S_1_fy),-S_1_fy))-(IF((O19+P19*'Geometry'!$G$53+Q19*'Geometry'!$F$53)&gt;0,IF((O19+P19*'Geometry'!$G$53+Q19*'Geometry'!$F$53)&lt;=C_eco,C_alpha*C_fck*(1-(1-(O19+P19*'Geometry'!$G$53+Q19*'Geometry'!$F$53)/C_eco)^C_n),C_alpha*C_fck),0)))*'Geometry'!$H$53*'Geometry'!$F$53+((MAX(MIN(S_1_Es*(O19+P19*'Geometry'!$G$54+Q19*'Geometry'!$F$54),S_1_fy),-S_1_fy))-(IF((O19+P19*'Geometry'!$G$54+Q19*'Geometry'!$F$54)&gt;0,IF((O19+P19*'Geometry'!$G$54+Q19*'Geometry'!$F$54)&lt;=C_eco,C_alpha*C_fck*(1-(1-(O19+P19*'Geometry'!$G$54+Q19*'Geometry'!$F$54)/C_eco)^C_n),C_alpha*C_fck),0)))*'Geometry'!$H$54*'Geometry'!$F$54+((MAX(MIN(S_1_Es*(O19+P19*'Geometry'!$G$55+Q19*'Geometry'!$F$55),S_1_fy),-S_1_fy))-(IF((O19+P19*'Geometry'!$G$55+Q19*'Geometry'!$F$55)&gt;0,IF((O19+P19*'Geometry'!$G$55+Q19*'Geometry'!$F$55)&lt;=C_eco,C_alpha*C_fck*(1-(1-(O19+P19*'Geometry'!$G$55+Q19*'Geometry'!$F$55)/C_eco)^C_n),C_alpha*C_fck),0)))*'Geometry'!$H$55*'Geometry'!$F$55+((MAX(MIN(S_1_Es*(O19+P19*'Geometry'!$G$56+Q19*'Geometry'!$F$56),S_1_fy),-S_1_fy))-(IF((O19+P19*'Geometry'!$G$56+Q19*'Geometry'!$F$56)&gt;0,IF((O19+P19*'Geometry'!$G$56+Q19*'Geometry'!$F$56)&lt;=C_eco,C_alpha*C_fck*(1-(1-(O19+P19*'Geometry'!$G$56+Q19*'Geometry'!$F$56)/C_eco)^C_n),C_alpha*C_fck),0)))*'Geometry'!$H$56*'Geometry'!$F$56+((MAX(MIN(S_1_Es*(O19+P19*'Geometry'!$G$57+Q19*'Geometry'!$F$57),S_1_fy),-S_1_fy))-(IF((O19+P19*'Geometry'!$G$57+Q19*'Geometry'!$F$57)&gt;0,IF((O19+P19*'Geometry'!$G$57+Q19*'Geometry'!$F$57)&lt;=C_eco,C_alpha*C_fck*(1-(1-(O19+P19*'Geometry'!$G$57+Q19*'Geometry'!$F$57)/C_eco)^C_n),C_alpha*C_fck),0)))*'Geometry'!$H$57*'Geometry'!$F$57)/1000000</f>
        <v>1374.6865419294932</v>
      </c>
      <c r="X19" s="10">
        <f>R19+U19</f>
        <v>-650.5001209906363</v>
      </c>
      <c r="Y19" s="10">
        <f>S19+V19</f>
        <v>-1067.1527722082735</v>
      </c>
      <c r="Z19" s="10">
        <f>T19+W19</f>
        <v>3272.2441792260647</v>
      </c>
      <c r="AA19" s="7">
        <v>0.85</v>
      </c>
      <c r="AB19" s="7">
        <v>0.8500000000000001</v>
      </c>
      <c r="AC19" s="10">
        <f>X19*AA19</f>
        <v>-552.9251028420408</v>
      </c>
      <c r="AD19" s="10">
        <f>Y19*AB19</f>
        <v>-907.0798563770326</v>
      </c>
      <c r="AE19" s="10">
        <f>Z19*AB19</f>
        <v>2781.4075523421548</v>
      </c>
      <c r="AF19" s="7">
        <v>-552.9251028420408</v>
      </c>
      <c r="AG19" s="7">
        <v>-907.0798563770326</v>
      </c>
      <c r="AH19" s="7">
        <v>2781.4075523421548</v>
      </c>
      <c r="AI19" s="15">
        <f>AC19-AF19</f>
        <v>0</v>
      </c>
      <c r="AJ19" s="15">
        <f>SQRT((AD19-AG19)^2+(AE19-AH19)^2)</f>
        <v>0</v>
      </c>
      <c r="AK19" s="7" t="s">
        <v>189</v>
      </c>
      <c r="AL19" s="7">
        <v>-650.5001209906363</v>
      </c>
      <c r="AM19" s="7">
        <v>-1067.1527722082735</v>
      </c>
      <c r="AN19" s="7">
        <v>3272.2441792260647</v>
      </c>
      <c r="AO19" s="7">
        <v>2985.3124436654393</v>
      </c>
      <c r="AP19" s="7">
        <v>-782.5196698047154</v>
      </c>
      <c r="AQ19" s="7">
        <v>1897.5576372965718</v>
      </c>
      <c r="AR19" s="7">
        <v>-3635.8125646560757</v>
      </c>
      <c r="AS19" s="7">
        <v>-284.63310240355815</v>
      </c>
      <c r="AT19" s="7">
        <v>1374.6865419294932</v>
      </c>
    </row>
    <row r="20" spans="1:46" x14ac:dyDescent="0.25">
      <c r="A20" s="7" t="s">
        <v>214</v>
      </c>
      <c r="B20" s="7">
        <v>1</v>
      </c>
      <c r="C20" s="18">
        <v>120</v>
      </c>
      <c r="D20" s="7" t="s">
        <v>215</v>
      </c>
      <c r="E20" s="7" t="s">
        <v>192</v>
      </c>
      <c r="F20" s="19">
        <v>120</v>
      </c>
      <c r="G20" s="7" t="s">
        <v>188</v>
      </c>
      <c r="H20" s="20">
        <v>7.5</v>
      </c>
      <c r="I20" s="10">
        <f>MAX(('Geometry'!$G$13*COS(RADIANS(F20))+'Geometry'!$F$13*SIN(RADIANS(F20))),('Geometry'!$G$14*COS(RADIANS(F20))+'Geometry'!$F$14*SIN(RADIANS(F20))),('Geometry'!$G$15*COS(RADIANS(F20))+'Geometry'!$F$15*SIN(RADIANS(F20))),('Geometry'!$G$16*COS(RADIANS(F20))+'Geometry'!$F$16*SIN(RADIANS(F20))),('Geometry'!$G$17*COS(RADIANS(F20))+'Geometry'!$F$17*SIN(RADIANS(F20))),('Geometry'!$G$18*COS(RADIANS(F20))+'Geometry'!$F$18*SIN(RADIANS(F20))),('Geometry'!$G$19*COS(RADIANS(F20))+'Geometry'!$F$19*SIN(RADIANS(F20))),('Geometry'!$G$20*COS(RADIANS(F20))+'Geometry'!$F$20*SIN(RADIANS(F20))))</f>
        <v>849.5190528383289</v>
      </c>
      <c r="J20" s="10">
        <f>MIN(('Geometry'!$G$40*COS(RADIANS(F20))+'Geometry'!$F$40*SIN(RADIANS(F20))),('Geometry'!$G$41*COS(RADIANS(F20))+'Geometry'!$F$41*SIN(RADIANS(F20))),('Geometry'!$G$42*COS(RADIANS(F20))+'Geometry'!$F$42*SIN(RADIANS(F20))),('Geometry'!$G$43*COS(RADIANS(F20))+'Geometry'!$F$43*SIN(RADIANS(F20))),('Geometry'!$G$44*COS(RADIANS(F20))+'Geometry'!$F$44*SIN(RADIANS(F20))),('Geometry'!$G$45*COS(RADIANS(F20))+'Geometry'!$F$45*SIN(RADIANS(F20))),('Geometry'!$G$46*COS(RADIANS(F20))+'Geometry'!$F$46*SIN(RADIANS(F20))),('Geometry'!$G$47*COS(RADIANS(F20))+'Geometry'!$F$47*SIN(RADIANS(F20))),('Geometry'!$G$48*COS(RADIANS(F20))+'Geometry'!$F$48*SIN(RADIANS(F20))),('Geometry'!$G$49*COS(RADIANS(F20))+'Geometry'!$F$49*SIN(RADIANS(F20))),('Geometry'!$G$50*COS(RADIANS(F20))+'Geometry'!$F$50*SIN(RADIANS(F20))),('Geometry'!$G$51*COS(RADIANS(F20))+'Geometry'!$F$51*SIN(RADIANS(F20))),('Geometry'!$G$52*COS(RADIANS(F20))+'Geometry'!$F$52*SIN(RADIANS(F20))),('Geometry'!$G$53*COS(RADIANS(F20))+'Geometry'!$F$53*SIN(RADIANS(F20))),('Geometry'!$G$54*COS(RADIANS(F20))+'Geometry'!$F$54*SIN(RADIANS(F20))),('Geometry'!$G$55*COS(RADIANS(F20))+'Geometry'!$F$55*SIN(RADIANS(F20))),('Geometry'!$G$56*COS(RADIANS(F20))+'Geometry'!$F$56*SIN(RADIANS(F20))),('Geometry'!$G$57*COS(RADIANS(F20))+'Geometry'!$F$57*SIN(RADIANS(F20))))</f>
        <v>-738.8972745734184</v>
      </c>
      <c r="K20" s="10">
        <f>I20-MIN(('Geometry'!$G$13*COS(RADIANS(F20))+'Geometry'!$F$13*SIN(RADIANS(F20))),('Geometry'!$G$14*COS(RADIANS(F20))+'Geometry'!$F$14*SIN(RADIANS(F20))),('Geometry'!$G$15*COS(RADIANS(F20))+'Geometry'!$F$15*SIN(RADIANS(F20))),('Geometry'!$G$16*COS(RADIANS(F20))+'Geometry'!$F$16*SIN(RADIANS(F20))),('Geometry'!$G$17*COS(RADIANS(F20))+'Geometry'!$F$17*SIN(RADIANS(F20))),('Geometry'!$G$18*COS(RADIANS(F20))+'Geometry'!$F$18*SIN(RADIANS(F20))),('Geometry'!$G$19*COS(RADIANS(F20))+'Geometry'!$F$19*SIN(RADIANS(F20))),('Geometry'!$G$20*COS(RADIANS(F20))+'Geometry'!$F$20*SIN(RADIANS(F20))))</f>
        <v>1699.0381056766578</v>
      </c>
      <c r="L20" s="15">
        <f>C_ecu</f>
        <v>0.0033</v>
      </c>
      <c r="M20" s="15">
        <f>-H20*S_1_fy/S_1_Es</f>
        <v>-0.015</v>
      </c>
      <c r="N20" s="21">
        <f>IF(ABS(I20-J20)&lt;0.000000000001,0,(L20-M20)/(I20-J20))</f>
        <v>0.000011520909023781583</v>
      </c>
      <c r="O20" s="15">
        <f>L20-N20*I20</f>
        <v>-0.006487231721719487</v>
      </c>
      <c r="P20" s="21">
        <f>N20*COS(RADIANS(F20))</f>
        <v>-0.000005760454511890789</v>
      </c>
      <c r="Q20" s="21">
        <f>N20*SIN(RADIANS(F20))</f>
        <v>0.000009977399889284229</v>
      </c>
      <c r="R20" s="10">
        <f>SUMPRODUCT(C_alpha*C_fck*(1-(1-(((O20+P20*Mesh_Y+Q20*Mesh_X))*((O20+P20*Mesh_Y+Q20*Mesh_X)&gt;0)*((O20+P20*Mesh_Y+Q20*Mesh_X)&lt;C_eco)+C_eco*((O20+P20*Mesh_Y+Q20*Mesh_X)&gt;=C_eco))/C_eco)^C_n)*(((O20+P20*Mesh_Y+Q20*Mesh_X))&gt;0),Mesh_A)/1000</f>
        <v>2657.7264385829503</v>
      </c>
      <c r="S20" s="10">
        <f>SUMPRODUCT(C_alpha*C_fck*(1-(1-(((O20+P20*Mesh_Y+Q20*Mesh_X))*((O20+P20*Mesh_Y+Q20*Mesh_X)&gt;0)*((O20+P20*Mesh_Y+Q20*Mesh_X)&lt;C_eco)+C_eco*((O20+P20*Mesh_Y+Q20*Mesh_X)&gt;=C_eco))/C_eco)^C_n)*(((O20+P20*Mesh_Y+Q20*Mesh_X))&gt;0),Mesh_A,Mesh_Y)/1000000</f>
        <v>-919.2756971025635</v>
      </c>
      <c r="T20" s="10">
        <f>SUMPRODUCT(C_alpha*C_fck*(1-(1-(((O20+P20*Mesh_Y+Q20*Mesh_X))*((O20+P20*Mesh_Y+Q20*Mesh_X)&gt;0)*((O20+P20*Mesh_Y+Q20*Mesh_X)&lt;C_eco)+C_eco*((O20+P20*Mesh_Y+Q20*Mesh_X)&gt;=C_eco))/C_eco)^C_n)*(((O20+P20*Mesh_Y+Q20*Mesh_X))&gt;0),Mesh_A,Mesh_X)/1000000</f>
        <v>1620.9870615307425</v>
      </c>
      <c r="U20" s="10">
        <f>(((MAX(MIN(S_1_Es*(O20+P20*'Geometry'!$G$40+Q20*'Geometry'!$F$40),S_1_fy),-S_1_fy))-(IF((O20+P20*'Geometry'!$G$40+Q20*'Geometry'!$F$40)&gt;0,IF((O20+P20*'Geometry'!$G$40+Q20*'Geometry'!$F$40)&lt;=C_eco,C_alpha*C_fck*(1-(1-(O20+P20*'Geometry'!$G$40+Q20*'Geometry'!$F$40)/C_eco)^C_n),C_alpha*C_fck),0)))*'Geometry'!$H$40+((MAX(MIN(S_1_Es*(O20+P20*'Geometry'!$G$41+Q20*'Geometry'!$F$41),S_1_fy),-S_1_fy))-(IF((O20+P20*'Geometry'!$G$41+Q20*'Geometry'!$F$41)&gt;0,IF((O20+P20*'Geometry'!$G$41+Q20*'Geometry'!$F$41)&lt;=C_eco,C_alpha*C_fck*(1-(1-(O20+P20*'Geometry'!$G$41+Q20*'Geometry'!$F$41)/C_eco)^C_n),C_alpha*C_fck),0)))*'Geometry'!$H$41+((MAX(MIN(S_1_Es*(O20+P20*'Geometry'!$G$42+Q20*'Geometry'!$F$42),S_1_fy),-S_1_fy))-(IF((O20+P20*'Geometry'!$G$42+Q20*'Geometry'!$F$42)&gt;0,IF((O20+P20*'Geometry'!$G$42+Q20*'Geometry'!$F$42)&lt;=C_eco,C_alpha*C_fck*(1-(1-(O20+P20*'Geometry'!$G$42+Q20*'Geometry'!$F$42)/C_eco)^C_n),C_alpha*C_fck),0)))*'Geometry'!$H$42+((MAX(MIN(S_1_Es*(O20+P20*'Geometry'!$G$43+Q20*'Geometry'!$F$43),S_1_fy),-S_1_fy))-(IF((O20+P20*'Geometry'!$G$43+Q20*'Geometry'!$F$43)&gt;0,IF((O20+P20*'Geometry'!$G$43+Q20*'Geometry'!$F$43)&lt;=C_eco,C_alpha*C_fck*(1-(1-(O20+P20*'Geometry'!$G$43+Q20*'Geometry'!$F$43)/C_eco)^C_n),C_alpha*C_fck),0)))*'Geometry'!$H$43+((MAX(MIN(S_1_Es*(O20+P20*'Geometry'!$G$44+Q20*'Geometry'!$F$44),S_1_fy),-S_1_fy))-(IF((O20+P20*'Geometry'!$G$44+Q20*'Geometry'!$F$44)&gt;0,IF((O20+P20*'Geometry'!$G$44+Q20*'Geometry'!$F$44)&lt;=C_eco,C_alpha*C_fck*(1-(1-(O20+P20*'Geometry'!$G$44+Q20*'Geometry'!$F$44)/C_eco)^C_n),C_alpha*C_fck),0)))*'Geometry'!$H$44+((MAX(MIN(S_1_Es*(O20+P20*'Geometry'!$G$45+Q20*'Geometry'!$F$45),S_1_fy),-S_1_fy))-(IF((O20+P20*'Geometry'!$G$45+Q20*'Geometry'!$F$45)&gt;0,IF((O20+P20*'Geometry'!$G$45+Q20*'Geometry'!$F$45)&lt;=C_eco,C_alpha*C_fck*(1-(1-(O20+P20*'Geometry'!$G$45+Q20*'Geometry'!$F$45)/C_eco)^C_n),C_alpha*C_fck),0)))*'Geometry'!$H$45+((MAX(MIN(S_1_Es*(O20+P20*'Geometry'!$G$46+Q20*'Geometry'!$F$46),S_1_fy),-S_1_fy))-(IF((O20+P20*'Geometry'!$G$46+Q20*'Geometry'!$F$46)&gt;0,IF((O20+P20*'Geometry'!$G$46+Q20*'Geometry'!$F$46)&lt;=C_eco,C_alpha*C_fck*(1-(1-(O20+P20*'Geometry'!$G$46+Q20*'Geometry'!$F$46)/C_eco)^C_n),C_alpha*C_fck),0)))*'Geometry'!$H$46+((MAX(MIN(S_1_Es*(O20+P20*'Geometry'!$G$47+Q20*'Geometry'!$F$47),S_1_fy),-S_1_fy))-(IF((O20+P20*'Geometry'!$G$47+Q20*'Geometry'!$F$47)&gt;0,IF((O20+P20*'Geometry'!$G$47+Q20*'Geometry'!$F$47)&lt;=C_eco,C_alpha*C_fck*(1-(1-(O20+P20*'Geometry'!$G$47+Q20*'Geometry'!$F$47)/C_eco)^C_n),C_alpha*C_fck),0)))*'Geometry'!$H$47+((MAX(MIN(S_1_Es*(O20+P20*'Geometry'!$G$48+Q20*'Geometry'!$F$48),S_1_fy),-S_1_fy))-(IF((O20+P20*'Geometry'!$G$48+Q20*'Geometry'!$F$48)&gt;0,IF((O20+P20*'Geometry'!$G$48+Q20*'Geometry'!$F$48)&lt;=C_eco,C_alpha*C_fck*(1-(1-(O20+P20*'Geometry'!$G$48+Q20*'Geometry'!$F$48)/C_eco)^C_n),C_alpha*C_fck),0)))*'Geometry'!$H$48+((MAX(MIN(S_1_Es*(O20+P20*'Geometry'!$G$49+Q20*'Geometry'!$F$49),S_1_fy),-S_1_fy))-(IF((O20+P20*'Geometry'!$G$49+Q20*'Geometry'!$F$49)&gt;0,IF((O20+P20*'Geometry'!$G$49+Q20*'Geometry'!$F$49)&lt;=C_eco,C_alpha*C_fck*(1-(1-(O20+P20*'Geometry'!$G$49+Q20*'Geometry'!$F$49)/C_eco)^C_n),C_alpha*C_fck),0)))*'Geometry'!$H$49+((MAX(MIN(S_1_Es*(O20+P20*'Geometry'!$G$50+Q20*'Geometry'!$F$50),S_1_fy),-S_1_fy))-(IF((O20+P20*'Geometry'!$G$50+Q20*'Geometry'!$F$50)&gt;0,IF((O20+P20*'Geometry'!$G$50+Q20*'Geometry'!$F$50)&lt;=C_eco,C_alpha*C_fck*(1-(1-(O20+P20*'Geometry'!$G$50+Q20*'Geometry'!$F$50)/C_eco)^C_n),C_alpha*C_fck),0)))*'Geometry'!$H$50+((MAX(MIN(S_1_Es*(O20+P20*'Geometry'!$G$51+Q20*'Geometry'!$F$51),S_1_fy),-S_1_fy))-(IF((O20+P20*'Geometry'!$G$51+Q20*'Geometry'!$F$51)&gt;0,IF((O20+P20*'Geometry'!$G$51+Q20*'Geometry'!$F$51)&lt;=C_eco,C_alpha*C_fck*(1-(1-(O20+P20*'Geometry'!$G$51+Q20*'Geometry'!$F$51)/C_eco)^C_n),C_alpha*C_fck),0)))*'Geometry'!$H$51+((MAX(MIN(S_1_Es*(O20+P20*'Geometry'!$G$52+Q20*'Geometry'!$F$52),S_1_fy),-S_1_fy))-(IF((O20+P20*'Geometry'!$G$52+Q20*'Geometry'!$F$52)&gt;0,IF((O20+P20*'Geometry'!$G$52+Q20*'Geometry'!$F$52)&lt;=C_eco,C_alpha*C_fck*(1-(1-(O20+P20*'Geometry'!$G$52+Q20*'Geometry'!$F$52)/C_eco)^C_n),C_alpha*C_fck),0)))*'Geometry'!$H$52+((MAX(MIN(S_1_Es*(O20+P20*'Geometry'!$G$53+Q20*'Geometry'!$F$53),S_1_fy),-S_1_fy))-(IF((O20+P20*'Geometry'!$G$53+Q20*'Geometry'!$F$53)&gt;0,IF((O20+P20*'Geometry'!$G$53+Q20*'Geometry'!$F$53)&lt;=C_eco,C_alpha*C_fck*(1-(1-(O20+P20*'Geometry'!$G$53+Q20*'Geometry'!$F$53)/C_eco)^C_n),C_alpha*C_fck),0)))*'Geometry'!$H$53+((MAX(MIN(S_1_Es*(O20+P20*'Geometry'!$G$54+Q20*'Geometry'!$F$54),S_1_fy),-S_1_fy))-(IF((O20+P20*'Geometry'!$G$54+Q20*'Geometry'!$F$54)&gt;0,IF((O20+P20*'Geometry'!$G$54+Q20*'Geometry'!$F$54)&lt;=C_eco,C_alpha*C_fck*(1-(1-(O20+P20*'Geometry'!$G$54+Q20*'Geometry'!$F$54)/C_eco)^C_n),C_alpha*C_fck),0)))*'Geometry'!$H$54+((MAX(MIN(S_1_Es*(O20+P20*'Geometry'!$G$55+Q20*'Geometry'!$F$55),S_1_fy),-S_1_fy))-(IF((O20+P20*'Geometry'!$G$55+Q20*'Geometry'!$F$55)&gt;0,IF((O20+P20*'Geometry'!$G$55+Q20*'Geometry'!$F$55)&lt;=C_eco,C_alpha*C_fck*(1-(1-(O20+P20*'Geometry'!$G$55+Q20*'Geometry'!$F$55)/C_eco)^C_n),C_alpha*C_fck),0)))*'Geometry'!$H$55+((MAX(MIN(S_1_Es*(O20+P20*'Geometry'!$G$56+Q20*'Geometry'!$F$56),S_1_fy),-S_1_fy))-(IF((O20+P20*'Geometry'!$G$56+Q20*'Geometry'!$F$56)&gt;0,IF((O20+P20*'Geometry'!$G$56+Q20*'Geometry'!$F$56)&lt;=C_eco,C_alpha*C_fck*(1-(1-(O20+P20*'Geometry'!$G$56+Q20*'Geometry'!$F$56)/C_eco)^C_n),C_alpha*C_fck),0)))*'Geometry'!$H$56+((MAX(MIN(S_1_Es*(O20+P20*'Geometry'!$G$57+Q20*'Geometry'!$F$57),S_1_fy),-S_1_fy))-(IF((O20+P20*'Geometry'!$G$57+Q20*'Geometry'!$F$57)&gt;0,IF((O20+P20*'Geometry'!$G$57+Q20*'Geometry'!$F$57)&lt;=C_eco,C_alpha*C_fck*(1-(1-(O20+P20*'Geometry'!$G$57+Q20*'Geometry'!$F$57)/C_eco)^C_n),C_alpha*C_fck),0)))*'Geometry'!$H$57)/1000</f>
        <v>-3859.3485484296584</v>
      </c>
      <c r="V20" s="10">
        <f>(((MAX(MIN(S_1_Es*(O20+P20*'Geometry'!$G$40+Q20*'Geometry'!$F$40),S_1_fy),-S_1_fy))-(IF((O20+P20*'Geometry'!$G$40+Q20*'Geometry'!$F$40)&gt;0,IF((O20+P20*'Geometry'!$G$40+Q20*'Geometry'!$F$40)&lt;=C_eco,C_alpha*C_fck*(1-(1-(O20+P20*'Geometry'!$G$40+Q20*'Geometry'!$F$40)/C_eco)^C_n),C_alpha*C_fck),0)))*'Geometry'!$H$40*'Geometry'!$G$40+((MAX(MIN(S_1_Es*(O20+P20*'Geometry'!$G$41+Q20*'Geometry'!$F$41),S_1_fy),-S_1_fy))-(IF((O20+P20*'Geometry'!$G$41+Q20*'Geometry'!$F$41)&gt;0,IF((O20+P20*'Geometry'!$G$41+Q20*'Geometry'!$F$41)&lt;=C_eco,C_alpha*C_fck*(1-(1-(O20+P20*'Geometry'!$G$41+Q20*'Geometry'!$F$41)/C_eco)^C_n),C_alpha*C_fck),0)))*'Geometry'!$H$41*'Geometry'!$G$41+((MAX(MIN(S_1_Es*(O20+P20*'Geometry'!$G$42+Q20*'Geometry'!$F$42),S_1_fy),-S_1_fy))-(IF((O20+P20*'Geometry'!$G$42+Q20*'Geometry'!$F$42)&gt;0,IF((O20+P20*'Geometry'!$G$42+Q20*'Geometry'!$F$42)&lt;=C_eco,C_alpha*C_fck*(1-(1-(O20+P20*'Geometry'!$G$42+Q20*'Geometry'!$F$42)/C_eco)^C_n),C_alpha*C_fck),0)))*'Geometry'!$H$42*'Geometry'!$G$42+((MAX(MIN(S_1_Es*(O20+P20*'Geometry'!$G$43+Q20*'Geometry'!$F$43),S_1_fy),-S_1_fy))-(IF((O20+P20*'Geometry'!$G$43+Q20*'Geometry'!$F$43)&gt;0,IF((O20+P20*'Geometry'!$G$43+Q20*'Geometry'!$F$43)&lt;=C_eco,C_alpha*C_fck*(1-(1-(O20+P20*'Geometry'!$G$43+Q20*'Geometry'!$F$43)/C_eco)^C_n),C_alpha*C_fck),0)))*'Geometry'!$H$43*'Geometry'!$G$43+((MAX(MIN(S_1_Es*(O20+P20*'Geometry'!$G$44+Q20*'Geometry'!$F$44),S_1_fy),-S_1_fy))-(IF((O20+P20*'Geometry'!$G$44+Q20*'Geometry'!$F$44)&gt;0,IF((O20+P20*'Geometry'!$G$44+Q20*'Geometry'!$F$44)&lt;=C_eco,C_alpha*C_fck*(1-(1-(O20+P20*'Geometry'!$G$44+Q20*'Geometry'!$F$44)/C_eco)^C_n),C_alpha*C_fck),0)))*'Geometry'!$H$44*'Geometry'!$G$44+((MAX(MIN(S_1_Es*(O20+P20*'Geometry'!$G$45+Q20*'Geometry'!$F$45),S_1_fy),-S_1_fy))-(IF((O20+P20*'Geometry'!$G$45+Q20*'Geometry'!$F$45)&gt;0,IF((O20+P20*'Geometry'!$G$45+Q20*'Geometry'!$F$45)&lt;=C_eco,C_alpha*C_fck*(1-(1-(O20+P20*'Geometry'!$G$45+Q20*'Geometry'!$F$45)/C_eco)^C_n),C_alpha*C_fck),0)))*'Geometry'!$H$45*'Geometry'!$G$45+((MAX(MIN(S_1_Es*(O20+P20*'Geometry'!$G$46+Q20*'Geometry'!$F$46),S_1_fy),-S_1_fy))-(IF((O20+P20*'Geometry'!$G$46+Q20*'Geometry'!$F$46)&gt;0,IF((O20+P20*'Geometry'!$G$46+Q20*'Geometry'!$F$46)&lt;=C_eco,C_alpha*C_fck*(1-(1-(O20+P20*'Geometry'!$G$46+Q20*'Geometry'!$F$46)/C_eco)^C_n),C_alpha*C_fck),0)))*'Geometry'!$H$46*'Geometry'!$G$46+((MAX(MIN(S_1_Es*(O20+P20*'Geometry'!$G$47+Q20*'Geometry'!$F$47),S_1_fy),-S_1_fy))-(IF((O20+P20*'Geometry'!$G$47+Q20*'Geometry'!$F$47)&gt;0,IF((O20+P20*'Geometry'!$G$47+Q20*'Geometry'!$F$47)&lt;=C_eco,C_alpha*C_fck*(1-(1-(O20+P20*'Geometry'!$G$47+Q20*'Geometry'!$F$47)/C_eco)^C_n),C_alpha*C_fck),0)))*'Geometry'!$H$47*'Geometry'!$G$47+((MAX(MIN(S_1_Es*(O20+P20*'Geometry'!$G$48+Q20*'Geometry'!$F$48),S_1_fy),-S_1_fy))-(IF((O20+P20*'Geometry'!$G$48+Q20*'Geometry'!$F$48)&gt;0,IF((O20+P20*'Geometry'!$G$48+Q20*'Geometry'!$F$48)&lt;=C_eco,C_alpha*C_fck*(1-(1-(O20+P20*'Geometry'!$G$48+Q20*'Geometry'!$F$48)/C_eco)^C_n),C_alpha*C_fck),0)))*'Geometry'!$H$48*'Geometry'!$G$48+((MAX(MIN(S_1_Es*(O20+P20*'Geometry'!$G$49+Q20*'Geometry'!$F$49),S_1_fy),-S_1_fy))-(IF((O20+P20*'Geometry'!$G$49+Q20*'Geometry'!$F$49)&gt;0,IF((O20+P20*'Geometry'!$G$49+Q20*'Geometry'!$F$49)&lt;=C_eco,C_alpha*C_fck*(1-(1-(O20+P20*'Geometry'!$G$49+Q20*'Geometry'!$F$49)/C_eco)^C_n),C_alpha*C_fck),0)))*'Geometry'!$H$49*'Geometry'!$G$49+((MAX(MIN(S_1_Es*(O20+P20*'Geometry'!$G$50+Q20*'Geometry'!$F$50),S_1_fy),-S_1_fy))-(IF((O20+P20*'Geometry'!$G$50+Q20*'Geometry'!$F$50)&gt;0,IF((O20+P20*'Geometry'!$G$50+Q20*'Geometry'!$F$50)&lt;=C_eco,C_alpha*C_fck*(1-(1-(O20+P20*'Geometry'!$G$50+Q20*'Geometry'!$F$50)/C_eco)^C_n),C_alpha*C_fck),0)))*'Geometry'!$H$50*'Geometry'!$G$50+((MAX(MIN(S_1_Es*(O20+P20*'Geometry'!$G$51+Q20*'Geometry'!$F$51),S_1_fy),-S_1_fy))-(IF((O20+P20*'Geometry'!$G$51+Q20*'Geometry'!$F$51)&gt;0,IF((O20+P20*'Geometry'!$G$51+Q20*'Geometry'!$F$51)&lt;=C_eco,C_alpha*C_fck*(1-(1-(O20+P20*'Geometry'!$G$51+Q20*'Geometry'!$F$51)/C_eco)^C_n),C_alpha*C_fck),0)))*'Geometry'!$H$51*'Geometry'!$G$51+((MAX(MIN(S_1_Es*(O20+P20*'Geometry'!$G$52+Q20*'Geometry'!$F$52),S_1_fy),-S_1_fy))-(IF((O20+P20*'Geometry'!$G$52+Q20*'Geometry'!$F$52)&gt;0,IF((O20+P20*'Geometry'!$G$52+Q20*'Geometry'!$F$52)&lt;=C_eco,C_alpha*C_fck*(1-(1-(O20+P20*'Geometry'!$G$52+Q20*'Geometry'!$F$52)/C_eco)^C_n),C_alpha*C_fck),0)))*'Geometry'!$H$52*'Geometry'!$G$52+((MAX(MIN(S_1_Es*(O20+P20*'Geometry'!$G$53+Q20*'Geometry'!$F$53),S_1_fy),-S_1_fy))-(IF((O20+P20*'Geometry'!$G$53+Q20*'Geometry'!$F$53)&gt;0,IF((O20+P20*'Geometry'!$G$53+Q20*'Geometry'!$F$53)&lt;=C_eco,C_alpha*C_fck*(1-(1-(O20+P20*'Geometry'!$G$53+Q20*'Geometry'!$F$53)/C_eco)^C_n),C_alpha*C_fck),0)))*'Geometry'!$H$53*'Geometry'!$G$53+((MAX(MIN(S_1_Es*(O20+P20*'Geometry'!$G$54+Q20*'Geometry'!$F$54),S_1_fy),-S_1_fy))-(IF((O20+P20*'Geometry'!$G$54+Q20*'Geometry'!$F$54)&gt;0,IF((O20+P20*'Geometry'!$G$54+Q20*'Geometry'!$F$54)&lt;=C_eco,C_alpha*C_fck*(1-(1-(O20+P20*'Geometry'!$G$54+Q20*'Geometry'!$F$54)/C_eco)^C_n),C_alpha*C_fck),0)))*'Geometry'!$H$54*'Geometry'!$G$54+((MAX(MIN(S_1_Es*(O20+P20*'Geometry'!$G$55+Q20*'Geometry'!$F$55),S_1_fy),-S_1_fy))-(IF((O20+P20*'Geometry'!$G$55+Q20*'Geometry'!$F$55)&gt;0,IF((O20+P20*'Geometry'!$G$55+Q20*'Geometry'!$F$55)&lt;=C_eco,C_alpha*C_fck*(1-(1-(O20+P20*'Geometry'!$G$55+Q20*'Geometry'!$F$55)/C_eco)^C_n),C_alpha*C_fck),0)))*'Geometry'!$H$55*'Geometry'!$G$55+((MAX(MIN(S_1_Es*(O20+P20*'Geometry'!$G$56+Q20*'Geometry'!$F$56),S_1_fy),-S_1_fy))-(IF((O20+P20*'Geometry'!$G$56+Q20*'Geometry'!$F$56)&gt;0,IF((O20+P20*'Geometry'!$G$56+Q20*'Geometry'!$F$56)&lt;=C_eco,C_alpha*C_fck*(1-(1-(O20+P20*'Geometry'!$G$56+Q20*'Geometry'!$F$56)/C_eco)^C_n),C_alpha*C_fck),0)))*'Geometry'!$H$56*'Geometry'!$G$56+((MAX(MIN(S_1_Es*(O20+P20*'Geometry'!$G$57+Q20*'Geometry'!$F$57),S_1_fy),-S_1_fy))-(IF((O20+P20*'Geometry'!$G$57+Q20*'Geometry'!$F$57)&gt;0,IF((O20+P20*'Geometry'!$G$57+Q20*'Geometry'!$F$57)&lt;=C_eco,C_alpha*C_fck*(1-(1-(O20+P20*'Geometry'!$G$57+Q20*'Geometry'!$F$57)/C_eco)^C_n),C_alpha*C_fck),0)))*'Geometry'!$H$57*'Geometry'!$G$57)/1000000</f>
        <v>-437.1342758718779</v>
      </c>
      <c r="W20" s="10">
        <f>(((MAX(MIN(S_1_Es*(O20+P20*'Geometry'!$G$40+Q20*'Geometry'!$F$40),S_1_fy),-S_1_fy))-(IF((O20+P20*'Geometry'!$G$40+Q20*'Geometry'!$F$40)&gt;0,IF((O20+P20*'Geometry'!$G$40+Q20*'Geometry'!$F$40)&lt;=C_eco,C_alpha*C_fck*(1-(1-(O20+P20*'Geometry'!$G$40+Q20*'Geometry'!$F$40)/C_eco)^C_n),C_alpha*C_fck),0)))*'Geometry'!$H$40*'Geometry'!$F$40+((MAX(MIN(S_1_Es*(O20+P20*'Geometry'!$G$41+Q20*'Geometry'!$F$41),S_1_fy),-S_1_fy))-(IF((O20+P20*'Geometry'!$G$41+Q20*'Geometry'!$F$41)&gt;0,IF((O20+P20*'Geometry'!$G$41+Q20*'Geometry'!$F$41)&lt;=C_eco,C_alpha*C_fck*(1-(1-(O20+P20*'Geometry'!$G$41+Q20*'Geometry'!$F$41)/C_eco)^C_n),C_alpha*C_fck),0)))*'Geometry'!$H$41*'Geometry'!$F$41+((MAX(MIN(S_1_Es*(O20+P20*'Geometry'!$G$42+Q20*'Geometry'!$F$42),S_1_fy),-S_1_fy))-(IF((O20+P20*'Geometry'!$G$42+Q20*'Geometry'!$F$42)&gt;0,IF((O20+P20*'Geometry'!$G$42+Q20*'Geometry'!$F$42)&lt;=C_eco,C_alpha*C_fck*(1-(1-(O20+P20*'Geometry'!$G$42+Q20*'Geometry'!$F$42)/C_eco)^C_n),C_alpha*C_fck),0)))*'Geometry'!$H$42*'Geometry'!$F$42+((MAX(MIN(S_1_Es*(O20+P20*'Geometry'!$G$43+Q20*'Geometry'!$F$43),S_1_fy),-S_1_fy))-(IF((O20+P20*'Geometry'!$G$43+Q20*'Geometry'!$F$43)&gt;0,IF((O20+P20*'Geometry'!$G$43+Q20*'Geometry'!$F$43)&lt;=C_eco,C_alpha*C_fck*(1-(1-(O20+P20*'Geometry'!$G$43+Q20*'Geometry'!$F$43)/C_eco)^C_n),C_alpha*C_fck),0)))*'Geometry'!$H$43*'Geometry'!$F$43+((MAX(MIN(S_1_Es*(O20+P20*'Geometry'!$G$44+Q20*'Geometry'!$F$44),S_1_fy),-S_1_fy))-(IF((O20+P20*'Geometry'!$G$44+Q20*'Geometry'!$F$44)&gt;0,IF((O20+P20*'Geometry'!$G$44+Q20*'Geometry'!$F$44)&lt;=C_eco,C_alpha*C_fck*(1-(1-(O20+P20*'Geometry'!$G$44+Q20*'Geometry'!$F$44)/C_eco)^C_n),C_alpha*C_fck),0)))*'Geometry'!$H$44*'Geometry'!$F$44+((MAX(MIN(S_1_Es*(O20+P20*'Geometry'!$G$45+Q20*'Geometry'!$F$45),S_1_fy),-S_1_fy))-(IF((O20+P20*'Geometry'!$G$45+Q20*'Geometry'!$F$45)&gt;0,IF((O20+P20*'Geometry'!$G$45+Q20*'Geometry'!$F$45)&lt;=C_eco,C_alpha*C_fck*(1-(1-(O20+P20*'Geometry'!$G$45+Q20*'Geometry'!$F$45)/C_eco)^C_n),C_alpha*C_fck),0)))*'Geometry'!$H$45*'Geometry'!$F$45+((MAX(MIN(S_1_Es*(O20+P20*'Geometry'!$G$46+Q20*'Geometry'!$F$46),S_1_fy),-S_1_fy))-(IF((O20+P20*'Geometry'!$G$46+Q20*'Geometry'!$F$46)&gt;0,IF((O20+P20*'Geometry'!$G$46+Q20*'Geometry'!$F$46)&lt;=C_eco,C_alpha*C_fck*(1-(1-(O20+P20*'Geometry'!$G$46+Q20*'Geometry'!$F$46)/C_eco)^C_n),C_alpha*C_fck),0)))*'Geometry'!$H$46*'Geometry'!$F$46+((MAX(MIN(S_1_Es*(O20+P20*'Geometry'!$G$47+Q20*'Geometry'!$F$47),S_1_fy),-S_1_fy))-(IF((O20+P20*'Geometry'!$G$47+Q20*'Geometry'!$F$47)&gt;0,IF((O20+P20*'Geometry'!$G$47+Q20*'Geometry'!$F$47)&lt;=C_eco,C_alpha*C_fck*(1-(1-(O20+P20*'Geometry'!$G$47+Q20*'Geometry'!$F$47)/C_eco)^C_n),C_alpha*C_fck),0)))*'Geometry'!$H$47*'Geometry'!$F$47+((MAX(MIN(S_1_Es*(O20+P20*'Geometry'!$G$48+Q20*'Geometry'!$F$48),S_1_fy),-S_1_fy))-(IF((O20+P20*'Geometry'!$G$48+Q20*'Geometry'!$F$48)&gt;0,IF((O20+P20*'Geometry'!$G$48+Q20*'Geometry'!$F$48)&lt;=C_eco,C_alpha*C_fck*(1-(1-(O20+P20*'Geometry'!$G$48+Q20*'Geometry'!$F$48)/C_eco)^C_n),C_alpha*C_fck),0)))*'Geometry'!$H$48*'Geometry'!$F$48+((MAX(MIN(S_1_Es*(O20+P20*'Geometry'!$G$49+Q20*'Geometry'!$F$49),S_1_fy),-S_1_fy))-(IF((O20+P20*'Geometry'!$G$49+Q20*'Geometry'!$F$49)&gt;0,IF((O20+P20*'Geometry'!$G$49+Q20*'Geometry'!$F$49)&lt;=C_eco,C_alpha*C_fck*(1-(1-(O20+P20*'Geometry'!$G$49+Q20*'Geometry'!$F$49)/C_eco)^C_n),C_alpha*C_fck),0)))*'Geometry'!$H$49*'Geometry'!$F$49+((MAX(MIN(S_1_Es*(O20+P20*'Geometry'!$G$50+Q20*'Geometry'!$F$50),S_1_fy),-S_1_fy))-(IF((O20+P20*'Geometry'!$G$50+Q20*'Geometry'!$F$50)&gt;0,IF((O20+P20*'Geometry'!$G$50+Q20*'Geometry'!$F$50)&lt;=C_eco,C_alpha*C_fck*(1-(1-(O20+P20*'Geometry'!$G$50+Q20*'Geometry'!$F$50)/C_eco)^C_n),C_alpha*C_fck),0)))*'Geometry'!$H$50*'Geometry'!$F$50+((MAX(MIN(S_1_Es*(O20+P20*'Geometry'!$G$51+Q20*'Geometry'!$F$51),S_1_fy),-S_1_fy))-(IF((O20+P20*'Geometry'!$G$51+Q20*'Geometry'!$F$51)&gt;0,IF((O20+P20*'Geometry'!$G$51+Q20*'Geometry'!$F$51)&lt;=C_eco,C_alpha*C_fck*(1-(1-(O20+P20*'Geometry'!$G$51+Q20*'Geometry'!$F$51)/C_eco)^C_n),C_alpha*C_fck),0)))*'Geometry'!$H$51*'Geometry'!$F$51+((MAX(MIN(S_1_Es*(O20+P20*'Geometry'!$G$52+Q20*'Geometry'!$F$52),S_1_fy),-S_1_fy))-(IF((O20+P20*'Geometry'!$G$52+Q20*'Geometry'!$F$52)&gt;0,IF((O20+P20*'Geometry'!$G$52+Q20*'Geometry'!$F$52)&lt;=C_eco,C_alpha*C_fck*(1-(1-(O20+P20*'Geometry'!$G$52+Q20*'Geometry'!$F$52)/C_eco)^C_n),C_alpha*C_fck),0)))*'Geometry'!$H$52*'Geometry'!$F$52+((MAX(MIN(S_1_Es*(O20+P20*'Geometry'!$G$53+Q20*'Geometry'!$F$53),S_1_fy),-S_1_fy))-(IF((O20+P20*'Geometry'!$G$53+Q20*'Geometry'!$F$53)&gt;0,IF((O20+P20*'Geometry'!$G$53+Q20*'Geometry'!$F$53)&lt;=C_eco,C_alpha*C_fck*(1-(1-(O20+P20*'Geometry'!$G$53+Q20*'Geometry'!$F$53)/C_eco)^C_n),C_alpha*C_fck),0)))*'Geometry'!$H$53*'Geometry'!$F$53+((MAX(MIN(S_1_Es*(O20+P20*'Geometry'!$G$54+Q20*'Geometry'!$F$54),S_1_fy),-S_1_fy))-(IF((O20+P20*'Geometry'!$G$54+Q20*'Geometry'!$F$54)&gt;0,IF((O20+P20*'Geometry'!$G$54+Q20*'Geometry'!$F$54)&lt;=C_eco,C_alpha*C_fck*(1-(1-(O20+P20*'Geometry'!$G$54+Q20*'Geometry'!$F$54)/C_eco)^C_n),C_alpha*C_fck),0)))*'Geometry'!$H$54*'Geometry'!$F$54+((MAX(MIN(S_1_Es*(O20+P20*'Geometry'!$G$55+Q20*'Geometry'!$F$55),S_1_fy),-S_1_fy))-(IF((O20+P20*'Geometry'!$G$55+Q20*'Geometry'!$F$55)&gt;0,IF((O20+P20*'Geometry'!$G$55+Q20*'Geometry'!$F$55)&lt;=C_eco,C_alpha*C_fck*(1-(1-(O20+P20*'Geometry'!$G$55+Q20*'Geometry'!$F$55)/C_eco)^C_n),C_alpha*C_fck),0)))*'Geometry'!$H$55*'Geometry'!$F$55+((MAX(MIN(S_1_Es*(O20+P20*'Geometry'!$G$56+Q20*'Geometry'!$F$56),S_1_fy),-S_1_fy))-(IF((O20+P20*'Geometry'!$G$56+Q20*'Geometry'!$F$56)&gt;0,IF((O20+P20*'Geometry'!$G$56+Q20*'Geometry'!$F$56)&lt;=C_eco,C_alpha*C_fck*(1-(1-(O20+P20*'Geometry'!$G$56+Q20*'Geometry'!$F$56)/C_eco)^C_n),C_alpha*C_fck),0)))*'Geometry'!$H$56*'Geometry'!$F$56+((MAX(MIN(S_1_Es*(O20+P20*'Geometry'!$G$57+Q20*'Geometry'!$F$57),S_1_fy),-S_1_fy))-(IF((O20+P20*'Geometry'!$G$57+Q20*'Geometry'!$F$57)&gt;0,IF((O20+P20*'Geometry'!$G$57+Q20*'Geometry'!$F$57)&lt;=C_eco,C_alpha*C_fck*(1-(1-(O20+P20*'Geometry'!$G$57+Q20*'Geometry'!$F$57)/C_eco)^C_n),C_alpha*C_fck),0)))*'Geometry'!$H$57*'Geometry'!$F$57)/1000000</f>
        <v>1157.504622478535</v>
      </c>
      <c r="X20" s="10">
        <f>R20+U20</f>
        <v>-1201.6221098467083</v>
      </c>
      <c r="Y20" s="10">
        <f>S20+V20</f>
        <v>-1356.4099729744414</v>
      </c>
      <c r="Z20" s="10">
        <f>T20+W20</f>
        <v>2778.4916840092774</v>
      </c>
      <c r="AA20" s="7">
        <v>0.85</v>
      </c>
      <c r="AB20" s="7">
        <v>0.85</v>
      </c>
      <c r="AC20" s="10">
        <f>X20*AA20</f>
        <v>-1021.3787933697021</v>
      </c>
      <c r="AD20" s="10">
        <f>Y20*AB20</f>
        <v>-1152.9484770282752</v>
      </c>
      <c r="AE20" s="10">
        <f>Z20*AB20</f>
        <v>2361.7179314078858</v>
      </c>
      <c r="AF20" s="7">
        <v>-1021.3787933697021</v>
      </c>
      <c r="AG20" s="7">
        <v>-1152.9484770282752</v>
      </c>
      <c r="AH20" s="7">
        <v>2361.7179314078858</v>
      </c>
      <c r="AI20" s="15">
        <f>AC20-AF20</f>
        <v>0</v>
      </c>
      <c r="AJ20" s="15">
        <f>SQRT((AD20-AG20)^2+(AE20-AH20)^2)</f>
        <v>0</v>
      </c>
      <c r="AK20" s="7" t="s">
        <v>189</v>
      </c>
      <c r="AL20" s="7">
        <v>-1201.6221098467083</v>
      </c>
      <c r="AM20" s="7">
        <v>-1356.4099729744414</v>
      </c>
      <c r="AN20" s="7">
        <v>2778.4916840092774</v>
      </c>
      <c r="AO20" s="7">
        <v>2657.7264385829503</v>
      </c>
      <c r="AP20" s="7">
        <v>-919.2756971025635</v>
      </c>
      <c r="AQ20" s="7">
        <v>1620.9870615307425</v>
      </c>
      <c r="AR20" s="7">
        <v>-3859.3485484296584</v>
      </c>
      <c r="AS20" s="7">
        <v>-437.1342758718779</v>
      </c>
      <c r="AT20" s="7">
        <v>1157.504622478535</v>
      </c>
    </row>
    <row r="21" spans="1:46" x14ac:dyDescent="0.25">
      <c r="A21" s="7" t="s">
        <v>216</v>
      </c>
      <c r="B21" s="7">
        <v>1</v>
      </c>
      <c r="C21" s="18">
        <v>130</v>
      </c>
      <c r="D21" s="7" t="s">
        <v>217</v>
      </c>
      <c r="E21" s="7" t="s">
        <v>192</v>
      </c>
      <c r="F21" s="19">
        <v>130</v>
      </c>
      <c r="G21" s="7" t="s">
        <v>188</v>
      </c>
      <c r="H21" s="20">
        <v>7.500000000000001</v>
      </c>
      <c r="I21" s="10">
        <f>MAX(('Geometry'!$G$13*COS(RADIANS(F21))+'Geometry'!$F$13*SIN(RADIANS(F21))),('Geometry'!$G$14*COS(RADIANS(F21))+'Geometry'!$F$14*SIN(RADIANS(F21))),('Geometry'!$G$15*COS(RADIANS(F21))+'Geometry'!$F$15*SIN(RADIANS(F21))),('Geometry'!$G$16*COS(RADIANS(F21))+'Geometry'!$F$16*SIN(RADIANS(F21))),('Geometry'!$G$17*COS(RADIANS(F21))+'Geometry'!$F$17*SIN(RADIANS(F21))),('Geometry'!$G$18*COS(RADIANS(F21))+'Geometry'!$F$18*SIN(RADIANS(F21))),('Geometry'!$G$19*COS(RADIANS(F21))+'Geometry'!$F$19*SIN(RADIANS(F21))),('Geometry'!$G$20*COS(RADIANS(F21))+'Geometry'!$F$20*SIN(RADIANS(F21))))</f>
        <v>831.6483762138494</v>
      </c>
      <c r="J21" s="10">
        <f>MIN(('Geometry'!$G$40*COS(RADIANS(F21))+'Geometry'!$F$40*SIN(RADIANS(F21))),('Geometry'!$G$41*COS(RADIANS(F21))+'Geometry'!$F$41*SIN(RADIANS(F21))),('Geometry'!$G$42*COS(RADIANS(F21))+'Geometry'!$F$42*SIN(RADIANS(F21))),('Geometry'!$G$43*COS(RADIANS(F21))+'Geometry'!$F$43*SIN(RADIANS(F21))),('Geometry'!$G$44*COS(RADIANS(F21))+'Geometry'!$F$44*SIN(RADIANS(F21))),('Geometry'!$G$45*COS(RADIANS(F21))+'Geometry'!$F$45*SIN(RADIANS(F21))),('Geometry'!$G$46*COS(RADIANS(F21))+'Geometry'!$F$46*SIN(RADIANS(F21))),('Geometry'!$G$47*COS(RADIANS(F21))+'Geometry'!$F$47*SIN(RADIANS(F21))),('Geometry'!$G$48*COS(RADIANS(F21))+'Geometry'!$F$48*SIN(RADIANS(F21))),('Geometry'!$G$49*COS(RADIANS(F21))+'Geometry'!$F$49*SIN(RADIANS(F21))),('Geometry'!$G$50*COS(RADIANS(F21))+'Geometry'!$F$50*SIN(RADIANS(F21))),('Geometry'!$G$51*COS(RADIANS(F21))+'Geometry'!$F$51*SIN(RADIANS(F21))),('Geometry'!$G$52*COS(RADIANS(F21))+'Geometry'!$F$52*SIN(RADIANS(F21))),('Geometry'!$G$53*COS(RADIANS(F21))+'Geometry'!$F$53*SIN(RADIANS(F21))),('Geometry'!$G$54*COS(RADIANS(F21))+'Geometry'!$F$54*SIN(RADIANS(F21))),('Geometry'!$G$55*COS(RADIANS(F21))+'Geometry'!$F$55*SIN(RADIANS(F21))),('Geometry'!$G$56*COS(RADIANS(F21))+'Geometry'!$F$56*SIN(RADIANS(F21))),('Geometry'!$G$57*COS(RADIANS(F21))+'Geometry'!$F$57*SIN(RADIANS(F21))))</f>
        <v>-713.7465042268668</v>
      </c>
      <c r="K21" s="10">
        <f>I21-MIN(('Geometry'!$G$13*COS(RADIANS(F21))+'Geometry'!$F$13*SIN(RADIANS(F21))),('Geometry'!$G$14*COS(RADIANS(F21))+'Geometry'!$F$14*SIN(RADIANS(F21))),('Geometry'!$G$15*COS(RADIANS(F21))+'Geometry'!$F$15*SIN(RADIANS(F21))),('Geometry'!$G$16*COS(RADIANS(F21))+'Geometry'!$F$16*SIN(RADIANS(F21))),('Geometry'!$G$17*COS(RADIANS(F21))+'Geometry'!$F$17*SIN(RADIANS(F21))),('Geometry'!$G$18*COS(RADIANS(F21))+'Geometry'!$F$18*SIN(RADIANS(F21))),('Geometry'!$G$19*COS(RADIANS(F21))+'Geometry'!$F$19*SIN(RADIANS(F21))),('Geometry'!$G$20*COS(RADIANS(F21))+'Geometry'!$F$20*SIN(RADIANS(F21))))</f>
        <v>1663.2967524276987</v>
      </c>
      <c r="L21" s="15">
        <f>C_ecu</f>
        <v>0.0033</v>
      </c>
      <c r="M21" s="15">
        <f>-H21*S_1_fy/S_1_Es</f>
        <v>-0.015000000000000003</v>
      </c>
      <c r="N21" s="21">
        <f>IF(ABS(I21-J21)&lt;0.000000000001,0,(L21-M21)/(I21-J21))</f>
        <v>0.00001184163363785779</v>
      </c>
      <c r="O21" s="15">
        <f>L21-N21*I21</f>
        <v>-0.006548075386643729</v>
      </c>
      <c r="P21" s="21">
        <f>N21*COS(RADIANS(F21))</f>
        <v>-0.000007611655380862328</v>
      </c>
      <c r="Q21" s="21">
        <f>N21*SIN(RADIANS(F21))</f>
        <v>0.000009071217645731727</v>
      </c>
      <c r="R21" s="10">
        <f>SUMPRODUCT(C_alpha*C_fck*(1-(1-(((O21+P21*Mesh_Y+Q21*Mesh_X))*((O21+P21*Mesh_Y+Q21*Mesh_X)&gt;0)*((O21+P21*Mesh_Y+Q21*Mesh_X)&lt;C_eco)+C_eco*((O21+P21*Mesh_Y+Q21*Mesh_X)&gt;=C_eco))/C_eco)^C_n)*(((O21+P21*Mesh_Y+Q21*Mesh_X))&gt;0),Mesh_A)/1000</f>
        <v>2648.9406726884467</v>
      </c>
      <c r="S21" s="10">
        <f>SUMPRODUCT(C_alpha*C_fck*(1-(1-(((O21+P21*Mesh_Y+Q21*Mesh_X))*((O21+P21*Mesh_Y+Q21*Mesh_X)&gt;0)*((O21+P21*Mesh_Y+Q21*Mesh_X)&lt;C_eco)+C_eco*((O21+P21*Mesh_Y+Q21*Mesh_X)&gt;=C_eco))/C_eco)^C_n)*(((O21+P21*Mesh_Y+Q21*Mesh_X))&gt;0),Mesh_A,Mesh_Y)/1000000</f>
        <v>-1038.180784158311</v>
      </c>
      <c r="T21" s="10">
        <f>SUMPRODUCT(C_alpha*C_fck*(1-(1-(((O21+P21*Mesh_Y+Q21*Mesh_X))*((O21+P21*Mesh_Y+Q21*Mesh_X)&gt;0)*((O21+P21*Mesh_Y+Q21*Mesh_X)&lt;C_eco)+C_eco*((O21+P21*Mesh_Y+Q21*Mesh_X)&gt;=C_eco))/C_eco)^C_n)*(((O21+P21*Mesh_Y+Q21*Mesh_X))&gt;0),Mesh_A,Mesh_X)/1000000</f>
        <v>1535.237613878122</v>
      </c>
      <c r="U21" s="10">
        <f>(((MAX(MIN(S_1_Es*(O21+P21*'Geometry'!$G$40+Q21*'Geometry'!$F$40),S_1_fy),-S_1_fy))-(IF((O21+P21*'Geometry'!$G$40+Q21*'Geometry'!$F$40)&gt;0,IF((O21+P21*'Geometry'!$G$40+Q21*'Geometry'!$F$40)&lt;=C_eco,C_alpha*C_fck*(1-(1-(O21+P21*'Geometry'!$G$40+Q21*'Geometry'!$F$40)/C_eco)^C_n),C_alpha*C_fck),0)))*'Geometry'!$H$40+((MAX(MIN(S_1_Es*(O21+P21*'Geometry'!$G$41+Q21*'Geometry'!$F$41),S_1_fy),-S_1_fy))-(IF((O21+P21*'Geometry'!$G$41+Q21*'Geometry'!$F$41)&gt;0,IF((O21+P21*'Geometry'!$G$41+Q21*'Geometry'!$F$41)&lt;=C_eco,C_alpha*C_fck*(1-(1-(O21+P21*'Geometry'!$G$41+Q21*'Geometry'!$F$41)/C_eco)^C_n),C_alpha*C_fck),0)))*'Geometry'!$H$41+((MAX(MIN(S_1_Es*(O21+P21*'Geometry'!$G$42+Q21*'Geometry'!$F$42),S_1_fy),-S_1_fy))-(IF((O21+P21*'Geometry'!$G$42+Q21*'Geometry'!$F$42)&gt;0,IF((O21+P21*'Geometry'!$G$42+Q21*'Geometry'!$F$42)&lt;=C_eco,C_alpha*C_fck*(1-(1-(O21+P21*'Geometry'!$G$42+Q21*'Geometry'!$F$42)/C_eco)^C_n),C_alpha*C_fck),0)))*'Geometry'!$H$42+((MAX(MIN(S_1_Es*(O21+P21*'Geometry'!$G$43+Q21*'Geometry'!$F$43),S_1_fy),-S_1_fy))-(IF((O21+P21*'Geometry'!$G$43+Q21*'Geometry'!$F$43)&gt;0,IF((O21+P21*'Geometry'!$G$43+Q21*'Geometry'!$F$43)&lt;=C_eco,C_alpha*C_fck*(1-(1-(O21+P21*'Geometry'!$G$43+Q21*'Geometry'!$F$43)/C_eco)^C_n),C_alpha*C_fck),0)))*'Geometry'!$H$43+((MAX(MIN(S_1_Es*(O21+P21*'Geometry'!$G$44+Q21*'Geometry'!$F$44),S_1_fy),-S_1_fy))-(IF((O21+P21*'Geometry'!$G$44+Q21*'Geometry'!$F$44)&gt;0,IF((O21+P21*'Geometry'!$G$44+Q21*'Geometry'!$F$44)&lt;=C_eco,C_alpha*C_fck*(1-(1-(O21+P21*'Geometry'!$G$44+Q21*'Geometry'!$F$44)/C_eco)^C_n),C_alpha*C_fck),0)))*'Geometry'!$H$44+((MAX(MIN(S_1_Es*(O21+P21*'Geometry'!$G$45+Q21*'Geometry'!$F$45),S_1_fy),-S_1_fy))-(IF((O21+P21*'Geometry'!$G$45+Q21*'Geometry'!$F$45)&gt;0,IF((O21+P21*'Geometry'!$G$45+Q21*'Geometry'!$F$45)&lt;=C_eco,C_alpha*C_fck*(1-(1-(O21+P21*'Geometry'!$G$45+Q21*'Geometry'!$F$45)/C_eco)^C_n),C_alpha*C_fck),0)))*'Geometry'!$H$45+((MAX(MIN(S_1_Es*(O21+P21*'Geometry'!$G$46+Q21*'Geometry'!$F$46),S_1_fy),-S_1_fy))-(IF((O21+P21*'Geometry'!$G$46+Q21*'Geometry'!$F$46)&gt;0,IF((O21+P21*'Geometry'!$G$46+Q21*'Geometry'!$F$46)&lt;=C_eco,C_alpha*C_fck*(1-(1-(O21+P21*'Geometry'!$G$46+Q21*'Geometry'!$F$46)/C_eco)^C_n),C_alpha*C_fck),0)))*'Geometry'!$H$46+((MAX(MIN(S_1_Es*(O21+P21*'Geometry'!$G$47+Q21*'Geometry'!$F$47),S_1_fy),-S_1_fy))-(IF((O21+P21*'Geometry'!$G$47+Q21*'Geometry'!$F$47)&gt;0,IF((O21+P21*'Geometry'!$G$47+Q21*'Geometry'!$F$47)&lt;=C_eco,C_alpha*C_fck*(1-(1-(O21+P21*'Geometry'!$G$47+Q21*'Geometry'!$F$47)/C_eco)^C_n),C_alpha*C_fck),0)))*'Geometry'!$H$47+((MAX(MIN(S_1_Es*(O21+P21*'Geometry'!$G$48+Q21*'Geometry'!$F$48),S_1_fy),-S_1_fy))-(IF((O21+P21*'Geometry'!$G$48+Q21*'Geometry'!$F$48)&gt;0,IF((O21+P21*'Geometry'!$G$48+Q21*'Geometry'!$F$48)&lt;=C_eco,C_alpha*C_fck*(1-(1-(O21+P21*'Geometry'!$G$48+Q21*'Geometry'!$F$48)/C_eco)^C_n),C_alpha*C_fck),0)))*'Geometry'!$H$48+((MAX(MIN(S_1_Es*(O21+P21*'Geometry'!$G$49+Q21*'Geometry'!$F$49),S_1_fy),-S_1_fy))-(IF((O21+P21*'Geometry'!$G$49+Q21*'Geometry'!$F$49)&gt;0,IF((O21+P21*'Geometry'!$G$49+Q21*'Geometry'!$F$49)&lt;=C_eco,C_alpha*C_fck*(1-(1-(O21+P21*'Geometry'!$G$49+Q21*'Geometry'!$F$49)/C_eco)^C_n),C_alpha*C_fck),0)))*'Geometry'!$H$49+((MAX(MIN(S_1_Es*(O21+P21*'Geometry'!$G$50+Q21*'Geometry'!$F$50),S_1_fy),-S_1_fy))-(IF((O21+P21*'Geometry'!$G$50+Q21*'Geometry'!$F$50)&gt;0,IF((O21+P21*'Geometry'!$G$50+Q21*'Geometry'!$F$50)&lt;=C_eco,C_alpha*C_fck*(1-(1-(O21+P21*'Geometry'!$G$50+Q21*'Geometry'!$F$50)/C_eco)^C_n),C_alpha*C_fck),0)))*'Geometry'!$H$50+((MAX(MIN(S_1_Es*(O21+P21*'Geometry'!$G$51+Q21*'Geometry'!$F$51),S_1_fy),-S_1_fy))-(IF((O21+P21*'Geometry'!$G$51+Q21*'Geometry'!$F$51)&gt;0,IF((O21+P21*'Geometry'!$G$51+Q21*'Geometry'!$F$51)&lt;=C_eco,C_alpha*C_fck*(1-(1-(O21+P21*'Geometry'!$G$51+Q21*'Geometry'!$F$51)/C_eco)^C_n),C_alpha*C_fck),0)))*'Geometry'!$H$51+((MAX(MIN(S_1_Es*(O21+P21*'Geometry'!$G$52+Q21*'Geometry'!$F$52),S_1_fy),-S_1_fy))-(IF((O21+P21*'Geometry'!$G$52+Q21*'Geometry'!$F$52)&gt;0,IF((O21+P21*'Geometry'!$G$52+Q21*'Geometry'!$F$52)&lt;=C_eco,C_alpha*C_fck*(1-(1-(O21+P21*'Geometry'!$G$52+Q21*'Geometry'!$F$52)/C_eco)^C_n),C_alpha*C_fck),0)))*'Geometry'!$H$52+((MAX(MIN(S_1_Es*(O21+P21*'Geometry'!$G$53+Q21*'Geometry'!$F$53),S_1_fy),-S_1_fy))-(IF((O21+P21*'Geometry'!$G$53+Q21*'Geometry'!$F$53)&gt;0,IF((O21+P21*'Geometry'!$G$53+Q21*'Geometry'!$F$53)&lt;=C_eco,C_alpha*C_fck*(1-(1-(O21+P21*'Geometry'!$G$53+Q21*'Geometry'!$F$53)/C_eco)^C_n),C_alpha*C_fck),0)))*'Geometry'!$H$53+((MAX(MIN(S_1_Es*(O21+P21*'Geometry'!$G$54+Q21*'Geometry'!$F$54),S_1_fy),-S_1_fy))-(IF((O21+P21*'Geometry'!$G$54+Q21*'Geometry'!$F$54)&gt;0,IF((O21+P21*'Geometry'!$G$54+Q21*'Geometry'!$F$54)&lt;=C_eco,C_alpha*C_fck*(1-(1-(O21+P21*'Geometry'!$G$54+Q21*'Geometry'!$F$54)/C_eco)^C_n),C_alpha*C_fck),0)))*'Geometry'!$H$54+((MAX(MIN(S_1_Es*(O21+P21*'Geometry'!$G$55+Q21*'Geometry'!$F$55),S_1_fy),-S_1_fy))-(IF((O21+P21*'Geometry'!$G$55+Q21*'Geometry'!$F$55)&gt;0,IF((O21+P21*'Geometry'!$G$55+Q21*'Geometry'!$F$55)&lt;=C_eco,C_alpha*C_fck*(1-(1-(O21+P21*'Geometry'!$G$55+Q21*'Geometry'!$F$55)/C_eco)^C_n),C_alpha*C_fck),0)))*'Geometry'!$H$55+((MAX(MIN(S_1_Es*(O21+P21*'Geometry'!$G$56+Q21*'Geometry'!$F$56),S_1_fy),-S_1_fy))-(IF((O21+P21*'Geometry'!$G$56+Q21*'Geometry'!$F$56)&gt;0,IF((O21+P21*'Geometry'!$G$56+Q21*'Geometry'!$F$56)&lt;=C_eco,C_alpha*C_fck*(1-(1-(O21+P21*'Geometry'!$G$56+Q21*'Geometry'!$F$56)/C_eco)^C_n),C_alpha*C_fck),0)))*'Geometry'!$H$56+((MAX(MIN(S_1_Es*(O21+P21*'Geometry'!$G$57+Q21*'Geometry'!$F$57),S_1_fy),-S_1_fy))-(IF((O21+P21*'Geometry'!$G$57+Q21*'Geometry'!$F$57)&gt;0,IF((O21+P21*'Geometry'!$G$57+Q21*'Geometry'!$F$57)&lt;=C_eco,C_alpha*C_fck*(1-(1-(O21+P21*'Geometry'!$G$57+Q21*'Geometry'!$F$57)/C_eco)^C_n),C_alpha*C_fck),0)))*'Geometry'!$H$57)/1000</f>
        <v>-3975.272915440515</v>
      </c>
      <c r="V21" s="10">
        <f>(((MAX(MIN(S_1_Es*(O21+P21*'Geometry'!$G$40+Q21*'Geometry'!$F$40),S_1_fy),-S_1_fy))-(IF((O21+P21*'Geometry'!$G$40+Q21*'Geometry'!$F$40)&gt;0,IF((O21+P21*'Geometry'!$G$40+Q21*'Geometry'!$F$40)&lt;=C_eco,C_alpha*C_fck*(1-(1-(O21+P21*'Geometry'!$G$40+Q21*'Geometry'!$F$40)/C_eco)^C_n),C_alpha*C_fck),0)))*'Geometry'!$H$40*'Geometry'!$G$40+((MAX(MIN(S_1_Es*(O21+P21*'Geometry'!$G$41+Q21*'Geometry'!$F$41),S_1_fy),-S_1_fy))-(IF((O21+P21*'Geometry'!$G$41+Q21*'Geometry'!$F$41)&gt;0,IF((O21+P21*'Geometry'!$G$41+Q21*'Geometry'!$F$41)&lt;=C_eco,C_alpha*C_fck*(1-(1-(O21+P21*'Geometry'!$G$41+Q21*'Geometry'!$F$41)/C_eco)^C_n),C_alpha*C_fck),0)))*'Geometry'!$H$41*'Geometry'!$G$41+((MAX(MIN(S_1_Es*(O21+P21*'Geometry'!$G$42+Q21*'Geometry'!$F$42),S_1_fy),-S_1_fy))-(IF((O21+P21*'Geometry'!$G$42+Q21*'Geometry'!$F$42)&gt;0,IF((O21+P21*'Geometry'!$G$42+Q21*'Geometry'!$F$42)&lt;=C_eco,C_alpha*C_fck*(1-(1-(O21+P21*'Geometry'!$G$42+Q21*'Geometry'!$F$42)/C_eco)^C_n),C_alpha*C_fck),0)))*'Geometry'!$H$42*'Geometry'!$G$42+((MAX(MIN(S_1_Es*(O21+P21*'Geometry'!$G$43+Q21*'Geometry'!$F$43),S_1_fy),-S_1_fy))-(IF((O21+P21*'Geometry'!$G$43+Q21*'Geometry'!$F$43)&gt;0,IF((O21+P21*'Geometry'!$G$43+Q21*'Geometry'!$F$43)&lt;=C_eco,C_alpha*C_fck*(1-(1-(O21+P21*'Geometry'!$G$43+Q21*'Geometry'!$F$43)/C_eco)^C_n),C_alpha*C_fck),0)))*'Geometry'!$H$43*'Geometry'!$G$43+((MAX(MIN(S_1_Es*(O21+P21*'Geometry'!$G$44+Q21*'Geometry'!$F$44),S_1_fy),-S_1_fy))-(IF((O21+P21*'Geometry'!$G$44+Q21*'Geometry'!$F$44)&gt;0,IF((O21+P21*'Geometry'!$G$44+Q21*'Geometry'!$F$44)&lt;=C_eco,C_alpha*C_fck*(1-(1-(O21+P21*'Geometry'!$G$44+Q21*'Geometry'!$F$44)/C_eco)^C_n),C_alpha*C_fck),0)))*'Geometry'!$H$44*'Geometry'!$G$44+((MAX(MIN(S_1_Es*(O21+P21*'Geometry'!$G$45+Q21*'Geometry'!$F$45),S_1_fy),-S_1_fy))-(IF((O21+P21*'Geometry'!$G$45+Q21*'Geometry'!$F$45)&gt;0,IF((O21+P21*'Geometry'!$G$45+Q21*'Geometry'!$F$45)&lt;=C_eco,C_alpha*C_fck*(1-(1-(O21+P21*'Geometry'!$G$45+Q21*'Geometry'!$F$45)/C_eco)^C_n),C_alpha*C_fck),0)))*'Geometry'!$H$45*'Geometry'!$G$45+((MAX(MIN(S_1_Es*(O21+P21*'Geometry'!$G$46+Q21*'Geometry'!$F$46),S_1_fy),-S_1_fy))-(IF((O21+P21*'Geometry'!$G$46+Q21*'Geometry'!$F$46)&gt;0,IF((O21+P21*'Geometry'!$G$46+Q21*'Geometry'!$F$46)&lt;=C_eco,C_alpha*C_fck*(1-(1-(O21+P21*'Geometry'!$G$46+Q21*'Geometry'!$F$46)/C_eco)^C_n),C_alpha*C_fck),0)))*'Geometry'!$H$46*'Geometry'!$G$46+((MAX(MIN(S_1_Es*(O21+P21*'Geometry'!$G$47+Q21*'Geometry'!$F$47),S_1_fy),-S_1_fy))-(IF((O21+P21*'Geometry'!$G$47+Q21*'Geometry'!$F$47)&gt;0,IF((O21+P21*'Geometry'!$G$47+Q21*'Geometry'!$F$47)&lt;=C_eco,C_alpha*C_fck*(1-(1-(O21+P21*'Geometry'!$G$47+Q21*'Geometry'!$F$47)/C_eco)^C_n),C_alpha*C_fck),0)))*'Geometry'!$H$47*'Geometry'!$G$47+((MAX(MIN(S_1_Es*(O21+P21*'Geometry'!$G$48+Q21*'Geometry'!$F$48),S_1_fy),-S_1_fy))-(IF((O21+P21*'Geometry'!$G$48+Q21*'Geometry'!$F$48)&gt;0,IF((O21+P21*'Geometry'!$G$48+Q21*'Geometry'!$F$48)&lt;=C_eco,C_alpha*C_fck*(1-(1-(O21+P21*'Geometry'!$G$48+Q21*'Geometry'!$F$48)/C_eco)^C_n),C_alpha*C_fck),0)))*'Geometry'!$H$48*'Geometry'!$G$48+((MAX(MIN(S_1_Es*(O21+P21*'Geometry'!$G$49+Q21*'Geometry'!$F$49),S_1_fy),-S_1_fy))-(IF((O21+P21*'Geometry'!$G$49+Q21*'Geometry'!$F$49)&gt;0,IF((O21+P21*'Geometry'!$G$49+Q21*'Geometry'!$F$49)&lt;=C_eco,C_alpha*C_fck*(1-(1-(O21+P21*'Geometry'!$G$49+Q21*'Geometry'!$F$49)/C_eco)^C_n),C_alpha*C_fck),0)))*'Geometry'!$H$49*'Geometry'!$G$49+((MAX(MIN(S_1_Es*(O21+P21*'Geometry'!$G$50+Q21*'Geometry'!$F$50),S_1_fy),-S_1_fy))-(IF((O21+P21*'Geometry'!$G$50+Q21*'Geometry'!$F$50)&gt;0,IF((O21+P21*'Geometry'!$G$50+Q21*'Geometry'!$F$50)&lt;=C_eco,C_alpha*C_fck*(1-(1-(O21+P21*'Geometry'!$G$50+Q21*'Geometry'!$F$50)/C_eco)^C_n),C_alpha*C_fck),0)))*'Geometry'!$H$50*'Geometry'!$G$50+((MAX(MIN(S_1_Es*(O21+P21*'Geometry'!$G$51+Q21*'Geometry'!$F$51),S_1_fy),-S_1_fy))-(IF((O21+P21*'Geometry'!$G$51+Q21*'Geometry'!$F$51)&gt;0,IF((O21+P21*'Geometry'!$G$51+Q21*'Geometry'!$F$51)&lt;=C_eco,C_alpha*C_fck*(1-(1-(O21+P21*'Geometry'!$G$51+Q21*'Geometry'!$F$51)/C_eco)^C_n),C_alpha*C_fck),0)))*'Geometry'!$H$51*'Geometry'!$G$51+((MAX(MIN(S_1_Es*(O21+P21*'Geometry'!$G$52+Q21*'Geometry'!$F$52),S_1_fy),-S_1_fy))-(IF((O21+P21*'Geometry'!$G$52+Q21*'Geometry'!$F$52)&gt;0,IF((O21+P21*'Geometry'!$G$52+Q21*'Geometry'!$F$52)&lt;=C_eco,C_alpha*C_fck*(1-(1-(O21+P21*'Geometry'!$G$52+Q21*'Geometry'!$F$52)/C_eco)^C_n),C_alpha*C_fck),0)))*'Geometry'!$H$52*'Geometry'!$G$52+((MAX(MIN(S_1_Es*(O21+P21*'Geometry'!$G$53+Q21*'Geometry'!$F$53),S_1_fy),-S_1_fy))-(IF((O21+P21*'Geometry'!$G$53+Q21*'Geometry'!$F$53)&gt;0,IF((O21+P21*'Geometry'!$G$53+Q21*'Geometry'!$F$53)&lt;=C_eco,C_alpha*C_fck*(1-(1-(O21+P21*'Geometry'!$G$53+Q21*'Geometry'!$F$53)/C_eco)^C_n),C_alpha*C_fck),0)))*'Geometry'!$H$53*'Geometry'!$G$53+((MAX(MIN(S_1_Es*(O21+P21*'Geometry'!$G$54+Q21*'Geometry'!$F$54),S_1_fy),-S_1_fy))-(IF((O21+P21*'Geometry'!$G$54+Q21*'Geometry'!$F$54)&gt;0,IF((O21+P21*'Geometry'!$G$54+Q21*'Geometry'!$F$54)&lt;=C_eco,C_alpha*C_fck*(1-(1-(O21+P21*'Geometry'!$G$54+Q21*'Geometry'!$F$54)/C_eco)^C_n),C_alpha*C_fck),0)))*'Geometry'!$H$54*'Geometry'!$G$54+((MAX(MIN(S_1_Es*(O21+P21*'Geometry'!$G$55+Q21*'Geometry'!$F$55),S_1_fy),-S_1_fy))-(IF((O21+P21*'Geometry'!$G$55+Q21*'Geometry'!$F$55)&gt;0,IF((O21+P21*'Geometry'!$G$55+Q21*'Geometry'!$F$55)&lt;=C_eco,C_alpha*C_fck*(1-(1-(O21+P21*'Geometry'!$G$55+Q21*'Geometry'!$F$55)/C_eco)^C_n),C_alpha*C_fck),0)))*'Geometry'!$H$55*'Geometry'!$G$55+((MAX(MIN(S_1_Es*(O21+P21*'Geometry'!$G$56+Q21*'Geometry'!$F$56),S_1_fy),-S_1_fy))-(IF((O21+P21*'Geometry'!$G$56+Q21*'Geometry'!$F$56)&gt;0,IF((O21+P21*'Geometry'!$G$56+Q21*'Geometry'!$F$56)&lt;=C_eco,C_alpha*C_fck*(1-(1-(O21+P21*'Geometry'!$G$56+Q21*'Geometry'!$F$56)/C_eco)^C_n),C_alpha*C_fck),0)))*'Geometry'!$H$56*'Geometry'!$G$56+((MAX(MIN(S_1_Es*(O21+P21*'Geometry'!$G$57+Q21*'Geometry'!$F$57),S_1_fy),-S_1_fy))-(IF((O21+P21*'Geometry'!$G$57+Q21*'Geometry'!$F$57)&gt;0,IF((O21+P21*'Geometry'!$G$57+Q21*'Geometry'!$F$57)&lt;=C_eco,C_alpha*C_fck*(1-(1-(O21+P21*'Geometry'!$G$57+Q21*'Geometry'!$F$57)/C_eco)^C_n),C_alpha*C_fck),0)))*'Geometry'!$H$57*'Geometry'!$G$57)/1000000</f>
        <v>-573.6554342734157</v>
      </c>
      <c r="W21" s="10">
        <f>(((MAX(MIN(S_1_Es*(O21+P21*'Geometry'!$G$40+Q21*'Geometry'!$F$40),S_1_fy),-S_1_fy))-(IF((O21+P21*'Geometry'!$G$40+Q21*'Geometry'!$F$40)&gt;0,IF((O21+P21*'Geometry'!$G$40+Q21*'Geometry'!$F$40)&lt;=C_eco,C_alpha*C_fck*(1-(1-(O21+P21*'Geometry'!$G$40+Q21*'Geometry'!$F$40)/C_eco)^C_n),C_alpha*C_fck),0)))*'Geometry'!$H$40*'Geometry'!$F$40+((MAX(MIN(S_1_Es*(O21+P21*'Geometry'!$G$41+Q21*'Geometry'!$F$41),S_1_fy),-S_1_fy))-(IF((O21+P21*'Geometry'!$G$41+Q21*'Geometry'!$F$41)&gt;0,IF((O21+P21*'Geometry'!$G$41+Q21*'Geometry'!$F$41)&lt;=C_eco,C_alpha*C_fck*(1-(1-(O21+P21*'Geometry'!$G$41+Q21*'Geometry'!$F$41)/C_eco)^C_n),C_alpha*C_fck),0)))*'Geometry'!$H$41*'Geometry'!$F$41+((MAX(MIN(S_1_Es*(O21+P21*'Geometry'!$G$42+Q21*'Geometry'!$F$42),S_1_fy),-S_1_fy))-(IF((O21+P21*'Geometry'!$G$42+Q21*'Geometry'!$F$42)&gt;0,IF((O21+P21*'Geometry'!$G$42+Q21*'Geometry'!$F$42)&lt;=C_eco,C_alpha*C_fck*(1-(1-(O21+P21*'Geometry'!$G$42+Q21*'Geometry'!$F$42)/C_eco)^C_n),C_alpha*C_fck),0)))*'Geometry'!$H$42*'Geometry'!$F$42+((MAX(MIN(S_1_Es*(O21+P21*'Geometry'!$G$43+Q21*'Geometry'!$F$43),S_1_fy),-S_1_fy))-(IF((O21+P21*'Geometry'!$G$43+Q21*'Geometry'!$F$43)&gt;0,IF((O21+P21*'Geometry'!$G$43+Q21*'Geometry'!$F$43)&lt;=C_eco,C_alpha*C_fck*(1-(1-(O21+P21*'Geometry'!$G$43+Q21*'Geometry'!$F$43)/C_eco)^C_n),C_alpha*C_fck),0)))*'Geometry'!$H$43*'Geometry'!$F$43+((MAX(MIN(S_1_Es*(O21+P21*'Geometry'!$G$44+Q21*'Geometry'!$F$44),S_1_fy),-S_1_fy))-(IF((O21+P21*'Geometry'!$G$44+Q21*'Geometry'!$F$44)&gt;0,IF((O21+P21*'Geometry'!$G$44+Q21*'Geometry'!$F$44)&lt;=C_eco,C_alpha*C_fck*(1-(1-(O21+P21*'Geometry'!$G$44+Q21*'Geometry'!$F$44)/C_eco)^C_n),C_alpha*C_fck),0)))*'Geometry'!$H$44*'Geometry'!$F$44+((MAX(MIN(S_1_Es*(O21+P21*'Geometry'!$G$45+Q21*'Geometry'!$F$45),S_1_fy),-S_1_fy))-(IF((O21+P21*'Geometry'!$G$45+Q21*'Geometry'!$F$45)&gt;0,IF((O21+P21*'Geometry'!$G$45+Q21*'Geometry'!$F$45)&lt;=C_eco,C_alpha*C_fck*(1-(1-(O21+P21*'Geometry'!$G$45+Q21*'Geometry'!$F$45)/C_eco)^C_n),C_alpha*C_fck),0)))*'Geometry'!$H$45*'Geometry'!$F$45+((MAX(MIN(S_1_Es*(O21+P21*'Geometry'!$G$46+Q21*'Geometry'!$F$46),S_1_fy),-S_1_fy))-(IF((O21+P21*'Geometry'!$G$46+Q21*'Geometry'!$F$46)&gt;0,IF((O21+P21*'Geometry'!$G$46+Q21*'Geometry'!$F$46)&lt;=C_eco,C_alpha*C_fck*(1-(1-(O21+P21*'Geometry'!$G$46+Q21*'Geometry'!$F$46)/C_eco)^C_n),C_alpha*C_fck),0)))*'Geometry'!$H$46*'Geometry'!$F$46+((MAX(MIN(S_1_Es*(O21+P21*'Geometry'!$G$47+Q21*'Geometry'!$F$47),S_1_fy),-S_1_fy))-(IF((O21+P21*'Geometry'!$G$47+Q21*'Geometry'!$F$47)&gt;0,IF((O21+P21*'Geometry'!$G$47+Q21*'Geometry'!$F$47)&lt;=C_eco,C_alpha*C_fck*(1-(1-(O21+P21*'Geometry'!$G$47+Q21*'Geometry'!$F$47)/C_eco)^C_n),C_alpha*C_fck),0)))*'Geometry'!$H$47*'Geometry'!$F$47+((MAX(MIN(S_1_Es*(O21+P21*'Geometry'!$G$48+Q21*'Geometry'!$F$48),S_1_fy),-S_1_fy))-(IF((O21+P21*'Geometry'!$G$48+Q21*'Geometry'!$F$48)&gt;0,IF((O21+P21*'Geometry'!$G$48+Q21*'Geometry'!$F$48)&lt;=C_eco,C_alpha*C_fck*(1-(1-(O21+P21*'Geometry'!$G$48+Q21*'Geometry'!$F$48)/C_eco)^C_n),C_alpha*C_fck),0)))*'Geometry'!$H$48*'Geometry'!$F$48+((MAX(MIN(S_1_Es*(O21+P21*'Geometry'!$G$49+Q21*'Geometry'!$F$49),S_1_fy),-S_1_fy))-(IF((O21+P21*'Geometry'!$G$49+Q21*'Geometry'!$F$49)&gt;0,IF((O21+P21*'Geometry'!$G$49+Q21*'Geometry'!$F$49)&lt;=C_eco,C_alpha*C_fck*(1-(1-(O21+P21*'Geometry'!$G$49+Q21*'Geometry'!$F$49)/C_eco)^C_n),C_alpha*C_fck),0)))*'Geometry'!$H$49*'Geometry'!$F$49+((MAX(MIN(S_1_Es*(O21+P21*'Geometry'!$G$50+Q21*'Geometry'!$F$50),S_1_fy),-S_1_fy))-(IF((O21+P21*'Geometry'!$G$50+Q21*'Geometry'!$F$50)&gt;0,IF((O21+P21*'Geometry'!$G$50+Q21*'Geometry'!$F$50)&lt;=C_eco,C_alpha*C_fck*(1-(1-(O21+P21*'Geometry'!$G$50+Q21*'Geometry'!$F$50)/C_eco)^C_n),C_alpha*C_fck),0)))*'Geometry'!$H$50*'Geometry'!$F$50+((MAX(MIN(S_1_Es*(O21+P21*'Geometry'!$G$51+Q21*'Geometry'!$F$51),S_1_fy),-S_1_fy))-(IF((O21+P21*'Geometry'!$G$51+Q21*'Geometry'!$F$51)&gt;0,IF((O21+P21*'Geometry'!$G$51+Q21*'Geometry'!$F$51)&lt;=C_eco,C_alpha*C_fck*(1-(1-(O21+P21*'Geometry'!$G$51+Q21*'Geometry'!$F$51)/C_eco)^C_n),C_alpha*C_fck),0)))*'Geometry'!$H$51*'Geometry'!$F$51+((MAX(MIN(S_1_Es*(O21+P21*'Geometry'!$G$52+Q21*'Geometry'!$F$52),S_1_fy),-S_1_fy))-(IF((O21+P21*'Geometry'!$G$52+Q21*'Geometry'!$F$52)&gt;0,IF((O21+P21*'Geometry'!$G$52+Q21*'Geometry'!$F$52)&lt;=C_eco,C_alpha*C_fck*(1-(1-(O21+P21*'Geometry'!$G$52+Q21*'Geometry'!$F$52)/C_eco)^C_n),C_alpha*C_fck),0)))*'Geometry'!$H$52*'Geometry'!$F$52+((MAX(MIN(S_1_Es*(O21+P21*'Geometry'!$G$53+Q21*'Geometry'!$F$53),S_1_fy),-S_1_fy))-(IF((O21+P21*'Geometry'!$G$53+Q21*'Geometry'!$F$53)&gt;0,IF((O21+P21*'Geometry'!$G$53+Q21*'Geometry'!$F$53)&lt;=C_eco,C_alpha*C_fck*(1-(1-(O21+P21*'Geometry'!$G$53+Q21*'Geometry'!$F$53)/C_eco)^C_n),C_alpha*C_fck),0)))*'Geometry'!$H$53*'Geometry'!$F$53+((MAX(MIN(S_1_Es*(O21+P21*'Geometry'!$G$54+Q21*'Geometry'!$F$54),S_1_fy),-S_1_fy))-(IF((O21+P21*'Geometry'!$G$54+Q21*'Geometry'!$F$54)&gt;0,IF((O21+P21*'Geometry'!$G$54+Q21*'Geometry'!$F$54)&lt;=C_eco,C_alpha*C_fck*(1-(1-(O21+P21*'Geometry'!$G$54+Q21*'Geometry'!$F$54)/C_eco)^C_n),C_alpha*C_fck),0)))*'Geometry'!$H$54*'Geometry'!$F$54+((MAX(MIN(S_1_Es*(O21+P21*'Geometry'!$G$55+Q21*'Geometry'!$F$55),S_1_fy),-S_1_fy))-(IF((O21+P21*'Geometry'!$G$55+Q21*'Geometry'!$F$55)&gt;0,IF((O21+P21*'Geometry'!$G$55+Q21*'Geometry'!$F$55)&lt;=C_eco,C_alpha*C_fck*(1-(1-(O21+P21*'Geometry'!$G$55+Q21*'Geometry'!$F$55)/C_eco)^C_n),C_alpha*C_fck),0)))*'Geometry'!$H$55*'Geometry'!$F$55+((MAX(MIN(S_1_Es*(O21+P21*'Geometry'!$G$56+Q21*'Geometry'!$F$56),S_1_fy),-S_1_fy))-(IF((O21+P21*'Geometry'!$G$56+Q21*'Geometry'!$F$56)&gt;0,IF((O21+P21*'Geometry'!$G$56+Q21*'Geometry'!$F$56)&lt;=C_eco,C_alpha*C_fck*(1-(1-(O21+P21*'Geometry'!$G$56+Q21*'Geometry'!$F$56)/C_eco)^C_n),C_alpha*C_fck),0)))*'Geometry'!$H$56*'Geometry'!$F$56+((MAX(MIN(S_1_Es*(O21+P21*'Geometry'!$G$57+Q21*'Geometry'!$F$57),S_1_fy),-S_1_fy))-(IF((O21+P21*'Geometry'!$G$57+Q21*'Geometry'!$F$57)&gt;0,IF((O21+P21*'Geometry'!$G$57+Q21*'Geometry'!$F$57)&lt;=C_eco,C_alpha*C_fck*(1-(1-(O21+P21*'Geometry'!$G$57+Q21*'Geometry'!$F$57)/C_eco)^C_n),C_alpha*C_fck),0)))*'Geometry'!$H$57*'Geometry'!$F$57)/1000000</f>
        <v>998.3568987492596</v>
      </c>
      <c r="X21" s="10">
        <f>R21+U21</f>
        <v>-1326.3322427520682</v>
      </c>
      <c r="Y21" s="10">
        <f>S21+V21</f>
        <v>-1611.8362184317268</v>
      </c>
      <c r="Z21" s="10">
        <f>T21+W21</f>
        <v>2533.5945126273814</v>
      </c>
      <c r="AA21" s="7">
        <v>0.85</v>
      </c>
      <c r="AB21" s="7">
        <v>0.85</v>
      </c>
      <c r="AC21" s="10">
        <f>X21*AA21</f>
        <v>-1127.382406339258</v>
      </c>
      <c r="AD21" s="10">
        <f>Y21*AB21</f>
        <v>-1370.0607856669678</v>
      </c>
      <c r="AE21" s="10">
        <f>Z21*AB21</f>
        <v>2153.555335733274</v>
      </c>
      <c r="AF21" s="7">
        <v>-1127.382406339258</v>
      </c>
      <c r="AG21" s="7">
        <v>-1370.0607856669678</v>
      </c>
      <c r="AH21" s="7">
        <v>2153.555335733274</v>
      </c>
      <c r="AI21" s="15">
        <f>AC21-AF21</f>
        <v>0</v>
      </c>
      <c r="AJ21" s="15">
        <f>SQRT((AD21-AG21)^2+(AE21-AH21)^2)</f>
        <v>0</v>
      </c>
      <c r="AK21" s="7" t="s">
        <v>189</v>
      </c>
      <c r="AL21" s="7">
        <v>-1326.3322427520682</v>
      </c>
      <c r="AM21" s="7">
        <v>-1611.8362184317268</v>
      </c>
      <c r="AN21" s="7">
        <v>2533.5945126273814</v>
      </c>
      <c r="AO21" s="7">
        <v>2648.9406726884467</v>
      </c>
      <c r="AP21" s="7">
        <v>-1038.180784158311</v>
      </c>
      <c r="AQ21" s="7">
        <v>1535.237613878122</v>
      </c>
      <c r="AR21" s="7">
        <v>-3975.272915440515</v>
      </c>
      <c r="AS21" s="7">
        <v>-573.6554342734157</v>
      </c>
      <c r="AT21" s="7">
        <v>998.3568987492596</v>
      </c>
    </row>
    <row r="22" spans="1:46" x14ac:dyDescent="0.25">
      <c r="A22" s="7" t="s">
        <v>218</v>
      </c>
      <c r="B22" s="7">
        <v>1</v>
      </c>
      <c r="C22" s="18">
        <v>140</v>
      </c>
      <c r="D22" s="7" t="s">
        <v>219</v>
      </c>
      <c r="E22" s="7" t="s">
        <v>192</v>
      </c>
      <c r="F22" s="19">
        <v>140</v>
      </c>
      <c r="G22" s="7" t="s">
        <v>188</v>
      </c>
      <c r="H22" s="20">
        <v>7.5</v>
      </c>
      <c r="I22" s="10">
        <f>MAX(('Geometry'!$G$13*COS(RADIANS(F22))+'Geometry'!$F$13*SIN(RADIANS(F22))),('Geometry'!$G$14*COS(RADIANS(F22))+'Geometry'!$F$14*SIN(RADIANS(F22))),('Geometry'!$G$15*COS(RADIANS(F22))+'Geometry'!$F$15*SIN(RADIANS(F22))),('Geometry'!$G$16*COS(RADIANS(F22))+'Geometry'!$F$16*SIN(RADIANS(F22))),('Geometry'!$G$17*COS(RADIANS(F22))+'Geometry'!$F$17*SIN(RADIANS(F22))),('Geometry'!$G$18*COS(RADIANS(F22))+'Geometry'!$F$18*SIN(RADIANS(F22))),('Geometry'!$G$19*COS(RADIANS(F22))+'Geometry'!$F$19*SIN(RADIANS(F22))),('Geometry'!$G$20*COS(RADIANS(F22))+'Geometry'!$F$20*SIN(RADIANS(F22))))</f>
        <v>813.1598511989835</v>
      </c>
      <c r="J22" s="10">
        <f>MIN(('Geometry'!$G$40*COS(RADIANS(F22))+'Geometry'!$F$40*SIN(RADIANS(F22))),('Geometry'!$G$41*COS(RADIANS(F22))+'Geometry'!$F$41*SIN(RADIANS(F22))),('Geometry'!$G$42*COS(RADIANS(F22))+'Geometry'!$F$42*SIN(RADIANS(F22))),('Geometry'!$G$43*COS(RADIANS(F22))+'Geometry'!$F$43*SIN(RADIANS(F22))),('Geometry'!$G$44*COS(RADIANS(F22))+'Geometry'!$F$44*SIN(RADIANS(F22))),('Geometry'!$G$45*COS(RADIANS(F22))+'Geometry'!$F$45*SIN(RADIANS(F22))),('Geometry'!$G$46*COS(RADIANS(F22))+'Geometry'!$F$46*SIN(RADIANS(F22))),('Geometry'!$G$47*COS(RADIANS(F22))+'Geometry'!$F$47*SIN(RADIANS(F22))),('Geometry'!$G$48*COS(RADIANS(F22))+'Geometry'!$F$48*SIN(RADIANS(F22))),('Geometry'!$G$49*COS(RADIANS(F22))+'Geometry'!$F$49*SIN(RADIANS(F22))),('Geometry'!$G$50*COS(RADIANS(F22))+'Geometry'!$F$50*SIN(RADIANS(F22))),('Geometry'!$G$51*COS(RADIANS(F22))+'Geometry'!$F$51*SIN(RADIANS(F22))),('Geometry'!$G$52*COS(RADIANS(F22))+'Geometry'!$F$52*SIN(RADIANS(F22))),('Geometry'!$G$53*COS(RADIANS(F22))+'Geometry'!$F$53*SIN(RADIANS(F22))),('Geometry'!$G$54*COS(RADIANS(F22))+'Geometry'!$F$54*SIN(RADIANS(F22))),('Geometry'!$G$55*COS(RADIANS(F22))+'Geometry'!$F$55*SIN(RADIANS(F22))),('Geometry'!$G$56*COS(RADIANS(F22))+'Geometry'!$F$56*SIN(RADIANS(F22))),('Geometry'!$G$57*COS(RADIANS(F22))+'Geometry'!$F$57*SIN(RADIANS(F22))))</f>
        <v>-666.9089075225402</v>
      </c>
      <c r="K22" s="10">
        <f>I22-MIN(('Geometry'!$G$13*COS(RADIANS(F22))+'Geometry'!$F$13*SIN(RADIANS(F22))),('Geometry'!$G$14*COS(RADIANS(F22))+'Geometry'!$F$14*SIN(RADIANS(F22))),('Geometry'!$G$15*COS(RADIANS(F22))+'Geometry'!$F$15*SIN(RADIANS(F22))),('Geometry'!$G$16*COS(RADIANS(F22))+'Geometry'!$F$16*SIN(RADIANS(F22))),('Geometry'!$G$17*COS(RADIANS(F22))+'Geometry'!$F$17*SIN(RADIANS(F22))),('Geometry'!$G$18*COS(RADIANS(F22))+'Geometry'!$F$18*SIN(RADIANS(F22))),('Geometry'!$G$19*COS(RADIANS(F22))+'Geometry'!$F$19*SIN(RADIANS(F22))),('Geometry'!$G$20*COS(RADIANS(F22))+'Geometry'!$F$20*SIN(RADIANS(F22))))</f>
        <v>1626.319702397967</v>
      </c>
      <c r="L22" s="15">
        <f>C_ecu</f>
        <v>0.0033</v>
      </c>
      <c r="M22" s="15">
        <f>-H22*S_1_fy/S_1_Es</f>
        <v>-0.015</v>
      </c>
      <c r="N22" s="21">
        <f>IF(ABS(I22-J22)&lt;0.000000000001,0,(L22-M22)/(I22-J22))</f>
        <v>0.000012364290437295259</v>
      </c>
      <c r="O22" s="15">
        <f>L22-N22*I22</f>
        <v>-0.006754144572172028</v>
      </c>
      <c r="P22" s="21">
        <f>N22*COS(RADIANS(F22))</f>
        <v>-0.000009471595982599151</v>
      </c>
      <c r="Q22" s="21">
        <f>N22*SIN(RADIANS(F22))</f>
        <v>0.000007947612695659158</v>
      </c>
      <c r="R22" s="10">
        <f>SUMPRODUCT(C_alpha*C_fck*(1-(1-(((O22+P22*Mesh_Y+Q22*Mesh_X))*((O22+P22*Mesh_Y+Q22*Mesh_X)&gt;0)*((O22+P22*Mesh_Y+Q22*Mesh_X)&lt;C_eco)+C_eco*((O22+P22*Mesh_Y+Q22*Mesh_X)&gt;=C_eco))/C_eco)^C_n)*(((O22+P22*Mesh_Y+Q22*Mesh_X))&gt;0),Mesh_A)/1000</f>
        <v>2487.4857535946935</v>
      </c>
      <c r="S22" s="10">
        <f>SUMPRODUCT(C_alpha*C_fck*(1-(1-(((O22+P22*Mesh_Y+Q22*Mesh_X))*((O22+P22*Mesh_Y+Q22*Mesh_X)&gt;0)*((O22+P22*Mesh_Y+Q22*Mesh_X)&lt;C_eco)+C_eco*((O22+P22*Mesh_Y+Q22*Mesh_X)&gt;=C_eco))/C_eco)^C_n)*(((O22+P22*Mesh_Y+Q22*Mesh_X))&gt;0),Mesh_A,Mesh_Y)/1000000</f>
        <v>-1081.689030017266</v>
      </c>
      <c r="T22" s="10">
        <f>SUMPRODUCT(C_alpha*C_fck*(1-(1-(((O22+P22*Mesh_Y+Q22*Mesh_X))*((O22+P22*Mesh_Y+Q22*Mesh_X)&gt;0)*((O22+P22*Mesh_Y+Q22*Mesh_X)&lt;C_eco)+C_eco*((O22+P22*Mesh_Y+Q22*Mesh_X)&gt;=C_eco))/C_eco)^C_n)*(((O22+P22*Mesh_Y+Q22*Mesh_X))&gt;0),Mesh_A,Mesh_X)/1000000</f>
        <v>1355.8373901986588</v>
      </c>
      <c r="U22" s="10">
        <f>(((MAX(MIN(S_1_Es*(O22+P22*'Geometry'!$G$40+Q22*'Geometry'!$F$40),S_1_fy),-S_1_fy))-(IF((O22+P22*'Geometry'!$G$40+Q22*'Geometry'!$F$40)&gt;0,IF((O22+P22*'Geometry'!$G$40+Q22*'Geometry'!$F$40)&lt;=C_eco,C_alpha*C_fck*(1-(1-(O22+P22*'Geometry'!$G$40+Q22*'Geometry'!$F$40)/C_eco)^C_n),C_alpha*C_fck),0)))*'Geometry'!$H$40+((MAX(MIN(S_1_Es*(O22+P22*'Geometry'!$G$41+Q22*'Geometry'!$F$41),S_1_fy),-S_1_fy))-(IF((O22+P22*'Geometry'!$G$41+Q22*'Geometry'!$F$41)&gt;0,IF((O22+P22*'Geometry'!$G$41+Q22*'Geometry'!$F$41)&lt;=C_eco,C_alpha*C_fck*(1-(1-(O22+P22*'Geometry'!$G$41+Q22*'Geometry'!$F$41)/C_eco)^C_n),C_alpha*C_fck),0)))*'Geometry'!$H$41+((MAX(MIN(S_1_Es*(O22+P22*'Geometry'!$G$42+Q22*'Geometry'!$F$42),S_1_fy),-S_1_fy))-(IF((O22+P22*'Geometry'!$G$42+Q22*'Geometry'!$F$42)&gt;0,IF((O22+P22*'Geometry'!$G$42+Q22*'Geometry'!$F$42)&lt;=C_eco,C_alpha*C_fck*(1-(1-(O22+P22*'Geometry'!$G$42+Q22*'Geometry'!$F$42)/C_eco)^C_n),C_alpha*C_fck),0)))*'Geometry'!$H$42+((MAX(MIN(S_1_Es*(O22+P22*'Geometry'!$G$43+Q22*'Geometry'!$F$43),S_1_fy),-S_1_fy))-(IF((O22+P22*'Geometry'!$G$43+Q22*'Geometry'!$F$43)&gt;0,IF((O22+P22*'Geometry'!$G$43+Q22*'Geometry'!$F$43)&lt;=C_eco,C_alpha*C_fck*(1-(1-(O22+P22*'Geometry'!$G$43+Q22*'Geometry'!$F$43)/C_eco)^C_n),C_alpha*C_fck),0)))*'Geometry'!$H$43+((MAX(MIN(S_1_Es*(O22+P22*'Geometry'!$G$44+Q22*'Geometry'!$F$44),S_1_fy),-S_1_fy))-(IF((O22+P22*'Geometry'!$G$44+Q22*'Geometry'!$F$44)&gt;0,IF((O22+P22*'Geometry'!$G$44+Q22*'Geometry'!$F$44)&lt;=C_eco,C_alpha*C_fck*(1-(1-(O22+P22*'Geometry'!$G$44+Q22*'Geometry'!$F$44)/C_eco)^C_n),C_alpha*C_fck),0)))*'Geometry'!$H$44+((MAX(MIN(S_1_Es*(O22+P22*'Geometry'!$G$45+Q22*'Geometry'!$F$45),S_1_fy),-S_1_fy))-(IF((O22+P22*'Geometry'!$G$45+Q22*'Geometry'!$F$45)&gt;0,IF((O22+P22*'Geometry'!$G$45+Q22*'Geometry'!$F$45)&lt;=C_eco,C_alpha*C_fck*(1-(1-(O22+P22*'Geometry'!$G$45+Q22*'Geometry'!$F$45)/C_eco)^C_n),C_alpha*C_fck),0)))*'Geometry'!$H$45+((MAX(MIN(S_1_Es*(O22+P22*'Geometry'!$G$46+Q22*'Geometry'!$F$46),S_1_fy),-S_1_fy))-(IF((O22+P22*'Geometry'!$G$46+Q22*'Geometry'!$F$46)&gt;0,IF((O22+P22*'Geometry'!$G$46+Q22*'Geometry'!$F$46)&lt;=C_eco,C_alpha*C_fck*(1-(1-(O22+P22*'Geometry'!$G$46+Q22*'Geometry'!$F$46)/C_eco)^C_n),C_alpha*C_fck),0)))*'Geometry'!$H$46+((MAX(MIN(S_1_Es*(O22+P22*'Geometry'!$G$47+Q22*'Geometry'!$F$47),S_1_fy),-S_1_fy))-(IF((O22+P22*'Geometry'!$G$47+Q22*'Geometry'!$F$47)&gt;0,IF((O22+P22*'Geometry'!$G$47+Q22*'Geometry'!$F$47)&lt;=C_eco,C_alpha*C_fck*(1-(1-(O22+P22*'Geometry'!$G$47+Q22*'Geometry'!$F$47)/C_eco)^C_n),C_alpha*C_fck),0)))*'Geometry'!$H$47+((MAX(MIN(S_1_Es*(O22+P22*'Geometry'!$G$48+Q22*'Geometry'!$F$48),S_1_fy),-S_1_fy))-(IF((O22+P22*'Geometry'!$G$48+Q22*'Geometry'!$F$48)&gt;0,IF((O22+P22*'Geometry'!$G$48+Q22*'Geometry'!$F$48)&lt;=C_eco,C_alpha*C_fck*(1-(1-(O22+P22*'Geometry'!$G$48+Q22*'Geometry'!$F$48)/C_eco)^C_n),C_alpha*C_fck),0)))*'Geometry'!$H$48+((MAX(MIN(S_1_Es*(O22+P22*'Geometry'!$G$49+Q22*'Geometry'!$F$49),S_1_fy),-S_1_fy))-(IF((O22+P22*'Geometry'!$G$49+Q22*'Geometry'!$F$49)&gt;0,IF((O22+P22*'Geometry'!$G$49+Q22*'Geometry'!$F$49)&lt;=C_eco,C_alpha*C_fck*(1-(1-(O22+P22*'Geometry'!$G$49+Q22*'Geometry'!$F$49)/C_eco)^C_n),C_alpha*C_fck),0)))*'Geometry'!$H$49+((MAX(MIN(S_1_Es*(O22+P22*'Geometry'!$G$50+Q22*'Geometry'!$F$50),S_1_fy),-S_1_fy))-(IF((O22+P22*'Geometry'!$G$50+Q22*'Geometry'!$F$50)&gt;0,IF((O22+P22*'Geometry'!$G$50+Q22*'Geometry'!$F$50)&lt;=C_eco,C_alpha*C_fck*(1-(1-(O22+P22*'Geometry'!$G$50+Q22*'Geometry'!$F$50)/C_eco)^C_n),C_alpha*C_fck),0)))*'Geometry'!$H$50+((MAX(MIN(S_1_Es*(O22+P22*'Geometry'!$G$51+Q22*'Geometry'!$F$51),S_1_fy),-S_1_fy))-(IF((O22+P22*'Geometry'!$G$51+Q22*'Geometry'!$F$51)&gt;0,IF((O22+P22*'Geometry'!$G$51+Q22*'Geometry'!$F$51)&lt;=C_eco,C_alpha*C_fck*(1-(1-(O22+P22*'Geometry'!$G$51+Q22*'Geometry'!$F$51)/C_eco)^C_n),C_alpha*C_fck),0)))*'Geometry'!$H$51+((MAX(MIN(S_1_Es*(O22+P22*'Geometry'!$G$52+Q22*'Geometry'!$F$52),S_1_fy),-S_1_fy))-(IF((O22+P22*'Geometry'!$G$52+Q22*'Geometry'!$F$52)&gt;0,IF((O22+P22*'Geometry'!$G$52+Q22*'Geometry'!$F$52)&lt;=C_eco,C_alpha*C_fck*(1-(1-(O22+P22*'Geometry'!$G$52+Q22*'Geometry'!$F$52)/C_eco)^C_n),C_alpha*C_fck),0)))*'Geometry'!$H$52+((MAX(MIN(S_1_Es*(O22+P22*'Geometry'!$G$53+Q22*'Geometry'!$F$53),S_1_fy),-S_1_fy))-(IF((O22+P22*'Geometry'!$G$53+Q22*'Geometry'!$F$53)&gt;0,IF((O22+P22*'Geometry'!$G$53+Q22*'Geometry'!$F$53)&lt;=C_eco,C_alpha*C_fck*(1-(1-(O22+P22*'Geometry'!$G$53+Q22*'Geometry'!$F$53)/C_eco)^C_n),C_alpha*C_fck),0)))*'Geometry'!$H$53+((MAX(MIN(S_1_Es*(O22+P22*'Geometry'!$G$54+Q22*'Geometry'!$F$54),S_1_fy),-S_1_fy))-(IF((O22+P22*'Geometry'!$G$54+Q22*'Geometry'!$F$54)&gt;0,IF((O22+P22*'Geometry'!$G$54+Q22*'Geometry'!$F$54)&lt;=C_eco,C_alpha*C_fck*(1-(1-(O22+P22*'Geometry'!$G$54+Q22*'Geometry'!$F$54)/C_eco)^C_n),C_alpha*C_fck),0)))*'Geometry'!$H$54+((MAX(MIN(S_1_Es*(O22+P22*'Geometry'!$G$55+Q22*'Geometry'!$F$55),S_1_fy),-S_1_fy))-(IF((O22+P22*'Geometry'!$G$55+Q22*'Geometry'!$F$55)&gt;0,IF((O22+P22*'Geometry'!$G$55+Q22*'Geometry'!$F$55)&lt;=C_eco,C_alpha*C_fck*(1-(1-(O22+P22*'Geometry'!$G$55+Q22*'Geometry'!$F$55)/C_eco)^C_n),C_alpha*C_fck),0)))*'Geometry'!$H$55+((MAX(MIN(S_1_Es*(O22+P22*'Geometry'!$G$56+Q22*'Geometry'!$F$56),S_1_fy),-S_1_fy))-(IF((O22+P22*'Geometry'!$G$56+Q22*'Geometry'!$F$56)&gt;0,IF((O22+P22*'Geometry'!$G$56+Q22*'Geometry'!$F$56)&lt;=C_eco,C_alpha*C_fck*(1-(1-(O22+P22*'Geometry'!$G$56+Q22*'Geometry'!$F$56)/C_eco)^C_n),C_alpha*C_fck),0)))*'Geometry'!$H$56+((MAX(MIN(S_1_Es*(O22+P22*'Geometry'!$G$57+Q22*'Geometry'!$F$57),S_1_fy),-S_1_fy))-(IF((O22+P22*'Geometry'!$G$57+Q22*'Geometry'!$F$57)&gt;0,IF((O22+P22*'Geometry'!$G$57+Q22*'Geometry'!$F$57)&lt;=C_eco,C_alpha*C_fck*(1-(1-(O22+P22*'Geometry'!$G$57+Q22*'Geometry'!$F$57)/C_eco)^C_n),C_alpha*C_fck),0)))*'Geometry'!$H$57)/1000</f>
        <v>-4114.831651386042</v>
      </c>
      <c r="V22" s="10">
        <f>(((MAX(MIN(S_1_Es*(O22+P22*'Geometry'!$G$40+Q22*'Geometry'!$F$40),S_1_fy),-S_1_fy))-(IF((O22+P22*'Geometry'!$G$40+Q22*'Geometry'!$F$40)&gt;0,IF((O22+P22*'Geometry'!$G$40+Q22*'Geometry'!$F$40)&lt;=C_eco,C_alpha*C_fck*(1-(1-(O22+P22*'Geometry'!$G$40+Q22*'Geometry'!$F$40)/C_eco)^C_n),C_alpha*C_fck),0)))*'Geometry'!$H$40*'Geometry'!$G$40+((MAX(MIN(S_1_Es*(O22+P22*'Geometry'!$G$41+Q22*'Geometry'!$F$41),S_1_fy),-S_1_fy))-(IF((O22+P22*'Geometry'!$G$41+Q22*'Geometry'!$F$41)&gt;0,IF((O22+P22*'Geometry'!$G$41+Q22*'Geometry'!$F$41)&lt;=C_eco,C_alpha*C_fck*(1-(1-(O22+P22*'Geometry'!$G$41+Q22*'Geometry'!$F$41)/C_eco)^C_n),C_alpha*C_fck),0)))*'Geometry'!$H$41*'Geometry'!$G$41+((MAX(MIN(S_1_Es*(O22+P22*'Geometry'!$G$42+Q22*'Geometry'!$F$42),S_1_fy),-S_1_fy))-(IF((O22+P22*'Geometry'!$G$42+Q22*'Geometry'!$F$42)&gt;0,IF((O22+P22*'Geometry'!$G$42+Q22*'Geometry'!$F$42)&lt;=C_eco,C_alpha*C_fck*(1-(1-(O22+P22*'Geometry'!$G$42+Q22*'Geometry'!$F$42)/C_eco)^C_n),C_alpha*C_fck),0)))*'Geometry'!$H$42*'Geometry'!$G$42+((MAX(MIN(S_1_Es*(O22+P22*'Geometry'!$G$43+Q22*'Geometry'!$F$43),S_1_fy),-S_1_fy))-(IF((O22+P22*'Geometry'!$G$43+Q22*'Geometry'!$F$43)&gt;0,IF((O22+P22*'Geometry'!$G$43+Q22*'Geometry'!$F$43)&lt;=C_eco,C_alpha*C_fck*(1-(1-(O22+P22*'Geometry'!$G$43+Q22*'Geometry'!$F$43)/C_eco)^C_n),C_alpha*C_fck),0)))*'Geometry'!$H$43*'Geometry'!$G$43+((MAX(MIN(S_1_Es*(O22+P22*'Geometry'!$G$44+Q22*'Geometry'!$F$44),S_1_fy),-S_1_fy))-(IF((O22+P22*'Geometry'!$G$44+Q22*'Geometry'!$F$44)&gt;0,IF((O22+P22*'Geometry'!$G$44+Q22*'Geometry'!$F$44)&lt;=C_eco,C_alpha*C_fck*(1-(1-(O22+P22*'Geometry'!$G$44+Q22*'Geometry'!$F$44)/C_eco)^C_n),C_alpha*C_fck),0)))*'Geometry'!$H$44*'Geometry'!$G$44+((MAX(MIN(S_1_Es*(O22+P22*'Geometry'!$G$45+Q22*'Geometry'!$F$45),S_1_fy),-S_1_fy))-(IF((O22+P22*'Geometry'!$G$45+Q22*'Geometry'!$F$45)&gt;0,IF((O22+P22*'Geometry'!$G$45+Q22*'Geometry'!$F$45)&lt;=C_eco,C_alpha*C_fck*(1-(1-(O22+P22*'Geometry'!$G$45+Q22*'Geometry'!$F$45)/C_eco)^C_n),C_alpha*C_fck),0)))*'Geometry'!$H$45*'Geometry'!$G$45+((MAX(MIN(S_1_Es*(O22+P22*'Geometry'!$G$46+Q22*'Geometry'!$F$46),S_1_fy),-S_1_fy))-(IF((O22+P22*'Geometry'!$G$46+Q22*'Geometry'!$F$46)&gt;0,IF((O22+P22*'Geometry'!$G$46+Q22*'Geometry'!$F$46)&lt;=C_eco,C_alpha*C_fck*(1-(1-(O22+P22*'Geometry'!$G$46+Q22*'Geometry'!$F$46)/C_eco)^C_n),C_alpha*C_fck),0)))*'Geometry'!$H$46*'Geometry'!$G$46+((MAX(MIN(S_1_Es*(O22+P22*'Geometry'!$G$47+Q22*'Geometry'!$F$47),S_1_fy),-S_1_fy))-(IF((O22+P22*'Geometry'!$G$47+Q22*'Geometry'!$F$47)&gt;0,IF((O22+P22*'Geometry'!$G$47+Q22*'Geometry'!$F$47)&lt;=C_eco,C_alpha*C_fck*(1-(1-(O22+P22*'Geometry'!$G$47+Q22*'Geometry'!$F$47)/C_eco)^C_n),C_alpha*C_fck),0)))*'Geometry'!$H$47*'Geometry'!$G$47+((MAX(MIN(S_1_Es*(O22+P22*'Geometry'!$G$48+Q22*'Geometry'!$F$48),S_1_fy),-S_1_fy))-(IF((O22+P22*'Geometry'!$G$48+Q22*'Geometry'!$F$48)&gt;0,IF((O22+P22*'Geometry'!$G$48+Q22*'Geometry'!$F$48)&lt;=C_eco,C_alpha*C_fck*(1-(1-(O22+P22*'Geometry'!$G$48+Q22*'Geometry'!$F$48)/C_eco)^C_n),C_alpha*C_fck),0)))*'Geometry'!$H$48*'Geometry'!$G$48+((MAX(MIN(S_1_Es*(O22+P22*'Geometry'!$G$49+Q22*'Geometry'!$F$49),S_1_fy),-S_1_fy))-(IF((O22+P22*'Geometry'!$G$49+Q22*'Geometry'!$F$49)&gt;0,IF((O22+P22*'Geometry'!$G$49+Q22*'Geometry'!$F$49)&lt;=C_eco,C_alpha*C_fck*(1-(1-(O22+P22*'Geometry'!$G$49+Q22*'Geometry'!$F$49)/C_eco)^C_n),C_alpha*C_fck),0)))*'Geometry'!$H$49*'Geometry'!$G$49+((MAX(MIN(S_1_Es*(O22+P22*'Geometry'!$G$50+Q22*'Geometry'!$F$50),S_1_fy),-S_1_fy))-(IF((O22+P22*'Geometry'!$G$50+Q22*'Geometry'!$F$50)&gt;0,IF((O22+P22*'Geometry'!$G$50+Q22*'Geometry'!$F$50)&lt;=C_eco,C_alpha*C_fck*(1-(1-(O22+P22*'Geometry'!$G$50+Q22*'Geometry'!$F$50)/C_eco)^C_n),C_alpha*C_fck),0)))*'Geometry'!$H$50*'Geometry'!$G$50+((MAX(MIN(S_1_Es*(O22+P22*'Geometry'!$G$51+Q22*'Geometry'!$F$51),S_1_fy),-S_1_fy))-(IF((O22+P22*'Geometry'!$G$51+Q22*'Geometry'!$F$51)&gt;0,IF((O22+P22*'Geometry'!$G$51+Q22*'Geometry'!$F$51)&lt;=C_eco,C_alpha*C_fck*(1-(1-(O22+P22*'Geometry'!$G$51+Q22*'Geometry'!$F$51)/C_eco)^C_n),C_alpha*C_fck),0)))*'Geometry'!$H$51*'Geometry'!$G$51+((MAX(MIN(S_1_Es*(O22+P22*'Geometry'!$G$52+Q22*'Geometry'!$F$52),S_1_fy),-S_1_fy))-(IF((O22+P22*'Geometry'!$G$52+Q22*'Geometry'!$F$52)&gt;0,IF((O22+P22*'Geometry'!$G$52+Q22*'Geometry'!$F$52)&lt;=C_eco,C_alpha*C_fck*(1-(1-(O22+P22*'Geometry'!$G$52+Q22*'Geometry'!$F$52)/C_eco)^C_n),C_alpha*C_fck),0)))*'Geometry'!$H$52*'Geometry'!$G$52+((MAX(MIN(S_1_Es*(O22+P22*'Geometry'!$G$53+Q22*'Geometry'!$F$53),S_1_fy),-S_1_fy))-(IF((O22+P22*'Geometry'!$G$53+Q22*'Geometry'!$F$53)&gt;0,IF((O22+P22*'Geometry'!$G$53+Q22*'Geometry'!$F$53)&lt;=C_eco,C_alpha*C_fck*(1-(1-(O22+P22*'Geometry'!$G$53+Q22*'Geometry'!$F$53)/C_eco)^C_n),C_alpha*C_fck),0)))*'Geometry'!$H$53*'Geometry'!$G$53+((MAX(MIN(S_1_Es*(O22+P22*'Geometry'!$G$54+Q22*'Geometry'!$F$54),S_1_fy),-S_1_fy))-(IF((O22+P22*'Geometry'!$G$54+Q22*'Geometry'!$F$54)&gt;0,IF((O22+P22*'Geometry'!$G$54+Q22*'Geometry'!$F$54)&lt;=C_eco,C_alpha*C_fck*(1-(1-(O22+P22*'Geometry'!$G$54+Q22*'Geometry'!$F$54)/C_eco)^C_n),C_alpha*C_fck),0)))*'Geometry'!$H$54*'Geometry'!$G$54+((MAX(MIN(S_1_Es*(O22+P22*'Geometry'!$G$55+Q22*'Geometry'!$F$55),S_1_fy),-S_1_fy))-(IF((O22+P22*'Geometry'!$G$55+Q22*'Geometry'!$F$55)&gt;0,IF((O22+P22*'Geometry'!$G$55+Q22*'Geometry'!$F$55)&lt;=C_eco,C_alpha*C_fck*(1-(1-(O22+P22*'Geometry'!$G$55+Q22*'Geometry'!$F$55)/C_eco)^C_n),C_alpha*C_fck),0)))*'Geometry'!$H$55*'Geometry'!$G$55+((MAX(MIN(S_1_Es*(O22+P22*'Geometry'!$G$56+Q22*'Geometry'!$F$56),S_1_fy),-S_1_fy))-(IF((O22+P22*'Geometry'!$G$56+Q22*'Geometry'!$F$56)&gt;0,IF((O22+P22*'Geometry'!$G$56+Q22*'Geometry'!$F$56)&lt;=C_eco,C_alpha*C_fck*(1-(1-(O22+P22*'Geometry'!$G$56+Q22*'Geometry'!$F$56)/C_eco)^C_n),C_alpha*C_fck),0)))*'Geometry'!$H$56*'Geometry'!$G$56+((MAX(MIN(S_1_Es*(O22+P22*'Geometry'!$G$57+Q22*'Geometry'!$F$57),S_1_fy),-S_1_fy))-(IF((O22+P22*'Geometry'!$G$57+Q22*'Geometry'!$F$57)&gt;0,IF((O22+P22*'Geometry'!$G$57+Q22*'Geometry'!$F$57)&lt;=C_eco,C_alpha*C_fck*(1-(1-(O22+P22*'Geometry'!$G$57+Q22*'Geometry'!$F$57)/C_eco)^C_n),C_alpha*C_fck),0)))*'Geometry'!$H$57*'Geometry'!$G$57)/1000000</f>
        <v>-652.8994695579889</v>
      </c>
      <c r="W22" s="10">
        <f>(((MAX(MIN(S_1_Es*(O22+P22*'Geometry'!$G$40+Q22*'Geometry'!$F$40),S_1_fy),-S_1_fy))-(IF((O22+P22*'Geometry'!$G$40+Q22*'Geometry'!$F$40)&gt;0,IF((O22+P22*'Geometry'!$G$40+Q22*'Geometry'!$F$40)&lt;=C_eco,C_alpha*C_fck*(1-(1-(O22+P22*'Geometry'!$G$40+Q22*'Geometry'!$F$40)/C_eco)^C_n),C_alpha*C_fck),0)))*'Geometry'!$H$40*'Geometry'!$F$40+((MAX(MIN(S_1_Es*(O22+P22*'Geometry'!$G$41+Q22*'Geometry'!$F$41),S_1_fy),-S_1_fy))-(IF((O22+P22*'Geometry'!$G$41+Q22*'Geometry'!$F$41)&gt;0,IF((O22+P22*'Geometry'!$G$41+Q22*'Geometry'!$F$41)&lt;=C_eco,C_alpha*C_fck*(1-(1-(O22+P22*'Geometry'!$G$41+Q22*'Geometry'!$F$41)/C_eco)^C_n),C_alpha*C_fck),0)))*'Geometry'!$H$41*'Geometry'!$F$41+((MAX(MIN(S_1_Es*(O22+P22*'Geometry'!$G$42+Q22*'Geometry'!$F$42),S_1_fy),-S_1_fy))-(IF((O22+P22*'Geometry'!$G$42+Q22*'Geometry'!$F$42)&gt;0,IF((O22+P22*'Geometry'!$G$42+Q22*'Geometry'!$F$42)&lt;=C_eco,C_alpha*C_fck*(1-(1-(O22+P22*'Geometry'!$G$42+Q22*'Geometry'!$F$42)/C_eco)^C_n),C_alpha*C_fck),0)))*'Geometry'!$H$42*'Geometry'!$F$42+((MAX(MIN(S_1_Es*(O22+P22*'Geometry'!$G$43+Q22*'Geometry'!$F$43),S_1_fy),-S_1_fy))-(IF((O22+P22*'Geometry'!$G$43+Q22*'Geometry'!$F$43)&gt;0,IF((O22+P22*'Geometry'!$G$43+Q22*'Geometry'!$F$43)&lt;=C_eco,C_alpha*C_fck*(1-(1-(O22+P22*'Geometry'!$G$43+Q22*'Geometry'!$F$43)/C_eco)^C_n),C_alpha*C_fck),0)))*'Geometry'!$H$43*'Geometry'!$F$43+((MAX(MIN(S_1_Es*(O22+P22*'Geometry'!$G$44+Q22*'Geometry'!$F$44),S_1_fy),-S_1_fy))-(IF((O22+P22*'Geometry'!$G$44+Q22*'Geometry'!$F$44)&gt;0,IF((O22+P22*'Geometry'!$G$44+Q22*'Geometry'!$F$44)&lt;=C_eco,C_alpha*C_fck*(1-(1-(O22+P22*'Geometry'!$G$44+Q22*'Geometry'!$F$44)/C_eco)^C_n),C_alpha*C_fck),0)))*'Geometry'!$H$44*'Geometry'!$F$44+((MAX(MIN(S_1_Es*(O22+P22*'Geometry'!$G$45+Q22*'Geometry'!$F$45),S_1_fy),-S_1_fy))-(IF((O22+P22*'Geometry'!$G$45+Q22*'Geometry'!$F$45)&gt;0,IF((O22+P22*'Geometry'!$G$45+Q22*'Geometry'!$F$45)&lt;=C_eco,C_alpha*C_fck*(1-(1-(O22+P22*'Geometry'!$G$45+Q22*'Geometry'!$F$45)/C_eco)^C_n),C_alpha*C_fck),0)))*'Geometry'!$H$45*'Geometry'!$F$45+((MAX(MIN(S_1_Es*(O22+P22*'Geometry'!$G$46+Q22*'Geometry'!$F$46),S_1_fy),-S_1_fy))-(IF((O22+P22*'Geometry'!$G$46+Q22*'Geometry'!$F$46)&gt;0,IF((O22+P22*'Geometry'!$G$46+Q22*'Geometry'!$F$46)&lt;=C_eco,C_alpha*C_fck*(1-(1-(O22+P22*'Geometry'!$G$46+Q22*'Geometry'!$F$46)/C_eco)^C_n),C_alpha*C_fck),0)))*'Geometry'!$H$46*'Geometry'!$F$46+((MAX(MIN(S_1_Es*(O22+P22*'Geometry'!$G$47+Q22*'Geometry'!$F$47),S_1_fy),-S_1_fy))-(IF((O22+P22*'Geometry'!$G$47+Q22*'Geometry'!$F$47)&gt;0,IF((O22+P22*'Geometry'!$G$47+Q22*'Geometry'!$F$47)&lt;=C_eco,C_alpha*C_fck*(1-(1-(O22+P22*'Geometry'!$G$47+Q22*'Geometry'!$F$47)/C_eco)^C_n),C_alpha*C_fck),0)))*'Geometry'!$H$47*'Geometry'!$F$47+((MAX(MIN(S_1_Es*(O22+P22*'Geometry'!$G$48+Q22*'Geometry'!$F$48),S_1_fy),-S_1_fy))-(IF((O22+P22*'Geometry'!$G$48+Q22*'Geometry'!$F$48)&gt;0,IF((O22+P22*'Geometry'!$G$48+Q22*'Geometry'!$F$48)&lt;=C_eco,C_alpha*C_fck*(1-(1-(O22+P22*'Geometry'!$G$48+Q22*'Geometry'!$F$48)/C_eco)^C_n),C_alpha*C_fck),0)))*'Geometry'!$H$48*'Geometry'!$F$48+((MAX(MIN(S_1_Es*(O22+P22*'Geometry'!$G$49+Q22*'Geometry'!$F$49),S_1_fy),-S_1_fy))-(IF((O22+P22*'Geometry'!$G$49+Q22*'Geometry'!$F$49)&gt;0,IF((O22+P22*'Geometry'!$G$49+Q22*'Geometry'!$F$49)&lt;=C_eco,C_alpha*C_fck*(1-(1-(O22+P22*'Geometry'!$G$49+Q22*'Geometry'!$F$49)/C_eco)^C_n),C_alpha*C_fck),0)))*'Geometry'!$H$49*'Geometry'!$F$49+((MAX(MIN(S_1_Es*(O22+P22*'Geometry'!$G$50+Q22*'Geometry'!$F$50),S_1_fy),-S_1_fy))-(IF((O22+P22*'Geometry'!$G$50+Q22*'Geometry'!$F$50)&gt;0,IF((O22+P22*'Geometry'!$G$50+Q22*'Geometry'!$F$50)&lt;=C_eco,C_alpha*C_fck*(1-(1-(O22+P22*'Geometry'!$G$50+Q22*'Geometry'!$F$50)/C_eco)^C_n),C_alpha*C_fck),0)))*'Geometry'!$H$50*'Geometry'!$F$50+((MAX(MIN(S_1_Es*(O22+P22*'Geometry'!$G$51+Q22*'Geometry'!$F$51),S_1_fy),-S_1_fy))-(IF((O22+P22*'Geometry'!$G$51+Q22*'Geometry'!$F$51)&gt;0,IF((O22+P22*'Geometry'!$G$51+Q22*'Geometry'!$F$51)&lt;=C_eco,C_alpha*C_fck*(1-(1-(O22+P22*'Geometry'!$G$51+Q22*'Geometry'!$F$51)/C_eco)^C_n),C_alpha*C_fck),0)))*'Geometry'!$H$51*'Geometry'!$F$51+((MAX(MIN(S_1_Es*(O22+P22*'Geometry'!$G$52+Q22*'Geometry'!$F$52),S_1_fy),-S_1_fy))-(IF((O22+P22*'Geometry'!$G$52+Q22*'Geometry'!$F$52)&gt;0,IF((O22+P22*'Geometry'!$G$52+Q22*'Geometry'!$F$52)&lt;=C_eco,C_alpha*C_fck*(1-(1-(O22+P22*'Geometry'!$G$52+Q22*'Geometry'!$F$52)/C_eco)^C_n),C_alpha*C_fck),0)))*'Geometry'!$H$52*'Geometry'!$F$52+((MAX(MIN(S_1_Es*(O22+P22*'Geometry'!$G$53+Q22*'Geometry'!$F$53),S_1_fy),-S_1_fy))-(IF((O22+P22*'Geometry'!$G$53+Q22*'Geometry'!$F$53)&gt;0,IF((O22+P22*'Geometry'!$G$53+Q22*'Geometry'!$F$53)&lt;=C_eco,C_alpha*C_fck*(1-(1-(O22+P22*'Geometry'!$G$53+Q22*'Geometry'!$F$53)/C_eco)^C_n),C_alpha*C_fck),0)))*'Geometry'!$H$53*'Geometry'!$F$53+((MAX(MIN(S_1_Es*(O22+P22*'Geometry'!$G$54+Q22*'Geometry'!$F$54),S_1_fy),-S_1_fy))-(IF((O22+P22*'Geometry'!$G$54+Q22*'Geometry'!$F$54)&gt;0,IF((O22+P22*'Geometry'!$G$54+Q22*'Geometry'!$F$54)&lt;=C_eco,C_alpha*C_fck*(1-(1-(O22+P22*'Geometry'!$G$54+Q22*'Geometry'!$F$54)/C_eco)^C_n),C_alpha*C_fck),0)))*'Geometry'!$H$54*'Geometry'!$F$54+((MAX(MIN(S_1_Es*(O22+P22*'Geometry'!$G$55+Q22*'Geometry'!$F$55),S_1_fy),-S_1_fy))-(IF((O22+P22*'Geometry'!$G$55+Q22*'Geometry'!$F$55)&gt;0,IF((O22+P22*'Geometry'!$G$55+Q22*'Geometry'!$F$55)&lt;=C_eco,C_alpha*C_fck*(1-(1-(O22+P22*'Geometry'!$G$55+Q22*'Geometry'!$F$55)/C_eco)^C_n),C_alpha*C_fck),0)))*'Geometry'!$H$55*'Geometry'!$F$55+((MAX(MIN(S_1_Es*(O22+P22*'Geometry'!$G$56+Q22*'Geometry'!$F$56),S_1_fy),-S_1_fy))-(IF((O22+P22*'Geometry'!$G$56+Q22*'Geometry'!$F$56)&gt;0,IF((O22+P22*'Geometry'!$G$56+Q22*'Geometry'!$F$56)&lt;=C_eco,C_alpha*C_fck*(1-(1-(O22+P22*'Geometry'!$G$56+Q22*'Geometry'!$F$56)/C_eco)^C_n),C_alpha*C_fck),0)))*'Geometry'!$H$56*'Geometry'!$F$56+((MAX(MIN(S_1_Es*(O22+P22*'Geometry'!$G$57+Q22*'Geometry'!$F$57),S_1_fy),-S_1_fy))-(IF((O22+P22*'Geometry'!$G$57+Q22*'Geometry'!$F$57)&gt;0,IF((O22+P22*'Geometry'!$G$57+Q22*'Geometry'!$F$57)&lt;=C_eco,C_alpha*C_fck*(1-(1-(O22+P22*'Geometry'!$G$57+Q22*'Geometry'!$F$57)/C_eco)^C_n),C_alpha*C_fck),0)))*'Geometry'!$H$57*'Geometry'!$F$57)/1000000</f>
        <v>817.3444797306377</v>
      </c>
      <c r="X22" s="10">
        <f>R22+U22</f>
        <v>-1627.3458977913479</v>
      </c>
      <c r="Y22" s="10">
        <f>S22+V22</f>
        <v>-1734.588499575255</v>
      </c>
      <c r="Z22" s="10">
        <f>T22+W22</f>
        <v>2173.1818699292967</v>
      </c>
      <c r="AA22" s="7">
        <v>0.85</v>
      </c>
      <c r="AB22" s="7">
        <v>0.85</v>
      </c>
      <c r="AC22" s="10">
        <f>X22*AA22</f>
        <v>-1383.2440131226456</v>
      </c>
      <c r="AD22" s="10">
        <f>Y22*AB22</f>
        <v>-1474.4002246389666</v>
      </c>
      <c r="AE22" s="10">
        <f>Z22*AB22</f>
        <v>1847.204589439902</v>
      </c>
      <c r="AF22" s="7">
        <v>-1383.2440131226456</v>
      </c>
      <c r="AG22" s="7">
        <v>-1474.4002246389666</v>
      </c>
      <c r="AH22" s="7">
        <v>1847.204589439902</v>
      </c>
      <c r="AI22" s="15">
        <f>AC22-AF22</f>
        <v>0</v>
      </c>
      <c r="AJ22" s="15">
        <f>SQRT((AD22-AG22)^2+(AE22-AH22)^2)</f>
        <v>0</v>
      </c>
      <c r="AK22" s="7" t="s">
        <v>189</v>
      </c>
      <c r="AL22" s="7">
        <v>-1627.3458977913479</v>
      </c>
      <c r="AM22" s="7">
        <v>-1734.588499575255</v>
      </c>
      <c r="AN22" s="7">
        <v>2173.1818699292967</v>
      </c>
      <c r="AO22" s="7">
        <v>2487.4857535946935</v>
      </c>
      <c r="AP22" s="7">
        <v>-1081.689030017266</v>
      </c>
      <c r="AQ22" s="7">
        <v>1355.8373901986588</v>
      </c>
      <c r="AR22" s="7">
        <v>-4114.831651386042</v>
      </c>
      <c r="AS22" s="7">
        <v>-652.8994695579889</v>
      </c>
      <c r="AT22" s="7">
        <v>817.3444797306377</v>
      </c>
    </row>
    <row r="23" spans="1:46" x14ac:dyDescent="0.25">
      <c r="A23" s="7" t="s">
        <v>220</v>
      </c>
      <c r="B23" s="7">
        <v>1</v>
      </c>
      <c r="C23" s="18">
        <v>150</v>
      </c>
      <c r="D23" s="7" t="s">
        <v>221</v>
      </c>
      <c r="E23" s="7" t="s">
        <v>192</v>
      </c>
      <c r="F23" s="19">
        <v>150</v>
      </c>
      <c r="G23" s="7" t="s">
        <v>188</v>
      </c>
      <c r="H23" s="20">
        <v>7.499999999999998</v>
      </c>
      <c r="I23" s="10">
        <f>MAX(('Geometry'!$G$13*COS(RADIANS(F23))+'Geometry'!$F$13*SIN(RADIANS(F23))),('Geometry'!$G$14*COS(RADIANS(F23))+'Geometry'!$F$14*SIN(RADIANS(F23))),('Geometry'!$G$15*COS(RADIANS(F23))+'Geometry'!$F$15*SIN(RADIANS(F23))),('Geometry'!$G$16*COS(RADIANS(F23))+'Geometry'!$F$16*SIN(RADIANS(F23))),('Geometry'!$G$17*COS(RADIANS(F23))+'Geometry'!$F$17*SIN(RADIANS(F23))),('Geometry'!$G$18*COS(RADIANS(F23))+'Geometry'!$F$18*SIN(RADIANS(F23))),('Geometry'!$G$19*COS(RADIANS(F23))+'Geometry'!$F$19*SIN(RADIANS(F23))),('Geometry'!$G$20*COS(RADIANS(F23))+'Geometry'!$F$20*SIN(RADIANS(F23))))</f>
        <v>794.6152422706632</v>
      </c>
      <c r="J23" s="10">
        <f>MIN(('Geometry'!$G$40*COS(RADIANS(F23))+'Geometry'!$F$40*SIN(RADIANS(F23))),('Geometry'!$G$41*COS(RADIANS(F23))+'Geometry'!$F$41*SIN(RADIANS(F23))),('Geometry'!$G$42*COS(RADIANS(F23))+'Geometry'!$F$42*SIN(RADIANS(F23))),('Geometry'!$G$43*COS(RADIANS(F23))+'Geometry'!$F$43*SIN(RADIANS(F23))),('Geometry'!$G$44*COS(RADIANS(F23))+'Geometry'!$F$44*SIN(RADIANS(F23))),('Geometry'!$G$45*COS(RADIANS(F23))+'Geometry'!$F$45*SIN(RADIANS(F23))),('Geometry'!$G$46*COS(RADIANS(F23))+'Geometry'!$F$46*SIN(RADIANS(F23))),('Geometry'!$G$47*COS(RADIANS(F23))+'Geometry'!$F$47*SIN(RADIANS(F23))),('Geometry'!$G$48*COS(RADIANS(F23))+'Geometry'!$F$48*SIN(RADIANS(F23))),('Geometry'!$G$49*COS(RADIANS(F23))+'Geometry'!$F$49*SIN(RADIANS(F23))),('Geometry'!$G$50*COS(RADIANS(F23))+'Geometry'!$F$50*SIN(RADIANS(F23))),('Geometry'!$G$51*COS(RADIANS(F23))+'Geometry'!$F$51*SIN(RADIANS(F23))),('Geometry'!$G$52*COS(RADIANS(F23))+'Geometry'!$F$52*SIN(RADIANS(F23))),('Geometry'!$G$53*COS(RADIANS(F23))+'Geometry'!$F$53*SIN(RADIANS(F23))),('Geometry'!$G$54*COS(RADIANS(F23))+'Geometry'!$F$54*SIN(RADIANS(F23))),('Geometry'!$G$55*COS(RADIANS(F23))+'Geometry'!$F$55*SIN(RADIANS(F23))),('Geometry'!$G$56*COS(RADIANS(F23))+'Geometry'!$F$56*SIN(RADIANS(F23))),('Geometry'!$G$57*COS(RADIANS(F23))+'Geometry'!$F$57*SIN(RADIANS(F23))))</f>
        <v>-658.9934640057525</v>
      </c>
      <c r="K23" s="10">
        <f>I23-MIN(('Geometry'!$G$13*COS(RADIANS(F23))+'Geometry'!$F$13*SIN(RADIANS(F23))),('Geometry'!$G$14*COS(RADIANS(F23))+'Geometry'!$F$14*SIN(RADIANS(F23))),('Geometry'!$G$15*COS(RADIANS(F23))+'Geometry'!$F$15*SIN(RADIANS(F23))),('Geometry'!$G$16*COS(RADIANS(F23))+'Geometry'!$F$16*SIN(RADIANS(F23))),('Geometry'!$G$17*COS(RADIANS(F23))+'Geometry'!$F$17*SIN(RADIANS(F23))),('Geometry'!$G$18*COS(RADIANS(F23))+'Geometry'!$F$18*SIN(RADIANS(F23))),('Geometry'!$G$19*COS(RADIANS(F23))+'Geometry'!$F$19*SIN(RADIANS(F23))),('Geometry'!$G$20*COS(RADIANS(F23))+'Geometry'!$F$20*SIN(RADIANS(F23))))</f>
        <v>1589.2304845413264</v>
      </c>
      <c r="L23" s="15">
        <f>C_ecu</f>
        <v>0.0033</v>
      </c>
      <c r="M23" s="15">
        <f>-H23*S_1_fy/S_1_Es</f>
        <v>-0.014999999999999996</v>
      </c>
      <c r="N23" s="21">
        <f>IF(ABS(I23-J23)&lt;0.000000000001,0,(L23-M23)/(I23-J23))</f>
        <v>0.000012589357728103825</v>
      </c>
      <c r="O23" s="15">
        <f>L23-N23*I23</f>
        <v>-0.006703695541149268</v>
      </c>
      <c r="P23" s="21">
        <f>N23*COS(RADIANS(F23))</f>
        <v>-0.000010902703609867857</v>
      </c>
      <c r="Q23" s="21">
        <f>N23*SIN(RADIANS(F23))</f>
        <v>0.000006294678864051917</v>
      </c>
      <c r="R23" s="10">
        <f>SUMPRODUCT(C_alpha*C_fck*(1-(1-(((O23+P23*Mesh_Y+Q23*Mesh_X))*((O23+P23*Mesh_Y+Q23*Mesh_X)&gt;0)*((O23+P23*Mesh_Y+Q23*Mesh_X)&lt;C_eco)+C_eco*((O23+P23*Mesh_Y+Q23*Mesh_X)&gt;=C_eco))/C_eco)^C_n)*(((O23+P23*Mesh_Y+Q23*Mesh_X))&gt;0),Mesh_A)/1000</f>
        <v>2337.3746261669003</v>
      </c>
      <c r="S23" s="10">
        <f>SUMPRODUCT(C_alpha*C_fck*(1-(1-(((O23+P23*Mesh_Y+Q23*Mesh_X))*((O23+P23*Mesh_Y+Q23*Mesh_X)&gt;0)*((O23+P23*Mesh_Y+Q23*Mesh_X)&lt;C_eco)+C_eco*((O23+P23*Mesh_Y+Q23*Mesh_X)&gt;=C_eco))/C_eco)^C_n)*(((O23+P23*Mesh_Y+Q23*Mesh_X))&gt;0),Mesh_A,Mesh_Y)/1000000</f>
        <v>-1086.7473376059254</v>
      </c>
      <c r="T23" s="10">
        <f>SUMPRODUCT(C_alpha*C_fck*(1-(1-(((O23+P23*Mesh_Y+Q23*Mesh_X))*((O23+P23*Mesh_Y+Q23*Mesh_X)&gt;0)*((O23+P23*Mesh_Y+Q23*Mesh_X)&lt;C_eco)+C_eco*((O23+P23*Mesh_Y+Q23*Mesh_X)&gt;=C_eco))/C_eco)^C_n)*(((O23+P23*Mesh_Y+Q23*Mesh_X))&gt;0),Mesh_A,Mesh_X)/1000000</f>
        <v>1188.0722330873966</v>
      </c>
      <c r="U23" s="10">
        <f>(((MAX(MIN(S_1_Es*(O23+P23*'Geometry'!$G$40+Q23*'Geometry'!$F$40),S_1_fy),-S_1_fy))-(IF((O23+P23*'Geometry'!$G$40+Q23*'Geometry'!$F$40)&gt;0,IF((O23+P23*'Geometry'!$G$40+Q23*'Geometry'!$F$40)&lt;=C_eco,C_alpha*C_fck*(1-(1-(O23+P23*'Geometry'!$G$40+Q23*'Geometry'!$F$40)/C_eco)^C_n),C_alpha*C_fck),0)))*'Geometry'!$H$40+((MAX(MIN(S_1_Es*(O23+P23*'Geometry'!$G$41+Q23*'Geometry'!$F$41),S_1_fy),-S_1_fy))-(IF((O23+P23*'Geometry'!$G$41+Q23*'Geometry'!$F$41)&gt;0,IF((O23+P23*'Geometry'!$G$41+Q23*'Geometry'!$F$41)&lt;=C_eco,C_alpha*C_fck*(1-(1-(O23+P23*'Geometry'!$G$41+Q23*'Geometry'!$F$41)/C_eco)^C_n),C_alpha*C_fck),0)))*'Geometry'!$H$41+((MAX(MIN(S_1_Es*(O23+P23*'Geometry'!$G$42+Q23*'Geometry'!$F$42),S_1_fy),-S_1_fy))-(IF((O23+P23*'Geometry'!$G$42+Q23*'Geometry'!$F$42)&gt;0,IF((O23+P23*'Geometry'!$G$42+Q23*'Geometry'!$F$42)&lt;=C_eco,C_alpha*C_fck*(1-(1-(O23+P23*'Geometry'!$G$42+Q23*'Geometry'!$F$42)/C_eco)^C_n),C_alpha*C_fck),0)))*'Geometry'!$H$42+((MAX(MIN(S_1_Es*(O23+P23*'Geometry'!$G$43+Q23*'Geometry'!$F$43),S_1_fy),-S_1_fy))-(IF((O23+P23*'Geometry'!$G$43+Q23*'Geometry'!$F$43)&gt;0,IF((O23+P23*'Geometry'!$G$43+Q23*'Geometry'!$F$43)&lt;=C_eco,C_alpha*C_fck*(1-(1-(O23+P23*'Geometry'!$G$43+Q23*'Geometry'!$F$43)/C_eco)^C_n),C_alpha*C_fck),0)))*'Geometry'!$H$43+((MAX(MIN(S_1_Es*(O23+P23*'Geometry'!$G$44+Q23*'Geometry'!$F$44),S_1_fy),-S_1_fy))-(IF((O23+P23*'Geometry'!$G$44+Q23*'Geometry'!$F$44)&gt;0,IF((O23+P23*'Geometry'!$G$44+Q23*'Geometry'!$F$44)&lt;=C_eco,C_alpha*C_fck*(1-(1-(O23+P23*'Geometry'!$G$44+Q23*'Geometry'!$F$44)/C_eco)^C_n),C_alpha*C_fck),0)))*'Geometry'!$H$44+((MAX(MIN(S_1_Es*(O23+P23*'Geometry'!$G$45+Q23*'Geometry'!$F$45),S_1_fy),-S_1_fy))-(IF((O23+P23*'Geometry'!$G$45+Q23*'Geometry'!$F$45)&gt;0,IF((O23+P23*'Geometry'!$G$45+Q23*'Geometry'!$F$45)&lt;=C_eco,C_alpha*C_fck*(1-(1-(O23+P23*'Geometry'!$G$45+Q23*'Geometry'!$F$45)/C_eco)^C_n),C_alpha*C_fck),0)))*'Geometry'!$H$45+((MAX(MIN(S_1_Es*(O23+P23*'Geometry'!$G$46+Q23*'Geometry'!$F$46),S_1_fy),-S_1_fy))-(IF((O23+P23*'Geometry'!$G$46+Q23*'Geometry'!$F$46)&gt;0,IF((O23+P23*'Geometry'!$G$46+Q23*'Geometry'!$F$46)&lt;=C_eco,C_alpha*C_fck*(1-(1-(O23+P23*'Geometry'!$G$46+Q23*'Geometry'!$F$46)/C_eco)^C_n),C_alpha*C_fck),0)))*'Geometry'!$H$46+((MAX(MIN(S_1_Es*(O23+P23*'Geometry'!$G$47+Q23*'Geometry'!$F$47),S_1_fy),-S_1_fy))-(IF((O23+P23*'Geometry'!$G$47+Q23*'Geometry'!$F$47)&gt;0,IF((O23+P23*'Geometry'!$G$47+Q23*'Geometry'!$F$47)&lt;=C_eco,C_alpha*C_fck*(1-(1-(O23+P23*'Geometry'!$G$47+Q23*'Geometry'!$F$47)/C_eco)^C_n),C_alpha*C_fck),0)))*'Geometry'!$H$47+((MAX(MIN(S_1_Es*(O23+P23*'Geometry'!$G$48+Q23*'Geometry'!$F$48),S_1_fy),-S_1_fy))-(IF((O23+P23*'Geometry'!$G$48+Q23*'Geometry'!$F$48)&gt;0,IF((O23+P23*'Geometry'!$G$48+Q23*'Geometry'!$F$48)&lt;=C_eco,C_alpha*C_fck*(1-(1-(O23+P23*'Geometry'!$G$48+Q23*'Geometry'!$F$48)/C_eco)^C_n),C_alpha*C_fck),0)))*'Geometry'!$H$48+((MAX(MIN(S_1_Es*(O23+P23*'Geometry'!$G$49+Q23*'Geometry'!$F$49),S_1_fy),-S_1_fy))-(IF((O23+P23*'Geometry'!$G$49+Q23*'Geometry'!$F$49)&gt;0,IF((O23+P23*'Geometry'!$G$49+Q23*'Geometry'!$F$49)&lt;=C_eco,C_alpha*C_fck*(1-(1-(O23+P23*'Geometry'!$G$49+Q23*'Geometry'!$F$49)/C_eco)^C_n),C_alpha*C_fck),0)))*'Geometry'!$H$49+((MAX(MIN(S_1_Es*(O23+P23*'Geometry'!$G$50+Q23*'Geometry'!$F$50),S_1_fy),-S_1_fy))-(IF((O23+P23*'Geometry'!$G$50+Q23*'Geometry'!$F$50)&gt;0,IF((O23+P23*'Geometry'!$G$50+Q23*'Geometry'!$F$50)&lt;=C_eco,C_alpha*C_fck*(1-(1-(O23+P23*'Geometry'!$G$50+Q23*'Geometry'!$F$50)/C_eco)^C_n),C_alpha*C_fck),0)))*'Geometry'!$H$50+((MAX(MIN(S_1_Es*(O23+P23*'Geometry'!$G$51+Q23*'Geometry'!$F$51),S_1_fy),-S_1_fy))-(IF((O23+P23*'Geometry'!$G$51+Q23*'Geometry'!$F$51)&gt;0,IF((O23+P23*'Geometry'!$G$51+Q23*'Geometry'!$F$51)&lt;=C_eco,C_alpha*C_fck*(1-(1-(O23+P23*'Geometry'!$G$51+Q23*'Geometry'!$F$51)/C_eco)^C_n),C_alpha*C_fck),0)))*'Geometry'!$H$51+((MAX(MIN(S_1_Es*(O23+P23*'Geometry'!$G$52+Q23*'Geometry'!$F$52),S_1_fy),-S_1_fy))-(IF((O23+P23*'Geometry'!$G$52+Q23*'Geometry'!$F$52)&gt;0,IF((O23+P23*'Geometry'!$G$52+Q23*'Geometry'!$F$52)&lt;=C_eco,C_alpha*C_fck*(1-(1-(O23+P23*'Geometry'!$G$52+Q23*'Geometry'!$F$52)/C_eco)^C_n),C_alpha*C_fck),0)))*'Geometry'!$H$52+((MAX(MIN(S_1_Es*(O23+P23*'Geometry'!$G$53+Q23*'Geometry'!$F$53),S_1_fy),-S_1_fy))-(IF((O23+P23*'Geometry'!$G$53+Q23*'Geometry'!$F$53)&gt;0,IF((O23+P23*'Geometry'!$G$53+Q23*'Geometry'!$F$53)&lt;=C_eco,C_alpha*C_fck*(1-(1-(O23+P23*'Geometry'!$G$53+Q23*'Geometry'!$F$53)/C_eco)^C_n),C_alpha*C_fck),0)))*'Geometry'!$H$53+((MAX(MIN(S_1_Es*(O23+P23*'Geometry'!$G$54+Q23*'Geometry'!$F$54),S_1_fy),-S_1_fy))-(IF((O23+P23*'Geometry'!$G$54+Q23*'Geometry'!$F$54)&gt;0,IF((O23+P23*'Geometry'!$G$54+Q23*'Geometry'!$F$54)&lt;=C_eco,C_alpha*C_fck*(1-(1-(O23+P23*'Geometry'!$G$54+Q23*'Geometry'!$F$54)/C_eco)^C_n),C_alpha*C_fck),0)))*'Geometry'!$H$54+((MAX(MIN(S_1_Es*(O23+P23*'Geometry'!$G$55+Q23*'Geometry'!$F$55),S_1_fy),-S_1_fy))-(IF((O23+P23*'Geometry'!$G$55+Q23*'Geometry'!$F$55)&gt;0,IF((O23+P23*'Geometry'!$G$55+Q23*'Geometry'!$F$55)&lt;=C_eco,C_alpha*C_fck*(1-(1-(O23+P23*'Geometry'!$G$55+Q23*'Geometry'!$F$55)/C_eco)^C_n),C_alpha*C_fck),0)))*'Geometry'!$H$55+((MAX(MIN(S_1_Es*(O23+P23*'Geometry'!$G$56+Q23*'Geometry'!$F$56),S_1_fy),-S_1_fy))-(IF((O23+P23*'Geometry'!$G$56+Q23*'Geometry'!$F$56)&gt;0,IF((O23+P23*'Geometry'!$G$56+Q23*'Geometry'!$F$56)&lt;=C_eco,C_alpha*C_fck*(1-(1-(O23+P23*'Geometry'!$G$56+Q23*'Geometry'!$F$56)/C_eco)^C_n),C_alpha*C_fck),0)))*'Geometry'!$H$56+((MAX(MIN(S_1_Es*(O23+P23*'Geometry'!$G$57+Q23*'Geometry'!$F$57),S_1_fy),-S_1_fy))-(IF((O23+P23*'Geometry'!$G$57+Q23*'Geometry'!$F$57)&gt;0,IF((O23+P23*'Geometry'!$G$57+Q23*'Geometry'!$F$57)&lt;=C_eco,C_alpha*C_fck*(1-(1-(O23+P23*'Geometry'!$G$57+Q23*'Geometry'!$F$57)/C_eco)^C_n),C_alpha*C_fck),0)))*'Geometry'!$H$57)/1000</f>
        <v>-4138.802369024737</v>
      </c>
      <c r="V23" s="10">
        <f>(((MAX(MIN(S_1_Es*(O23+P23*'Geometry'!$G$40+Q23*'Geometry'!$F$40),S_1_fy),-S_1_fy))-(IF((O23+P23*'Geometry'!$G$40+Q23*'Geometry'!$F$40)&gt;0,IF((O23+P23*'Geometry'!$G$40+Q23*'Geometry'!$F$40)&lt;=C_eco,C_alpha*C_fck*(1-(1-(O23+P23*'Geometry'!$G$40+Q23*'Geometry'!$F$40)/C_eco)^C_n),C_alpha*C_fck),0)))*'Geometry'!$H$40*'Geometry'!$G$40+((MAX(MIN(S_1_Es*(O23+P23*'Geometry'!$G$41+Q23*'Geometry'!$F$41),S_1_fy),-S_1_fy))-(IF((O23+P23*'Geometry'!$G$41+Q23*'Geometry'!$F$41)&gt;0,IF((O23+P23*'Geometry'!$G$41+Q23*'Geometry'!$F$41)&lt;=C_eco,C_alpha*C_fck*(1-(1-(O23+P23*'Geometry'!$G$41+Q23*'Geometry'!$F$41)/C_eco)^C_n),C_alpha*C_fck),0)))*'Geometry'!$H$41*'Geometry'!$G$41+((MAX(MIN(S_1_Es*(O23+P23*'Geometry'!$G$42+Q23*'Geometry'!$F$42),S_1_fy),-S_1_fy))-(IF((O23+P23*'Geometry'!$G$42+Q23*'Geometry'!$F$42)&gt;0,IF((O23+P23*'Geometry'!$G$42+Q23*'Geometry'!$F$42)&lt;=C_eco,C_alpha*C_fck*(1-(1-(O23+P23*'Geometry'!$G$42+Q23*'Geometry'!$F$42)/C_eco)^C_n),C_alpha*C_fck),0)))*'Geometry'!$H$42*'Geometry'!$G$42+((MAX(MIN(S_1_Es*(O23+P23*'Geometry'!$G$43+Q23*'Geometry'!$F$43),S_1_fy),-S_1_fy))-(IF((O23+P23*'Geometry'!$G$43+Q23*'Geometry'!$F$43)&gt;0,IF((O23+P23*'Geometry'!$G$43+Q23*'Geometry'!$F$43)&lt;=C_eco,C_alpha*C_fck*(1-(1-(O23+P23*'Geometry'!$G$43+Q23*'Geometry'!$F$43)/C_eco)^C_n),C_alpha*C_fck),0)))*'Geometry'!$H$43*'Geometry'!$G$43+((MAX(MIN(S_1_Es*(O23+P23*'Geometry'!$G$44+Q23*'Geometry'!$F$44),S_1_fy),-S_1_fy))-(IF((O23+P23*'Geometry'!$G$44+Q23*'Geometry'!$F$44)&gt;0,IF((O23+P23*'Geometry'!$G$44+Q23*'Geometry'!$F$44)&lt;=C_eco,C_alpha*C_fck*(1-(1-(O23+P23*'Geometry'!$G$44+Q23*'Geometry'!$F$44)/C_eco)^C_n),C_alpha*C_fck),0)))*'Geometry'!$H$44*'Geometry'!$G$44+((MAX(MIN(S_1_Es*(O23+P23*'Geometry'!$G$45+Q23*'Geometry'!$F$45),S_1_fy),-S_1_fy))-(IF((O23+P23*'Geometry'!$G$45+Q23*'Geometry'!$F$45)&gt;0,IF((O23+P23*'Geometry'!$G$45+Q23*'Geometry'!$F$45)&lt;=C_eco,C_alpha*C_fck*(1-(1-(O23+P23*'Geometry'!$G$45+Q23*'Geometry'!$F$45)/C_eco)^C_n),C_alpha*C_fck),0)))*'Geometry'!$H$45*'Geometry'!$G$45+((MAX(MIN(S_1_Es*(O23+P23*'Geometry'!$G$46+Q23*'Geometry'!$F$46),S_1_fy),-S_1_fy))-(IF((O23+P23*'Geometry'!$G$46+Q23*'Geometry'!$F$46)&gt;0,IF((O23+P23*'Geometry'!$G$46+Q23*'Geometry'!$F$46)&lt;=C_eco,C_alpha*C_fck*(1-(1-(O23+P23*'Geometry'!$G$46+Q23*'Geometry'!$F$46)/C_eco)^C_n),C_alpha*C_fck),0)))*'Geometry'!$H$46*'Geometry'!$G$46+((MAX(MIN(S_1_Es*(O23+P23*'Geometry'!$G$47+Q23*'Geometry'!$F$47),S_1_fy),-S_1_fy))-(IF((O23+P23*'Geometry'!$G$47+Q23*'Geometry'!$F$47)&gt;0,IF((O23+P23*'Geometry'!$G$47+Q23*'Geometry'!$F$47)&lt;=C_eco,C_alpha*C_fck*(1-(1-(O23+P23*'Geometry'!$G$47+Q23*'Geometry'!$F$47)/C_eco)^C_n),C_alpha*C_fck),0)))*'Geometry'!$H$47*'Geometry'!$G$47+((MAX(MIN(S_1_Es*(O23+P23*'Geometry'!$G$48+Q23*'Geometry'!$F$48),S_1_fy),-S_1_fy))-(IF((O23+P23*'Geometry'!$G$48+Q23*'Geometry'!$F$48)&gt;0,IF((O23+P23*'Geometry'!$G$48+Q23*'Geometry'!$F$48)&lt;=C_eco,C_alpha*C_fck*(1-(1-(O23+P23*'Geometry'!$G$48+Q23*'Geometry'!$F$48)/C_eco)^C_n),C_alpha*C_fck),0)))*'Geometry'!$H$48*'Geometry'!$G$48+((MAX(MIN(S_1_Es*(O23+P23*'Geometry'!$G$49+Q23*'Geometry'!$F$49),S_1_fy),-S_1_fy))-(IF((O23+P23*'Geometry'!$G$49+Q23*'Geometry'!$F$49)&gt;0,IF((O23+P23*'Geometry'!$G$49+Q23*'Geometry'!$F$49)&lt;=C_eco,C_alpha*C_fck*(1-(1-(O23+P23*'Geometry'!$G$49+Q23*'Geometry'!$F$49)/C_eco)^C_n),C_alpha*C_fck),0)))*'Geometry'!$H$49*'Geometry'!$G$49+((MAX(MIN(S_1_Es*(O23+P23*'Geometry'!$G$50+Q23*'Geometry'!$F$50),S_1_fy),-S_1_fy))-(IF((O23+P23*'Geometry'!$G$50+Q23*'Geometry'!$F$50)&gt;0,IF((O23+P23*'Geometry'!$G$50+Q23*'Geometry'!$F$50)&lt;=C_eco,C_alpha*C_fck*(1-(1-(O23+P23*'Geometry'!$G$50+Q23*'Geometry'!$F$50)/C_eco)^C_n),C_alpha*C_fck),0)))*'Geometry'!$H$50*'Geometry'!$G$50+((MAX(MIN(S_1_Es*(O23+P23*'Geometry'!$G$51+Q23*'Geometry'!$F$51),S_1_fy),-S_1_fy))-(IF((O23+P23*'Geometry'!$G$51+Q23*'Geometry'!$F$51)&gt;0,IF((O23+P23*'Geometry'!$G$51+Q23*'Geometry'!$F$51)&lt;=C_eco,C_alpha*C_fck*(1-(1-(O23+P23*'Geometry'!$G$51+Q23*'Geometry'!$F$51)/C_eco)^C_n),C_alpha*C_fck),0)))*'Geometry'!$H$51*'Geometry'!$G$51+((MAX(MIN(S_1_Es*(O23+P23*'Geometry'!$G$52+Q23*'Geometry'!$F$52),S_1_fy),-S_1_fy))-(IF((O23+P23*'Geometry'!$G$52+Q23*'Geometry'!$F$52)&gt;0,IF((O23+P23*'Geometry'!$G$52+Q23*'Geometry'!$F$52)&lt;=C_eco,C_alpha*C_fck*(1-(1-(O23+P23*'Geometry'!$G$52+Q23*'Geometry'!$F$52)/C_eco)^C_n),C_alpha*C_fck),0)))*'Geometry'!$H$52*'Geometry'!$G$52+((MAX(MIN(S_1_Es*(O23+P23*'Geometry'!$G$53+Q23*'Geometry'!$F$53),S_1_fy),-S_1_fy))-(IF((O23+P23*'Geometry'!$G$53+Q23*'Geometry'!$F$53)&gt;0,IF((O23+P23*'Geometry'!$G$53+Q23*'Geometry'!$F$53)&lt;=C_eco,C_alpha*C_fck*(1-(1-(O23+P23*'Geometry'!$G$53+Q23*'Geometry'!$F$53)/C_eco)^C_n),C_alpha*C_fck),0)))*'Geometry'!$H$53*'Geometry'!$G$53+((MAX(MIN(S_1_Es*(O23+P23*'Geometry'!$G$54+Q23*'Geometry'!$F$54),S_1_fy),-S_1_fy))-(IF((O23+P23*'Geometry'!$G$54+Q23*'Geometry'!$F$54)&gt;0,IF((O23+P23*'Geometry'!$G$54+Q23*'Geometry'!$F$54)&lt;=C_eco,C_alpha*C_fck*(1-(1-(O23+P23*'Geometry'!$G$54+Q23*'Geometry'!$F$54)/C_eco)^C_n),C_alpha*C_fck),0)))*'Geometry'!$H$54*'Geometry'!$G$54+((MAX(MIN(S_1_Es*(O23+P23*'Geometry'!$G$55+Q23*'Geometry'!$F$55),S_1_fy),-S_1_fy))-(IF((O23+P23*'Geometry'!$G$55+Q23*'Geometry'!$F$55)&gt;0,IF((O23+P23*'Geometry'!$G$55+Q23*'Geometry'!$F$55)&lt;=C_eco,C_alpha*C_fck*(1-(1-(O23+P23*'Geometry'!$G$55+Q23*'Geometry'!$F$55)/C_eco)^C_n),C_alpha*C_fck),0)))*'Geometry'!$H$55*'Geometry'!$G$55+((MAX(MIN(S_1_Es*(O23+P23*'Geometry'!$G$56+Q23*'Geometry'!$F$56),S_1_fy),-S_1_fy))-(IF((O23+P23*'Geometry'!$G$56+Q23*'Geometry'!$F$56)&gt;0,IF((O23+P23*'Geometry'!$G$56+Q23*'Geometry'!$F$56)&lt;=C_eco,C_alpha*C_fck*(1-(1-(O23+P23*'Geometry'!$G$56+Q23*'Geometry'!$F$56)/C_eco)^C_n),C_alpha*C_fck),0)))*'Geometry'!$H$56*'Geometry'!$G$56+((MAX(MIN(S_1_Es*(O23+P23*'Geometry'!$G$57+Q23*'Geometry'!$F$57),S_1_fy),-S_1_fy))-(IF((O23+P23*'Geometry'!$G$57+Q23*'Geometry'!$F$57)&gt;0,IF((O23+P23*'Geometry'!$G$57+Q23*'Geometry'!$F$57)&lt;=C_eco,C_alpha*C_fck*(1-(1-(O23+P23*'Geometry'!$G$57+Q23*'Geometry'!$F$57)/C_eco)^C_n),C_alpha*C_fck),0)))*'Geometry'!$H$57*'Geometry'!$G$57)/1000000</f>
        <v>-727.1201011257455</v>
      </c>
      <c r="W23" s="10">
        <f>(((MAX(MIN(S_1_Es*(O23+P23*'Geometry'!$G$40+Q23*'Geometry'!$F$40),S_1_fy),-S_1_fy))-(IF((O23+P23*'Geometry'!$G$40+Q23*'Geometry'!$F$40)&gt;0,IF((O23+P23*'Geometry'!$G$40+Q23*'Geometry'!$F$40)&lt;=C_eco,C_alpha*C_fck*(1-(1-(O23+P23*'Geometry'!$G$40+Q23*'Geometry'!$F$40)/C_eco)^C_n),C_alpha*C_fck),0)))*'Geometry'!$H$40*'Geometry'!$F$40+((MAX(MIN(S_1_Es*(O23+P23*'Geometry'!$G$41+Q23*'Geometry'!$F$41),S_1_fy),-S_1_fy))-(IF((O23+P23*'Geometry'!$G$41+Q23*'Geometry'!$F$41)&gt;0,IF((O23+P23*'Geometry'!$G$41+Q23*'Geometry'!$F$41)&lt;=C_eco,C_alpha*C_fck*(1-(1-(O23+P23*'Geometry'!$G$41+Q23*'Geometry'!$F$41)/C_eco)^C_n),C_alpha*C_fck),0)))*'Geometry'!$H$41*'Geometry'!$F$41+((MAX(MIN(S_1_Es*(O23+P23*'Geometry'!$G$42+Q23*'Geometry'!$F$42),S_1_fy),-S_1_fy))-(IF((O23+P23*'Geometry'!$G$42+Q23*'Geometry'!$F$42)&gt;0,IF((O23+P23*'Geometry'!$G$42+Q23*'Geometry'!$F$42)&lt;=C_eco,C_alpha*C_fck*(1-(1-(O23+P23*'Geometry'!$G$42+Q23*'Geometry'!$F$42)/C_eco)^C_n),C_alpha*C_fck),0)))*'Geometry'!$H$42*'Geometry'!$F$42+((MAX(MIN(S_1_Es*(O23+P23*'Geometry'!$G$43+Q23*'Geometry'!$F$43),S_1_fy),-S_1_fy))-(IF((O23+P23*'Geometry'!$G$43+Q23*'Geometry'!$F$43)&gt;0,IF((O23+P23*'Geometry'!$G$43+Q23*'Geometry'!$F$43)&lt;=C_eco,C_alpha*C_fck*(1-(1-(O23+P23*'Geometry'!$G$43+Q23*'Geometry'!$F$43)/C_eco)^C_n),C_alpha*C_fck),0)))*'Geometry'!$H$43*'Geometry'!$F$43+((MAX(MIN(S_1_Es*(O23+P23*'Geometry'!$G$44+Q23*'Geometry'!$F$44),S_1_fy),-S_1_fy))-(IF((O23+P23*'Geometry'!$G$44+Q23*'Geometry'!$F$44)&gt;0,IF((O23+P23*'Geometry'!$G$44+Q23*'Geometry'!$F$44)&lt;=C_eco,C_alpha*C_fck*(1-(1-(O23+P23*'Geometry'!$G$44+Q23*'Geometry'!$F$44)/C_eco)^C_n),C_alpha*C_fck),0)))*'Geometry'!$H$44*'Geometry'!$F$44+((MAX(MIN(S_1_Es*(O23+P23*'Geometry'!$G$45+Q23*'Geometry'!$F$45),S_1_fy),-S_1_fy))-(IF((O23+P23*'Geometry'!$G$45+Q23*'Geometry'!$F$45)&gt;0,IF((O23+P23*'Geometry'!$G$45+Q23*'Geometry'!$F$45)&lt;=C_eco,C_alpha*C_fck*(1-(1-(O23+P23*'Geometry'!$G$45+Q23*'Geometry'!$F$45)/C_eco)^C_n),C_alpha*C_fck),0)))*'Geometry'!$H$45*'Geometry'!$F$45+((MAX(MIN(S_1_Es*(O23+P23*'Geometry'!$G$46+Q23*'Geometry'!$F$46),S_1_fy),-S_1_fy))-(IF((O23+P23*'Geometry'!$G$46+Q23*'Geometry'!$F$46)&gt;0,IF((O23+P23*'Geometry'!$G$46+Q23*'Geometry'!$F$46)&lt;=C_eco,C_alpha*C_fck*(1-(1-(O23+P23*'Geometry'!$G$46+Q23*'Geometry'!$F$46)/C_eco)^C_n),C_alpha*C_fck),0)))*'Geometry'!$H$46*'Geometry'!$F$46+((MAX(MIN(S_1_Es*(O23+P23*'Geometry'!$G$47+Q23*'Geometry'!$F$47),S_1_fy),-S_1_fy))-(IF((O23+P23*'Geometry'!$G$47+Q23*'Geometry'!$F$47)&gt;0,IF((O23+P23*'Geometry'!$G$47+Q23*'Geometry'!$F$47)&lt;=C_eco,C_alpha*C_fck*(1-(1-(O23+P23*'Geometry'!$G$47+Q23*'Geometry'!$F$47)/C_eco)^C_n),C_alpha*C_fck),0)))*'Geometry'!$H$47*'Geometry'!$F$47+((MAX(MIN(S_1_Es*(O23+P23*'Geometry'!$G$48+Q23*'Geometry'!$F$48),S_1_fy),-S_1_fy))-(IF((O23+P23*'Geometry'!$G$48+Q23*'Geometry'!$F$48)&gt;0,IF((O23+P23*'Geometry'!$G$48+Q23*'Geometry'!$F$48)&lt;=C_eco,C_alpha*C_fck*(1-(1-(O23+P23*'Geometry'!$G$48+Q23*'Geometry'!$F$48)/C_eco)^C_n),C_alpha*C_fck),0)))*'Geometry'!$H$48*'Geometry'!$F$48+((MAX(MIN(S_1_Es*(O23+P23*'Geometry'!$G$49+Q23*'Geometry'!$F$49),S_1_fy),-S_1_fy))-(IF((O23+P23*'Geometry'!$G$49+Q23*'Geometry'!$F$49)&gt;0,IF((O23+P23*'Geometry'!$G$49+Q23*'Geometry'!$F$49)&lt;=C_eco,C_alpha*C_fck*(1-(1-(O23+P23*'Geometry'!$G$49+Q23*'Geometry'!$F$49)/C_eco)^C_n),C_alpha*C_fck),0)))*'Geometry'!$H$49*'Geometry'!$F$49+((MAX(MIN(S_1_Es*(O23+P23*'Geometry'!$G$50+Q23*'Geometry'!$F$50),S_1_fy),-S_1_fy))-(IF((O23+P23*'Geometry'!$G$50+Q23*'Geometry'!$F$50)&gt;0,IF((O23+P23*'Geometry'!$G$50+Q23*'Geometry'!$F$50)&lt;=C_eco,C_alpha*C_fck*(1-(1-(O23+P23*'Geometry'!$G$50+Q23*'Geometry'!$F$50)/C_eco)^C_n),C_alpha*C_fck),0)))*'Geometry'!$H$50*'Geometry'!$F$50+((MAX(MIN(S_1_Es*(O23+P23*'Geometry'!$G$51+Q23*'Geometry'!$F$51),S_1_fy),-S_1_fy))-(IF((O23+P23*'Geometry'!$G$51+Q23*'Geometry'!$F$51)&gt;0,IF((O23+P23*'Geometry'!$G$51+Q23*'Geometry'!$F$51)&lt;=C_eco,C_alpha*C_fck*(1-(1-(O23+P23*'Geometry'!$G$51+Q23*'Geometry'!$F$51)/C_eco)^C_n),C_alpha*C_fck),0)))*'Geometry'!$H$51*'Geometry'!$F$51+((MAX(MIN(S_1_Es*(O23+P23*'Geometry'!$G$52+Q23*'Geometry'!$F$52),S_1_fy),-S_1_fy))-(IF((O23+P23*'Geometry'!$G$52+Q23*'Geometry'!$F$52)&gt;0,IF((O23+P23*'Geometry'!$G$52+Q23*'Geometry'!$F$52)&lt;=C_eco,C_alpha*C_fck*(1-(1-(O23+P23*'Geometry'!$G$52+Q23*'Geometry'!$F$52)/C_eco)^C_n),C_alpha*C_fck),0)))*'Geometry'!$H$52*'Geometry'!$F$52+((MAX(MIN(S_1_Es*(O23+P23*'Geometry'!$G$53+Q23*'Geometry'!$F$53),S_1_fy),-S_1_fy))-(IF((O23+P23*'Geometry'!$G$53+Q23*'Geometry'!$F$53)&gt;0,IF((O23+P23*'Geometry'!$G$53+Q23*'Geometry'!$F$53)&lt;=C_eco,C_alpha*C_fck*(1-(1-(O23+P23*'Geometry'!$G$53+Q23*'Geometry'!$F$53)/C_eco)^C_n),C_alpha*C_fck),0)))*'Geometry'!$H$53*'Geometry'!$F$53+((MAX(MIN(S_1_Es*(O23+P23*'Geometry'!$G$54+Q23*'Geometry'!$F$54),S_1_fy),-S_1_fy))-(IF((O23+P23*'Geometry'!$G$54+Q23*'Geometry'!$F$54)&gt;0,IF((O23+P23*'Geometry'!$G$54+Q23*'Geometry'!$F$54)&lt;=C_eco,C_alpha*C_fck*(1-(1-(O23+P23*'Geometry'!$G$54+Q23*'Geometry'!$F$54)/C_eco)^C_n),C_alpha*C_fck),0)))*'Geometry'!$H$54*'Geometry'!$F$54+((MAX(MIN(S_1_Es*(O23+P23*'Geometry'!$G$55+Q23*'Geometry'!$F$55),S_1_fy),-S_1_fy))-(IF((O23+P23*'Geometry'!$G$55+Q23*'Geometry'!$F$55)&gt;0,IF((O23+P23*'Geometry'!$G$55+Q23*'Geometry'!$F$55)&lt;=C_eco,C_alpha*C_fck*(1-(1-(O23+P23*'Geometry'!$G$55+Q23*'Geometry'!$F$55)/C_eco)^C_n),C_alpha*C_fck),0)))*'Geometry'!$H$55*'Geometry'!$F$55+((MAX(MIN(S_1_Es*(O23+P23*'Geometry'!$G$56+Q23*'Geometry'!$F$56),S_1_fy),-S_1_fy))-(IF((O23+P23*'Geometry'!$G$56+Q23*'Geometry'!$F$56)&gt;0,IF((O23+P23*'Geometry'!$G$56+Q23*'Geometry'!$F$56)&lt;=C_eco,C_alpha*C_fck*(1-(1-(O23+P23*'Geometry'!$G$56+Q23*'Geometry'!$F$56)/C_eco)^C_n),C_alpha*C_fck),0)))*'Geometry'!$H$56*'Geometry'!$F$56+((MAX(MIN(S_1_Es*(O23+P23*'Geometry'!$G$57+Q23*'Geometry'!$F$57),S_1_fy),-S_1_fy))-(IF((O23+P23*'Geometry'!$G$57+Q23*'Geometry'!$F$57)&gt;0,IF((O23+P23*'Geometry'!$G$57+Q23*'Geometry'!$F$57)&lt;=C_eco,C_alpha*C_fck*(1-(1-(O23+P23*'Geometry'!$G$57+Q23*'Geometry'!$F$57)/C_eco)^C_n),C_alpha*C_fck),0)))*'Geometry'!$H$57*'Geometry'!$F$57)/1000000</f>
        <v>672.1924876123414</v>
      </c>
      <c r="X23" s="10">
        <f>R23+U23</f>
        <v>-1801.4277428578375</v>
      </c>
      <c r="Y23" s="10">
        <f>S23+V23</f>
        <v>-1813.8674387316707</v>
      </c>
      <c r="Z23" s="10">
        <f>T23+W23</f>
        <v>1860.264720699738</v>
      </c>
      <c r="AA23" s="7">
        <v>0.85</v>
      </c>
      <c r="AB23" s="7">
        <v>0.8500000000000001</v>
      </c>
      <c r="AC23" s="10">
        <f>X23*AA23</f>
        <v>-1531.2135814291619</v>
      </c>
      <c r="AD23" s="10">
        <f>Y23*AB23</f>
        <v>-1541.7873229219203</v>
      </c>
      <c r="AE23" s="10">
        <f>Z23*AB23</f>
        <v>1581.2250125947774</v>
      </c>
      <c r="AF23" s="7">
        <v>-1531.2135814291619</v>
      </c>
      <c r="AG23" s="7">
        <v>-1541.7873229219203</v>
      </c>
      <c r="AH23" s="7">
        <v>1581.2250125947774</v>
      </c>
      <c r="AI23" s="15">
        <f>AC23-AF23</f>
        <v>0</v>
      </c>
      <c r="AJ23" s="15">
        <f>SQRT((AD23-AG23)^2+(AE23-AH23)^2)</f>
        <v>0</v>
      </c>
      <c r="AK23" s="7" t="s">
        <v>189</v>
      </c>
      <c r="AL23" s="7">
        <v>-1801.4277428578375</v>
      </c>
      <c r="AM23" s="7">
        <v>-1813.8674387316707</v>
      </c>
      <c r="AN23" s="7">
        <v>1860.264720699738</v>
      </c>
      <c r="AO23" s="7">
        <v>2337.3746261669003</v>
      </c>
      <c r="AP23" s="7">
        <v>-1086.7473376059254</v>
      </c>
      <c r="AQ23" s="7">
        <v>1188.0722330873966</v>
      </c>
      <c r="AR23" s="7">
        <v>-4138.802369024737</v>
      </c>
      <c r="AS23" s="7">
        <v>-727.1201011257455</v>
      </c>
      <c r="AT23" s="7">
        <v>672.1924876123414</v>
      </c>
    </row>
    <row r="24" spans="1:46" x14ac:dyDescent="0.25">
      <c r="A24" s="7" t="s">
        <v>222</v>
      </c>
      <c r="B24" s="7">
        <v>1</v>
      </c>
      <c r="C24" s="18">
        <v>160</v>
      </c>
      <c r="D24" s="7" t="s">
        <v>223</v>
      </c>
      <c r="E24" s="7" t="s">
        <v>192</v>
      </c>
      <c r="F24" s="19">
        <v>160</v>
      </c>
      <c r="G24" s="7" t="s">
        <v>188</v>
      </c>
      <c r="H24" s="20">
        <v>7.5</v>
      </c>
      <c r="I24" s="10">
        <f>MAX(('Geometry'!$G$13*COS(RADIANS(F24))+'Geometry'!$F$13*SIN(RADIANS(F24))),('Geometry'!$G$14*COS(RADIANS(F24))+'Geometry'!$F$14*SIN(RADIANS(F24))),('Geometry'!$G$15*COS(RADIANS(F24))+'Geometry'!$F$15*SIN(RADIANS(F24))),('Geometry'!$G$16*COS(RADIANS(F24))+'Geometry'!$F$16*SIN(RADIANS(F24))),('Geometry'!$G$17*COS(RADIANS(F24))+'Geometry'!$F$17*SIN(RADIANS(F24))),('Geometry'!$G$18*COS(RADIANS(F24))+'Geometry'!$F$18*SIN(RADIANS(F24))),('Geometry'!$G$19*COS(RADIANS(F24))+'Geometry'!$F$19*SIN(RADIANS(F24))),('Geometry'!$G$20*COS(RADIANS(F24))+'Geometry'!$F$20*SIN(RADIANS(F24))))</f>
        <v>751.9266513006629</v>
      </c>
      <c r="J24" s="10">
        <f>MIN(('Geometry'!$G$40*COS(RADIANS(F24))+'Geometry'!$F$40*SIN(RADIANS(F24))),('Geometry'!$G$41*COS(RADIANS(F24))+'Geometry'!$F$41*SIN(RADIANS(F24))),('Geometry'!$G$42*COS(RADIANS(F24))+'Geometry'!$F$42*SIN(RADIANS(F24))),('Geometry'!$G$43*COS(RADIANS(F24))+'Geometry'!$F$43*SIN(RADIANS(F24))),('Geometry'!$G$44*COS(RADIANS(F24))+'Geometry'!$F$44*SIN(RADIANS(F24))),('Geometry'!$G$45*COS(RADIANS(F24))+'Geometry'!$F$45*SIN(RADIANS(F24))),('Geometry'!$G$46*COS(RADIANS(F24))+'Geometry'!$F$46*SIN(RADIANS(F24))),('Geometry'!$G$47*COS(RADIANS(F24))+'Geometry'!$F$47*SIN(RADIANS(F24))),('Geometry'!$G$48*COS(RADIANS(F24))+'Geometry'!$F$48*SIN(RADIANS(F24))),('Geometry'!$G$49*COS(RADIANS(F24))+'Geometry'!$F$49*SIN(RADIANS(F24))),('Geometry'!$G$50*COS(RADIANS(F24))+'Geometry'!$F$50*SIN(RADIANS(F24))),('Geometry'!$G$51*COS(RADIANS(F24))+'Geometry'!$F$51*SIN(RADIANS(F24))),('Geometry'!$G$52*COS(RADIANS(F24))+'Geometry'!$F$52*SIN(RADIANS(F24))),('Geometry'!$G$53*COS(RADIANS(F24))+'Geometry'!$F$53*SIN(RADIANS(F24))),('Geometry'!$G$54*COS(RADIANS(F24))+'Geometry'!$F$54*SIN(RADIANS(F24))),('Geometry'!$G$55*COS(RADIANS(F24))+'Geometry'!$F$55*SIN(RADIANS(F24))),('Geometry'!$G$56*COS(RADIANS(F24))+'Geometry'!$F$56*SIN(RADIANS(F24))),('Geometry'!$G$57*COS(RADIANS(F24))+'Geometry'!$F$57*SIN(RADIANS(F24))))</f>
        <v>-634.845146346799</v>
      </c>
      <c r="K24" s="10">
        <f>I24-MIN(('Geometry'!$G$13*COS(RADIANS(F24))+'Geometry'!$F$13*SIN(RADIANS(F24))),('Geometry'!$G$14*COS(RADIANS(F24))+'Geometry'!$F$14*SIN(RADIANS(F24))),('Geometry'!$G$15*COS(RADIANS(F24))+'Geometry'!$F$15*SIN(RADIANS(F24))),('Geometry'!$G$16*COS(RADIANS(F24))+'Geometry'!$F$16*SIN(RADIANS(F24))),('Geometry'!$G$17*COS(RADIANS(F24))+'Geometry'!$F$17*SIN(RADIANS(F24))),('Geometry'!$G$18*COS(RADIANS(F24))+'Geometry'!$F$18*SIN(RADIANS(F24))),('Geometry'!$G$19*COS(RADIANS(F24))+'Geometry'!$F$19*SIN(RADIANS(F24))),('Geometry'!$G$20*COS(RADIANS(F24))+'Geometry'!$F$20*SIN(RADIANS(F24))))</f>
        <v>1503.8533026013258</v>
      </c>
      <c r="L24" s="15">
        <f>C_ecu</f>
        <v>0.0033</v>
      </c>
      <c r="M24" s="15">
        <f>-H24*S_1_fy/S_1_Es</f>
        <v>-0.015</v>
      </c>
      <c r="N24" s="21">
        <f>IF(ABS(I24-J24)&lt;0.000000000001,0,(L24-M24)/(I24-J24))</f>
        <v>0.000013196114913098438</v>
      </c>
      <c r="O24" s="15">
        <f>L24-N24*I24</f>
        <v>-0.006622510496784847</v>
      </c>
      <c r="P24" s="21">
        <f>N24*COS(RADIANS(F24))</f>
        <v>-0.000012400291806881479</v>
      </c>
      <c r="Q24" s="21">
        <f>N24*SIN(RADIANS(F24))</f>
        <v>0.000004513337113919924</v>
      </c>
      <c r="R24" s="10">
        <f>SUMPRODUCT(C_alpha*C_fck*(1-(1-(((O24+P24*Mesh_Y+Q24*Mesh_X))*((O24+P24*Mesh_Y+Q24*Mesh_X)&gt;0)*((O24+P24*Mesh_Y+Q24*Mesh_X)&lt;C_eco)+C_eco*((O24+P24*Mesh_Y+Q24*Mesh_X)&gt;=C_eco))/C_eco)^C_n)*(((O24+P24*Mesh_Y+Q24*Mesh_X))&gt;0),Mesh_A)/1000</f>
        <v>2373.492694371873</v>
      </c>
      <c r="S24" s="10">
        <f>SUMPRODUCT(C_alpha*C_fck*(1-(1-(((O24+P24*Mesh_Y+Q24*Mesh_X))*((O24+P24*Mesh_Y+Q24*Mesh_X)&gt;0)*((O24+P24*Mesh_Y+Q24*Mesh_X)&lt;C_eco)+C_eco*((O24+P24*Mesh_Y+Q24*Mesh_X)&gt;=C_eco))/C_eco)^C_n)*(((O24+P24*Mesh_Y+Q24*Mesh_X))&gt;0),Mesh_A,Mesh_Y)/1000000</f>
        <v>-1177.4327880283952</v>
      </c>
      <c r="T24" s="10">
        <f>SUMPRODUCT(C_alpha*C_fck*(1-(1-(((O24+P24*Mesh_Y+Q24*Mesh_X))*((O24+P24*Mesh_Y+Q24*Mesh_X)&gt;0)*((O24+P24*Mesh_Y+Q24*Mesh_X)&lt;C_eco)+C_eco*((O24+P24*Mesh_Y+Q24*Mesh_X)&gt;=C_eco))/C_eco)^C_n)*(((O24+P24*Mesh_Y+Q24*Mesh_X))&gt;0),Mesh_A,Mesh_X)/1000000</f>
        <v>1033.7943745013617</v>
      </c>
      <c r="U24" s="10">
        <f>(((MAX(MIN(S_1_Es*(O24+P24*'Geometry'!$G$40+Q24*'Geometry'!$F$40),S_1_fy),-S_1_fy))-(IF((O24+P24*'Geometry'!$G$40+Q24*'Geometry'!$F$40)&gt;0,IF((O24+P24*'Geometry'!$G$40+Q24*'Geometry'!$F$40)&lt;=C_eco,C_alpha*C_fck*(1-(1-(O24+P24*'Geometry'!$G$40+Q24*'Geometry'!$F$40)/C_eco)^C_n),C_alpha*C_fck),0)))*'Geometry'!$H$40+((MAX(MIN(S_1_Es*(O24+P24*'Geometry'!$G$41+Q24*'Geometry'!$F$41),S_1_fy),-S_1_fy))-(IF((O24+P24*'Geometry'!$G$41+Q24*'Geometry'!$F$41)&gt;0,IF((O24+P24*'Geometry'!$G$41+Q24*'Geometry'!$F$41)&lt;=C_eco,C_alpha*C_fck*(1-(1-(O24+P24*'Geometry'!$G$41+Q24*'Geometry'!$F$41)/C_eco)^C_n),C_alpha*C_fck),0)))*'Geometry'!$H$41+((MAX(MIN(S_1_Es*(O24+P24*'Geometry'!$G$42+Q24*'Geometry'!$F$42),S_1_fy),-S_1_fy))-(IF((O24+P24*'Geometry'!$G$42+Q24*'Geometry'!$F$42)&gt;0,IF((O24+P24*'Geometry'!$G$42+Q24*'Geometry'!$F$42)&lt;=C_eco,C_alpha*C_fck*(1-(1-(O24+P24*'Geometry'!$G$42+Q24*'Geometry'!$F$42)/C_eco)^C_n),C_alpha*C_fck),0)))*'Geometry'!$H$42+((MAX(MIN(S_1_Es*(O24+P24*'Geometry'!$G$43+Q24*'Geometry'!$F$43),S_1_fy),-S_1_fy))-(IF((O24+P24*'Geometry'!$G$43+Q24*'Geometry'!$F$43)&gt;0,IF((O24+P24*'Geometry'!$G$43+Q24*'Geometry'!$F$43)&lt;=C_eco,C_alpha*C_fck*(1-(1-(O24+P24*'Geometry'!$G$43+Q24*'Geometry'!$F$43)/C_eco)^C_n),C_alpha*C_fck),0)))*'Geometry'!$H$43+((MAX(MIN(S_1_Es*(O24+P24*'Geometry'!$G$44+Q24*'Geometry'!$F$44),S_1_fy),-S_1_fy))-(IF((O24+P24*'Geometry'!$G$44+Q24*'Geometry'!$F$44)&gt;0,IF((O24+P24*'Geometry'!$G$44+Q24*'Geometry'!$F$44)&lt;=C_eco,C_alpha*C_fck*(1-(1-(O24+P24*'Geometry'!$G$44+Q24*'Geometry'!$F$44)/C_eco)^C_n),C_alpha*C_fck),0)))*'Geometry'!$H$44+((MAX(MIN(S_1_Es*(O24+P24*'Geometry'!$G$45+Q24*'Geometry'!$F$45),S_1_fy),-S_1_fy))-(IF((O24+P24*'Geometry'!$G$45+Q24*'Geometry'!$F$45)&gt;0,IF((O24+P24*'Geometry'!$G$45+Q24*'Geometry'!$F$45)&lt;=C_eco,C_alpha*C_fck*(1-(1-(O24+P24*'Geometry'!$G$45+Q24*'Geometry'!$F$45)/C_eco)^C_n),C_alpha*C_fck),0)))*'Geometry'!$H$45+((MAX(MIN(S_1_Es*(O24+P24*'Geometry'!$G$46+Q24*'Geometry'!$F$46),S_1_fy),-S_1_fy))-(IF((O24+P24*'Geometry'!$G$46+Q24*'Geometry'!$F$46)&gt;0,IF((O24+P24*'Geometry'!$G$46+Q24*'Geometry'!$F$46)&lt;=C_eco,C_alpha*C_fck*(1-(1-(O24+P24*'Geometry'!$G$46+Q24*'Geometry'!$F$46)/C_eco)^C_n),C_alpha*C_fck),0)))*'Geometry'!$H$46+((MAX(MIN(S_1_Es*(O24+P24*'Geometry'!$G$47+Q24*'Geometry'!$F$47),S_1_fy),-S_1_fy))-(IF((O24+P24*'Geometry'!$G$47+Q24*'Geometry'!$F$47)&gt;0,IF((O24+P24*'Geometry'!$G$47+Q24*'Geometry'!$F$47)&lt;=C_eco,C_alpha*C_fck*(1-(1-(O24+P24*'Geometry'!$G$47+Q24*'Geometry'!$F$47)/C_eco)^C_n),C_alpha*C_fck),0)))*'Geometry'!$H$47+((MAX(MIN(S_1_Es*(O24+P24*'Geometry'!$G$48+Q24*'Geometry'!$F$48),S_1_fy),-S_1_fy))-(IF((O24+P24*'Geometry'!$G$48+Q24*'Geometry'!$F$48)&gt;0,IF((O24+P24*'Geometry'!$G$48+Q24*'Geometry'!$F$48)&lt;=C_eco,C_alpha*C_fck*(1-(1-(O24+P24*'Geometry'!$G$48+Q24*'Geometry'!$F$48)/C_eco)^C_n),C_alpha*C_fck),0)))*'Geometry'!$H$48+((MAX(MIN(S_1_Es*(O24+P24*'Geometry'!$G$49+Q24*'Geometry'!$F$49),S_1_fy),-S_1_fy))-(IF((O24+P24*'Geometry'!$G$49+Q24*'Geometry'!$F$49)&gt;0,IF((O24+P24*'Geometry'!$G$49+Q24*'Geometry'!$F$49)&lt;=C_eco,C_alpha*C_fck*(1-(1-(O24+P24*'Geometry'!$G$49+Q24*'Geometry'!$F$49)/C_eco)^C_n),C_alpha*C_fck),0)))*'Geometry'!$H$49+((MAX(MIN(S_1_Es*(O24+P24*'Geometry'!$G$50+Q24*'Geometry'!$F$50),S_1_fy),-S_1_fy))-(IF((O24+P24*'Geometry'!$G$50+Q24*'Geometry'!$F$50)&gt;0,IF((O24+P24*'Geometry'!$G$50+Q24*'Geometry'!$F$50)&lt;=C_eco,C_alpha*C_fck*(1-(1-(O24+P24*'Geometry'!$G$50+Q24*'Geometry'!$F$50)/C_eco)^C_n),C_alpha*C_fck),0)))*'Geometry'!$H$50+((MAX(MIN(S_1_Es*(O24+P24*'Geometry'!$G$51+Q24*'Geometry'!$F$51),S_1_fy),-S_1_fy))-(IF((O24+P24*'Geometry'!$G$51+Q24*'Geometry'!$F$51)&gt;0,IF((O24+P24*'Geometry'!$G$51+Q24*'Geometry'!$F$51)&lt;=C_eco,C_alpha*C_fck*(1-(1-(O24+P24*'Geometry'!$G$51+Q24*'Geometry'!$F$51)/C_eco)^C_n),C_alpha*C_fck),0)))*'Geometry'!$H$51+((MAX(MIN(S_1_Es*(O24+P24*'Geometry'!$G$52+Q24*'Geometry'!$F$52),S_1_fy),-S_1_fy))-(IF((O24+P24*'Geometry'!$G$52+Q24*'Geometry'!$F$52)&gt;0,IF((O24+P24*'Geometry'!$G$52+Q24*'Geometry'!$F$52)&lt;=C_eco,C_alpha*C_fck*(1-(1-(O24+P24*'Geometry'!$G$52+Q24*'Geometry'!$F$52)/C_eco)^C_n),C_alpha*C_fck),0)))*'Geometry'!$H$52+((MAX(MIN(S_1_Es*(O24+P24*'Geometry'!$G$53+Q24*'Geometry'!$F$53),S_1_fy),-S_1_fy))-(IF((O24+P24*'Geometry'!$G$53+Q24*'Geometry'!$F$53)&gt;0,IF((O24+P24*'Geometry'!$G$53+Q24*'Geometry'!$F$53)&lt;=C_eco,C_alpha*C_fck*(1-(1-(O24+P24*'Geometry'!$G$53+Q24*'Geometry'!$F$53)/C_eco)^C_n),C_alpha*C_fck),0)))*'Geometry'!$H$53+((MAX(MIN(S_1_Es*(O24+P24*'Geometry'!$G$54+Q24*'Geometry'!$F$54),S_1_fy),-S_1_fy))-(IF((O24+P24*'Geometry'!$G$54+Q24*'Geometry'!$F$54)&gt;0,IF((O24+P24*'Geometry'!$G$54+Q24*'Geometry'!$F$54)&lt;=C_eco,C_alpha*C_fck*(1-(1-(O24+P24*'Geometry'!$G$54+Q24*'Geometry'!$F$54)/C_eco)^C_n),C_alpha*C_fck),0)))*'Geometry'!$H$54+((MAX(MIN(S_1_Es*(O24+P24*'Geometry'!$G$55+Q24*'Geometry'!$F$55),S_1_fy),-S_1_fy))-(IF((O24+P24*'Geometry'!$G$55+Q24*'Geometry'!$F$55)&gt;0,IF((O24+P24*'Geometry'!$G$55+Q24*'Geometry'!$F$55)&lt;=C_eco,C_alpha*C_fck*(1-(1-(O24+P24*'Geometry'!$G$55+Q24*'Geometry'!$F$55)/C_eco)^C_n),C_alpha*C_fck),0)))*'Geometry'!$H$55+((MAX(MIN(S_1_Es*(O24+P24*'Geometry'!$G$56+Q24*'Geometry'!$F$56),S_1_fy),-S_1_fy))-(IF((O24+P24*'Geometry'!$G$56+Q24*'Geometry'!$F$56)&gt;0,IF((O24+P24*'Geometry'!$G$56+Q24*'Geometry'!$F$56)&lt;=C_eco,C_alpha*C_fck*(1-(1-(O24+P24*'Geometry'!$G$56+Q24*'Geometry'!$F$56)/C_eco)^C_n),C_alpha*C_fck),0)))*'Geometry'!$H$56+((MAX(MIN(S_1_Es*(O24+P24*'Geometry'!$G$57+Q24*'Geometry'!$F$57),S_1_fy),-S_1_fy))-(IF((O24+P24*'Geometry'!$G$57+Q24*'Geometry'!$F$57)&gt;0,IF((O24+P24*'Geometry'!$G$57+Q24*'Geometry'!$F$57)&lt;=C_eco,C_alpha*C_fck*(1-(1-(O24+P24*'Geometry'!$G$57+Q24*'Geometry'!$F$57)/C_eco)^C_n),C_alpha*C_fck),0)))*'Geometry'!$H$57)/1000</f>
        <v>-3911.3133908869145</v>
      </c>
      <c r="V24" s="10">
        <f>(((MAX(MIN(S_1_Es*(O24+P24*'Geometry'!$G$40+Q24*'Geometry'!$F$40),S_1_fy),-S_1_fy))-(IF((O24+P24*'Geometry'!$G$40+Q24*'Geometry'!$F$40)&gt;0,IF((O24+P24*'Geometry'!$G$40+Q24*'Geometry'!$F$40)&lt;=C_eco,C_alpha*C_fck*(1-(1-(O24+P24*'Geometry'!$G$40+Q24*'Geometry'!$F$40)/C_eco)^C_n),C_alpha*C_fck),0)))*'Geometry'!$H$40*'Geometry'!$G$40+((MAX(MIN(S_1_Es*(O24+P24*'Geometry'!$G$41+Q24*'Geometry'!$F$41),S_1_fy),-S_1_fy))-(IF((O24+P24*'Geometry'!$G$41+Q24*'Geometry'!$F$41)&gt;0,IF((O24+P24*'Geometry'!$G$41+Q24*'Geometry'!$F$41)&lt;=C_eco,C_alpha*C_fck*(1-(1-(O24+P24*'Geometry'!$G$41+Q24*'Geometry'!$F$41)/C_eco)^C_n),C_alpha*C_fck),0)))*'Geometry'!$H$41*'Geometry'!$G$41+((MAX(MIN(S_1_Es*(O24+P24*'Geometry'!$G$42+Q24*'Geometry'!$F$42),S_1_fy),-S_1_fy))-(IF((O24+P24*'Geometry'!$G$42+Q24*'Geometry'!$F$42)&gt;0,IF((O24+P24*'Geometry'!$G$42+Q24*'Geometry'!$F$42)&lt;=C_eco,C_alpha*C_fck*(1-(1-(O24+P24*'Geometry'!$G$42+Q24*'Geometry'!$F$42)/C_eco)^C_n),C_alpha*C_fck),0)))*'Geometry'!$H$42*'Geometry'!$G$42+((MAX(MIN(S_1_Es*(O24+P24*'Geometry'!$G$43+Q24*'Geometry'!$F$43),S_1_fy),-S_1_fy))-(IF((O24+P24*'Geometry'!$G$43+Q24*'Geometry'!$F$43)&gt;0,IF((O24+P24*'Geometry'!$G$43+Q24*'Geometry'!$F$43)&lt;=C_eco,C_alpha*C_fck*(1-(1-(O24+P24*'Geometry'!$G$43+Q24*'Geometry'!$F$43)/C_eco)^C_n),C_alpha*C_fck),0)))*'Geometry'!$H$43*'Geometry'!$G$43+((MAX(MIN(S_1_Es*(O24+P24*'Geometry'!$G$44+Q24*'Geometry'!$F$44),S_1_fy),-S_1_fy))-(IF((O24+P24*'Geometry'!$G$44+Q24*'Geometry'!$F$44)&gt;0,IF((O24+P24*'Geometry'!$G$44+Q24*'Geometry'!$F$44)&lt;=C_eco,C_alpha*C_fck*(1-(1-(O24+P24*'Geometry'!$G$44+Q24*'Geometry'!$F$44)/C_eco)^C_n),C_alpha*C_fck),0)))*'Geometry'!$H$44*'Geometry'!$G$44+((MAX(MIN(S_1_Es*(O24+P24*'Geometry'!$G$45+Q24*'Geometry'!$F$45),S_1_fy),-S_1_fy))-(IF((O24+P24*'Geometry'!$G$45+Q24*'Geometry'!$F$45)&gt;0,IF((O24+P24*'Geometry'!$G$45+Q24*'Geometry'!$F$45)&lt;=C_eco,C_alpha*C_fck*(1-(1-(O24+P24*'Geometry'!$G$45+Q24*'Geometry'!$F$45)/C_eco)^C_n),C_alpha*C_fck),0)))*'Geometry'!$H$45*'Geometry'!$G$45+((MAX(MIN(S_1_Es*(O24+P24*'Geometry'!$G$46+Q24*'Geometry'!$F$46),S_1_fy),-S_1_fy))-(IF((O24+P24*'Geometry'!$G$46+Q24*'Geometry'!$F$46)&gt;0,IF((O24+P24*'Geometry'!$G$46+Q24*'Geometry'!$F$46)&lt;=C_eco,C_alpha*C_fck*(1-(1-(O24+P24*'Geometry'!$G$46+Q24*'Geometry'!$F$46)/C_eco)^C_n),C_alpha*C_fck),0)))*'Geometry'!$H$46*'Geometry'!$G$46+((MAX(MIN(S_1_Es*(O24+P24*'Geometry'!$G$47+Q24*'Geometry'!$F$47),S_1_fy),-S_1_fy))-(IF((O24+P24*'Geometry'!$G$47+Q24*'Geometry'!$F$47)&gt;0,IF((O24+P24*'Geometry'!$G$47+Q24*'Geometry'!$F$47)&lt;=C_eco,C_alpha*C_fck*(1-(1-(O24+P24*'Geometry'!$G$47+Q24*'Geometry'!$F$47)/C_eco)^C_n),C_alpha*C_fck),0)))*'Geometry'!$H$47*'Geometry'!$G$47+((MAX(MIN(S_1_Es*(O24+P24*'Geometry'!$G$48+Q24*'Geometry'!$F$48),S_1_fy),-S_1_fy))-(IF((O24+P24*'Geometry'!$G$48+Q24*'Geometry'!$F$48)&gt;0,IF((O24+P24*'Geometry'!$G$48+Q24*'Geometry'!$F$48)&lt;=C_eco,C_alpha*C_fck*(1-(1-(O24+P24*'Geometry'!$G$48+Q24*'Geometry'!$F$48)/C_eco)^C_n),C_alpha*C_fck),0)))*'Geometry'!$H$48*'Geometry'!$G$48+((MAX(MIN(S_1_Es*(O24+P24*'Geometry'!$G$49+Q24*'Geometry'!$F$49),S_1_fy),-S_1_fy))-(IF((O24+P24*'Geometry'!$G$49+Q24*'Geometry'!$F$49)&gt;0,IF((O24+P24*'Geometry'!$G$49+Q24*'Geometry'!$F$49)&lt;=C_eco,C_alpha*C_fck*(1-(1-(O24+P24*'Geometry'!$G$49+Q24*'Geometry'!$F$49)/C_eco)^C_n),C_alpha*C_fck),0)))*'Geometry'!$H$49*'Geometry'!$G$49+((MAX(MIN(S_1_Es*(O24+P24*'Geometry'!$G$50+Q24*'Geometry'!$F$50),S_1_fy),-S_1_fy))-(IF((O24+P24*'Geometry'!$G$50+Q24*'Geometry'!$F$50)&gt;0,IF((O24+P24*'Geometry'!$G$50+Q24*'Geometry'!$F$50)&lt;=C_eco,C_alpha*C_fck*(1-(1-(O24+P24*'Geometry'!$G$50+Q24*'Geometry'!$F$50)/C_eco)^C_n),C_alpha*C_fck),0)))*'Geometry'!$H$50*'Geometry'!$G$50+((MAX(MIN(S_1_Es*(O24+P24*'Geometry'!$G$51+Q24*'Geometry'!$F$51),S_1_fy),-S_1_fy))-(IF((O24+P24*'Geometry'!$G$51+Q24*'Geometry'!$F$51)&gt;0,IF((O24+P24*'Geometry'!$G$51+Q24*'Geometry'!$F$51)&lt;=C_eco,C_alpha*C_fck*(1-(1-(O24+P24*'Geometry'!$G$51+Q24*'Geometry'!$F$51)/C_eco)^C_n),C_alpha*C_fck),0)))*'Geometry'!$H$51*'Geometry'!$G$51+((MAX(MIN(S_1_Es*(O24+P24*'Geometry'!$G$52+Q24*'Geometry'!$F$52),S_1_fy),-S_1_fy))-(IF((O24+P24*'Geometry'!$G$52+Q24*'Geometry'!$F$52)&gt;0,IF((O24+P24*'Geometry'!$G$52+Q24*'Geometry'!$F$52)&lt;=C_eco,C_alpha*C_fck*(1-(1-(O24+P24*'Geometry'!$G$52+Q24*'Geometry'!$F$52)/C_eco)^C_n),C_alpha*C_fck),0)))*'Geometry'!$H$52*'Geometry'!$G$52+((MAX(MIN(S_1_Es*(O24+P24*'Geometry'!$G$53+Q24*'Geometry'!$F$53),S_1_fy),-S_1_fy))-(IF((O24+P24*'Geometry'!$G$53+Q24*'Geometry'!$F$53)&gt;0,IF((O24+P24*'Geometry'!$G$53+Q24*'Geometry'!$F$53)&lt;=C_eco,C_alpha*C_fck*(1-(1-(O24+P24*'Geometry'!$G$53+Q24*'Geometry'!$F$53)/C_eco)^C_n),C_alpha*C_fck),0)))*'Geometry'!$H$53*'Geometry'!$G$53+((MAX(MIN(S_1_Es*(O24+P24*'Geometry'!$G$54+Q24*'Geometry'!$F$54),S_1_fy),-S_1_fy))-(IF((O24+P24*'Geometry'!$G$54+Q24*'Geometry'!$F$54)&gt;0,IF((O24+P24*'Geometry'!$G$54+Q24*'Geometry'!$F$54)&lt;=C_eco,C_alpha*C_fck*(1-(1-(O24+P24*'Geometry'!$G$54+Q24*'Geometry'!$F$54)/C_eco)^C_n),C_alpha*C_fck),0)))*'Geometry'!$H$54*'Geometry'!$G$54+((MAX(MIN(S_1_Es*(O24+P24*'Geometry'!$G$55+Q24*'Geometry'!$F$55),S_1_fy),-S_1_fy))-(IF((O24+P24*'Geometry'!$G$55+Q24*'Geometry'!$F$55)&gt;0,IF((O24+P24*'Geometry'!$G$55+Q24*'Geometry'!$F$55)&lt;=C_eco,C_alpha*C_fck*(1-(1-(O24+P24*'Geometry'!$G$55+Q24*'Geometry'!$F$55)/C_eco)^C_n),C_alpha*C_fck),0)))*'Geometry'!$H$55*'Geometry'!$G$55+((MAX(MIN(S_1_Es*(O24+P24*'Geometry'!$G$56+Q24*'Geometry'!$F$56),S_1_fy),-S_1_fy))-(IF((O24+P24*'Geometry'!$G$56+Q24*'Geometry'!$F$56)&gt;0,IF((O24+P24*'Geometry'!$G$56+Q24*'Geometry'!$F$56)&lt;=C_eco,C_alpha*C_fck*(1-(1-(O24+P24*'Geometry'!$G$56+Q24*'Geometry'!$F$56)/C_eco)^C_n),C_alpha*C_fck),0)))*'Geometry'!$H$56*'Geometry'!$G$56+((MAX(MIN(S_1_Es*(O24+P24*'Geometry'!$G$57+Q24*'Geometry'!$F$57),S_1_fy),-S_1_fy))-(IF((O24+P24*'Geometry'!$G$57+Q24*'Geometry'!$F$57)&gt;0,IF((O24+P24*'Geometry'!$G$57+Q24*'Geometry'!$F$57)&lt;=C_eco,C_alpha*C_fck*(1-(1-(O24+P24*'Geometry'!$G$57+Q24*'Geometry'!$F$57)/C_eco)^C_n),C_alpha*C_fck),0)))*'Geometry'!$H$57*'Geometry'!$G$57)/1000000</f>
        <v>-916.6105721726203</v>
      </c>
      <c r="W24" s="10">
        <f>(((MAX(MIN(S_1_Es*(O24+P24*'Geometry'!$G$40+Q24*'Geometry'!$F$40),S_1_fy),-S_1_fy))-(IF((O24+P24*'Geometry'!$G$40+Q24*'Geometry'!$F$40)&gt;0,IF((O24+P24*'Geometry'!$G$40+Q24*'Geometry'!$F$40)&lt;=C_eco,C_alpha*C_fck*(1-(1-(O24+P24*'Geometry'!$G$40+Q24*'Geometry'!$F$40)/C_eco)^C_n),C_alpha*C_fck),0)))*'Geometry'!$H$40*'Geometry'!$F$40+((MAX(MIN(S_1_Es*(O24+P24*'Geometry'!$G$41+Q24*'Geometry'!$F$41),S_1_fy),-S_1_fy))-(IF((O24+P24*'Geometry'!$G$41+Q24*'Geometry'!$F$41)&gt;0,IF((O24+P24*'Geometry'!$G$41+Q24*'Geometry'!$F$41)&lt;=C_eco,C_alpha*C_fck*(1-(1-(O24+P24*'Geometry'!$G$41+Q24*'Geometry'!$F$41)/C_eco)^C_n),C_alpha*C_fck),0)))*'Geometry'!$H$41*'Geometry'!$F$41+((MAX(MIN(S_1_Es*(O24+P24*'Geometry'!$G$42+Q24*'Geometry'!$F$42),S_1_fy),-S_1_fy))-(IF((O24+P24*'Geometry'!$G$42+Q24*'Geometry'!$F$42)&gt;0,IF((O24+P24*'Geometry'!$G$42+Q24*'Geometry'!$F$42)&lt;=C_eco,C_alpha*C_fck*(1-(1-(O24+P24*'Geometry'!$G$42+Q24*'Geometry'!$F$42)/C_eco)^C_n),C_alpha*C_fck),0)))*'Geometry'!$H$42*'Geometry'!$F$42+((MAX(MIN(S_1_Es*(O24+P24*'Geometry'!$G$43+Q24*'Geometry'!$F$43),S_1_fy),-S_1_fy))-(IF((O24+P24*'Geometry'!$G$43+Q24*'Geometry'!$F$43)&gt;0,IF((O24+P24*'Geometry'!$G$43+Q24*'Geometry'!$F$43)&lt;=C_eco,C_alpha*C_fck*(1-(1-(O24+P24*'Geometry'!$G$43+Q24*'Geometry'!$F$43)/C_eco)^C_n),C_alpha*C_fck),0)))*'Geometry'!$H$43*'Geometry'!$F$43+((MAX(MIN(S_1_Es*(O24+P24*'Geometry'!$G$44+Q24*'Geometry'!$F$44),S_1_fy),-S_1_fy))-(IF((O24+P24*'Geometry'!$G$44+Q24*'Geometry'!$F$44)&gt;0,IF((O24+P24*'Geometry'!$G$44+Q24*'Geometry'!$F$44)&lt;=C_eco,C_alpha*C_fck*(1-(1-(O24+P24*'Geometry'!$G$44+Q24*'Geometry'!$F$44)/C_eco)^C_n),C_alpha*C_fck),0)))*'Geometry'!$H$44*'Geometry'!$F$44+((MAX(MIN(S_1_Es*(O24+P24*'Geometry'!$G$45+Q24*'Geometry'!$F$45),S_1_fy),-S_1_fy))-(IF((O24+P24*'Geometry'!$G$45+Q24*'Geometry'!$F$45)&gt;0,IF((O24+P24*'Geometry'!$G$45+Q24*'Geometry'!$F$45)&lt;=C_eco,C_alpha*C_fck*(1-(1-(O24+P24*'Geometry'!$G$45+Q24*'Geometry'!$F$45)/C_eco)^C_n),C_alpha*C_fck),0)))*'Geometry'!$H$45*'Geometry'!$F$45+((MAX(MIN(S_1_Es*(O24+P24*'Geometry'!$G$46+Q24*'Geometry'!$F$46),S_1_fy),-S_1_fy))-(IF((O24+P24*'Geometry'!$G$46+Q24*'Geometry'!$F$46)&gt;0,IF((O24+P24*'Geometry'!$G$46+Q24*'Geometry'!$F$46)&lt;=C_eco,C_alpha*C_fck*(1-(1-(O24+P24*'Geometry'!$G$46+Q24*'Geometry'!$F$46)/C_eco)^C_n),C_alpha*C_fck),0)))*'Geometry'!$H$46*'Geometry'!$F$46+((MAX(MIN(S_1_Es*(O24+P24*'Geometry'!$G$47+Q24*'Geometry'!$F$47),S_1_fy),-S_1_fy))-(IF((O24+P24*'Geometry'!$G$47+Q24*'Geometry'!$F$47)&gt;0,IF((O24+P24*'Geometry'!$G$47+Q24*'Geometry'!$F$47)&lt;=C_eco,C_alpha*C_fck*(1-(1-(O24+P24*'Geometry'!$G$47+Q24*'Geometry'!$F$47)/C_eco)^C_n),C_alpha*C_fck),0)))*'Geometry'!$H$47*'Geometry'!$F$47+((MAX(MIN(S_1_Es*(O24+P24*'Geometry'!$G$48+Q24*'Geometry'!$F$48),S_1_fy),-S_1_fy))-(IF((O24+P24*'Geometry'!$G$48+Q24*'Geometry'!$F$48)&gt;0,IF((O24+P24*'Geometry'!$G$48+Q24*'Geometry'!$F$48)&lt;=C_eco,C_alpha*C_fck*(1-(1-(O24+P24*'Geometry'!$G$48+Q24*'Geometry'!$F$48)/C_eco)^C_n),C_alpha*C_fck),0)))*'Geometry'!$H$48*'Geometry'!$F$48+((MAX(MIN(S_1_Es*(O24+P24*'Geometry'!$G$49+Q24*'Geometry'!$F$49),S_1_fy),-S_1_fy))-(IF((O24+P24*'Geometry'!$G$49+Q24*'Geometry'!$F$49)&gt;0,IF((O24+P24*'Geometry'!$G$49+Q24*'Geometry'!$F$49)&lt;=C_eco,C_alpha*C_fck*(1-(1-(O24+P24*'Geometry'!$G$49+Q24*'Geometry'!$F$49)/C_eco)^C_n),C_alpha*C_fck),0)))*'Geometry'!$H$49*'Geometry'!$F$49+((MAX(MIN(S_1_Es*(O24+P24*'Geometry'!$G$50+Q24*'Geometry'!$F$50),S_1_fy),-S_1_fy))-(IF((O24+P24*'Geometry'!$G$50+Q24*'Geometry'!$F$50)&gt;0,IF((O24+P24*'Geometry'!$G$50+Q24*'Geometry'!$F$50)&lt;=C_eco,C_alpha*C_fck*(1-(1-(O24+P24*'Geometry'!$G$50+Q24*'Geometry'!$F$50)/C_eco)^C_n),C_alpha*C_fck),0)))*'Geometry'!$H$50*'Geometry'!$F$50+((MAX(MIN(S_1_Es*(O24+P24*'Geometry'!$G$51+Q24*'Geometry'!$F$51),S_1_fy),-S_1_fy))-(IF((O24+P24*'Geometry'!$G$51+Q24*'Geometry'!$F$51)&gt;0,IF((O24+P24*'Geometry'!$G$51+Q24*'Geometry'!$F$51)&lt;=C_eco,C_alpha*C_fck*(1-(1-(O24+P24*'Geometry'!$G$51+Q24*'Geometry'!$F$51)/C_eco)^C_n),C_alpha*C_fck),0)))*'Geometry'!$H$51*'Geometry'!$F$51+((MAX(MIN(S_1_Es*(O24+P24*'Geometry'!$G$52+Q24*'Geometry'!$F$52),S_1_fy),-S_1_fy))-(IF((O24+P24*'Geometry'!$G$52+Q24*'Geometry'!$F$52)&gt;0,IF((O24+P24*'Geometry'!$G$52+Q24*'Geometry'!$F$52)&lt;=C_eco,C_alpha*C_fck*(1-(1-(O24+P24*'Geometry'!$G$52+Q24*'Geometry'!$F$52)/C_eco)^C_n),C_alpha*C_fck),0)))*'Geometry'!$H$52*'Geometry'!$F$52+((MAX(MIN(S_1_Es*(O24+P24*'Geometry'!$G$53+Q24*'Geometry'!$F$53),S_1_fy),-S_1_fy))-(IF((O24+P24*'Geometry'!$G$53+Q24*'Geometry'!$F$53)&gt;0,IF((O24+P24*'Geometry'!$G$53+Q24*'Geometry'!$F$53)&lt;=C_eco,C_alpha*C_fck*(1-(1-(O24+P24*'Geometry'!$G$53+Q24*'Geometry'!$F$53)/C_eco)^C_n),C_alpha*C_fck),0)))*'Geometry'!$H$53*'Geometry'!$F$53+((MAX(MIN(S_1_Es*(O24+P24*'Geometry'!$G$54+Q24*'Geometry'!$F$54),S_1_fy),-S_1_fy))-(IF((O24+P24*'Geometry'!$G$54+Q24*'Geometry'!$F$54)&gt;0,IF((O24+P24*'Geometry'!$G$54+Q24*'Geometry'!$F$54)&lt;=C_eco,C_alpha*C_fck*(1-(1-(O24+P24*'Geometry'!$G$54+Q24*'Geometry'!$F$54)/C_eco)^C_n),C_alpha*C_fck),0)))*'Geometry'!$H$54*'Geometry'!$F$54+((MAX(MIN(S_1_Es*(O24+P24*'Geometry'!$G$55+Q24*'Geometry'!$F$55),S_1_fy),-S_1_fy))-(IF((O24+P24*'Geometry'!$G$55+Q24*'Geometry'!$F$55)&gt;0,IF((O24+P24*'Geometry'!$G$55+Q24*'Geometry'!$F$55)&lt;=C_eco,C_alpha*C_fck*(1-(1-(O24+P24*'Geometry'!$G$55+Q24*'Geometry'!$F$55)/C_eco)^C_n),C_alpha*C_fck),0)))*'Geometry'!$H$55*'Geometry'!$F$55+((MAX(MIN(S_1_Es*(O24+P24*'Geometry'!$G$56+Q24*'Geometry'!$F$56),S_1_fy),-S_1_fy))-(IF((O24+P24*'Geometry'!$G$56+Q24*'Geometry'!$F$56)&gt;0,IF((O24+P24*'Geometry'!$G$56+Q24*'Geometry'!$F$56)&lt;=C_eco,C_alpha*C_fck*(1-(1-(O24+P24*'Geometry'!$G$56+Q24*'Geometry'!$F$56)/C_eco)^C_n),C_alpha*C_fck),0)))*'Geometry'!$H$56*'Geometry'!$F$56+((MAX(MIN(S_1_Es*(O24+P24*'Geometry'!$G$57+Q24*'Geometry'!$F$57),S_1_fy),-S_1_fy))-(IF((O24+P24*'Geometry'!$G$57+Q24*'Geometry'!$F$57)&gt;0,IF((O24+P24*'Geometry'!$G$57+Q24*'Geometry'!$F$57)&lt;=C_eco,C_alpha*C_fck*(1-(1-(O24+P24*'Geometry'!$G$57+Q24*'Geometry'!$F$57)/C_eco)^C_n),C_alpha*C_fck),0)))*'Geometry'!$H$57*'Geometry'!$F$57)/1000000</f>
        <v>514.3116793360281</v>
      </c>
      <c r="X24" s="10">
        <f>R24+U24</f>
        <v>-1537.8206965150414</v>
      </c>
      <c r="Y24" s="10">
        <f>S24+V24</f>
        <v>-2094.0433602010153</v>
      </c>
      <c r="Z24" s="10">
        <f>T24+W24</f>
        <v>1548.10605383739</v>
      </c>
      <c r="AA24" s="7">
        <v>0.85</v>
      </c>
      <c r="AB24" s="7">
        <v>0.85</v>
      </c>
      <c r="AC24" s="10">
        <f>X24*AA24</f>
        <v>-1307.147592037785</v>
      </c>
      <c r="AD24" s="10">
        <f>Y24*AB24</f>
        <v>-1779.9368561708632</v>
      </c>
      <c r="AE24" s="10">
        <f>Z24*AB24</f>
        <v>1315.8901457617815</v>
      </c>
      <c r="AF24" s="7">
        <v>-1307.147592037785</v>
      </c>
      <c r="AG24" s="7">
        <v>-1779.9368561708632</v>
      </c>
      <c r="AH24" s="7">
        <v>1315.8901457617815</v>
      </c>
      <c r="AI24" s="15">
        <f>AC24-AF24</f>
        <v>0</v>
      </c>
      <c r="AJ24" s="15">
        <f>SQRT((AD24-AG24)^2+(AE24-AH24)^2)</f>
        <v>0</v>
      </c>
      <c r="AK24" s="7" t="s">
        <v>189</v>
      </c>
      <c r="AL24" s="7">
        <v>-1537.8206965150414</v>
      </c>
      <c r="AM24" s="7">
        <v>-2094.0433602010153</v>
      </c>
      <c r="AN24" s="7">
        <v>1548.10605383739</v>
      </c>
      <c r="AO24" s="7">
        <v>2373.492694371873</v>
      </c>
      <c r="AP24" s="7">
        <v>-1177.4327880283952</v>
      </c>
      <c r="AQ24" s="7">
        <v>1033.7943745013617</v>
      </c>
      <c r="AR24" s="7">
        <v>-3911.3133908869145</v>
      </c>
      <c r="AS24" s="7">
        <v>-916.6105721726203</v>
      </c>
      <c r="AT24" s="7">
        <v>514.3116793360281</v>
      </c>
    </row>
    <row r="25" spans="1:46" x14ac:dyDescent="0.25">
      <c r="A25" s="7" t="s">
        <v>224</v>
      </c>
      <c r="B25" s="7">
        <v>1</v>
      </c>
      <c r="C25" s="18">
        <v>170</v>
      </c>
      <c r="D25" s="7" t="s">
        <v>225</v>
      </c>
      <c r="E25" s="7" t="s">
        <v>192</v>
      </c>
      <c r="F25" s="19">
        <v>170</v>
      </c>
      <c r="G25" s="7" t="s">
        <v>188</v>
      </c>
      <c r="H25" s="20">
        <v>7.5</v>
      </c>
      <c r="I25" s="10">
        <f>MAX(('Geometry'!$G$13*COS(RADIANS(F25))+'Geometry'!$F$13*SIN(RADIANS(F25))),('Geometry'!$G$14*COS(RADIANS(F25))+'Geometry'!$F$14*SIN(RADIANS(F25))),('Geometry'!$G$15*COS(RADIANS(F25))+'Geometry'!$F$15*SIN(RADIANS(F25))),('Geometry'!$G$16*COS(RADIANS(F25))+'Geometry'!$F$16*SIN(RADIANS(F25))),('Geometry'!$G$17*COS(RADIANS(F25))+'Geometry'!$F$17*SIN(RADIANS(F25))),('Geometry'!$G$18*COS(RADIANS(F25))+'Geometry'!$F$18*SIN(RADIANS(F25))),('Geometry'!$G$19*COS(RADIANS(F25))+'Geometry'!$F$19*SIN(RADIANS(F25))),('Geometry'!$G$20*COS(RADIANS(F25))+'Geometry'!$F$20*SIN(RADIANS(F25))))</f>
        <v>686.3911495241364</v>
      </c>
      <c r="J25" s="10">
        <f>MIN(('Geometry'!$G$40*COS(RADIANS(F25))+'Geometry'!$F$40*SIN(RADIANS(F25))),('Geometry'!$G$41*COS(RADIANS(F25))+'Geometry'!$F$41*SIN(RADIANS(F25))),('Geometry'!$G$42*COS(RADIANS(F25))+'Geometry'!$F$42*SIN(RADIANS(F25))),('Geometry'!$G$43*COS(RADIANS(F25))+'Geometry'!$F$43*SIN(RADIANS(F25))),('Geometry'!$G$44*COS(RADIANS(F25))+'Geometry'!$F$44*SIN(RADIANS(F25))),('Geometry'!$G$45*COS(RADIANS(F25))+'Geometry'!$F$45*SIN(RADIANS(F25))),('Geometry'!$G$46*COS(RADIANS(F25))+'Geometry'!$F$46*SIN(RADIANS(F25))),('Geometry'!$G$47*COS(RADIANS(F25))+'Geometry'!$F$47*SIN(RADIANS(F25))),('Geometry'!$G$48*COS(RADIANS(F25))+'Geometry'!$F$48*SIN(RADIANS(F25))),('Geometry'!$G$49*COS(RADIANS(F25))+'Geometry'!$F$49*SIN(RADIANS(F25))),('Geometry'!$G$50*COS(RADIANS(F25))+'Geometry'!$F$50*SIN(RADIANS(F25))),('Geometry'!$G$51*COS(RADIANS(F25))+'Geometry'!$F$51*SIN(RADIANS(F25))),('Geometry'!$G$52*COS(RADIANS(F25))+'Geometry'!$F$52*SIN(RADIANS(F25))),('Geometry'!$G$53*COS(RADIANS(F25))+'Geometry'!$F$53*SIN(RADIANS(F25))),('Geometry'!$G$54*COS(RADIANS(F25))+'Geometry'!$F$54*SIN(RADIANS(F25))),('Geometry'!$G$55*COS(RADIANS(F25))+'Geometry'!$F$55*SIN(RADIANS(F25))),('Geometry'!$G$56*COS(RADIANS(F25))+'Geometry'!$F$56*SIN(RADIANS(F25))),('Geometry'!$G$57*COS(RADIANS(F25))+'Geometry'!$F$57*SIN(RADIANS(F25))))</f>
        <v>-591.4073801632424</v>
      </c>
      <c r="K25" s="10">
        <f>I25-MIN(('Geometry'!$G$13*COS(RADIANS(F25))+'Geometry'!$F$13*SIN(RADIANS(F25))),('Geometry'!$G$14*COS(RADIANS(F25))+'Geometry'!$F$14*SIN(RADIANS(F25))),('Geometry'!$G$15*COS(RADIANS(F25))+'Geometry'!$F$15*SIN(RADIANS(F25))),('Geometry'!$G$16*COS(RADIANS(F25))+'Geometry'!$F$16*SIN(RADIANS(F25))),('Geometry'!$G$17*COS(RADIANS(F25))+'Geometry'!$F$17*SIN(RADIANS(F25))),('Geometry'!$G$18*COS(RADIANS(F25))+'Geometry'!$F$18*SIN(RADIANS(F25))),('Geometry'!$G$19*COS(RADIANS(F25))+'Geometry'!$F$19*SIN(RADIANS(F25))),('Geometry'!$G$20*COS(RADIANS(F25))+'Geometry'!$F$20*SIN(RADIANS(F25))))</f>
        <v>1372.7822990482728</v>
      </c>
      <c r="L25" s="15">
        <f>C_ecu</f>
        <v>0.0032999999999999982</v>
      </c>
      <c r="M25" s="15">
        <f>-H25*S_1_fy/S_1_Es</f>
        <v>-0.015</v>
      </c>
      <c r="N25" s="21">
        <f>IF(ABS(I25-J25)&lt;0.000000000001,0,(L25-M25)/(I25-J25))</f>
        <v>0.000014321506540218986</v>
      </c>
      <c r="O25" s="15">
        <f>L25-N25*I25</f>
        <v>-0.006530155337058348</v>
      </c>
      <c r="P25" s="21">
        <f>N25*COS(RADIANS(F25))</f>
        <v>-0.000014103930675622702</v>
      </c>
      <c r="Q25" s="21">
        <f>N25*SIN(RADIANS(F25))</f>
        <v>0.0000024869035121540506</v>
      </c>
      <c r="R25" s="10">
        <f>SUMPRODUCT(C_alpha*C_fck*(1-(1-(((O25+P25*Mesh_Y+Q25*Mesh_X))*((O25+P25*Mesh_Y+Q25*Mesh_X)&gt;0)*((O25+P25*Mesh_Y+Q25*Mesh_X)&lt;C_eco)+C_eco*((O25+P25*Mesh_Y+Q25*Mesh_X)&gt;=C_eco))/C_eco)^C_n)*(((O25+P25*Mesh_Y+Q25*Mesh_X))&gt;0),Mesh_A)/1000</f>
        <v>3126.7691062355857</v>
      </c>
      <c r="S25" s="10">
        <f>SUMPRODUCT(C_alpha*C_fck*(1-(1-(((O25+P25*Mesh_Y+Q25*Mesh_X))*((O25+P25*Mesh_Y+Q25*Mesh_X)&gt;0)*((O25+P25*Mesh_Y+Q25*Mesh_X)&lt;C_eco)+C_eco*((O25+P25*Mesh_Y+Q25*Mesh_X)&gt;=C_eco))/C_eco)^C_n)*(((O25+P25*Mesh_Y+Q25*Mesh_X))&gt;0),Mesh_A,Mesh_Y)/1000000</f>
        <v>-1629.480997511432</v>
      </c>
      <c r="T25" s="10">
        <f>SUMPRODUCT(C_alpha*C_fck*(1-(1-(((O25+P25*Mesh_Y+Q25*Mesh_X))*((O25+P25*Mesh_Y+Q25*Mesh_X)&gt;0)*((O25+P25*Mesh_Y+Q25*Mesh_X)&lt;C_eco)+C_eco*((O25+P25*Mesh_Y+Q25*Mesh_X)&gt;=C_eco))/C_eco)^C_n)*(((O25+P25*Mesh_Y+Q25*Mesh_X))&gt;0),Mesh_A,Mesh_X)/1000000</f>
        <v>796.648151003937</v>
      </c>
      <c r="U25" s="10">
        <f>(((MAX(MIN(S_1_Es*(O25+P25*'Geometry'!$G$40+Q25*'Geometry'!$F$40),S_1_fy),-S_1_fy))-(IF((O25+P25*'Geometry'!$G$40+Q25*'Geometry'!$F$40)&gt;0,IF((O25+P25*'Geometry'!$G$40+Q25*'Geometry'!$F$40)&lt;=C_eco,C_alpha*C_fck*(1-(1-(O25+P25*'Geometry'!$G$40+Q25*'Geometry'!$F$40)/C_eco)^C_n),C_alpha*C_fck),0)))*'Geometry'!$H$40+((MAX(MIN(S_1_Es*(O25+P25*'Geometry'!$G$41+Q25*'Geometry'!$F$41),S_1_fy),-S_1_fy))-(IF((O25+P25*'Geometry'!$G$41+Q25*'Geometry'!$F$41)&gt;0,IF((O25+P25*'Geometry'!$G$41+Q25*'Geometry'!$F$41)&lt;=C_eco,C_alpha*C_fck*(1-(1-(O25+P25*'Geometry'!$G$41+Q25*'Geometry'!$F$41)/C_eco)^C_n),C_alpha*C_fck),0)))*'Geometry'!$H$41+((MAX(MIN(S_1_Es*(O25+P25*'Geometry'!$G$42+Q25*'Geometry'!$F$42),S_1_fy),-S_1_fy))-(IF((O25+P25*'Geometry'!$G$42+Q25*'Geometry'!$F$42)&gt;0,IF((O25+P25*'Geometry'!$G$42+Q25*'Geometry'!$F$42)&lt;=C_eco,C_alpha*C_fck*(1-(1-(O25+P25*'Geometry'!$G$42+Q25*'Geometry'!$F$42)/C_eco)^C_n),C_alpha*C_fck),0)))*'Geometry'!$H$42+((MAX(MIN(S_1_Es*(O25+P25*'Geometry'!$G$43+Q25*'Geometry'!$F$43),S_1_fy),-S_1_fy))-(IF((O25+P25*'Geometry'!$G$43+Q25*'Geometry'!$F$43)&gt;0,IF((O25+P25*'Geometry'!$G$43+Q25*'Geometry'!$F$43)&lt;=C_eco,C_alpha*C_fck*(1-(1-(O25+P25*'Geometry'!$G$43+Q25*'Geometry'!$F$43)/C_eco)^C_n),C_alpha*C_fck),0)))*'Geometry'!$H$43+((MAX(MIN(S_1_Es*(O25+P25*'Geometry'!$G$44+Q25*'Geometry'!$F$44),S_1_fy),-S_1_fy))-(IF((O25+P25*'Geometry'!$G$44+Q25*'Geometry'!$F$44)&gt;0,IF((O25+P25*'Geometry'!$G$44+Q25*'Geometry'!$F$44)&lt;=C_eco,C_alpha*C_fck*(1-(1-(O25+P25*'Geometry'!$G$44+Q25*'Geometry'!$F$44)/C_eco)^C_n),C_alpha*C_fck),0)))*'Geometry'!$H$44+((MAX(MIN(S_1_Es*(O25+P25*'Geometry'!$G$45+Q25*'Geometry'!$F$45),S_1_fy),-S_1_fy))-(IF((O25+P25*'Geometry'!$G$45+Q25*'Geometry'!$F$45)&gt;0,IF((O25+P25*'Geometry'!$G$45+Q25*'Geometry'!$F$45)&lt;=C_eco,C_alpha*C_fck*(1-(1-(O25+P25*'Geometry'!$G$45+Q25*'Geometry'!$F$45)/C_eco)^C_n),C_alpha*C_fck),0)))*'Geometry'!$H$45+((MAX(MIN(S_1_Es*(O25+P25*'Geometry'!$G$46+Q25*'Geometry'!$F$46),S_1_fy),-S_1_fy))-(IF((O25+P25*'Geometry'!$G$46+Q25*'Geometry'!$F$46)&gt;0,IF((O25+P25*'Geometry'!$G$46+Q25*'Geometry'!$F$46)&lt;=C_eco,C_alpha*C_fck*(1-(1-(O25+P25*'Geometry'!$G$46+Q25*'Geometry'!$F$46)/C_eco)^C_n),C_alpha*C_fck),0)))*'Geometry'!$H$46+((MAX(MIN(S_1_Es*(O25+P25*'Geometry'!$G$47+Q25*'Geometry'!$F$47),S_1_fy),-S_1_fy))-(IF((O25+P25*'Geometry'!$G$47+Q25*'Geometry'!$F$47)&gt;0,IF((O25+P25*'Geometry'!$G$47+Q25*'Geometry'!$F$47)&lt;=C_eco,C_alpha*C_fck*(1-(1-(O25+P25*'Geometry'!$G$47+Q25*'Geometry'!$F$47)/C_eco)^C_n),C_alpha*C_fck),0)))*'Geometry'!$H$47+((MAX(MIN(S_1_Es*(O25+P25*'Geometry'!$G$48+Q25*'Geometry'!$F$48),S_1_fy),-S_1_fy))-(IF((O25+P25*'Geometry'!$G$48+Q25*'Geometry'!$F$48)&gt;0,IF((O25+P25*'Geometry'!$G$48+Q25*'Geometry'!$F$48)&lt;=C_eco,C_alpha*C_fck*(1-(1-(O25+P25*'Geometry'!$G$48+Q25*'Geometry'!$F$48)/C_eco)^C_n),C_alpha*C_fck),0)))*'Geometry'!$H$48+((MAX(MIN(S_1_Es*(O25+P25*'Geometry'!$G$49+Q25*'Geometry'!$F$49),S_1_fy),-S_1_fy))-(IF((O25+P25*'Geometry'!$G$49+Q25*'Geometry'!$F$49)&gt;0,IF((O25+P25*'Geometry'!$G$49+Q25*'Geometry'!$F$49)&lt;=C_eco,C_alpha*C_fck*(1-(1-(O25+P25*'Geometry'!$G$49+Q25*'Geometry'!$F$49)/C_eco)^C_n),C_alpha*C_fck),0)))*'Geometry'!$H$49+((MAX(MIN(S_1_Es*(O25+P25*'Geometry'!$G$50+Q25*'Geometry'!$F$50),S_1_fy),-S_1_fy))-(IF((O25+P25*'Geometry'!$G$50+Q25*'Geometry'!$F$50)&gt;0,IF((O25+P25*'Geometry'!$G$50+Q25*'Geometry'!$F$50)&lt;=C_eco,C_alpha*C_fck*(1-(1-(O25+P25*'Geometry'!$G$50+Q25*'Geometry'!$F$50)/C_eco)^C_n),C_alpha*C_fck),0)))*'Geometry'!$H$50+((MAX(MIN(S_1_Es*(O25+P25*'Geometry'!$G$51+Q25*'Geometry'!$F$51),S_1_fy),-S_1_fy))-(IF((O25+P25*'Geometry'!$G$51+Q25*'Geometry'!$F$51)&gt;0,IF((O25+P25*'Geometry'!$G$51+Q25*'Geometry'!$F$51)&lt;=C_eco,C_alpha*C_fck*(1-(1-(O25+P25*'Geometry'!$G$51+Q25*'Geometry'!$F$51)/C_eco)^C_n),C_alpha*C_fck),0)))*'Geometry'!$H$51+((MAX(MIN(S_1_Es*(O25+P25*'Geometry'!$G$52+Q25*'Geometry'!$F$52),S_1_fy),-S_1_fy))-(IF((O25+P25*'Geometry'!$G$52+Q25*'Geometry'!$F$52)&gt;0,IF((O25+P25*'Geometry'!$G$52+Q25*'Geometry'!$F$52)&lt;=C_eco,C_alpha*C_fck*(1-(1-(O25+P25*'Geometry'!$G$52+Q25*'Geometry'!$F$52)/C_eco)^C_n),C_alpha*C_fck),0)))*'Geometry'!$H$52+((MAX(MIN(S_1_Es*(O25+P25*'Geometry'!$G$53+Q25*'Geometry'!$F$53),S_1_fy),-S_1_fy))-(IF((O25+P25*'Geometry'!$G$53+Q25*'Geometry'!$F$53)&gt;0,IF((O25+P25*'Geometry'!$G$53+Q25*'Geometry'!$F$53)&lt;=C_eco,C_alpha*C_fck*(1-(1-(O25+P25*'Geometry'!$G$53+Q25*'Geometry'!$F$53)/C_eco)^C_n),C_alpha*C_fck),0)))*'Geometry'!$H$53+((MAX(MIN(S_1_Es*(O25+P25*'Geometry'!$G$54+Q25*'Geometry'!$F$54),S_1_fy),-S_1_fy))-(IF((O25+P25*'Geometry'!$G$54+Q25*'Geometry'!$F$54)&gt;0,IF((O25+P25*'Geometry'!$G$54+Q25*'Geometry'!$F$54)&lt;=C_eco,C_alpha*C_fck*(1-(1-(O25+P25*'Geometry'!$G$54+Q25*'Geometry'!$F$54)/C_eco)^C_n),C_alpha*C_fck),0)))*'Geometry'!$H$54+((MAX(MIN(S_1_Es*(O25+P25*'Geometry'!$G$55+Q25*'Geometry'!$F$55),S_1_fy),-S_1_fy))-(IF((O25+P25*'Geometry'!$G$55+Q25*'Geometry'!$F$55)&gt;0,IF((O25+P25*'Geometry'!$G$55+Q25*'Geometry'!$F$55)&lt;=C_eco,C_alpha*C_fck*(1-(1-(O25+P25*'Geometry'!$G$55+Q25*'Geometry'!$F$55)/C_eco)^C_n),C_alpha*C_fck),0)))*'Geometry'!$H$55+((MAX(MIN(S_1_Es*(O25+P25*'Geometry'!$G$56+Q25*'Geometry'!$F$56),S_1_fy),-S_1_fy))-(IF((O25+P25*'Geometry'!$G$56+Q25*'Geometry'!$F$56)&gt;0,IF((O25+P25*'Geometry'!$G$56+Q25*'Geometry'!$F$56)&lt;=C_eco,C_alpha*C_fck*(1-(1-(O25+P25*'Geometry'!$G$56+Q25*'Geometry'!$F$56)/C_eco)^C_n),C_alpha*C_fck),0)))*'Geometry'!$H$56+((MAX(MIN(S_1_Es*(O25+P25*'Geometry'!$G$57+Q25*'Geometry'!$F$57),S_1_fy),-S_1_fy))-(IF((O25+P25*'Geometry'!$G$57+Q25*'Geometry'!$F$57)&gt;0,IF((O25+P25*'Geometry'!$G$57+Q25*'Geometry'!$F$57)&lt;=C_eco,C_alpha*C_fck*(1-(1-(O25+P25*'Geometry'!$G$57+Q25*'Geometry'!$F$57)/C_eco)^C_n),C_alpha*C_fck),0)))*'Geometry'!$H$57)/1000</f>
        <v>-3260.566254521378</v>
      </c>
      <c r="V25" s="10">
        <f>(((MAX(MIN(S_1_Es*(O25+P25*'Geometry'!$G$40+Q25*'Geometry'!$F$40),S_1_fy),-S_1_fy))-(IF((O25+P25*'Geometry'!$G$40+Q25*'Geometry'!$F$40)&gt;0,IF((O25+P25*'Geometry'!$G$40+Q25*'Geometry'!$F$40)&lt;=C_eco,C_alpha*C_fck*(1-(1-(O25+P25*'Geometry'!$G$40+Q25*'Geometry'!$F$40)/C_eco)^C_n),C_alpha*C_fck),0)))*'Geometry'!$H$40*'Geometry'!$G$40+((MAX(MIN(S_1_Es*(O25+P25*'Geometry'!$G$41+Q25*'Geometry'!$F$41),S_1_fy),-S_1_fy))-(IF((O25+P25*'Geometry'!$G$41+Q25*'Geometry'!$F$41)&gt;0,IF((O25+P25*'Geometry'!$G$41+Q25*'Geometry'!$F$41)&lt;=C_eco,C_alpha*C_fck*(1-(1-(O25+P25*'Geometry'!$G$41+Q25*'Geometry'!$F$41)/C_eco)^C_n),C_alpha*C_fck),0)))*'Geometry'!$H$41*'Geometry'!$G$41+((MAX(MIN(S_1_Es*(O25+P25*'Geometry'!$G$42+Q25*'Geometry'!$F$42),S_1_fy),-S_1_fy))-(IF((O25+P25*'Geometry'!$G$42+Q25*'Geometry'!$F$42)&gt;0,IF((O25+P25*'Geometry'!$G$42+Q25*'Geometry'!$F$42)&lt;=C_eco,C_alpha*C_fck*(1-(1-(O25+P25*'Geometry'!$G$42+Q25*'Geometry'!$F$42)/C_eco)^C_n),C_alpha*C_fck),0)))*'Geometry'!$H$42*'Geometry'!$G$42+((MAX(MIN(S_1_Es*(O25+P25*'Geometry'!$G$43+Q25*'Geometry'!$F$43),S_1_fy),-S_1_fy))-(IF((O25+P25*'Geometry'!$G$43+Q25*'Geometry'!$F$43)&gt;0,IF((O25+P25*'Geometry'!$G$43+Q25*'Geometry'!$F$43)&lt;=C_eco,C_alpha*C_fck*(1-(1-(O25+P25*'Geometry'!$G$43+Q25*'Geometry'!$F$43)/C_eco)^C_n),C_alpha*C_fck),0)))*'Geometry'!$H$43*'Geometry'!$G$43+((MAX(MIN(S_1_Es*(O25+P25*'Geometry'!$G$44+Q25*'Geometry'!$F$44),S_1_fy),-S_1_fy))-(IF((O25+P25*'Geometry'!$G$44+Q25*'Geometry'!$F$44)&gt;0,IF((O25+P25*'Geometry'!$G$44+Q25*'Geometry'!$F$44)&lt;=C_eco,C_alpha*C_fck*(1-(1-(O25+P25*'Geometry'!$G$44+Q25*'Geometry'!$F$44)/C_eco)^C_n),C_alpha*C_fck),0)))*'Geometry'!$H$44*'Geometry'!$G$44+((MAX(MIN(S_1_Es*(O25+P25*'Geometry'!$G$45+Q25*'Geometry'!$F$45),S_1_fy),-S_1_fy))-(IF((O25+P25*'Geometry'!$G$45+Q25*'Geometry'!$F$45)&gt;0,IF((O25+P25*'Geometry'!$G$45+Q25*'Geometry'!$F$45)&lt;=C_eco,C_alpha*C_fck*(1-(1-(O25+P25*'Geometry'!$G$45+Q25*'Geometry'!$F$45)/C_eco)^C_n),C_alpha*C_fck),0)))*'Geometry'!$H$45*'Geometry'!$G$45+((MAX(MIN(S_1_Es*(O25+P25*'Geometry'!$G$46+Q25*'Geometry'!$F$46),S_1_fy),-S_1_fy))-(IF((O25+P25*'Geometry'!$G$46+Q25*'Geometry'!$F$46)&gt;0,IF((O25+P25*'Geometry'!$G$46+Q25*'Geometry'!$F$46)&lt;=C_eco,C_alpha*C_fck*(1-(1-(O25+P25*'Geometry'!$G$46+Q25*'Geometry'!$F$46)/C_eco)^C_n),C_alpha*C_fck),0)))*'Geometry'!$H$46*'Geometry'!$G$46+((MAX(MIN(S_1_Es*(O25+P25*'Geometry'!$G$47+Q25*'Geometry'!$F$47),S_1_fy),-S_1_fy))-(IF((O25+P25*'Geometry'!$G$47+Q25*'Geometry'!$F$47)&gt;0,IF((O25+P25*'Geometry'!$G$47+Q25*'Geometry'!$F$47)&lt;=C_eco,C_alpha*C_fck*(1-(1-(O25+P25*'Geometry'!$G$47+Q25*'Geometry'!$F$47)/C_eco)^C_n),C_alpha*C_fck),0)))*'Geometry'!$H$47*'Geometry'!$G$47+((MAX(MIN(S_1_Es*(O25+P25*'Geometry'!$G$48+Q25*'Geometry'!$F$48),S_1_fy),-S_1_fy))-(IF((O25+P25*'Geometry'!$G$48+Q25*'Geometry'!$F$48)&gt;0,IF((O25+P25*'Geometry'!$G$48+Q25*'Geometry'!$F$48)&lt;=C_eco,C_alpha*C_fck*(1-(1-(O25+P25*'Geometry'!$G$48+Q25*'Geometry'!$F$48)/C_eco)^C_n),C_alpha*C_fck),0)))*'Geometry'!$H$48*'Geometry'!$G$48+((MAX(MIN(S_1_Es*(O25+P25*'Geometry'!$G$49+Q25*'Geometry'!$F$49),S_1_fy),-S_1_fy))-(IF((O25+P25*'Geometry'!$G$49+Q25*'Geometry'!$F$49)&gt;0,IF((O25+P25*'Geometry'!$G$49+Q25*'Geometry'!$F$49)&lt;=C_eco,C_alpha*C_fck*(1-(1-(O25+P25*'Geometry'!$G$49+Q25*'Geometry'!$F$49)/C_eco)^C_n),C_alpha*C_fck),0)))*'Geometry'!$H$49*'Geometry'!$G$49+((MAX(MIN(S_1_Es*(O25+P25*'Geometry'!$G$50+Q25*'Geometry'!$F$50),S_1_fy),-S_1_fy))-(IF((O25+P25*'Geometry'!$G$50+Q25*'Geometry'!$F$50)&gt;0,IF((O25+P25*'Geometry'!$G$50+Q25*'Geometry'!$F$50)&lt;=C_eco,C_alpha*C_fck*(1-(1-(O25+P25*'Geometry'!$G$50+Q25*'Geometry'!$F$50)/C_eco)^C_n),C_alpha*C_fck),0)))*'Geometry'!$H$50*'Geometry'!$G$50+((MAX(MIN(S_1_Es*(O25+P25*'Geometry'!$G$51+Q25*'Geometry'!$F$51),S_1_fy),-S_1_fy))-(IF((O25+P25*'Geometry'!$G$51+Q25*'Geometry'!$F$51)&gt;0,IF((O25+P25*'Geometry'!$G$51+Q25*'Geometry'!$F$51)&lt;=C_eco,C_alpha*C_fck*(1-(1-(O25+P25*'Geometry'!$G$51+Q25*'Geometry'!$F$51)/C_eco)^C_n),C_alpha*C_fck),0)))*'Geometry'!$H$51*'Geometry'!$G$51+((MAX(MIN(S_1_Es*(O25+P25*'Geometry'!$G$52+Q25*'Geometry'!$F$52),S_1_fy),-S_1_fy))-(IF((O25+P25*'Geometry'!$G$52+Q25*'Geometry'!$F$52)&gt;0,IF((O25+P25*'Geometry'!$G$52+Q25*'Geometry'!$F$52)&lt;=C_eco,C_alpha*C_fck*(1-(1-(O25+P25*'Geometry'!$G$52+Q25*'Geometry'!$F$52)/C_eco)^C_n),C_alpha*C_fck),0)))*'Geometry'!$H$52*'Geometry'!$G$52+((MAX(MIN(S_1_Es*(O25+P25*'Geometry'!$G$53+Q25*'Geometry'!$F$53),S_1_fy),-S_1_fy))-(IF((O25+P25*'Geometry'!$G$53+Q25*'Geometry'!$F$53)&gt;0,IF((O25+P25*'Geometry'!$G$53+Q25*'Geometry'!$F$53)&lt;=C_eco,C_alpha*C_fck*(1-(1-(O25+P25*'Geometry'!$G$53+Q25*'Geometry'!$F$53)/C_eco)^C_n),C_alpha*C_fck),0)))*'Geometry'!$H$53*'Geometry'!$G$53+((MAX(MIN(S_1_Es*(O25+P25*'Geometry'!$G$54+Q25*'Geometry'!$F$54),S_1_fy),-S_1_fy))-(IF((O25+P25*'Geometry'!$G$54+Q25*'Geometry'!$F$54)&gt;0,IF((O25+P25*'Geometry'!$G$54+Q25*'Geometry'!$F$54)&lt;=C_eco,C_alpha*C_fck*(1-(1-(O25+P25*'Geometry'!$G$54+Q25*'Geometry'!$F$54)/C_eco)^C_n),C_alpha*C_fck),0)))*'Geometry'!$H$54*'Geometry'!$G$54+((MAX(MIN(S_1_Es*(O25+P25*'Geometry'!$G$55+Q25*'Geometry'!$F$55),S_1_fy),-S_1_fy))-(IF((O25+P25*'Geometry'!$G$55+Q25*'Geometry'!$F$55)&gt;0,IF((O25+P25*'Geometry'!$G$55+Q25*'Geometry'!$F$55)&lt;=C_eco,C_alpha*C_fck*(1-(1-(O25+P25*'Geometry'!$G$55+Q25*'Geometry'!$F$55)/C_eco)^C_n),C_alpha*C_fck),0)))*'Geometry'!$H$55*'Geometry'!$G$55+((MAX(MIN(S_1_Es*(O25+P25*'Geometry'!$G$56+Q25*'Geometry'!$F$56),S_1_fy),-S_1_fy))-(IF((O25+P25*'Geometry'!$G$56+Q25*'Geometry'!$F$56)&gt;0,IF((O25+P25*'Geometry'!$G$56+Q25*'Geometry'!$F$56)&lt;=C_eco,C_alpha*C_fck*(1-(1-(O25+P25*'Geometry'!$G$56+Q25*'Geometry'!$F$56)/C_eco)^C_n),C_alpha*C_fck),0)))*'Geometry'!$H$56*'Geometry'!$G$56+((MAX(MIN(S_1_Es*(O25+P25*'Geometry'!$G$57+Q25*'Geometry'!$F$57),S_1_fy),-S_1_fy))-(IF((O25+P25*'Geometry'!$G$57+Q25*'Geometry'!$F$57)&gt;0,IF((O25+P25*'Geometry'!$G$57+Q25*'Geometry'!$F$57)&lt;=C_eco,C_alpha*C_fck*(1-(1-(O25+P25*'Geometry'!$G$57+Q25*'Geometry'!$F$57)/C_eco)^C_n),C_alpha*C_fck),0)))*'Geometry'!$H$57*'Geometry'!$G$57)/1000000</f>
        <v>-1289.4072172119902</v>
      </c>
      <c r="W25" s="10">
        <f>(((MAX(MIN(S_1_Es*(O25+P25*'Geometry'!$G$40+Q25*'Geometry'!$F$40),S_1_fy),-S_1_fy))-(IF((O25+P25*'Geometry'!$G$40+Q25*'Geometry'!$F$40)&gt;0,IF((O25+P25*'Geometry'!$G$40+Q25*'Geometry'!$F$40)&lt;=C_eco,C_alpha*C_fck*(1-(1-(O25+P25*'Geometry'!$G$40+Q25*'Geometry'!$F$40)/C_eco)^C_n),C_alpha*C_fck),0)))*'Geometry'!$H$40*'Geometry'!$F$40+((MAX(MIN(S_1_Es*(O25+P25*'Geometry'!$G$41+Q25*'Geometry'!$F$41),S_1_fy),-S_1_fy))-(IF((O25+P25*'Geometry'!$G$41+Q25*'Geometry'!$F$41)&gt;0,IF((O25+P25*'Geometry'!$G$41+Q25*'Geometry'!$F$41)&lt;=C_eco,C_alpha*C_fck*(1-(1-(O25+P25*'Geometry'!$G$41+Q25*'Geometry'!$F$41)/C_eco)^C_n),C_alpha*C_fck),0)))*'Geometry'!$H$41*'Geometry'!$F$41+((MAX(MIN(S_1_Es*(O25+P25*'Geometry'!$G$42+Q25*'Geometry'!$F$42),S_1_fy),-S_1_fy))-(IF((O25+P25*'Geometry'!$G$42+Q25*'Geometry'!$F$42)&gt;0,IF((O25+P25*'Geometry'!$G$42+Q25*'Geometry'!$F$42)&lt;=C_eco,C_alpha*C_fck*(1-(1-(O25+P25*'Geometry'!$G$42+Q25*'Geometry'!$F$42)/C_eco)^C_n),C_alpha*C_fck),0)))*'Geometry'!$H$42*'Geometry'!$F$42+((MAX(MIN(S_1_Es*(O25+P25*'Geometry'!$G$43+Q25*'Geometry'!$F$43),S_1_fy),-S_1_fy))-(IF((O25+P25*'Geometry'!$G$43+Q25*'Geometry'!$F$43)&gt;0,IF((O25+P25*'Geometry'!$G$43+Q25*'Geometry'!$F$43)&lt;=C_eco,C_alpha*C_fck*(1-(1-(O25+P25*'Geometry'!$G$43+Q25*'Geometry'!$F$43)/C_eco)^C_n),C_alpha*C_fck),0)))*'Geometry'!$H$43*'Geometry'!$F$43+((MAX(MIN(S_1_Es*(O25+P25*'Geometry'!$G$44+Q25*'Geometry'!$F$44),S_1_fy),-S_1_fy))-(IF((O25+P25*'Geometry'!$G$44+Q25*'Geometry'!$F$44)&gt;0,IF((O25+P25*'Geometry'!$G$44+Q25*'Geometry'!$F$44)&lt;=C_eco,C_alpha*C_fck*(1-(1-(O25+P25*'Geometry'!$G$44+Q25*'Geometry'!$F$44)/C_eco)^C_n),C_alpha*C_fck),0)))*'Geometry'!$H$44*'Geometry'!$F$44+((MAX(MIN(S_1_Es*(O25+P25*'Geometry'!$G$45+Q25*'Geometry'!$F$45),S_1_fy),-S_1_fy))-(IF((O25+P25*'Geometry'!$G$45+Q25*'Geometry'!$F$45)&gt;0,IF((O25+P25*'Geometry'!$G$45+Q25*'Geometry'!$F$45)&lt;=C_eco,C_alpha*C_fck*(1-(1-(O25+P25*'Geometry'!$G$45+Q25*'Geometry'!$F$45)/C_eco)^C_n),C_alpha*C_fck),0)))*'Geometry'!$H$45*'Geometry'!$F$45+((MAX(MIN(S_1_Es*(O25+P25*'Geometry'!$G$46+Q25*'Geometry'!$F$46),S_1_fy),-S_1_fy))-(IF((O25+P25*'Geometry'!$G$46+Q25*'Geometry'!$F$46)&gt;0,IF((O25+P25*'Geometry'!$G$46+Q25*'Geometry'!$F$46)&lt;=C_eco,C_alpha*C_fck*(1-(1-(O25+P25*'Geometry'!$G$46+Q25*'Geometry'!$F$46)/C_eco)^C_n),C_alpha*C_fck),0)))*'Geometry'!$H$46*'Geometry'!$F$46+((MAX(MIN(S_1_Es*(O25+P25*'Geometry'!$G$47+Q25*'Geometry'!$F$47),S_1_fy),-S_1_fy))-(IF((O25+P25*'Geometry'!$G$47+Q25*'Geometry'!$F$47)&gt;0,IF((O25+P25*'Geometry'!$G$47+Q25*'Geometry'!$F$47)&lt;=C_eco,C_alpha*C_fck*(1-(1-(O25+P25*'Geometry'!$G$47+Q25*'Geometry'!$F$47)/C_eco)^C_n),C_alpha*C_fck),0)))*'Geometry'!$H$47*'Geometry'!$F$47+((MAX(MIN(S_1_Es*(O25+P25*'Geometry'!$G$48+Q25*'Geometry'!$F$48),S_1_fy),-S_1_fy))-(IF((O25+P25*'Geometry'!$G$48+Q25*'Geometry'!$F$48)&gt;0,IF((O25+P25*'Geometry'!$G$48+Q25*'Geometry'!$F$48)&lt;=C_eco,C_alpha*C_fck*(1-(1-(O25+P25*'Geometry'!$G$48+Q25*'Geometry'!$F$48)/C_eco)^C_n),C_alpha*C_fck),0)))*'Geometry'!$H$48*'Geometry'!$F$48+((MAX(MIN(S_1_Es*(O25+P25*'Geometry'!$G$49+Q25*'Geometry'!$F$49),S_1_fy),-S_1_fy))-(IF((O25+P25*'Geometry'!$G$49+Q25*'Geometry'!$F$49)&gt;0,IF((O25+P25*'Geometry'!$G$49+Q25*'Geometry'!$F$49)&lt;=C_eco,C_alpha*C_fck*(1-(1-(O25+P25*'Geometry'!$G$49+Q25*'Geometry'!$F$49)/C_eco)^C_n),C_alpha*C_fck),0)))*'Geometry'!$H$49*'Geometry'!$F$49+((MAX(MIN(S_1_Es*(O25+P25*'Geometry'!$G$50+Q25*'Geometry'!$F$50),S_1_fy),-S_1_fy))-(IF((O25+P25*'Geometry'!$G$50+Q25*'Geometry'!$F$50)&gt;0,IF((O25+P25*'Geometry'!$G$50+Q25*'Geometry'!$F$50)&lt;=C_eco,C_alpha*C_fck*(1-(1-(O25+P25*'Geometry'!$G$50+Q25*'Geometry'!$F$50)/C_eco)^C_n),C_alpha*C_fck),0)))*'Geometry'!$H$50*'Geometry'!$F$50+((MAX(MIN(S_1_Es*(O25+P25*'Geometry'!$G$51+Q25*'Geometry'!$F$51),S_1_fy),-S_1_fy))-(IF((O25+P25*'Geometry'!$G$51+Q25*'Geometry'!$F$51)&gt;0,IF((O25+P25*'Geometry'!$G$51+Q25*'Geometry'!$F$51)&lt;=C_eco,C_alpha*C_fck*(1-(1-(O25+P25*'Geometry'!$G$51+Q25*'Geometry'!$F$51)/C_eco)^C_n),C_alpha*C_fck),0)))*'Geometry'!$H$51*'Geometry'!$F$51+((MAX(MIN(S_1_Es*(O25+P25*'Geometry'!$G$52+Q25*'Geometry'!$F$52),S_1_fy),-S_1_fy))-(IF((O25+P25*'Geometry'!$G$52+Q25*'Geometry'!$F$52)&gt;0,IF((O25+P25*'Geometry'!$G$52+Q25*'Geometry'!$F$52)&lt;=C_eco,C_alpha*C_fck*(1-(1-(O25+P25*'Geometry'!$G$52+Q25*'Geometry'!$F$52)/C_eco)^C_n),C_alpha*C_fck),0)))*'Geometry'!$H$52*'Geometry'!$F$52+((MAX(MIN(S_1_Es*(O25+P25*'Geometry'!$G$53+Q25*'Geometry'!$F$53),S_1_fy),-S_1_fy))-(IF((O25+P25*'Geometry'!$G$53+Q25*'Geometry'!$F$53)&gt;0,IF((O25+P25*'Geometry'!$G$53+Q25*'Geometry'!$F$53)&lt;=C_eco,C_alpha*C_fck*(1-(1-(O25+P25*'Geometry'!$G$53+Q25*'Geometry'!$F$53)/C_eco)^C_n),C_alpha*C_fck),0)))*'Geometry'!$H$53*'Geometry'!$F$53+((MAX(MIN(S_1_Es*(O25+P25*'Geometry'!$G$54+Q25*'Geometry'!$F$54),S_1_fy),-S_1_fy))-(IF((O25+P25*'Geometry'!$G$54+Q25*'Geometry'!$F$54)&gt;0,IF((O25+P25*'Geometry'!$G$54+Q25*'Geometry'!$F$54)&lt;=C_eco,C_alpha*C_fck*(1-(1-(O25+P25*'Geometry'!$G$54+Q25*'Geometry'!$F$54)/C_eco)^C_n),C_alpha*C_fck),0)))*'Geometry'!$H$54*'Geometry'!$F$54+((MAX(MIN(S_1_Es*(O25+P25*'Geometry'!$G$55+Q25*'Geometry'!$F$55),S_1_fy),-S_1_fy))-(IF((O25+P25*'Geometry'!$G$55+Q25*'Geometry'!$F$55)&gt;0,IF((O25+P25*'Geometry'!$G$55+Q25*'Geometry'!$F$55)&lt;=C_eco,C_alpha*C_fck*(1-(1-(O25+P25*'Geometry'!$G$55+Q25*'Geometry'!$F$55)/C_eco)^C_n),C_alpha*C_fck),0)))*'Geometry'!$H$55*'Geometry'!$F$55+((MAX(MIN(S_1_Es*(O25+P25*'Geometry'!$G$56+Q25*'Geometry'!$F$56),S_1_fy),-S_1_fy))-(IF((O25+P25*'Geometry'!$G$56+Q25*'Geometry'!$F$56)&gt;0,IF((O25+P25*'Geometry'!$G$56+Q25*'Geometry'!$F$56)&lt;=C_eco,C_alpha*C_fck*(1-(1-(O25+P25*'Geometry'!$G$56+Q25*'Geometry'!$F$56)/C_eco)^C_n),C_alpha*C_fck),0)))*'Geometry'!$H$56*'Geometry'!$F$56+((MAX(MIN(S_1_Es*(O25+P25*'Geometry'!$G$57+Q25*'Geometry'!$F$57),S_1_fy),-S_1_fy))-(IF((O25+P25*'Geometry'!$G$57+Q25*'Geometry'!$F$57)&gt;0,IF((O25+P25*'Geometry'!$G$57+Q25*'Geometry'!$F$57)&lt;=C_eco,C_alpha*C_fck*(1-(1-(O25+P25*'Geometry'!$G$57+Q25*'Geometry'!$F$57)/C_eco)^C_n),C_alpha*C_fck),0)))*'Geometry'!$H$57*'Geometry'!$F$57)/1000000</f>
        <v>301.9252896082106</v>
      </c>
      <c r="X25" s="10">
        <f>R25+U25</f>
        <v>-133.79714828579267</v>
      </c>
      <c r="Y25" s="10">
        <f>S25+V25</f>
        <v>-2918.888214723422</v>
      </c>
      <c r="Z25" s="10">
        <f>T25+W25</f>
        <v>1098.5734406121476</v>
      </c>
      <c r="AA25" s="7">
        <v>0.85</v>
      </c>
      <c r="AB25" s="7">
        <v>0.8500000000000001</v>
      </c>
      <c r="AC25" s="10">
        <f>X25*AA25</f>
        <v>-113.72757604292377</v>
      </c>
      <c r="AD25" s="10">
        <f>Y25*AB25</f>
        <v>-2481.0549825149087</v>
      </c>
      <c r="AE25" s="10">
        <f>Z25*AB25</f>
        <v>933.7874245203254</v>
      </c>
      <c r="AF25" s="7">
        <v>-113.72757604292377</v>
      </c>
      <c r="AG25" s="7">
        <v>-2481.0549825149087</v>
      </c>
      <c r="AH25" s="7">
        <v>933.7874245203254</v>
      </c>
      <c r="AI25" s="15">
        <f>AC25-AF25</f>
        <v>0</v>
      </c>
      <c r="AJ25" s="15">
        <f>SQRT((AD25-AG25)^2+(AE25-AH25)^2)</f>
        <v>0</v>
      </c>
      <c r="AK25" s="7" t="s">
        <v>189</v>
      </c>
      <c r="AL25" s="7">
        <v>-133.79714828579267</v>
      </c>
      <c r="AM25" s="7">
        <v>-2918.888214723422</v>
      </c>
      <c r="AN25" s="7">
        <v>1098.5734406121476</v>
      </c>
      <c r="AO25" s="7">
        <v>3126.7691062355857</v>
      </c>
      <c r="AP25" s="7">
        <v>-1629.480997511432</v>
      </c>
      <c r="AQ25" s="7">
        <v>796.648151003937</v>
      </c>
      <c r="AR25" s="7">
        <v>-3260.566254521378</v>
      </c>
      <c r="AS25" s="7">
        <v>-1289.4072172119902</v>
      </c>
      <c r="AT25" s="7">
        <v>301.9252896082106</v>
      </c>
    </row>
    <row r="26" spans="1:46" x14ac:dyDescent="0.25">
      <c r="A26" s="7" t="s">
        <v>226</v>
      </c>
      <c r="B26" s="7">
        <v>1</v>
      </c>
      <c r="C26" s="18">
        <v>180</v>
      </c>
      <c r="D26" s="7" t="s">
        <v>227</v>
      </c>
      <c r="E26" s="7" t="s">
        <v>187</v>
      </c>
      <c r="F26" s="19">
        <v>180</v>
      </c>
      <c r="G26" s="7" t="s">
        <v>188</v>
      </c>
      <c r="H26" s="20">
        <v>20</v>
      </c>
      <c r="I26" s="10">
        <f>MAX(('Geometry'!$G$13*COS(RADIANS(F26))+'Geometry'!$F$13*SIN(RADIANS(F26))),('Geometry'!$G$14*COS(RADIANS(F26))+'Geometry'!$F$14*SIN(RADIANS(F26))),('Geometry'!$G$15*COS(RADIANS(F26))+'Geometry'!$F$15*SIN(RADIANS(F26))),('Geometry'!$G$16*COS(RADIANS(F26))+'Geometry'!$F$16*SIN(RADIANS(F26))),('Geometry'!$G$17*COS(RADIANS(F26))+'Geometry'!$F$17*SIN(RADIANS(F26))),('Geometry'!$G$18*COS(RADIANS(F26))+'Geometry'!$F$18*SIN(RADIANS(F26))),('Geometry'!$G$19*COS(RADIANS(F26))+'Geometry'!$F$19*SIN(RADIANS(F26))),('Geometry'!$G$20*COS(RADIANS(F26))+'Geometry'!$F$20*SIN(RADIANS(F26))))</f>
        <v>600.0000000000001</v>
      </c>
      <c r="J26" s="10">
        <f>MIN(('Geometry'!$G$40*COS(RADIANS(F26))+'Geometry'!$F$40*SIN(RADIANS(F26))),('Geometry'!$G$41*COS(RADIANS(F26))+'Geometry'!$F$41*SIN(RADIANS(F26))),('Geometry'!$G$42*COS(RADIANS(F26))+'Geometry'!$F$42*SIN(RADIANS(F26))),('Geometry'!$G$43*COS(RADIANS(F26))+'Geometry'!$F$43*SIN(RADIANS(F26))),('Geometry'!$G$44*COS(RADIANS(F26))+'Geometry'!$F$44*SIN(RADIANS(F26))),('Geometry'!$G$45*COS(RADIANS(F26))+'Geometry'!$F$45*SIN(RADIANS(F26))),('Geometry'!$G$46*COS(RADIANS(F26))+'Geometry'!$F$46*SIN(RADIANS(F26))),('Geometry'!$G$47*COS(RADIANS(F26))+'Geometry'!$F$47*SIN(RADIANS(F26))),('Geometry'!$G$48*COS(RADIANS(F26))+'Geometry'!$F$48*SIN(RADIANS(F26))),('Geometry'!$G$49*COS(RADIANS(F26))+'Geometry'!$F$49*SIN(RADIANS(F26))),('Geometry'!$G$50*COS(RADIANS(F26))+'Geometry'!$F$50*SIN(RADIANS(F26))),('Geometry'!$G$51*COS(RADIANS(F26))+'Geometry'!$F$51*SIN(RADIANS(F26))),('Geometry'!$G$52*COS(RADIANS(F26))+'Geometry'!$F$52*SIN(RADIANS(F26))),('Geometry'!$G$53*COS(RADIANS(F26))+'Geometry'!$F$53*SIN(RADIANS(F26))),('Geometry'!$G$54*COS(RADIANS(F26))+'Geometry'!$F$54*SIN(RADIANS(F26))),('Geometry'!$G$55*COS(RADIANS(F26))+'Geometry'!$F$55*SIN(RADIANS(F26))),('Geometry'!$G$56*COS(RADIANS(F26))+'Geometry'!$F$56*SIN(RADIANS(F26))),('Geometry'!$G$57*COS(RADIANS(F26))+'Geometry'!$F$57*SIN(RADIANS(F26))))</f>
        <v>-530</v>
      </c>
      <c r="K26" s="10">
        <f>I26-MIN(('Geometry'!$G$13*COS(RADIANS(F26))+'Geometry'!$F$13*SIN(RADIANS(F26))),('Geometry'!$G$14*COS(RADIANS(F26))+'Geometry'!$F$14*SIN(RADIANS(F26))),('Geometry'!$G$15*COS(RADIANS(F26))+'Geometry'!$F$15*SIN(RADIANS(F26))),('Geometry'!$G$16*COS(RADIANS(F26))+'Geometry'!$F$16*SIN(RADIANS(F26))),('Geometry'!$G$17*COS(RADIANS(F26))+'Geometry'!$F$17*SIN(RADIANS(F26))),('Geometry'!$G$18*COS(RADIANS(F26))+'Geometry'!$F$18*SIN(RADIANS(F26))),('Geometry'!$G$19*COS(RADIANS(F26))+'Geometry'!$F$19*SIN(RADIANS(F26))),('Geometry'!$G$20*COS(RADIANS(F26))+'Geometry'!$F$20*SIN(RADIANS(F26))))</f>
        <v>1200.0000000000002</v>
      </c>
      <c r="L26" s="15">
        <f>C_ecu</f>
        <v>0.003300000000000001</v>
      </c>
      <c r="M26" s="15">
        <f>-H26*S_1_fy/S_1_Es</f>
        <v>-0.04</v>
      </c>
      <c r="N26" s="21">
        <f>IF(ABS(I26-J26)&lt;0.000000000001,0,(L26-M26)/(I26-J26))</f>
        <v>0.000038318584070796456</v>
      </c>
      <c r="O26" s="15">
        <f>L26-N26*I26</f>
        <v>-0.01969115044247788</v>
      </c>
      <c r="P26" s="21">
        <f>N26*COS(RADIANS(F26))</f>
        <v>-0.000038318584070796456</v>
      </c>
      <c r="Q26" s="21">
        <f>N26*SIN(RADIANS(F26))</f>
        <v>4.6926731330159634e-21</v>
      </c>
      <c r="R26" s="10">
        <f>SUMPRODUCT(C_alpha*C_fck*(1-(1-(((O26+P26*Mesh_Y+Q26*Mesh_X))*((O26+P26*Mesh_Y+Q26*Mesh_X)&gt;0)*((O26+P26*Mesh_Y+Q26*Mesh_X)&lt;C_eco)+C_eco*((O26+P26*Mesh_Y+Q26*Mesh_X)&gt;=C_eco))/C_eco)^C_n)*(((O26+P26*Mesh_Y+Q26*Mesh_X))&gt;0),Mesh_A)/1000</f>
        <v>2156.3363351814764</v>
      </c>
      <c r="S26" s="10">
        <f>SUMPRODUCT(C_alpha*C_fck*(1-(1-(((O26+P26*Mesh_Y+Q26*Mesh_X))*((O26+P26*Mesh_Y+Q26*Mesh_X)&gt;0)*((O26+P26*Mesh_Y+Q26*Mesh_X)&lt;C_eco)+C_eco*((O26+P26*Mesh_Y+Q26*Mesh_X)&gt;=C_eco))/C_eco)^C_n)*(((O26+P26*Mesh_Y+Q26*Mesh_X))&gt;0),Mesh_A,Mesh_Y)/1000000</f>
        <v>-1221.2874690013778</v>
      </c>
      <c r="T26" s="10">
        <f>SUMPRODUCT(C_alpha*C_fck*(1-(1-(((O26+P26*Mesh_Y+Q26*Mesh_X))*((O26+P26*Mesh_Y+Q26*Mesh_X)&gt;0)*((O26+P26*Mesh_Y+Q26*Mesh_X)&lt;C_eco)+C_eco*((O26+P26*Mesh_Y+Q26*Mesh_X)&gt;=C_eco))/C_eco)^C_n)*(((O26+P26*Mesh_Y+Q26*Mesh_X))&gt;0),Mesh_A,Mesh_X)/1000000</f>
        <v>1.5633330789127815</v>
      </c>
      <c r="U26" s="10">
        <f>(((MAX(MIN(S_1_Es*(O26+P26*'Geometry'!$G$40+Q26*'Geometry'!$F$40),S_1_fy),-S_1_fy))-(IF((O26+P26*'Geometry'!$G$40+Q26*'Geometry'!$F$40)&gt;0,IF((O26+P26*'Geometry'!$G$40+Q26*'Geometry'!$F$40)&lt;=C_eco,C_alpha*C_fck*(1-(1-(O26+P26*'Geometry'!$G$40+Q26*'Geometry'!$F$40)/C_eco)^C_n),C_alpha*C_fck),0)))*'Geometry'!$H$40+((MAX(MIN(S_1_Es*(O26+P26*'Geometry'!$G$41+Q26*'Geometry'!$F$41),S_1_fy),-S_1_fy))-(IF((O26+P26*'Geometry'!$G$41+Q26*'Geometry'!$F$41)&gt;0,IF((O26+P26*'Geometry'!$G$41+Q26*'Geometry'!$F$41)&lt;=C_eco,C_alpha*C_fck*(1-(1-(O26+P26*'Geometry'!$G$41+Q26*'Geometry'!$F$41)/C_eco)^C_n),C_alpha*C_fck),0)))*'Geometry'!$H$41+((MAX(MIN(S_1_Es*(O26+P26*'Geometry'!$G$42+Q26*'Geometry'!$F$42),S_1_fy),-S_1_fy))-(IF((O26+P26*'Geometry'!$G$42+Q26*'Geometry'!$F$42)&gt;0,IF((O26+P26*'Geometry'!$G$42+Q26*'Geometry'!$F$42)&lt;=C_eco,C_alpha*C_fck*(1-(1-(O26+P26*'Geometry'!$G$42+Q26*'Geometry'!$F$42)/C_eco)^C_n),C_alpha*C_fck),0)))*'Geometry'!$H$42+((MAX(MIN(S_1_Es*(O26+P26*'Geometry'!$G$43+Q26*'Geometry'!$F$43),S_1_fy),-S_1_fy))-(IF((O26+P26*'Geometry'!$G$43+Q26*'Geometry'!$F$43)&gt;0,IF((O26+P26*'Geometry'!$G$43+Q26*'Geometry'!$F$43)&lt;=C_eco,C_alpha*C_fck*(1-(1-(O26+P26*'Geometry'!$G$43+Q26*'Geometry'!$F$43)/C_eco)^C_n),C_alpha*C_fck),0)))*'Geometry'!$H$43+((MAX(MIN(S_1_Es*(O26+P26*'Geometry'!$G$44+Q26*'Geometry'!$F$44),S_1_fy),-S_1_fy))-(IF((O26+P26*'Geometry'!$G$44+Q26*'Geometry'!$F$44)&gt;0,IF((O26+P26*'Geometry'!$G$44+Q26*'Geometry'!$F$44)&lt;=C_eco,C_alpha*C_fck*(1-(1-(O26+P26*'Geometry'!$G$44+Q26*'Geometry'!$F$44)/C_eco)^C_n),C_alpha*C_fck),0)))*'Geometry'!$H$44+((MAX(MIN(S_1_Es*(O26+P26*'Geometry'!$G$45+Q26*'Geometry'!$F$45),S_1_fy),-S_1_fy))-(IF((O26+P26*'Geometry'!$G$45+Q26*'Geometry'!$F$45)&gt;0,IF((O26+P26*'Geometry'!$G$45+Q26*'Geometry'!$F$45)&lt;=C_eco,C_alpha*C_fck*(1-(1-(O26+P26*'Geometry'!$G$45+Q26*'Geometry'!$F$45)/C_eco)^C_n),C_alpha*C_fck),0)))*'Geometry'!$H$45+((MAX(MIN(S_1_Es*(O26+P26*'Geometry'!$G$46+Q26*'Geometry'!$F$46),S_1_fy),-S_1_fy))-(IF((O26+P26*'Geometry'!$G$46+Q26*'Geometry'!$F$46)&gt;0,IF((O26+P26*'Geometry'!$G$46+Q26*'Geometry'!$F$46)&lt;=C_eco,C_alpha*C_fck*(1-(1-(O26+P26*'Geometry'!$G$46+Q26*'Geometry'!$F$46)/C_eco)^C_n),C_alpha*C_fck),0)))*'Geometry'!$H$46+((MAX(MIN(S_1_Es*(O26+P26*'Geometry'!$G$47+Q26*'Geometry'!$F$47),S_1_fy),-S_1_fy))-(IF((O26+P26*'Geometry'!$G$47+Q26*'Geometry'!$F$47)&gt;0,IF((O26+P26*'Geometry'!$G$47+Q26*'Geometry'!$F$47)&lt;=C_eco,C_alpha*C_fck*(1-(1-(O26+P26*'Geometry'!$G$47+Q26*'Geometry'!$F$47)/C_eco)^C_n),C_alpha*C_fck),0)))*'Geometry'!$H$47+((MAX(MIN(S_1_Es*(O26+P26*'Geometry'!$G$48+Q26*'Geometry'!$F$48),S_1_fy),-S_1_fy))-(IF((O26+P26*'Geometry'!$G$48+Q26*'Geometry'!$F$48)&gt;0,IF((O26+P26*'Geometry'!$G$48+Q26*'Geometry'!$F$48)&lt;=C_eco,C_alpha*C_fck*(1-(1-(O26+P26*'Geometry'!$G$48+Q26*'Geometry'!$F$48)/C_eco)^C_n),C_alpha*C_fck),0)))*'Geometry'!$H$48+((MAX(MIN(S_1_Es*(O26+P26*'Geometry'!$G$49+Q26*'Geometry'!$F$49),S_1_fy),-S_1_fy))-(IF((O26+P26*'Geometry'!$G$49+Q26*'Geometry'!$F$49)&gt;0,IF((O26+P26*'Geometry'!$G$49+Q26*'Geometry'!$F$49)&lt;=C_eco,C_alpha*C_fck*(1-(1-(O26+P26*'Geometry'!$G$49+Q26*'Geometry'!$F$49)/C_eco)^C_n),C_alpha*C_fck),0)))*'Geometry'!$H$49+((MAX(MIN(S_1_Es*(O26+P26*'Geometry'!$G$50+Q26*'Geometry'!$F$50),S_1_fy),-S_1_fy))-(IF((O26+P26*'Geometry'!$G$50+Q26*'Geometry'!$F$50)&gt;0,IF((O26+P26*'Geometry'!$G$50+Q26*'Geometry'!$F$50)&lt;=C_eco,C_alpha*C_fck*(1-(1-(O26+P26*'Geometry'!$G$50+Q26*'Geometry'!$F$50)/C_eco)^C_n),C_alpha*C_fck),0)))*'Geometry'!$H$50+((MAX(MIN(S_1_Es*(O26+P26*'Geometry'!$G$51+Q26*'Geometry'!$F$51),S_1_fy),-S_1_fy))-(IF((O26+P26*'Geometry'!$G$51+Q26*'Geometry'!$F$51)&gt;0,IF((O26+P26*'Geometry'!$G$51+Q26*'Geometry'!$F$51)&lt;=C_eco,C_alpha*C_fck*(1-(1-(O26+P26*'Geometry'!$G$51+Q26*'Geometry'!$F$51)/C_eco)^C_n),C_alpha*C_fck),0)))*'Geometry'!$H$51+((MAX(MIN(S_1_Es*(O26+P26*'Geometry'!$G$52+Q26*'Geometry'!$F$52),S_1_fy),-S_1_fy))-(IF((O26+P26*'Geometry'!$G$52+Q26*'Geometry'!$F$52)&gt;0,IF((O26+P26*'Geometry'!$G$52+Q26*'Geometry'!$F$52)&lt;=C_eco,C_alpha*C_fck*(1-(1-(O26+P26*'Geometry'!$G$52+Q26*'Geometry'!$F$52)/C_eco)^C_n),C_alpha*C_fck),0)))*'Geometry'!$H$52+((MAX(MIN(S_1_Es*(O26+P26*'Geometry'!$G$53+Q26*'Geometry'!$F$53),S_1_fy),-S_1_fy))-(IF((O26+P26*'Geometry'!$G$53+Q26*'Geometry'!$F$53)&gt;0,IF((O26+P26*'Geometry'!$G$53+Q26*'Geometry'!$F$53)&lt;=C_eco,C_alpha*C_fck*(1-(1-(O26+P26*'Geometry'!$G$53+Q26*'Geometry'!$F$53)/C_eco)^C_n),C_alpha*C_fck),0)))*'Geometry'!$H$53+((MAX(MIN(S_1_Es*(O26+P26*'Geometry'!$G$54+Q26*'Geometry'!$F$54),S_1_fy),-S_1_fy))-(IF((O26+P26*'Geometry'!$G$54+Q26*'Geometry'!$F$54)&gt;0,IF((O26+P26*'Geometry'!$G$54+Q26*'Geometry'!$F$54)&lt;=C_eco,C_alpha*C_fck*(1-(1-(O26+P26*'Geometry'!$G$54+Q26*'Geometry'!$F$54)/C_eco)^C_n),C_alpha*C_fck),0)))*'Geometry'!$H$54+((MAX(MIN(S_1_Es*(O26+P26*'Geometry'!$G$55+Q26*'Geometry'!$F$55),S_1_fy),-S_1_fy))-(IF((O26+P26*'Geometry'!$G$55+Q26*'Geometry'!$F$55)&gt;0,IF((O26+P26*'Geometry'!$G$55+Q26*'Geometry'!$F$55)&lt;=C_eco,C_alpha*C_fck*(1-(1-(O26+P26*'Geometry'!$G$55+Q26*'Geometry'!$F$55)/C_eco)^C_n),C_alpha*C_fck),0)))*'Geometry'!$H$55+((MAX(MIN(S_1_Es*(O26+P26*'Geometry'!$G$56+Q26*'Geometry'!$F$56),S_1_fy),-S_1_fy))-(IF((O26+P26*'Geometry'!$G$56+Q26*'Geometry'!$F$56)&gt;0,IF((O26+P26*'Geometry'!$G$56+Q26*'Geometry'!$F$56)&lt;=C_eco,C_alpha*C_fck*(1-(1-(O26+P26*'Geometry'!$G$56+Q26*'Geometry'!$F$56)/C_eco)^C_n),C_alpha*C_fck),0)))*'Geometry'!$H$56+((MAX(MIN(S_1_Es*(O26+P26*'Geometry'!$G$57+Q26*'Geometry'!$F$57),S_1_fy),-S_1_fy))-(IF((O26+P26*'Geometry'!$G$57+Q26*'Geometry'!$F$57)&gt;0,IF((O26+P26*'Geometry'!$G$57+Q26*'Geometry'!$F$57)&lt;=C_eco,C_alpha*C_fck*(1-(1-(O26+P26*'Geometry'!$G$57+Q26*'Geometry'!$F$57)/C_eco)^C_n),C_alpha*C_fck),0)))*'Geometry'!$H$57)/1000</f>
        <v>-3738.8636401046665</v>
      </c>
      <c r="V26" s="10">
        <f>(((MAX(MIN(S_1_Es*(O26+P26*'Geometry'!$G$40+Q26*'Geometry'!$F$40),S_1_fy),-S_1_fy))-(IF((O26+P26*'Geometry'!$G$40+Q26*'Geometry'!$F$40)&gt;0,IF((O26+P26*'Geometry'!$G$40+Q26*'Geometry'!$F$40)&lt;=C_eco,C_alpha*C_fck*(1-(1-(O26+P26*'Geometry'!$G$40+Q26*'Geometry'!$F$40)/C_eco)^C_n),C_alpha*C_fck),0)))*'Geometry'!$H$40*'Geometry'!$G$40+((MAX(MIN(S_1_Es*(O26+P26*'Geometry'!$G$41+Q26*'Geometry'!$F$41),S_1_fy),-S_1_fy))-(IF((O26+P26*'Geometry'!$G$41+Q26*'Geometry'!$F$41)&gt;0,IF((O26+P26*'Geometry'!$G$41+Q26*'Geometry'!$F$41)&lt;=C_eco,C_alpha*C_fck*(1-(1-(O26+P26*'Geometry'!$G$41+Q26*'Geometry'!$F$41)/C_eco)^C_n),C_alpha*C_fck),0)))*'Geometry'!$H$41*'Geometry'!$G$41+((MAX(MIN(S_1_Es*(O26+P26*'Geometry'!$G$42+Q26*'Geometry'!$F$42),S_1_fy),-S_1_fy))-(IF((O26+P26*'Geometry'!$G$42+Q26*'Geometry'!$F$42)&gt;0,IF((O26+P26*'Geometry'!$G$42+Q26*'Geometry'!$F$42)&lt;=C_eco,C_alpha*C_fck*(1-(1-(O26+P26*'Geometry'!$G$42+Q26*'Geometry'!$F$42)/C_eco)^C_n),C_alpha*C_fck),0)))*'Geometry'!$H$42*'Geometry'!$G$42+((MAX(MIN(S_1_Es*(O26+P26*'Geometry'!$G$43+Q26*'Geometry'!$F$43),S_1_fy),-S_1_fy))-(IF((O26+P26*'Geometry'!$G$43+Q26*'Geometry'!$F$43)&gt;0,IF((O26+P26*'Geometry'!$G$43+Q26*'Geometry'!$F$43)&lt;=C_eco,C_alpha*C_fck*(1-(1-(O26+P26*'Geometry'!$G$43+Q26*'Geometry'!$F$43)/C_eco)^C_n),C_alpha*C_fck),0)))*'Geometry'!$H$43*'Geometry'!$G$43+((MAX(MIN(S_1_Es*(O26+P26*'Geometry'!$G$44+Q26*'Geometry'!$F$44),S_1_fy),-S_1_fy))-(IF((O26+P26*'Geometry'!$G$44+Q26*'Geometry'!$F$44)&gt;0,IF((O26+P26*'Geometry'!$G$44+Q26*'Geometry'!$F$44)&lt;=C_eco,C_alpha*C_fck*(1-(1-(O26+P26*'Geometry'!$G$44+Q26*'Geometry'!$F$44)/C_eco)^C_n),C_alpha*C_fck),0)))*'Geometry'!$H$44*'Geometry'!$G$44+((MAX(MIN(S_1_Es*(O26+P26*'Geometry'!$G$45+Q26*'Geometry'!$F$45),S_1_fy),-S_1_fy))-(IF((O26+P26*'Geometry'!$G$45+Q26*'Geometry'!$F$45)&gt;0,IF((O26+P26*'Geometry'!$G$45+Q26*'Geometry'!$F$45)&lt;=C_eco,C_alpha*C_fck*(1-(1-(O26+P26*'Geometry'!$G$45+Q26*'Geometry'!$F$45)/C_eco)^C_n),C_alpha*C_fck),0)))*'Geometry'!$H$45*'Geometry'!$G$45+((MAX(MIN(S_1_Es*(O26+P26*'Geometry'!$G$46+Q26*'Geometry'!$F$46),S_1_fy),-S_1_fy))-(IF((O26+P26*'Geometry'!$G$46+Q26*'Geometry'!$F$46)&gt;0,IF((O26+P26*'Geometry'!$G$46+Q26*'Geometry'!$F$46)&lt;=C_eco,C_alpha*C_fck*(1-(1-(O26+P26*'Geometry'!$G$46+Q26*'Geometry'!$F$46)/C_eco)^C_n),C_alpha*C_fck),0)))*'Geometry'!$H$46*'Geometry'!$G$46+((MAX(MIN(S_1_Es*(O26+P26*'Geometry'!$G$47+Q26*'Geometry'!$F$47),S_1_fy),-S_1_fy))-(IF((O26+P26*'Geometry'!$G$47+Q26*'Geometry'!$F$47)&gt;0,IF((O26+P26*'Geometry'!$G$47+Q26*'Geometry'!$F$47)&lt;=C_eco,C_alpha*C_fck*(1-(1-(O26+P26*'Geometry'!$G$47+Q26*'Geometry'!$F$47)/C_eco)^C_n),C_alpha*C_fck),0)))*'Geometry'!$H$47*'Geometry'!$G$47+((MAX(MIN(S_1_Es*(O26+P26*'Geometry'!$G$48+Q26*'Geometry'!$F$48),S_1_fy),-S_1_fy))-(IF((O26+P26*'Geometry'!$G$48+Q26*'Geometry'!$F$48)&gt;0,IF((O26+P26*'Geometry'!$G$48+Q26*'Geometry'!$F$48)&lt;=C_eco,C_alpha*C_fck*(1-(1-(O26+P26*'Geometry'!$G$48+Q26*'Geometry'!$F$48)/C_eco)^C_n),C_alpha*C_fck),0)))*'Geometry'!$H$48*'Geometry'!$G$48+((MAX(MIN(S_1_Es*(O26+P26*'Geometry'!$G$49+Q26*'Geometry'!$F$49),S_1_fy),-S_1_fy))-(IF((O26+P26*'Geometry'!$G$49+Q26*'Geometry'!$F$49)&gt;0,IF((O26+P26*'Geometry'!$G$49+Q26*'Geometry'!$F$49)&lt;=C_eco,C_alpha*C_fck*(1-(1-(O26+P26*'Geometry'!$G$49+Q26*'Geometry'!$F$49)/C_eco)^C_n),C_alpha*C_fck),0)))*'Geometry'!$H$49*'Geometry'!$G$49+((MAX(MIN(S_1_Es*(O26+P26*'Geometry'!$G$50+Q26*'Geometry'!$F$50),S_1_fy),-S_1_fy))-(IF((O26+P26*'Geometry'!$G$50+Q26*'Geometry'!$F$50)&gt;0,IF((O26+P26*'Geometry'!$G$50+Q26*'Geometry'!$F$50)&lt;=C_eco,C_alpha*C_fck*(1-(1-(O26+P26*'Geometry'!$G$50+Q26*'Geometry'!$F$50)/C_eco)^C_n),C_alpha*C_fck),0)))*'Geometry'!$H$50*'Geometry'!$G$50+((MAX(MIN(S_1_Es*(O26+P26*'Geometry'!$G$51+Q26*'Geometry'!$F$51),S_1_fy),-S_1_fy))-(IF((O26+P26*'Geometry'!$G$51+Q26*'Geometry'!$F$51)&gt;0,IF((O26+P26*'Geometry'!$G$51+Q26*'Geometry'!$F$51)&lt;=C_eco,C_alpha*C_fck*(1-(1-(O26+P26*'Geometry'!$G$51+Q26*'Geometry'!$F$51)/C_eco)^C_n),C_alpha*C_fck),0)))*'Geometry'!$H$51*'Geometry'!$G$51+((MAX(MIN(S_1_Es*(O26+P26*'Geometry'!$G$52+Q26*'Geometry'!$F$52),S_1_fy),-S_1_fy))-(IF((O26+P26*'Geometry'!$G$52+Q26*'Geometry'!$F$52)&gt;0,IF((O26+P26*'Geometry'!$G$52+Q26*'Geometry'!$F$52)&lt;=C_eco,C_alpha*C_fck*(1-(1-(O26+P26*'Geometry'!$G$52+Q26*'Geometry'!$F$52)/C_eco)^C_n),C_alpha*C_fck),0)))*'Geometry'!$H$52*'Geometry'!$G$52+((MAX(MIN(S_1_Es*(O26+P26*'Geometry'!$G$53+Q26*'Geometry'!$F$53),S_1_fy),-S_1_fy))-(IF((O26+P26*'Geometry'!$G$53+Q26*'Geometry'!$F$53)&gt;0,IF((O26+P26*'Geometry'!$G$53+Q26*'Geometry'!$F$53)&lt;=C_eco,C_alpha*C_fck*(1-(1-(O26+P26*'Geometry'!$G$53+Q26*'Geometry'!$F$53)/C_eco)^C_n),C_alpha*C_fck),0)))*'Geometry'!$H$53*'Geometry'!$G$53+((MAX(MIN(S_1_Es*(O26+P26*'Geometry'!$G$54+Q26*'Geometry'!$F$54),S_1_fy),-S_1_fy))-(IF((O26+P26*'Geometry'!$G$54+Q26*'Geometry'!$F$54)&gt;0,IF((O26+P26*'Geometry'!$G$54+Q26*'Geometry'!$F$54)&lt;=C_eco,C_alpha*C_fck*(1-(1-(O26+P26*'Geometry'!$G$54+Q26*'Geometry'!$F$54)/C_eco)^C_n),C_alpha*C_fck),0)))*'Geometry'!$H$54*'Geometry'!$G$54+((MAX(MIN(S_1_Es*(O26+P26*'Geometry'!$G$55+Q26*'Geometry'!$F$55),S_1_fy),-S_1_fy))-(IF((O26+P26*'Geometry'!$G$55+Q26*'Geometry'!$F$55)&gt;0,IF((O26+P26*'Geometry'!$G$55+Q26*'Geometry'!$F$55)&lt;=C_eco,C_alpha*C_fck*(1-(1-(O26+P26*'Geometry'!$G$55+Q26*'Geometry'!$F$55)/C_eco)^C_n),C_alpha*C_fck),0)))*'Geometry'!$H$55*'Geometry'!$G$55+((MAX(MIN(S_1_Es*(O26+P26*'Geometry'!$G$56+Q26*'Geometry'!$F$56),S_1_fy),-S_1_fy))-(IF((O26+P26*'Geometry'!$G$56+Q26*'Geometry'!$F$56)&gt;0,IF((O26+P26*'Geometry'!$G$56+Q26*'Geometry'!$F$56)&lt;=C_eco,C_alpha*C_fck*(1-(1-(O26+P26*'Geometry'!$G$56+Q26*'Geometry'!$F$56)/C_eco)^C_n),C_alpha*C_fck),0)))*'Geometry'!$H$56*'Geometry'!$G$56+((MAX(MIN(S_1_Es*(O26+P26*'Geometry'!$G$57+Q26*'Geometry'!$F$57),S_1_fy),-S_1_fy))-(IF((O26+P26*'Geometry'!$G$57+Q26*'Geometry'!$F$57)&gt;0,IF((O26+P26*'Geometry'!$G$57+Q26*'Geometry'!$F$57)&lt;=C_eco,C_alpha*C_fck*(1-(1-(O26+P26*'Geometry'!$G$57+Q26*'Geometry'!$F$57)/C_eco)^C_n),C_alpha*C_fck),0)))*'Geometry'!$H$57*'Geometry'!$G$57)/1000000</f>
        <v>-1087.411567665781</v>
      </c>
      <c r="W26" s="10">
        <f>(((MAX(MIN(S_1_Es*(O26+P26*'Geometry'!$G$40+Q26*'Geometry'!$F$40),S_1_fy),-S_1_fy))-(IF((O26+P26*'Geometry'!$G$40+Q26*'Geometry'!$F$40)&gt;0,IF((O26+P26*'Geometry'!$G$40+Q26*'Geometry'!$F$40)&lt;=C_eco,C_alpha*C_fck*(1-(1-(O26+P26*'Geometry'!$G$40+Q26*'Geometry'!$F$40)/C_eco)^C_n),C_alpha*C_fck),0)))*'Geometry'!$H$40*'Geometry'!$F$40+((MAX(MIN(S_1_Es*(O26+P26*'Geometry'!$G$41+Q26*'Geometry'!$F$41),S_1_fy),-S_1_fy))-(IF((O26+P26*'Geometry'!$G$41+Q26*'Geometry'!$F$41)&gt;0,IF((O26+P26*'Geometry'!$G$41+Q26*'Geometry'!$F$41)&lt;=C_eco,C_alpha*C_fck*(1-(1-(O26+P26*'Geometry'!$G$41+Q26*'Geometry'!$F$41)/C_eco)^C_n),C_alpha*C_fck),0)))*'Geometry'!$H$41*'Geometry'!$F$41+((MAX(MIN(S_1_Es*(O26+P26*'Geometry'!$G$42+Q26*'Geometry'!$F$42),S_1_fy),-S_1_fy))-(IF((O26+P26*'Geometry'!$G$42+Q26*'Geometry'!$F$42)&gt;0,IF((O26+P26*'Geometry'!$G$42+Q26*'Geometry'!$F$42)&lt;=C_eco,C_alpha*C_fck*(1-(1-(O26+P26*'Geometry'!$G$42+Q26*'Geometry'!$F$42)/C_eco)^C_n),C_alpha*C_fck),0)))*'Geometry'!$H$42*'Geometry'!$F$42+((MAX(MIN(S_1_Es*(O26+P26*'Geometry'!$G$43+Q26*'Geometry'!$F$43),S_1_fy),-S_1_fy))-(IF((O26+P26*'Geometry'!$G$43+Q26*'Geometry'!$F$43)&gt;0,IF((O26+P26*'Geometry'!$G$43+Q26*'Geometry'!$F$43)&lt;=C_eco,C_alpha*C_fck*(1-(1-(O26+P26*'Geometry'!$G$43+Q26*'Geometry'!$F$43)/C_eco)^C_n),C_alpha*C_fck),0)))*'Geometry'!$H$43*'Geometry'!$F$43+((MAX(MIN(S_1_Es*(O26+P26*'Geometry'!$G$44+Q26*'Geometry'!$F$44),S_1_fy),-S_1_fy))-(IF((O26+P26*'Geometry'!$G$44+Q26*'Geometry'!$F$44)&gt;0,IF((O26+P26*'Geometry'!$G$44+Q26*'Geometry'!$F$44)&lt;=C_eco,C_alpha*C_fck*(1-(1-(O26+P26*'Geometry'!$G$44+Q26*'Geometry'!$F$44)/C_eco)^C_n),C_alpha*C_fck),0)))*'Geometry'!$H$44*'Geometry'!$F$44+((MAX(MIN(S_1_Es*(O26+P26*'Geometry'!$G$45+Q26*'Geometry'!$F$45),S_1_fy),-S_1_fy))-(IF((O26+P26*'Geometry'!$G$45+Q26*'Geometry'!$F$45)&gt;0,IF((O26+P26*'Geometry'!$G$45+Q26*'Geometry'!$F$45)&lt;=C_eco,C_alpha*C_fck*(1-(1-(O26+P26*'Geometry'!$G$45+Q26*'Geometry'!$F$45)/C_eco)^C_n),C_alpha*C_fck),0)))*'Geometry'!$H$45*'Geometry'!$F$45+((MAX(MIN(S_1_Es*(O26+P26*'Geometry'!$G$46+Q26*'Geometry'!$F$46),S_1_fy),-S_1_fy))-(IF((O26+P26*'Geometry'!$G$46+Q26*'Geometry'!$F$46)&gt;0,IF((O26+P26*'Geometry'!$G$46+Q26*'Geometry'!$F$46)&lt;=C_eco,C_alpha*C_fck*(1-(1-(O26+P26*'Geometry'!$G$46+Q26*'Geometry'!$F$46)/C_eco)^C_n),C_alpha*C_fck),0)))*'Geometry'!$H$46*'Geometry'!$F$46+((MAX(MIN(S_1_Es*(O26+P26*'Geometry'!$G$47+Q26*'Geometry'!$F$47),S_1_fy),-S_1_fy))-(IF((O26+P26*'Geometry'!$G$47+Q26*'Geometry'!$F$47)&gt;0,IF((O26+P26*'Geometry'!$G$47+Q26*'Geometry'!$F$47)&lt;=C_eco,C_alpha*C_fck*(1-(1-(O26+P26*'Geometry'!$G$47+Q26*'Geometry'!$F$47)/C_eco)^C_n),C_alpha*C_fck),0)))*'Geometry'!$H$47*'Geometry'!$F$47+((MAX(MIN(S_1_Es*(O26+P26*'Geometry'!$G$48+Q26*'Geometry'!$F$48),S_1_fy),-S_1_fy))-(IF((O26+P26*'Geometry'!$G$48+Q26*'Geometry'!$F$48)&gt;0,IF((O26+P26*'Geometry'!$G$48+Q26*'Geometry'!$F$48)&lt;=C_eco,C_alpha*C_fck*(1-(1-(O26+P26*'Geometry'!$G$48+Q26*'Geometry'!$F$48)/C_eco)^C_n),C_alpha*C_fck),0)))*'Geometry'!$H$48*'Geometry'!$F$48+((MAX(MIN(S_1_Es*(O26+P26*'Geometry'!$G$49+Q26*'Geometry'!$F$49),S_1_fy),-S_1_fy))-(IF((O26+P26*'Geometry'!$G$49+Q26*'Geometry'!$F$49)&gt;0,IF((O26+P26*'Geometry'!$G$49+Q26*'Geometry'!$F$49)&lt;=C_eco,C_alpha*C_fck*(1-(1-(O26+P26*'Geometry'!$G$49+Q26*'Geometry'!$F$49)/C_eco)^C_n),C_alpha*C_fck),0)))*'Geometry'!$H$49*'Geometry'!$F$49+((MAX(MIN(S_1_Es*(O26+P26*'Geometry'!$G$50+Q26*'Geometry'!$F$50),S_1_fy),-S_1_fy))-(IF((O26+P26*'Geometry'!$G$50+Q26*'Geometry'!$F$50)&gt;0,IF((O26+P26*'Geometry'!$G$50+Q26*'Geometry'!$F$50)&lt;=C_eco,C_alpha*C_fck*(1-(1-(O26+P26*'Geometry'!$G$50+Q26*'Geometry'!$F$50)/C_eco)^C_n),C_alpha*C_fck),0)))*'Geometry'!$H$50*'Geometry'!$F$50+((MAX(MIN(S_1_Es*(O26+P26*'Geometry'!$G$51+Q26*'Geometry'!$F$51),S_1_fy),-S_1_fy))-(IF((O26+P26*'Geometry'!$G$51+Q26*'Geometry'!$F$51)&gt;0,IF((O26+P26*'Geometry'!$G$51+Q26*'Geometry'!$F$51)&lt;=C_eco,C_alpha*C_fck*(1-(1-(O26+P26*'Geometry'!$G$51+Q26*'Geometry'!$F$51)/C_eco)^C_n),C_alpha*C_fck),0)))*'Geometry'!$H$51*'Geometry'!$F$51+((MAX(MIN(S_1_Es*(O26+P26*'Geometry'!$G$52+Q26*'Geometry'!$F$52),S_1_fy),-S_1_fy))-(IF((O26+P26*'Geometry'!$G$52+Q26*'Geometry'!$F$52)&gt;0,IF((O26+P26*'Geometry'!$G$52+Q26*'Geometry'!$F$52)&lt;=C_eco,C_alpha*C_fck*(1-(1-(O26+P26*'Geometry'!$G$52+Q26*'Geometry'!$F$52)/C_eco)^C_n),C_alpha*C_fck),0)))*'Geometry'!$H$52*'Geometry'!$F$52+((MAX(MIN(S_1_Es*(O26+P26*'Geometry'!$G$53+Q26*'Geometry'!$F$53),S_1_fy),-S_1_fy))-(IF((O26+P26*'Geometry'!$G$53+Q26*'Geometry'!$F$53)&gt;0,IF((O26+P26*'Geometry'!$G$53+Q26*'Geometry'!$F$53)&lt;=C_eco,C_alpha*C_fck*(1-(1-(O26+P26*'Geometry'!$G$53+Q26*'Geometry'!$F$53)/C_eco)^C_n),C_alpha*C_fck),0)))*'Geometry'!$H$53*'Geometry'!$F$53+((MAX(MIN(S_1_Es*(O26+P26*'Geometry'!$G$54+Q26*'Geometry'!$F$54),S_1_fy),-S_1_fy))-(IF((O26+P26*'Geometry'!$G$54+Q26*'Geometry'!$F$54)&gt;0,IF((O26+P26*'Geometry'!$G$54+Q26*'Geometry'!$F$54)&lt;=C_eco,C_alpha*C_fck*(1-(1-(O26+P26*'Geometry'!$G$54+Q26*'Geometry'!$F$54)/C_eco)^C_n),C_alpha*C_fck),0)))*'Geometry'!$H$54*'Geometry'!$F$54+((MAX(MIN(S_1_Es*(O26+P26*'Geometry'!$G$55+Q26*'Geometry'!$F$55),S_1_fy),-S_1_fy))-(IF((O26+P26*'Geometry'!$G$55+Q26*'Geometry'!$F$55)&gt;0,IF((O26+P26*'Geometry'!$G$55+Q26*'Geometry'!$F$55)&lt;=C_eco,C_alpha*C_fck*(1-(1-(O26+P26*'Geometry'!$G$55+Q26*'Geometry'!$F$55)/C_eco)^C_n),C_alpha*C_fck),0)))*'Geometry'!$H$55*'Geometry'!$F$55+((MAX(MIN(S_1_Es*(O26+P26*'Geometry'!$G$56+Q26*'Geometry'!$F$56),S_1_fy),-S_1_fy))-(IF((O26+P26*'Geometry'!$G$56+Q26*'Geometry'!$F$56)&gt;0,IF((O26+P26*'Geometry'!$G$56+Q26*'Geometry'!$F$56)&lt;=C_eco,C_alpha*C_fck*(1-(1-(O26+P26*'Geometry'!$G$56+Q26*'Geometry'!$F$56)/C_eco)^C_n),C_alpha*C_fck),0)))*'Geometry'!$H$56*'Geometry'!$F$56+((MAX(MIN(S_1_Es*(O26+P26*'Geometry'!$G$57+Q26*'Geometry'!$F$57),S_1_fy),-S_1_fy))-(IF((O26+P26*'Geometry'!$G$57+Q26*'Geometry'!$F$57)&gt;0,IF((O26+P26*'Geometry'!$G$57+Q26*'Geometry'!$F$57)&lt;=C_eco,C_alpha*C_fck*(1-(1-(O26+P26*'Geometry'!$G$57+Q26*'Geometry'!$F$57)/C_eco)^C_n),C_alpha*C_fck),0)))*'Geometry'!$H$57*'Geometry'!$F$57)/1000000</f>
        <v>2.7380883693695067e-13</v>
      </c>
      <c r="X26" s="10">
        <f>R26+U26</f>
        <v>-1582.5273049231898</v>
      </c>
      <c r="Y26" s="10">
        <f>S26+V26</f>
        <v>-2308.699036667159</v>
      </c>
      <c r="Z26" s="10">
        <f>T26+W26</f>
        <v>1.5633330789130553</v>
      </c>
      <c r="AA26" s="7">
        <v>0.85</v>
      </c>
      <c r="AB26" s="7">
        <v>0.8499999999999999</v>
      </c>
      <c r="AC26" s="10">
        <f>X26*AA26</f>
        <v>-1345.1482091847113</v>
      </c>
      <c r="AD26" s="10">
        <f>Y26*AB26</f>
        <v>-1962.3941811670852</v>
      </c>
      <c r="AE26" s="10">
        <f>Z26*AB26</f>
        <v>1.328833117076097</v>
      </c>
      <c r="AF26" s="7">
        <v>-1345.1482091847113</v>
      </c>
      <c r="AG26" s="7">
        <v>-1962.3941811670852</v>
      </c>
      <c r="AH26" s="7">
        <v>1.328833117076097</v>
      </c>
      <c r="AI26" s="15">
        <f>AC26-AF26</f>
        <v>0</v>
      </c>
      <c r="AJ26" s="15">
        <f>SQRT((AD26-AG26)^2+(AE26-AH26)^2)</f>
        <v>0</v>
      </c>
      <c r="AK26" s="7" t="s">
        <v>189</v>
      </c>
      <c r="AL26" s="7">
        <v>-1582.5273049231898</v>
      </c>
      <c r="AM26" s="7">
        <v>-2308.699036667159</v>
      </c>
      <c r="AN26" s="7">
        <v>1.5633330789130553</v>
      </c>
      <c r="AO26" s="7">
        <v>2156.3363351814764</v>
      </c>
      <c r="AP26" s="7">
        <v>-1221.2874690013778</v>
      </c>
      <c r="AQ26" s="7">
        <v>1.5633330789127815</v>
      </c>
      <c r="AR26" s="7">
        <v>-3738.8636401046665</v>
      </c>
      <c r="AS26" s="7">
        <v>-1087.411567665781</v>
      </c>
      <c r="AT26" s="7">
        <v>2.7380883693695067e-13</v>
      </c>
    </row>
    <row r="27" spans="1:46" x14ac:dyDescent="0.25">
      <c r="A27" s="7" t="s">
        <v>228</v>
      </c>
      <c r="B27" s="7">
        <v>1</v>
      </c>
      <c r="C27" s="18">
        <v>190</v>
      </c>
      <c r="D27" s="7" t="s">
        <v>229</v>
      </c>
      <c r="E27" s="7" t="s">
        <v>192</v>
      </c>
      <c r="F27" s="19">
        <v>190</v>
      </c>
      <c r="G27" s="7" t="s">
        <v>188</v>
      </c>
      <c r="H27" s="20">
        <v>7.500000000000003</v>
      </c>
      <c r="I27" s="10">
        <f>MAX(('Geometry'!$G$13*COS(RADIANS(F27))+'Geometry'!$F$13*SIN(RADIANS(F27))),('Geometry'!$G$14*COS(RADIANS(F27))+'Geometry'!$F$14*SIN(RADIANS(F27))),('Geometry'!$G$15*COS(RADIANS(F27))+'Geometry'!$F$15*SIN(RADIANS(F27))),('Geometry'!$G$16*COS(RADIANS(F27))+'Geometry'!$F$16*SIN(RADIANS(F27))),('Geometry'!$G$17*COS(RADIANS(F27))+'Geometry'!$F$17*SIN(RADIANS(F27))),('Geometry'!$G$18*COS(RADIANS(F27))+'Geometry'!$F$18*SIN(RADIANS(F27))),('Geometry'!$G$19*COS(RADIANS(F27))+'Geometry'!$F$19*SIN(RADIANS(F27))),('Geometry'!$G$20*COS(RADIANS(F27))+'Geometry'!$F$20*SIN(RADIANS(F27))))</f>
        <v>686.3911495241365</v>
      </c>
      <c r="J27" s="10">
        <f>MIN(('Geometry'!$G$40*COS(RADIANS(F27))+'Geometry'!$F$40*SIN(RADIANS(F27))),('Geometry'!$G$41*COS(RADIANS(F27))+'Geometry'!$F$41*SIN(RADIANS(F27))),('Geometry'!$G$42*COS(RADIANS(F27))+'Geometry'!$F$42*SIN(RADIANS(F27))),('Geometry'!$G$43*COS(RADIANS(F27))+'Geometry'!$F$43*SIN(RADIANS(F27))),('Geometry'!$G$44*COS(RADIANS(F27))+'Geometry'!$F$44*SIN(RADIANS(F27))),('Geometry'!$G$45*COS(RADIANS(F27))+'Geometry'!$F$45*SIN(RADIANS(F27))),('Geometry'!$G$46*COS(RADIANS(F27))+'Geometry'!$F$46*SIN(RADIANS(F27))),('Geometry'!$G$47*COS(RADIANS(F27))+'Geometry'!$F$47*SIN(RADIANS(F27))),('Geometry'!$G$48*COS(RADIANS(F27))+'Geometry'!$F$48*SIN(RADIANS(F27))),('Geometry'!$G$49*COS(RADIANS(F27))+'Geometry'!$F$49*SIN(RADIANS(F27))),('Geometry'!$G$50*COS(RADIANS(F27))+'Geometry'!$F$50*SIN(RADIANS(F27))),('Geometry'!$G$51*COS(RADIANS(F27))+'Geometry'!$F$51*SIN(RADIANS(F27))),('Geometry'!$G$52*COS(RADIANS(F27))+'Geometry'!$F$52*SIN(RADIANS(F27))),('Geometry'!$G$53*COS(RADIANS(F27))+'Geometry'!$F$53*SIN(RADIANS(F27))),('Geometry'!$G$54*COS(RADIANS(F27))+'Geometry'!$F$54*SIN(RADIANS(F27))),('Geometry'!$G$55*COS(RADIANS(F27))+'Geometry'!$F$55*SIN(RADIANS(F27))),('Geometry'!$G$56*COS(RADIANS(F27))+'Geometry'!$F$56*SIN(RADIANS(F27))),('Geometry'!$G$57*COS(RADIANS(F27))+'Geometry'!$F$57*SIN(RADIANS(F27))))</f>
        <v>-591.4073801632425</v>
      </c>
      <c r="K27" s="10">
        <f>I27-MIN(('Geometry'!$G$13*COS(RADIANS(F27))+'Geometry'!$F$13*SIN(RADIANS(F27))),('Geometry'!$G$14*COS(RADIANS(F27))+'Geometry'!$F$14*SIN(RADIANS(F27))),('Geometry'!$G$15*COS(RADIANS(F27))+'Geometry'!$F$15*SIN(RADIANS(F27))),('Geometry'!$G$16*COS(RADIANS(F27))+'Geometry'!$F$16*SIN(RADIANS(F27))),('Geometry'!$G$17*COS(RADIANS(F27))+'Geometry'!$F$17*SIN(RADIANS(F27))),('Geometry'!$G$18*COS(RADIANS(F27))+'Geometry'!$F$18*SIN(RADIANS(F27))),('Geometry'!$G$19*COS(RADIANS(F27))+'Geometry'!$F$19*SIN(RADIANS(F27))),('Geometry'!$G$20*COS(RADIANS(F27))+'Geometry'!$F$20*SIN(RADIANS(F27))))</f>
        <v>1372.782299048273</v>
      </c>
      <c r="L27" s="15">
        <f>C_ecu</f>
        <v>0.0033000000000000017</v>
      </c>
      <c r="M27" s="15">
        <f>-H27*S_1_fy/S_1_Es</f>
        <v>-0.015000000000000006</v>
      </c>
      <c r="N27" s="21">
        <f>IF(ABS(I27-J27)&lt;0.000000000001,0,(L27-M27)/(I27-J27))</f>
        <v>0.00001432150654021899</v>
      </c>
      <c r="O27" s="15">
        <f>L27-N27*I27</f>
        <v>-0.00653015533705835</v>
      </c>
      <c r="P27" s="21">
        <f>N27*COS(RADIANS(F27))</f>
        <v>-0.000014103930675622707</v>
      </c>
      <c r="Q27" s="21">
        <f>N27*SIN(RADIANS(F27))</f>
        <v>-0.0000024869035121540477</v>
      </c>
      <c r="R27" s="10">
        <f>SUMPRODUCT(C_alpha*C_fck*(1-(1-(((O27+P27*Mesh_Y+Q27*Mesh_X))*((O27+P27*Mesh_Y+Q27*Mesh_X)&gt;0)*((O27+P27*Mesh_Y+Q27*Mesh_X)&lt;C_eco)+C_eco*((O27+P27*Mesh_Y+Q27*Mesh_X)&gt;=C_eco))/C_eco)^C_n)*(((O27+P27*Mesh_Y+Q27*Mesh_X))&gt;0),Mesh_A)/1000</f>
        <v>3129.881652120705</v>
      </c>
      <c r="S27" s="10">
        <f>SUMPRODUCT(C_alpha*C_fck*(1-(1-(((O27+P27*Mesh_Y+Q27*Mesh_X))*((O27+P27*Mesh_Y+Q27*Mesh_X)&gt;0)*((O27+P27*Mesh_Y+Q27*Mesh_X)&lt;C_eco)+C_eco*((O27+P27*Mesh_Y+Q27*Mesh_X)&gt;=C_eco))/C_eco)^C_n)*(((O27+P27*Mesh_Y+Q27*Mesh_X))&gt;0),Mesh_A,Mesh_Y)/1000000</f>
        <v>-1630.9013595383324</v>
      </c>
      <c r="T27" s="10">
        <f>SUMPRODUCT(C_alpha*C_fck*(1-(1-(((O27+P27*Mesh_Y+Q27*Mesh_X))*((O27+P27*Mesh_Y+Q27*Mesh_X)&gt;0)*((O27+P27*Mesh_Y+Q27*Mesh_X)&lt;C_eco)+C_eco*((O27+P27*Mesh_Y+Q27*Mesh_X)&gt;=C_eco))/C_eco)^C_n)*(((O27+P27*Mesh_Y+Q27*Mesh_X))&gt;0),Mesh_A,Mesh_X)/1000000</f>
        <v>-797.3757298512498</v>
      </c>
      <c r="U27" s="10">
        <f>(((MAX(MIN(S_1_Es*(O27+P27*'Geometry'!$G$40+Q27*'Geometry'!$F$40),S_1_fy),-S_1_fy))-(IF((O27+P27*'Geometry'!$G$40+Q27*'Geometry'!$F$40)&gt;0,IF((O27+P27*'Geometry'!$G$40+Q27*'Geometry'!$F$40)&lt;=C_eco,C_alpha*C_fck*(1-(1-(O27+P27*'Geometry'!$G$40+Q27*'Geometry'!$F$40)/C_eco)^C_n),C_alpha*C_fck),0)))*'Geometry'!$H$40+((MAX(MIN(S_1_Es*(O27+P27*'Geometry'!$G$41+Q27*'Geometry'!$F$41),S_1_fy),-S_1_fy))-(IF((O27+P27*'Geometry'!$G$41+Q27*'Geometry'!$F$41)&gt;0,IF((O27+P27*'Geometry'!$G$41+Q27*'Geometry'!$F$41)&lt;=C_eco,C_alpha*C_fck*(1-(1-(O27+P27*'Geometry'!$G$41+Q27*'Geometry'!$F$41)/C_eco)^C_n),C_alpha*C_fck),0)))*'Geometry'!$H$41+((MAX(MIN(S_1_Es*(O27+P27*'Geometry'!$G$42+Q27*'Geometry'!$F$42),S_1_fy),-S_1_fy))-(IF((O27+P27*'Geometry'!$G$42+Q27*'Geometry'!$F$42)&gt;0,IF((O27+P27*'Geometry'!$G$42+Q27*'Geometry'!$F$42)&lt;=C_eco,C_alpha*C_fck*(1-(1-(O27+P27*'Geometry'!$G$42+Q27*'Geometry'!$F$42)/C_eco)^C_n),C_alpha*C_fck),0)))*'Geometry'!$H$42+((MAX(MIN(S_1_Es*(O27+P27*'Geometry'!$G$43+Q27*'Geometry'!$F$43),S_1_fy),-S_1_fy))-(IF((O27+P27*'Geometry'!$G$43+Q27*'Geometry'!$F$43)&gt;0,IF((O27+P27*'Geometry'!$G$43+Q27*'Geometry'!$F$43)&lt;=C_eco,C_alpha*C_fck*(1-(1-(O27+P27*'Geometry'!$G$43+Q27*'Geometry'!$F$43)/C_eco)^C_n),C_alpha*C_fck),0)))*'Geometry'!$H$43+((MAX(MIN(S_1_Es*(O27+P27*'Geometry'!$G$44+Q27*'Geometry'!$F$44),S_1_fy),-S_1_fy))-(IF((O27+P27*'Geometry'!$G$44+Q27*'Geometry'!$F$44)&gt;0,IF((O27+P27*'Geometry'!$G$44+Q27*'Geometry'!$F$44)&lt;=C_eco,C_alpha*C_fck*(1-(1-(O27+P27*'Geometry'!$G$44+Q27*'Geometry'!$F$44)/C_eco)^C_n),C_alpha*C_fck),0)))*'Geometry'!$H$44+((MAX(MIN(S_1_Es*(O27+P27*'Geometry'!$G$45+Q27*'Geometry'!$F$45),S_1_fy),-S_1_fy))-(IF((O27+P27*'Geometry'!$G$45+Q27*'Geometry'!$F$45)&gt;0,IF((O27+P27*'Geometry'!$G$45+Q27*'Geometry'!$F$45)&lt;=C_eco,C_alpha*C_fck*(1-(1-(O27+P27*'Geometry'!$G$45+Q27*'Geometry'!$F$45)/C_eco)^C_n),C_alpha*C_fck),0)))*'Geometry'!$H$45+((MAX(MIN(S_1_Es*(O27+P27*'Geometry'!$G$46+Q27*'Geometry'!$F$46),S_1_fy),-S_1_fy))-(IF((O27+P27*'Geometry'!$G$46+Q27*'Geometry'!$F$46)&gt;0,IF((O27+P27*'Geometry'!$G$46+Q27*'Geometry'!$F$46)&lt;=C_eco,C_alpha*C_fck*(1-(1-(O27+P27*'Geometry'!$G$46+Q27*'Geometry'!$F$46)/C_eco)^C_n),C_alpha*C_fck),0)))*'Geometry'!$H$46+((MAX(MIN(S_1_Es*(O27+P27*'Geometry'!$G$47+Q27*'Geometry'!$F$47),S_1_fy),-S_1_fy))-(IF((O27+P27*'Geometry'!$G$47+Q27*'Geometry'!$F$47)&gt;0,IF((O27+P27*'Geometry'!$G$47+Q27*'Geometry'!$F$47)&lt;=C_eco,C_alpha*C_fck*(1-(1-(O27+P27*'Geometry'!$G$47+Q27*'Geometry'!$F$47)/C_eco)^C_n),C_alpha*C_fck),0)))*'Geometry'!$H$47+((MAX(MIN(S_1_Es*(O27+P27*'Geometry'!$G$48+Q27*'Geometry'!$F$48),S_1_fy),-S_1_fy))-(IF((O27+P27*'Geometry'!$G$48+Q27*'Geometry'!$F$48)&gt;0,IF((O27+P27*'Geometry'!$G$48+Q27*'Geometry'!$F$48)&lt;=C_eco,C_alpha*C_fck*(1-(1-(O27+P27*'Geometry'!$G$48+Q27*'Geometry'!$F$48)/C_eco)^C_n),C_alpha*C_fck),0)))*'Geometry'!$H$48+((MAX(MIN(S_1_Es*(O27+P27*'Geometry'!$G$49+Q27*'Geometry'!$F$49),S_1_fy),-S_1_fy))-(IF((O27+P27*'Geometry'!$G$49+Q27*'Geometry'!$F$49)&gt;0,IF((O27+P27*'Geometry'!$G$49+Q27*'Geometry'!$F$49)&lt;=C_eco,C_alpha*C_fck*(1-(1-(O27+P27*'Geometry'!$G$49+Q27*'Geometry'!$F$49)/C_eco)^C_n),C_alpha*C_fck),0)))*'Geometry'!$H$49+((MAX(MIN(S_1_Es*(O27+P27*'Geometry'!$G$50+Q27*'Geometry'!$F$50),S_1_fy),-S_1_fy))-(IF((O27+P27*'Geometry'!$G$50+Q27*'Geometry'!$F$50)&gt;0,IF((O27+P27*'Geometry'!$G$50+Q27*'Geometry'!$F$50)&lt;=C_eco,C_alpha*C_fck*(1-(1-(O27+P27*'Geometry'!$G$50+Q27*'Geometry'!$F$50)/C_eco)^C_n),C_alpha*C_fck),0)))*'Geometry'!$H$50+((MAX(MIN(S_1_Es*(O27+P27*'Geometry'!$G$51+Q27*'Geometry'!$F$51),S_1_fy),-S_1_fy))-(IF((O27+P27*'Geometry'!$G$51+Q27*'Geometry'!$F$51)&gt;0,IF((O27+P27*'Geometry'!$G$51+Q27*'Geometry'!$F$51)&lt;=C_eco,C_alpha*C_fck*(1-(1-(O27+P27*'Geometry'!$G$51+Q27*'Geometry'!$F$51)/C_eco)^C_n),C_alpha*C_fck),0)))*'Geometry'!$H$51+((MAX(MIN(S_1_Es*(O27+P27*'Geometry'!$G$52+Q27*'Geometry'!$F$52),S_1_fy),-S_1_fy))-(IF((O27+P27*'Geometry'!$G$52+Q27*'Geometry'!$F$52)&gt;0,IF((O27+P27*'Geometry'!$G$52+Q27*'Geometry'!$F$52)&lt;=C_eco,C_alpha*C_fck*(1-(1-(O27+P27*'Geometry'!$G$52+Q27*'Geometry'!$F$52)/C_eco)^C_n),C_alpha*C_fck),0)))*'Geometry'!$H$52+((MAX(MIN(S_1_Es*(O27+P27*'Geometry'!$G$53+Q27*'Geometry'!$F$53),S_1_fy),-S_1_fy))-(IF((O27+P27*'Geometry'!$G$53+Q27*'Geometry'!$F$53)&gt;0,IF((O27+P27*'Geometry'!$G$53+Q27*'Geometry'!$F$53)&lt;=C_eco,C_alpha*C_fck*(1-(1-(O27+P27*'Geometry'!$G$53+Q27*'Geometry'!$F$53)/C_eco)^C_n),C_alpha*C_fck),0)))*'Geometry'!$H$53+((MAX(MIN(S_1_Es*(O27+P27*'Geometry'!$G$54+Q27*'Geometry'!$F$54),S_1_fy),-S_1_fy))-(IF((O27+P27*'Geometry'!$G$54+Q27*'Geometry'!$F$54)&gt;0,IF((O27+P27*'Geometry'!$G$54+Q27*'Geometry'!$F$54)&lt;=C_eco,C_alpha*C_fck*(1-(1-(O27+P27*'Geometry'!$G$54+Q27*'Geometry'!$F$54)/C_eco)^C_n),C_alpha*C_fck),0)))*'Geometry'!$H$54+((MAX(MIN(S_1_Es*(O27+P27*'Geometry'!$G$55+Q27*'Geometry'!$F$55),S_1_fy),-S_1_fy))-(IF((O27+P27*'Geometry'!$G$55+Q27*'Geometry'!$F$55)&gt;0,IF((O27+P27*'Geometry'!$G$55+Q27*'Geometry'!$F$55)&lt;=C_eco,C_alpha*C_fck*(1-(1-(O27+P27*'Geometry'!$G$55+Q27*'Geometry'!$F$55)/C_eco)^C_n),C_alpha*C_fck),0)))*'Geometry'!$H$55+((MAX(MIN(S_1_Es*(O27+P27*'Geometry'!$G$56+Q27*'Geometry'!$F$56),S_1_fy),-S_1_fy))-(IF((O27+P27*'Geometry'!$G$56+Q27*'Geometry'!$F$56)&gt;0,IF((O27+P27*'Geometry'!$G$56+Q27*'Geometry'!$F$56)&lt;=C_eco,C_alpha*C_fck*(1-(1-(O27+P27*'Geometry'!$G$56+Q27*'Geometry'!$F$56)/C_eco)^C_n),C_alpha*C_fck),0)))*'Geometry'!$H$56+((MAX(MIN(S_1_Es*(O27+P27*'Geometry'!$G$57+Q27*'Geometry'!$F$57),S_1_fy),-S_1_fy))-(IF((O27+P27*'Geometry'!$G$57+Q27*'Geometry'!$F$57)&gt;0,IF((O27+P27*'Geometry'!$G$57+Q27*'Geometry'!$F$57)&lt;=C_eco,C_alpha*C_fck*(1-(1-(O27+P27*'Geometry'!$G$57+Q27*'Geometry'!$F$57)/C_eco)^C_n),C_alpha*C_fck),0)))*'Geometry'!$H$57)/1000</f>
        <v>-3260.566254521378</v>
      </c>
      <c r="V27" s="10">
        <f>(((MAX(MIN(S_1_Es*(O27+P27*'Geometry'!$G$40+Q27*'Geometry'!$F$40),S_1_fy),-S_1_fy))-(IF((O27+P27*'Geometry'!$G$40+Q27*'Geometry'!$F$40)&gt;0,IF((O27+P27*'Geometry'!$G$40+Q27*'Geometry'!$F$40)&lt;=C_eco,C_alpha*C_fck*(1-(1-(O27+P27*'Geometry'!$G$40+Q27*'Geometry'!$F$40)/C_eco)^C_n),C_alpha*C_fck),0)))*'Geometry'!$H$40*'Geometry'!$G$40+((MAX(MIN(S_1_Es*(O27+P27*'Geometry'!$G$41+Q27*'Geometry'!$F$41),S_1_fy),-S_1_fy))-(IF((O27+P27*'Geometry'!$G$41+Q27*'Geometry'!$F$41)&gt;0,IF((O27+P27*'Geometry'!$G$41+Q27*'Geometry'!$F$41)&lt;=C_eco,C_alpha*C_fck*(1-(1-(O27+P27*'Geometry'!$G$41+Q27*'Geometry'!$F$41)/C_eco)^C_n),C_alpha*C_fck),0)))*'Geometry'!$H$41*'Geometry'!$G$41+((MAX(MIN(S_1_Es*(O27+P27*'Geometry'!$G$42+Q27*'Geometry'!$F$42),S_1_fy),-S_1_fy))-(IF((O27+P27*'Geometry'!$G$42+Q27*'Geometry'!$F$42)&gt;0,IF((O27+P27*'Geometry'!$G$42+Q27*'Geometry'!$F$42)&lt;=C_eco,C_alpha*C_fck*(1-(1-(O27+P27*'Geometry'!$G$42+Q27*'Geometry'!$F$42)/C_eco)^C_n),C_alpha*C_fck),0)))*'Geometry'!$H$42*'Geometry'!$G$42+((MAX(MIN(S_1_Es*(O27+P27*'Geometry'!$G$43+Q27*'Geometry'!$F$43),S_1_fy),-S_1_fy))-(IF((O27+P27*'Geometry'!$G$43+Q27*'Geometry'!$F$43)&gt;0,IF((O27+P27*'Geometry'!$G$43+Q27*'Geometry'!$F$43)&lt;=C_eco,C_alpha*C_fck*(1-(1-(O27+P27*'Geometry'!$G$43+Q27*'Geometry'!$F$43)/C_eco)^C_n),C_alpha*C_fck),0)))*'Geometry'!$H$43*'Geometry'!$G$43+((MAX(MIN(S_1_Es*(O27+P27*'Geometry'!$G$44+Q27*'Geometry'!$F$44),S_1_fy),-S_1_fy))-(IF((O27+P27*'Geometry'!$G$44+Q27*'Geometry'!$F$44)&gt;0,IF((O27+P27*'Geometry'!$G$44+Q27*'Geometry'!$F$44)&lt;=C_eco,C_alpha*C_fck*(1-(1-(O27+P27*'Geometry'!$G$44+Q27*'Geometry'!$F$44)/C_eco)^C_n),C_alpha*C_fck),0)))*'Geometry'!$H$44*'Geometry'!$G$44+((MAX(MIN(S_1_Es*(O27+P27*'Geometry'!$G$45+Q27*'Geometry'!$F$45),S_1_fy),-S_1_fy))-(IF((O27+P27*'Geometry'!$G$45+Q27*'Geometry'!$F$45)&gt;0,IF((O27+P27*'Geometry'!$G$45+Q27*'Geometry'!$F$45)&lt;=C_eco,C_alpha*C_fck*(1-(1-(O27+P27*'Geometry'!$G$45+Q27*'Geometry'!$F$45)/C_eco)^C_n),C_alpha*C_fck),0)))*'Geometry'!$H$45*'Geometry'!$G$45+((MAX(MIN(S_1_Es*(O27+P27*'Geometry'!$G$46+Q27*'Geometry'!$F$46),S_1_fy),-S_1_fy))-(IF((O27+P27*'Geometry'!$G$46+Q27*'Geometry'!$F$46)&gt;0,IF((O27+P27*'Geometry'!$G$46+Q27*'Geometry'!$F$46)&lt;=C_eco,C_alpha*C_fck*(1-(1-(O27+P27*'Geometry'!$G$46+Q27*'Geometry'!$F$46)/C_eco)^C_n),C_alpha*C_fck),0)))*'Geometry'!$H$46*'Geometry'!$G$46+((MAX(MIN(S_1_Es*(O27+P27*'Geometry'!$G$47+Q27*'Geometry'!$F$47),S_1_fy),-S_1_fy))-(IF((O27+P27*'Geometry'!$G$47+Q27*'Geometry'!$F$47)&gt;0,IF((O27+P27*'Geometry'!$G$47+Q27*'Geometry'!$F$47)&lt;=C_eco,C_alpha*C_fck*(1-(1-(O27+P27*'Geometry'!$G$47+Q27*'Geometry'!$F$47)/C_eco)^C_n),C_alpha*C_fck),0)))*'Geometry'!$H$47*'Geometry'!$G$47+((MAX(MIN(S_1_Es*(O27+P27*'Geometry'!$G$48+Q27*'Geometry'!$F$48),S_1_fy),-S_1_fy))-(IF((O27+P27*'Geometry'!$G$48+Q27*'Geometry'!$F$48)&gt;0,IF((O27+P27*'Geometry'!$G$48+Q27*'Geometry'!$F$48)&lt;=C_eco,C_alpha*C_fck*(1-(1-(O27+P27*'Geometry'!$G$48+Q27*'Geometry'!$F$48)/C_eco)^C_n),C_alpha*C_fck),0)))*'Geometry'!$H$48*'Geometry'!$G$48+((MAX(MIN(S_1_Es*(O27+P27*'Geometry'!$G$49+Q27*'Geometry'!$F$49),S_1_fy),-S_1_fy))-(IF((O27+P27*'Geometry'!$G$49+Q27*'Geometry'!$F$49)&gt;0,IF((O27+P27*'Geometry'!$G$49+Q27*'Geometry'!$F$49)&lt;=C_eco,C_alpha*C_fck*(1-(1-(O27+P27*'Geometry'!$G$49+Q27*'Geometry'!$F$49)/C_eco)^C_n),C_alpha*C_fck),0)))*'Geometry'!$H$49*'Geometry'!$G$49+((MAX(MIN(S_1_Es*(O27+P27*'Geometry'!$G$50+Q27*'Geometry'!$F$50),S_1_fy),-S_1_fy))-(IF((O27+P27*'Geometry'!$G$50+Q27*'Geometry'!$F$50)&gt;0,IF((O27+P27*'Geometry'!$G$50+Q27*'Geometry'!$F$50)&lt;=C_eco,C_alpha*C_fck*(1-(1-(O27+P27*'Geometry'!$G$50+Q27*'Geometry'!$F$50)/C_eco)^C_n),C_alpha*C_fck),0)))*'Geometry'!$H$50*'Geometry'!$G$50+((MAX(MIN(S_1_Es*(O27+P27*'Geometry'!$G$51+Q27*'Geometry'!$F$51),S_1_fy),-S_1_fy))-(IF((O27+P27*'Geometry'!$G$51+Q27*'Geometry'!$F$51)&gt;0,IF((O27+P27*'Geometry'!$G$51+Q27*'Geometry'!$F$51)&lt;=C_eco,C_alpha*C_fck*(1-(1-(O27+P27*'Geometry'!$G$51+Q27*'Geometry'!$F$51)/C_eco)^C_n),C_alpha*C_fck),0)))*'Geometry'!$H$51*'Geometry'!$G$51+((MAX(MIN(S_1_Es*(O27+P27*'Geometry'!$G$52+Q27*'Geometry'!$F$52),S_1_fy),-S_1_fy))-(IF((O27+P27*'Geometry'!$G$52+Q27*'Geometry'!$F$52)&gt;0,IF((O27+P27*'Geometry'!$G$52+Q27*'Geometry'!$F$52)&lt;=C_eco,C_alpha*C_fck*(1-(1-(O27+P27*'Geometry'!$G$52+Q27*'Geometry'!$F$52)/C_eco)^C_n),C_alpha*C_fck),0)))*'Geometry'!$H$52*'Geometry'!$G$52+((MAX(MIN(S_1_Es*(O27+P27*'Geometry'!$G$53+Q27*'Geometry'!$F$53),S_1_fy),-S_1_fy))-(IF((O27+P27*'Geometry'!$G$53+Q27*'Geometry'!$F$53)&gt;0,IF((O27+P27*'Geometry'!$G$53+Q27*'Geometry'!$F$53)&lt;=C_eco,C_alpha*C_fck*(1-(1-(O27+P27*'Geometry'!$G$53+Q27*'Geometry'!$F$53)/C_eco)^C_n),C_alpha*C_fck),0)))*'Geometry'!$H$53*'Geometry'!$G$53+((MAX(MIN(S_1_Es*(O27+P27*'Geometry'!$G$54+Q27*'Geometry'!$F$54),S_1_fy),-S_1_fy))-(IF((O27+P27*'Geometry'!$G$54+Q27*'Geometry'!$F$54)&gt;0,IF((O27+P27*'Geometry'!$G$54+Q27*'Geometry'!$F$54)&lt;=C_eco,C_alpha*C_fck*(1-(1-(O27+P27*'Geometry'!$G$54+Q27*'Geometry'!$F$54)/C_eco)^C_n),C_alpha*C_fck),0)))*'Geometry'!$H$54*'Geometry'!$G$54+((MAX(MIN(S_1_Es*(O27+P27*'Geometry'!$G$55+Q27*'Geometry'!$F$55),S_1_fy),-S_1_fy))-(IF((O27+P27*'Geometry'!$G$55+Q27*'Geometry'!$F$55)&gt;0,IF((O27+P27*'Geometry'!$G$55+Q27*'Geometry'!$F$55)&lt;=C_eco,C_alpha*C_fck*(1-(1-(O27+P27*'Geometry'!$G$55+Q27*'Geometry'!$F$55)/C_eco)^C_n),C_alpha*C_fck),0)))*'Geometry'!$H$55*'Geometry'!$G$55+((MAX(MIN(S_1_Es*(O27+P27*'Geometry'!$G$56+Q27*'Geometry'!$F$56),S_1_fy),-S_1_fy))-(IF((O27+P27*'Geometry'!$G$56+Q27*'Geometry'!$F$56)&gt;0,IF((O27+P27*'Geometry'!$G$56+Q27*'Geometry'!$F$56)&lt;=C_eco,C_alpha*C_fck*(1-(1-(O27+P27*'Geometry'!$G$56+Q27*'Geometry'!$F$56)/C_eco)^C_n),C_alpha*C_fck),0)))*'Geometry'!$H$56*'Geometry'!$G$56+((MAX(MIN(S_1_Es*(O27+P27*'Geometry'!$G$57+Q27*'Geometry'!$F$57),S_1_fy),-S_1_fy))-(IF((O27+P27*'Geometry'!$G$57+Q27*'Geometry'!$F$57)&gt;0,IF((O27+P27*'Geometry'!$G$57+Q27*'Geometry'!$F$57)&lt;=C_eco,C_alpha*C_fck*(1-(1-(O27+P27*'Geometry'!$G$57+Q27*'Geometry'!$F$57)/C_eco)^C_n),C_alpha*C_fck),0)))*'Geometry'!$H$57*'Geometry'!$G$57)/1000000</f>
        <v>-1289.4072172119904</v>
      </c>
      <c r="W27" s="10">
        <f>(((MAX(MIN(S_1_Es*(O27+P27*'Geometry'!$G$40+Q27*'Geometry'!$F$40),S_1_fy),-S_1_fy))-(IF((O27+P27*'Geometry'!$G$40+Q27*'Geometry'!$F$40)&gt;0,IF((O27+P27*'Geometry'!$G$40+Q27*'Geometry'!$F$40)&lt;=C_eco,C_alpha*C_fck*(1-(1-(O27+P27*'Geometry'!$G$40+Q27*'Geometry'!$F$40)/C_eco)^C_n),C_alpha*C_fck),0)))*'Geometry'!$H$40*'Geometry'!$F$40+((MAX(MIN(S_1_Es*(O27+P27*'Geometry'!$G$41+Q27*'Geometry'!$F$41),S_1_fy),-S_1_fy))-(IF((O27+P27*'Geometry'!$G$41+Q27*'Geometry'!$F$41)&gt;0,IF((O27+P27*'Geometry'!$G$41+Q27*'Geometry'!$F$41)&lt;=C_eco,C_alpha*C_fck*(1-(1-(O27+P27*'Geometry'!$G$41+Q27*'Geometry'!$F$41)/C_eco)^C_n),C_alpha*C_fck),0)))*'Geometry'!$H$41*'Geometry'!$F$41+((MAX(MIN(S_1_Es*(O27+P27*'Geometry'!$G$42+Q27*'Geometry'!$F$42),S_1_fy),-S_1_fy))-(IF((O27+P27*'Geometry'!$G$42+Q27*'Geometry'!$F$42)&gt;0,IF((O27+P27*'Geometry'!$G$42+Q27*'Geometry'!$F$42)&lt;=C_eco,C_alpha*C_fck*(1-(1-(O27+P27*'Geometry'!$G$42+Q27*'Geometry'!$F$42)/C_eco)^C_n),C_alpha*C_fck),0)))*'Geometry'!$H$42*'Geometry'!$F$42+((MAX(MIN(S_1_Es*(O27+P27*'Geometry'!$G$43+Q27*'Geometry'!$F$43),S_1_fy),-S_1_fy))-(IF((O27+P27*'Geometry'!$G$43+Q27*'Geometry'!$F$43)&gt;0,IF((O27+P27*'Geometry'!$G$43+Q27*'Geometry'!$F$43)&lt;=C_eco,C_alpha*C_fck*(1-(1-(O27+P27*'Geometry'!$G$43+Q27*'Geometry'!$F$43)/C_eco)^C_n),C_alpha*C_fck),0)))*'Geometry'!$H$43*'Geometry'!$F$43+((MAX(MIN(S_1_Es*(O27+P27*'Geometry'!$G$44+Q27*'Geometry'!$F$44),S_1_fy),-S_1_fy))-(IF((O27+P27*'Geometry'!$G$44+Q27*'Geometry'!$F$44)&gt;0,IF((O27+P27*'Geometry'!$G$44+Q27*'Geometry'!$F$44)&lt;=C_eco,C_alpha*C_fck*(1-(1-(O27+P27*'Geometry'!$G$44+Q27*'Geometry'!$F$44)/C_eco)^C_n),C_alpha*C_fck),0)))*'Geometry'!$H$44*'Geometry'!$F$44+((MAX(MIN(S_1_Es*(O27+P27*'Geometry'!$G$45+Q27*'Geometry'!$F$45),S_1_fy),-S_1_fy))-(IF((O27+P27*'Geometry'!$G$45+Q27*'Geometry'!$F$45)&gt;0,IF((O27+P27*'Geometry'!$G$45+Q27*'Geometry'!$F$45)&lt;=C_eco,C_alpha*C_fck*(1-(1-(O27+P27*'Geometry'!$G$45+Q27*'Geometry'!$F$45)/C_eco)^C_n),C_alpha*C_fck),0)))*'Geometry'!$H$45*'Geometry'!$F$45+((MAX(MIN(S_1_Es*(O27+P27*'Geometry'!$G$46+Q27*'Geometry'!$F$46),S_1_fy),-S_1_fy))-(IF((O27+P27*'Geometry'!$G$46+Q27*'Geometry'!$F$46)&gt;0,IF((O27+P27*'Geometry'!$G$46+Q27*'Geometry'!$F$46)&lt;=C_eco,C_alpha*C_fck*(1-(1-(O27+P27*'Geometry'!$G$46+Q27*'Geometry'!$F$46)/C_eco)^C_n),C_alpha*C_fck),0)))*'Geometry'!$H$46*'Geometry'!$F$46+((MAX(MIN(S_1_Es*(O27+P27*'Geometry'!$G$47+Q27*'Geometry'!$F$47),S_1_fy),-S_1_fy))-(IF((O27+P27*'Geometry'!$G$47+Q27*'Geometry'!$F$47)&gt;0,IF((O27+P27*'Geometry'!$G$47+Q27*'Geometry'!$F$47)&lt;=C_eco,C_alpha*C_fck*(1-(1-(O27+P27*'Geometry'!$G$47+Q27*'Geometry'!$F$47)/C_eco)^C_n),C_alpha*C_fck),0)))*'Geometry'!$H$47*'Geometry'!$F$47+((MAX(MIN(S_1_Es*(O27+P27*'Geometry'!$G$48+Q27*'Geometry'!$F$48),S_1_fy),-S_1_fy))-(IF((O27+P27*'Geometry'!$G$48+Q27*'Geometry'!$F$48)&gt;0,IF((O27+P27*'Geometry'!$G$48+Q27*'Geometry'!$F$48)&lt;=C_eco,C_alpha*C_fck*(1-(1-(O27+P27*'Geometry'!$G$48+Q27*'Geometry'!$F$48)/C_eco)^C_n),C_alpha*C_fck),0)))*'Geometry'!$H$48*'Geometry'!$F$48+((MAX(MIN(S_1_Es*(O27+P27*'Geometry'!$G$49+Q27*'Geometry'!$F$49),S_1_fy),-S_1_fy))-(IF((O27+P27*'Geometry'!$G$49+Q27*'Geometry'!$F$49)&gt;0,IF((O27+P27*'Geometry'!$G$49+Q27*'Geometry'!$F$49)&lt;=C_eco,C_alpha*C_fck*(1-(1-(O27+P27*'Geometry'!$G$49+Q27*'Geometry'!$F$49)/C_eco)^C_n),C_alpha*C_fck),0)))*'Geometry'!$H$49*'Geometry'!$F$49+((MAX(MIN(S_1_Es*(O27+P27*'Geometry'!$G$50+Q27*'Geometry'!$F$50),S_1_fy),-S_1_fy))-(IF((O27+P27*'Geometry'!$G$50+Q27*'Geometry'!$F$50)&gt;0,IF((O27+P27*'Geometry'!$G$50+Q27*'Geometry'!$F$50)&lt;=C_eco,C_alpha*C_fck*(1-(1-(O27+P27*'Geometry'!$G$50+Q27*'Geometry'!$F$50)/C_eco)^C_n),C_alpha*C_fck),0)))*'Geometry'!$H$50*'Geometry'!$F$50+((MAX(MIN(S_1_Es*(O27+P27*'Geometry'!$G$51+Q27*'Geometry'!$F$51),S_1_fy),-S_1_fy))-(IF((O27+P27*'Geometry'!$G$51+Q27*'Geometry'!$F$51)&gt;0,IF((O27+P27*'Geometry'!$G$51+Q27*'Geometry'!$F$51)&lt;=C_eco,C_alpha*C_fck*(1-(1-(O27+P27*'Geometry'!$G$51+Q27*'Geometry'!$F$51)/C_eco)^C_n),C_alpha*C_fck),0)))*'Geometry'!$H$51*'Geometry'!$F$51+((MAX(MIN(S_1_Es*(O27+P27*'Geometry'!$G$52+Q27*'Geometry'!$F$52),S_1_fy),-S_1_fy))-(IF((O27+P27*'Geometry'!$G$52+Q27*'Geometry'!$F$52)&gt;0,IF((O27+P27*'Geometry'!$G$52+Q27*'Geometry'!$F$52)&lt;=C_eco,C_alpha*C_fck*(1-(1-(O27+P27*'Geometry'!$G$52+Q27*'Geometry'!$F$52)/C_eco)^C_n),C_alpha*C_fck),0)))*'Geometry'!$H$52*'Geometry'!$F$52+((MAX(MIN(S_1_Es*(O27+P27*'Geometry'!$G$53+Q27*'Geometry'!$F$53),S_1_fy),-S_1_fy))-(IF((O27+P27*'Geometry'!$G$53+Q27*'Geometry'!$F$53)&gt;0,IF((O27+P27*'Geometry'!$G$53+Q27*'Geometry'!$F$53)&lt;=C_eco,C_alpha*C_fck*(1-(1-(O27+P27*'Geometry'!$G$53+Q27*'Geometry'!$F$53)/C_eco)^C_n),C_alpha*C_fck),0)))*'Geometry'!$H$53*'Geometry'!$F$53+((MAX(MIN(S_1_Es*(O27+P27*'Geometry'!$G$54+Q27*'Geometry'!$F$54),S_1_fy),-S_1_fy))-(IF((O27+P27*'Geometry'!$G$54+Q27*'Geometry'!$F$54)&gt;0,IF((O27+P27*'Geometry'!$G$54+Q27*'Geometry'!$F$54)&lt;=C_eco,C_alpha*C_fck*(1-(1-(O27+P27*'Geometry'!$G$54+Q27*'Geometry'!$F$54)/C_eco)^C_n),C_alpha*C_fck),0)))*'Geometry'!$H$54*'Geometry'!$F$54+((MAX(MIN(S_1_Es*(O27+P27*'Geometry'!$G$55+Q27*'Geometry'!$F$55),S_1_fy),-S_1_fy))-(IF((O27+P27*'Geometry'!$G$55+Q27*'Geometry'!$F$55)&gt;0,IF((O27+P27*'Geometry'!$G$55+Q27*'Geometry'!$F$55)&lt;=C_eco,C_alpha*C_fck*(1-(1-(O27+P27*'Geometry'!$G$55+Q27*'Geometry'!$F$55)/C_eco)^C_n),C_alpha*C_fck),0)))*'Geometry'!$H$55*'Geometry'!$F$55+((MAX(MIN(S_1_Es*(O27+P27*'Geometry'!$G$56+Q27*'Geometry'!$F$56),S_1_fy),-S_1_fy))-(IF((O27+P27*'Geometry'!$G$56+Q27*'Geometry'!$F$56)&gt;0,IF((O27+P27*'Geometry'!$G$56+Q27*'Geometry'!$F$56)&lt;=C_eco,C_alpha*C_fck*(1-(1-(O27+P27*'Geometry'!$G$56+Q27*'Geometry'!$F$56)/C_eco)^C_n),C_alpha*C_fck),0)))*'Geometry'!$H$56*'Geometry'!$F$56+((MAX(MIN(S_1_Es*(O27+P27*'Geometry'!$G$57+Q27*'Geometry'!$F$57),S_1_fy),-S_1_fy))-(IF((O27+P27*'Geometry'!$G$57+Q27*'Geometry'!$F$57)&gt;0,IF((O27+P27*'Geometry'!$G$57+Q27*'Geometry'!$F$57)&lt;=C_eco,C_alpha*C_fck*(1-(1-(O27+P27*'Geometry'!$G$57+Q27*'Geometry'!$F$57)/C_eco)^C_n),C_alpha*C_fck),0)))*'Geometry'!$H$57*'Geometry'!$F$57)/1000000</f>
        <v>-301.9252896082103</v>
      </c>
      <c r="X27" s="10">
        <f>R27+U27</f>
        <v>-130.68460240067355</v>
      </c>
      <c r="Y27" s="10">
        <f>S27+V27</f>
        <v>-2920.308576750323</v>
      </c>
      <c r="Z27" s="10">
        <f>T27+W27</f>
        <v>-1099.3010194594601</v>
      </c>
      <c r="AA27" s="7">
        <v>0.85</v>
      </c>
      <c r="AB27" s="7">
        <v>0.8499999999999999</v>
      </c>
      <c r="AC27" s="10">
        <f>X27*AA27</f>
        <v>-111.08191204057252</v>
      </c>
      <c r="AD27" s="10">
        <f>Y27*AB27</f>
        <v>-2482.2622902377743</v>
      </c>
      <c r="AE27" s="10">
        <f>Z27*AB27</f>
        <v>-934.405866540541</v>
      </c>
      <c r="AF27" s="7">
        <v>-111.08191204057252</v>
      </c>
      <c r="AG27" s="7">
        <v>-2482.2622902377743</v>
      </c>
      <c r="AH27" s="7">
        <v>-934.405866540541</v>
      </c>
      <c r="AI27" s="15">
        <f>AC27-AF27</f>
        <v>0</v>
      </c>
      <c r="AJ27" s="15">
        <f>SQRT((AD27-AG27)^2+(AE27-AH27)^2)</f>
        <v>0</v>
      </c>
      <c r="AK27" s="7" t="s">
        <v>189</v>
      </c>
      <c r="AL27" s="7">
        <v>-130.68460240067355</v>
      </c>
      <c r="AM27" s="7">
        <v>-2920.308576750323</v>
      </c>
      <c r="AN27" s="7">
        <v>-1099.3010194594601</v>
      </c>
      <c r="AO27" s="7">
        <v>3129.881652120705</v>
      </c>
      <c r="AP27" s="7">
        <v>-1630.9013595383324</v>
      </c>
      <c r="AQ27" s="7">
        <v>-797.3757298512498</v>
      </c>
      <c r="AR27" s="7">
        <v>-3260.566254521378</v>
      </c>
      <c r="AS27" s="7">
        <v>-1289.4072172119904</v>
      </c>
      <c r="AT27" s="7">
        <v>-301.9252896082103</v>
      </c>
    </row>
    <row r="28" spans="1:46" x14ac:dyDescent="0.25">
      <c r="A28" s="7" t="s">
        <v>230</v>
      </c>
      <c r="B28" s="7">
        <v>1</v>
      </c>
      <c r="C28" s="18">
        <v>200</v>
      </c>
      <c r="D28" s="7" t="s">
        <v>231</v>
      </c>
      <c r="E28" s="7" t="s">
        <v>192</v>
      </c>
      <c r="F28" s="19">
        <v>199.99999999999997</v>
      </c>
      <c r="G28" s="7" t="s">
        <v>188</v>
      </c>
      <c r="H28" s="20">
        <v>7.499999999999998</v>
      </c>
      <c r="I28" s="10">
        <f>MAX(('Geometry'!$G$13*COS(RADIANS(F28))+'Geometry'!$F$13*SIN(RADIANS(F28))),('Geometry'!$G$14*COS(RADIANS(F28))+'Geometry'!$F$14*SIN(RADIANS(F28))),('Geometry'!$G$15*COS(RADIANS(F28))+'Geometry'!$F$15*SIN(RADIANS(F28))),('Geometry'!$G$16*COS(RADIANS(F28))+'Geometry'!$F$16*SIN(RADIANS(F28))),('Geometry'!$G$17*COS(RADIANS(F28))+'Geometry'!$F$17*SIN(RADIANS(F28))),('Geometry'!$G$18*COS(RADIANS(F28))+'Geometry'!$F$18*SIN(RADIANS(F28))),('Geometry'!$G$19*COS(RADIANS(F28))+'Geometry'!$F$19*SIN(RADIANS(F28))),('Geometry'!$G$20*COS(RADIANS(F28))+'Geometry'!$F$20*SIN(RADIANS(F28))))</f>
        <v>751.9266513006627</v>
      </c>
      <c r="J28" s="10">
        <f>MIN(('Geometry'!$G$40*COS(RADIANS(F28))+'Geometry'!$F$40*SIN(RADIANS(F28))),('Geometry'!$G$41*COS(RADIANS(F28))+'Geometry'!$F$41*SIN(RADIANS(F28))),('Geometry'!$G$42*COS(RADIANS(F28))+'Geometry'!$F$42*SIN(RADIANS(F28))),('Geometry'!$G$43*COS(RADIANS(F28))+'Geometry'!$F$43*SIN(RADIANS(F28))),('Geometry'!$G$44*COS(RADIANS(F28))+'Geometry'!$F$44*SIN(RADIANS(F28))),('Geometry'!$G$45*COS(RADIANS(F28))+'Geometry'!$F$45*SIN(RADIANS(F28))),('Geometry'!$G$46*COS(RADIANS(F28))+'Geometry'!$F$46*SIN(RADIANS(F28))),('Geometry'!$G$47*COS(RADIANS(F28))+'Geometry'!$F$47*SIN(RADIANS(F28))),('Geometry'!$G$48*COS(RADIANS(F28))+'Geometry'!$F$48*SIN(RADIANS(F28))),('Geometry'!$G$49*COS(RADIANS(F28))+'Geometry'!$F$49*SIN(RADIANS(F28))),('Geometry'!$G$50*COS(RADIANS(F28))+'Geometry'!$F$50*SIN(RADIANS(F28))),('Geometry'!$G$51*COS(RADIANS(F28))+'Geometry'!$F$51*SIN(RADIANS(F28))),('Geometry'!$G$52*COS(RADIANS(F28))+'Geometry'!$F$52*SIN(RADIANS(F28))),('Geometry'!$G$53*COS(RADIANS(F28))+'Geometry'!$F$53*SIN(RADIANS(F28))),('Geometry'!$G$54*COS(RADIANS(F28))+'Geometry'!$F$54*SIN(RADIANS(F28))),('Geometry'!$G$55*COS(RADIANS(F28))+'Geometry'!$F$55*SIN(RADIANS(F28))),('Geometry'!$G$56*COS(RADIANS(F28))+'Geometry'!$F$56*SIN(RADIANS(F28))),('Geometry'!$G$57*COS(RADIANS(F28))+'Geometry'!$F$57*SIN(RADIANS(F28))))</f>
        <v>-634.8451463467989</v>
      </c>
      <c r="K28" s="10">
        <f>I28-MIN(('Geometry'!$G$13*COS(RADIANS(F28))+'Geometry'!$F$13*SIN(RADIANS(F28))),('Geometry'!$G$14*COS(RADIANS(F28))+'Geometry'!$F$14*SIN(RADIANS(F28))),('Geometry'!$G$15*COS(RADIANS(F28))+'Geometry'!$F$15*SIN(RADIANS(F28))),('Geometry'!$G$16*COS(RADIANS(F28))+'Geometry'!$F$16*SIN(RADIANS(F28))),('Geometry'!$G$17*COS(RADIANS(F28))+'Geometry'!$F$17*SIN(RADIANS(F28))),('Geometry'!$G$18*COS(RADIANS(F28))+'Geometry'!$F$18*SIN(RADIANS(F28))),('Geometry'!$G$19*COS(RADIANS(F28))+'Geometry'!$F$19*SIN(RADIANS(F28))),('Geometry'!$G$20*COS(RADIANS(F28))+'Geometry'!$F$20*SIN(RADIANS(F28))))</f>
        <v>1503.8533026013254</v>
      </c>
      <c r="L28" s="15">
        <f>C_ecu</f>
        <v>0.0032999999999999982</v>
      </c>
      <c r="M28" s="15">
        <f>-H28*S_1_fy/S_1_Es</f>
        <v>-0.014999999999999996</v>
      </c>
      <c r="N28" s="21">
        <f>IF(ABS(I28-J28)&lt;0.000000000001,0,(L28-M28)/(I28-J28))</f>
        <v>0.000013196114913098436</v>
      </c>
      <c r="O28" s="15">
        <f>L28-N28*I28</f>
        <v>-0.006622510496784845</v>
      </c>
      <c r="P28" s="21">
        <f>N28*COS(RADIANS(F28))</f>
        <v>-0.00001240029180688148</v>
      </c>
      <c r="Q28" s="21">
        <f>N28*SIN(RADIANS(F28))</f>
        <v>-0.000004513337113919922</v>
      </c>
      <c r="R28" s="10">
        <f>SUMPRODUCT(C_alpha*C_fck*(1-(1-(((O28+P28*Mesh_Y+Q28*Mesh_X))*((O28+P28*Mesh_Y+Q28*Mesh_X)&gt;0)*((O28+P28*Mesh_Y+Q28*Mesh_X)&lt;C_eco)+C_eco*((O28+P28*Mesh_Y+Q28*Mesh_X)&gt;=C_eco))/C_eco)^C_n)*(((O28+P28*Mesh_Y+Q28*Mesh_X))&gt;0),Mesh_A)/1000</f>
        <v>2383.58952803423</v>
      </c>
      <c r="S28" s="10">
        <f>SUMPRODUCT(C_alpha*C_fck*(1-(1-(((O28+P28*Mesh_Y+Q28*Mesh_X))*((O28+P28*Mesh_Y+Q28*Mesh_X)&gt;0)*((O28+P28*Mesh_Y+Q28*Mesh_X)&lt;C_eco)+C_eco*((O28+P28*Mesh_Y+Q28*Mesh_X)&gt;=C_eco))/C_eco)^C_n)*(((O28+P28*Mesh_Y+Q28*Mesh_X))&gt;0),Mesh_A,Mesh_Y)/1000000</f>
        <v>-1181.109299290368</v>
      </c>
      <c r="T28" s="10">
        <f>SUMPRODUCT(C_alpha*C_fck*(1-(1-(((O28+P28*Mesh_Y+Q28*Mesh_X))*((O28+P28*Mesh_Y+Q28*Mesh_X)&gt;0)*((O28+P28*Mesh_Y+Q28*Mesh_X)&lt;C_eco)+C_eco*((O28+P28*Mesh_Y+Q28*Mesh_X)&gt;=C_eco))/C_eco)^C_n)*(((O28+P28*Mesh_Y+Q28*Mesh_X))&gt;0),Mesh_A,Mesh_X)/1000000</f>
        <v>-1038.4911510605568</v>
      </c>
      <c r="U28" s="10">
        <f>(((MAX(MIN(S_1_Es*(O28+P28*'Geometry'!$G$40+Q28*'Geometry'!$F$40),S_1_fy),-S_1_fy))-(IF((O28+P28*'Geometry'!$G$40+Q28*'Geometry'!$F$40)&gt;0,IF((O28+P28*'Geometry'!$G$40+Q28*'Geometry'!$F$40)&lt;=C_eco,C_alpha*C_fck*(1-(1-(O28+P28*'Geometry'!$G$40+Q28*'Geometry'!$F$40)/C_eco)^C_n),C_alpha*C_fck),0)))*'Geometry'!$H$40+((MAX(MIN(S_1_Es*(O28+P28*'Geometry'!$G$41+Q28*'Geometry'!$F$41),S_1_fy),-S_1_fy))-(IF((O28+P28*'Geometry'!$G$41+Q28*'Geometry'!$F$41)&gt;0,IF((O28+P28*'Geometry'!$G$41+Q28*'Geometry'!$F$41)&lt;=C_eco,C_alpha*C_fck*(1-(1-(O28+P28*'Geometry'!$G$41+Q28*'Geometry'!$F$41)/C_eco)^C_n),C_alpha*C_fck),0)))*'Geometry'!$H$41+((MAX(MIN(S_1_Es*(O28+P28*'Geometry'!$G$42+Q28*'Geometry'!$F$42),S_1_fy),-S_1_fy))-(IF((O28+P28*'Geometry'!$G$42+Q28*'Geometry'!$F$42)&gt;0,IF((O28+P28*'Geometry'!$G$42+Q28*'Geometry'!$F$42)&lt;=C_eco,C_alpha*C_fck*(1-(1-(O28+P28*'Geometry'!$G$42+Q28*'Geometry'!$F$42)/C_eco)^C_n),C_alpha*C_fck),0)))*'Geometry'!$H$42+((MAX(MIN(S_1_Es*(O28+P28*'Geometry'!$G$43+Q28*'Geometry'!$F$43),S_1_fy),-S_1_fy))-(IF((O28+P28*'Geometry'!$G$43+Q28*'Geometry'!$F$43)&gt;0,IF((O28+P28*'Geometry'!$G$43+Q28*'Geometry'!$F$43)&lt;=C_eco,C_alpha*C_fck*(1-(1-(O28+P28*'Geometry'!$G$43+Q28*'Geometry'!$F$43)/C_eco)^C_n),C_alpha*C_fck),0)))*'Geometry'!$H$43+((MAX(MIN(S_1_Es*(O28+P28*'Geometry'!$G$44+Q28*'Geometry'!$F$44),S_1_fy),-S_1_fy))-(IF((O28+P28*'Geometry'!$G$44+Q28*'Geometry'!$F$44)&gt;0,IF((O28+P28*'Geometry'!$G$44+Q28*'Geometry'!$F$44)&lt;=C_eco,C_alpha*C_fck*(1-(1-(O28+P28*'Geometry'!$G$44+Q28*'Geometry'!$F$44)/C_eco)^C_n),C_alpha*C_fck),0)))*'Geometry'!$H$44+((MAX(MIN(S_1_Es*(O28+P28*'Geometry'!$G$45+Q28*'Geometry'!$F$45),S_1_fy),-S_1_fy))-(IF((O28+P28*'Geometry'!$G$45+Q28*'Geometry'!$F$45)&gt;0,IF((O28+P28*'Geometry'!$G$45+Q28*'Geometry'!$F$45)&lt;=C_eco,C_alpha*C_fck*(1-(1-(O28+P28*'Geometry'!$G$45+Q28*'Geometry'!$F$45)/C_eco)^C_n),C_alpha*C_fck),0)))*'Geometry'!$H$45+((MAX(MIN(S_1_Es*(O28+P28*'Geometry'!$G$46+Q28*'Geometry'!$F$46),S_1_fy),-S_1_fy))-(IF((O28+P28*'Geometry'!$G$46+Q28*'Geometry'!$F$46)&gt;0,IF((O28+P28*'Geometry'!$G$46+Q28*'Geometry'!$F$46)&lt;=C_eco,C_alpha*C_fck*(1-(1-(O28+P28*'Geometry'!$G$46+Q28*'Geometry'!$F$46)/C_eco)^C_n),C_alpha*C_fck),0)))*'Geometry'!$H$46+((MAX(MIN(S_1_Es*(O28+P28*'Geometry'!$G$47+Q28*'Geometry'!$F$47),S_1_fy),-S_1_fy))-(IF((O28+P28*'Geometry'!$G$47+Q28*'Geometry'!$F$47)&gt;0,IF((O28+P28*'Geometry'!$G$47+Q28*'Geometry'!$F$47)&lt;=C_eco,C_alpha*C_fck*(1-(1-(O28+P28*'Geometry'!$G$47+Q28*'Geometry'!$F$47)/C_eco)^C_n),C_alpha*C_fck),0)))*'Geometry'!$H$47+((MAX(MIN(S_1_Es*(O28+P28*'Geometry'!$G$48+Q28*'Geometry'!$F$48),S_1_fy),-S_1_fy))-(IF((O28+P28*'Geometry'!$G$48+Q28*'Geometry'!$F$48)&gt;0,IF((O28+P28*'Geometry'!$G$48+Q28*'Geometry'!$F$48)&lt;=C_eco,C_alpha*C_fck*(1-(1-(O28+P28*'Geometry'!$G$48+Q28*'Geometry'!$F$48)/C_eco)^C_n),C_alpha*C_fck),0)))*'Geometry'!$H$48+((MAX(MIN(S_1_Es*(O28+P28*'Geometry'!$G$49+Q28*'Geometry'!$F$49),S_1_fy),-S_1_fy))-(IF((O28+P28*'Geometry'!$G$49+Q28*'Geometry'!$F$49)&gt;0,IF((O28+P28*'Geometry'!$G$49+Q28*'Geometry'!$F$49)&lt;=C_eco,C_alpha*C_fck*(1-(1-(O28+P28*'Geometry'!$G$49+Q28*'Geometry'!$F$49)/C_eco)^C_n),C_alpha*C_fck),0)))*'Geometry'!$H$49+((MAX(MIN(S_1_Es*(O28+P28*'Geometry'!$G$50+Q28*'Geometry'!$F$50),S_1_fy),-S_1_fy))-(IF((O28+P28*'Geometry'!$G$50+Q28*'Geometry'!$F$50)&gt;0,IF((O28+P28*'Geometry'!$G$50+Q28*'Geometry'!$F$50)&lt;=C_eco,C_alpha*C_fck*(1-(1-(O28+P28*'Geometry'!$G$50+Q28*'Geometry'!$F$50)/C_eco)^C_n),C_alpha*C_fck),0)))*'Geometry'!$H$50+((MAX(MIN(S_1_Es*(O28+P28*'Geometry'!$G$51+Q28*'Geometry'!$F$51),S_1_fy),-S_1_fy))-(IF((O28+P28*'Geometry'!$G$51+Q28*'Geometry'!$F$51)&gt;0,IF((O28+P28*'Geometry'!$G$51+Q28*'Geometry'!$F$51)&lt;=C_eco,C_alpha*C_fck*(1-(1-(O28+P28*'Geometry'!$G$51+Q28*'Geometry'!$F$51)/C_eco)^C_n),C_alpha*C_fck),0)))*'Geometry'!$H$51+((MAX(MIN(S_1_Es*(O28+P28*'Geometry'!$G$52+Q28*'Geometry'!$F$52),S_1_fy),-S_1_fy))-(IF((O28+P28*'Geometry'!$G$52+Q28*'Geometry'!$F$52)&gt;0,IF((O28+P28*'Geometry'!$G$52+Q28*'Geometry'!$F$52)&lt;=C_eco,C_alpha*C_fck*(1-(1-(O28+P28*'Geometry'!$G$52+Q28*'Geometry'!$F$52)/C_eco)^C_n),C_alpha*C_fck),0)))*'Geometry'!$H$52+((MAX(MIN(S_1_Es*(O28+P28*'Geometry'!$G$53+Q28*'Geometry'!$F$53),S_1_fy),-S_1_fy))-(IF((O28+P28*'Geometry'!$G$53+Q28*'Geometry'!$F$53)&gt;0,IF((O28+P28*'Geometry'!$G$53+Q28*'Geometry'!$F$53)&lt;=C_eco,C_alpha*C_fck*(1-(1-(O28+P28*'Geometry'!$G$53+Q28*'Geometry'!$F$53)/C_eco)^C_n),C_alpha*C_fck),0)))*'Geometry'!$H$53+((MAX(MIN(S_1_Es*(O28+P28*'Geometry'!$G$54+Q28*'Geometry'!$F$54),S_1_fy),-S_1_fy))-(IF((O28+P28*'Geometry'!$G$54+Q28*'Geometry'!$F$54)&gt;0,IF((O28+P28*'Geometry'!$G$54+Q28*'Geometry'!$F$54)&lt;=C_eco,C_alpha*C_fck*(1-(1-(O28+P28*'Geometry'!$G$54+Q28*'Geometry'!$F$54)/C_eco)^C_n),C_alpha*C_fck),0)))*'Geometry'!$H$54+((MAX(MIN(S_1_Es*(O28+P28*'Geometry'!$G$55+Q28*'Geometry'!$F$55),S_1_fy),-S_1_fy))-(IF((O28+P28*'Geometry'!$G$55+Q28*'Geometry'!$F$55)&gt;0,IF((O28+P28*'Geometry'!$G$55+Q28*'Geometry'!$F$55)&lt;=C_eco,C_alpha*C_fck*(1-(1-(O28+P28*'Geometry'!$G$55+Q28*'Geometry'!$F$55)/C_eco)^C_n),C_alpha*C_fck),0)))*'Geometry'!$H$55+((MAX(MIN(S_1_Es*(O28+P28*'Geometry'!$G$56+Q28*'Geometry'!$F$56),S_1_fy),-S_1_fy))-(IF((O28+P28*'Geometry'!$G$56+Q28*'Geometry'!$F$56)&gt;0,IF((O28+P28*'Geometry'!$G$56+Q28*'Geometry'!$F$56)&lt;=C_eco,C_alpha*C_fck*(1-(1-(O28+P28*'Geometry'!$G$56+Q28*'Geometry'!$F$56)/C_eco)^C_n),C_alpha*C_fck),0)))*'Geometry'!$H$56+((MAX(MIN(S_1_Es*(O28+P28*'Geometry'!$G$57+Q28*'Geometry'!$F$57),S_1_fy),-S_1_fy))-(IF((O28+P28*'Geometry'!$G$57+Q28*'Geometry'!$F$57)&gt;0,IF((O28+P28*'Geometry'!$G$57+Q28*'Geometry'!$F$57)&lt;=C_eco,C_alpha*C_fck*(1-(1-(O28+P28*'Geometry'!$G$57+Q28*'Geometry'!$F$57)/C_eco)^C_n),C_alpha*C_fck),0)))*'Geometry'!$H$57)/1000</f>
        <v>-3911.3133908869127</v>
      </c>
      <c r="V28" s="10">
        <f>(((MAX(MIN(S_1_Es*(O28+P28*'Geometry'!$G$40+Q28*'Geometry'!$F$40),S_1_fy),-S_1_fy))-(IF((O28+P28*'Geometry'!$G$40+Q28*'Geometry'!$F$40)&gt;0,IF((O28+P28*'Geometry'!$G$40+Q28*'Geometry'!$F$40)&lt;=C_eco,C_alpha*C_fck*(1-(1-(O28+P28*'Geometry'!$G$40+Q28*'Geometry'!$F$40)/C_eco)^C_n),C_alpha*C_fck),0)))*'Geometry'!$H$40*'Geometry'!$G$40+((MAX(MIN(S_1_Es*(O28+P28*'Geometry'!$G$41+Q28*'Geometry'!$F$41),S_1_fy),-S_1_fy))-(IF((O28+P28*'Geometry'!$G$41+Q28*'Geometry'!$F$41)&gt;0,IF((O28+P28*'Geometry'!$G$41+Q28*'Geometry'!$F$41)&lt;=C_eco,C_alpha*C_fck*(1-(1-(O28+P28*'Geometry'!$G$41+Q28*'Geometry'!$F$41)/C_eco)^C_n),C_alpha*C_fck),0)))*'Geometry'!$H$41*'Geometry'!$G$41+((MAX(MIN(S_1_Es*(O28+P28*'Geometry'!$G$42+Q28*'Geometry'!$F$42),S_1_fy),-S_1_fy))-(IF((O28+P28*'Geometry'!$G$42+Q28*'Geometry'!$F$42)&gt;0,IF((O28+P28*'Geometry'!$G$42+Q28*'Geometry'!$F$42)&lt;=C_eco,C_alpha*C_fck*(1-(1-(O28+P28*'Geometry'!$G$42+Q28*'Geometry'!$F$42)/C_eco)^C_n),C_alpha*C_fck),0)))*'Geometry'!$H$42*'Geometry'!$G$42+((MAX(MIN(S_1_Es*(O28+P28*'Geometry'!$G$43+Q28*'Geometry'!$F$43),S_1_fy),-S_1_fy))-(IF((O28+P28*'Geometry'!$G$43+Q28*'Geometry'!$F$43)&gt;0,IF((O28+P28*'Geometry'!$G$43+Q28*'Geometry'!$F$43)&lt;=C_eco,C_alpha*C_fck*(1-(1-(O28+P28*'Geometry'!$G$43+Q28*'Geometry'!$F$43)/C_eco)^C_n),C_alpha*C_fck),0)))*'Geometry'!$H$43*'Geometry'!$G$43+((MAX(MIN(S_1_Es*(O28+P28*'Geometry'!$G$44+Q28*'Geometry'!$F$44),S_1_fy),-S_1_fy))-(IF((O28+P28*'Geometry'!$G$44+Q28*'Geometry'!$F$44)&gt;0,IF((O28+P28*'Geometry'!$G$44+Q28*'Geometry'!$F$44)&lt;=C_eco,C_alpha*C_fck*(1-(1-(O28+P28*'Geometry'!$G$44+Q28*'Geometry'!$F$44)/C_eco)^C_n),C_alpha*C_fck),0)))*'Geometry'!$H$44*'Geometry'!$G$44+((MAX(MIN(S_1_Es*(O28+P28*'Geometry'!$G$45+Q28*'Geometry'!$F$45),S_1_fy),-S_1_fy))-(IF((O28+P28*'Geometry'!$G$45+Q28*'Geometry'!$F$45)&gt;0,IF((O28+P28*'Geometry'!$G$45+Q28*'Geometry'!$F$45)&lt;=C_eco,C_alpha*C_fck*(1-(1-(O28+P28*'Geometry'!$G$45+Q28*'Geometry'!$F$45)/C_eco)^C_n),C_alpha*C_fck),0)))*'Geometry'!$H$45*'Geometry'!$G$45+((MAX(MIN(S_1_Es*(O28+P28*'Geometry'!$G$46+Q28*'Geometry'!$F$46),S_1_fy),-S_1_fy))-(IF((O28+P28*'Geometry'!$G$46+Q28*'Geometry'!$F$46)&gt;0,IF((O28+P28*'Geometry'!$G$46+Q28*'Geometry'!$F$46)&lt;=C_eco,C_alpha*C_fck*(1-(1-(O28+P28*'Geometry'!$G$46+Q28*'Geometry'!$F$46)/C_eco)^C_n),C_alpha*C_fck),0)))*'Geometry'!$H$46*'Geometry'!$G$46+((MAX(MIN(S_1_Es*(O28+P28*'Geometry'!$G$47+Q28*'Geometry'!$F$47),S_1_fy),-S_1_fy))-(IF((O28+P28*'Geometry'!$G$47+Q28*'Geometry'!$F$47)&gt;0,IF((O28+P28*'Geometry'!$G$47+Q28*'Geometry'!$F$47)&lt;=C_eco,C_alpha*C_fck*(1-(1-(O28+P28*'Geometry'!$G$47+Q28*'Geometry'!$F$47)/C_eco)^C_n),C_alpha*C_fck),0)))*'Geometry'!$H$47*'Geometry'!$G$47+((MAX(MIN(S_1_Es*(O28+P28*'Geometry'!$G$48+Q28*'Geometry'!$F$48),S_1_fy),-S_1_fy))-(IF((O28+P28*'Geometry'!$G$48+Q28*'Geometry'!$F$48)&gt;0,IF((O28+P28*'Geometry'!$G$48+Q28*'Geometry'!$F$48)&lt;=C_eco,C_alpha*C_fck*(1-(1-(O28+P28*'Geometry'!$G$48+Q28*'Geometry'!$F$48)/C_eco)^C_n),C_alpha*C_fck),0)))*'Geometry'!$H$48*'Geometry'!$G$48+((MAX(MIN(S_1_Es*(O28+P28*'Geometry'!$G$49+Q28*'Geometry'!$F$49),S_1_fy),-S_1_fy))-(IF((O28+P28*'Geometry'!$G$49+Q28*'Geometry'!$F$49)&gt;0,IF((O28+P28*'Geometry'!$G$49+Q28*'Geometry'!$F$49)&lt;=C_eco,C_alpha*C_fck*(1-(1-(O28+P28*'Geometry'!$G$49+Q28*'Geometry'!$F$49)/C_eco)^C_n),C_alpha*C_fck),0)))*'Geometry'!$H$49*'Geometry'!$G$49+((MAX(MIN(S_1_Es*(O28+P28*'Geometry'!$G$50+Q28*'Geometry'!$F$50),S_1_fy),-S_1_fy))-(IF((O28+P28*'Geometry'!$G$50+Q28*'Geometry'!$F$50)&gt;0,IF((O28+P28*'Geometry'!$G$50+Q28*'Geometry'!$F$50)&lt;=C_eco,C_alpha*C_fck*(1-(1-(O28+P28*'Geometry'!$G$50+Q28*'Geometry'!$F$50)/C_eco)^C_n),C_alpha*C_fck),0)))*'Geometry'!$H$50*'Geometry'!$G$50+((MAX(MIN(S_1_Es*(O28+P28*'Geometry'!$G$51+Q28*'Geometry'!$F$51),S_1_fy),-S_1_fy))-(IF((O28+P28*'Geometry'!$G$51+Q28*'Geometry'!$F$51)&gt;0,IF((O28+P28*'Geometry'!$G$51+Q28*'Geometry'!$F$51)&lt;=C_eco,C_alpha*C_fck*(1-(1-(O28+P28*'Geometry'!$G$51+Q28*'Geometry'!$F$51)/C_eco)^C_n),C_alpha*C_fck),0)))*'Geometry'!$H$51*'Geometry'!$G$51+((MAX(MIN(S_1_Es*(O28+P28*'Geometry'!$G$52+Q28*'Geometry'!$F$52),S_1_fy),-S_1_fy))-(IF((O28+P28*'Geometry'!$G$52+Q28*'Geometry'!$F$52)&gt;0,IF((O28+P28*'Geometry'!$G$52+Q28*'Geometry'!$F$52)&lt;=C_eco,C_alpha*C_fck*(1-(1-(O28+P28*'Geometry'!$G$52+Q28*'Geometry'!$F$52)/C_eco)^C_n),C_alpha*C_fck),0)))*'Geometry'!$H$52*'Geometry'!$G$52+((MAX(MIN(S_1_Es*(O28+P28*'Geometry'!$G$53+Q28*'Geometry'!$F$53),S_1_fy),-S_1_fy))-(IF((O28+P28*'Geometry'!$G$53+Q28*'Geometry'!$F$53)&gt;0,IF((O28+P28*'Geometry'!$G$53+Q28*'Geometry'!$F$53)&lt;=C_eco,C_alpha*C_fck*(1-(1-(O28+P28*'Geometry'!$G$53+Q28*'Geometry'!$F$53)/C_eco)^C_n),C_alpha*C_fck),0)))*'Geometry'!$H$53*'Geometry'!$G$53+((MAX(MIN(S_1_Es*(O28+P28*'Geometry'!$G$54+Q28*'Geometry'!$F$54),S_1_fy),-S_1_fy))-(IF((O28+P28*'Geometry'!$G$54+Q28*'Geometry'!$F$54)&gt;0,IF((O28+P28*'Geometry'!$G$54+Q28*'Geometry'!$F$54)&lt;=C_eco,C_alpha*C_fck*(1-(1-(O28+P28*'Geometry'!$G$54+Q28*'Geometry'!$F$54)/C_eco)^C_n),C_alpha*C_fck),0)))*'Geometry'!$H$54*'Geometry'!$G$54+((MAX(MIN(S_1_Es*(O28+P28*'Geometry'!$G$55+Q28*'Geometry'!$F$55),S_1_fy),-S_1_fy))-(IF((O28+P28*'Geometry'!$G$55+Q28*'Geometry'!$F$55)&gt;0,IF((O28+P28*'Geometry'!$G$55+Q28*'Geometry'!$F$55)&lt;=C_eco,C_alpha*C_fck*(1-(1-(O28+P28*'Geometry'!$G$55+Q28*'Geometry'!$F$55)/C_eco)^C_n),C_alpha*C_fck),0)))*'Geometry'!$H$55*'Geometry'!$G$55+((MAX(MIN(S_1_Es*(O28+P28*'Geometry'!$G$56+Q28*'Geometry'!$F$56),S_1_fy),-S_1_fy))-(IF((O28+P28*'Geometry'!$G$56+Q28*'Geometry'!$F$56)&gt;0,IF((O28+P28*'Geometry'!$G$56+Q28*'Geometry'!$F$56)&lt;=C_eco,C_alpha*C_fck*(1-(1-(O28+P28*'Geometry'!$G$56+Q28*'Geometry'!$F$56)/C_eco)^C_n),C_alpha*C_fck),0)))*'Geometry'!$H$56*'Geometry'!$G$56+((MAX(MIN(S_1_Es*(O28+P28*'Geometry'!$G$57+Q28*'Geometry'!$F$57),S_1_fy),-S_1_fy))-(IF((O28+P28*'Geometry'!$G$57+Q28*'Geometry'!$F$57)&gt;0,IF((O28+P28*'Geometry'!$G$57+Q28*'Geometry'!$F$57)&lt;=C_eco,C_alpha*C_fck*(1-(1-(O28+P28*'Geometry'!$G$57+Q28*'Geometry'!$F$57)/C_eco)^C_n),C_alpha*C_fck),0)))*'Geometry'!$H$57*'Geometry'!$G$57)/1000000</f>
        <v>-916.6105721726215</v>
      </c>
      <c r="W28" s="10">
        <f>(((MAX(MIN(S_1_Es*(O28+P28*'Geometry'!$G$40+Q28*'Geometry'!$F$40),S_1_fy),-S_1_fy))-(IF((O28+P28*'Geometry'!$G$40+Q28*'Geometry'!$F$40)&gt;0,IF((O28+P28*'Geometry'!$G$40+Q28*'Geometry'!$F$40)&lt;=C_eco,C_alpha*C_fck*(1-(1-(O28+P28*'Geometry'!$G$40+Q28*'Geometry'!$F$40)/C_eco)^C_n),C_alpha*C_fck),0)))*'Geometry'!$H$40*'Geometry'!$F$40+((MAX(MIN(S_1_Es*(O28+P28*'Geometry'!$G$41+Q28*'Geometry'!$F$41),S_1_fy),-S_1_fy))-(IF((O28+P28*'Geometry'!$G$41+Q28*'Geometry'!$F$41)&gt;0,IF((O28+P28*'Geometry'!$G$41+Q28*'Geometry'!$F$41)&lt;=C_eco,C_alpha*C_fck*(1-(1-(O28+P28*'Geometry'!$G$41+Q28*'Geometry'!$F$41)/C_eco)^C_n),C_alpha*C_fck),0)))*'Geometry'!$H$41*'Geometry'!$F$41+((MAX(MIN(S_1_Es*(O28+P28*'Geometry'!$G$42+Q28*'Geometry'!$F$42),S_1_fy),-S_1_fy))-(IF((O28+P28*'Geometry'!$G$42+Q28*'Geometry'!$F$42)&gt;0,IF((O28+P28*'Geometry'!$G$42+Q28*'Geometry'!$F$42)&lt;=C_eco,C_alpha*C_fck*(1-(1-(O28+P28*'Geometry'!$G$42+Q28*'Geometry'!$F$42)/C_eco)^C_n),C_alpha*C_fck),0)))*'Geometry'!$H$42*'Geometry'!$F$42+((MAX(MIN(S_1_Es*(O28+P28*'Geometry'!$G$43+Q28*'Geometry'!$F$43),S_1_fy),-S_1_fy))-(IF((O28+P28*'Geometry'!$G$43+Q28*'Geometry'!$F$43)&gt;0,IF((O28+P28*'Geometry'!$G$43+Q28*'Geometry'!$F$43)&lt;=C_eco,C_alpha*C_fck*(1-(1-(O28+P28*'Geometry'!$G$43+Q28*'Geometry'!$F$43)/C_eco)^C_n),C_alpha*C_fck),0)))*'Geometry'!$H$43*'Geometry'!$F$43+((MAX(MIN(S_1_Es*(O28+P28*'Geometry'!$G$44+Q28*'Geometry'!$F$44),S_1_fy),-S_1_fy))-(IF((O28+P28*'Geometry'!$G$44+Q28*'Geometry'!$F$44)&gt;0,IF((O28+P28*'Geometry'!$G$44+Q28*'Geometry'!$F$44)&lt;=C_eco,C_alpha*C_fck*(1-(1-(O28+P28*'Geometry'!$G$44+Q28*'Geometry'!$F$44)/C_eco)^C_n),C_alpha*C_fck),0)))*'Geometry'!$H$44*'Geometry'!$F$44+((MAX(MIN(S_1_Es*(O28+P28*'Geometry'!$G$45+Q28*'Geometry'!$F$45),S_1_fy),-S_1_fy))-(IF((O28+P28*'Geometry'!$G$45+Q28*'Geometry'!$F$45)&gt;0,IF((O28+P28*'Geometry'!$G$45+Q28*'Geometry'!$F$45)&lt;=C_eco,C_alpha*C_fck*(1-(1-(O28+P28*'Geometry'!$G$45+Q28*'Geometry'!$F$45)/C_eco)^C_n),C_alpha*C_fck),0)))*'Geometry'!$H$45*'Geometry'!$F$45+((MAX(MIN(S_1_Es*(O28+P28*'Geometry'!$G$46+Q28*'Geometry'!$F$46),S_1_fy),-S_1_fy))-(IF((O28+P28*'Geometry'!$G$46+Q28*'Geometry'!$F$46)&gt;0,IF((O28+P28*'Geometry'!$G$46+Q28*'Geometry'!$F$46)&lt;=C_eco,C_alpha*C_fck*(1-(1-(O28+P28*'Geometry'!$G$46+Q28*'Geometry'!$F$46)/C_eco)^C_n),C_alpha*C_fck),0)))*'Geometry'!$H$46*'Geometry'!$F$46+((MAX(MIN(S_1_Es*(O28+P28*'Geometry'!$G$47+Q28*'Geometry'!$F$47),S_1_fy),-S_1_fy))-(IF((O28+P28*'Geometry'!$G$47+Q28*'Geometry'!$F$47)&gt;0,IF((O28+P28*'Geometry'!$G$47+Q28*'Geometry'!$F$47)&lt;=C_eco,C_alpha*C_fck*(1-(1-(O28+P28*'Geometry'!$G$47+Q28*'Geometry'!$F$47)/C_eco)^C_n),C_alpha*C_fck),0)))*'Geometry'!$H$47*'Geometry'!$F$47+((MAX(MIN(S_1_Es*(O28+P28*'Geometry'!$G$48+Q28*'Geometry'!$F$48),S_1_fy),-S_1_fy))-(IF((O28+P28*'Geometry'!$G$48+Q28*'Geometry'!$F$48)&gt;0,IF((O28+P28*'Geometry'!$G$48+Q28*'Geometry'!$F$48)&lt;=C_eco,C_alpha*C_fck*(1-(1-(O28+P28*'Geometry'!$G$48+Q28*'Geometry'!$F$48)/C_eco)^C_n),C_alpha*C_fck),0)))*'Geometry'!$H$48*'Geometry'!$F$48+((MAX(MIN(S_1_Es*(O28+P28*'Geometry'!$G$49+Q28*'Geometry'!$F$49),S_1_fy),-S_1_fy))-(IF((O28+P28*'Geometry'!$G$49+Q28*'Geometry'!$F$49)&gt;0,IF((O28+P28*'Geometry'!$G$49+Q28*'Geometry'!$F$49)&lt;=C_eco,C_alpha*C_fck*(1-(1-(O28+P28*'Geometry'!$G$49+Q28*'Geometry'!$F$49)/C_eco)^C_n),C_alpha*C_fck),0)))*'Geometry'!$H$49*'Geometry'!$F$49+((MAX(MIN(S_1_Es*(O28+P28*'Geometry'!$G$50+Q28*'Geometry'!$F$50),S_1_fy),-S_1_fy))-(IF((O28+P28*'Geometry'!$G$50+Q28*'Geometry'!$F$50)&gt;0,IF((O28+P28*'Geometry'!$G$50+Q28*'Geometry'!$F$50)&lt;=C_eco,C_alpha*C_fck*(1-(1-(O28+P28*'Geometry'!$G$50+Q28*'Geometry'!$F$50)/C_eco)^C_n),C_alpha*C_fck),0)))*'Geometry'!$H$50*'Geometry'!$F$50+((MAX(MIN(S_1_Es*(O28+P28*'Geometry'!$G$51+Q28*'Geometry'!$F$51),S_1_fy),-S_1_fy))-(IF((O28+P28*'Geometry'!$G$51+Q28*'Geometry'!$F$51)&gt;0,IF((O28+P28*'Geometry'!$G$51+Q28*'Geometry'!$F$51)&lt;=C_eco,C_alpha*C_fck*(1-(1-(O28+P28*'Geometry'!$G$51+Q28*'Geometry'!$F$51)/C_eco)^C_n),C_alpha*C_fck),0)))*'Geometry'!$H$51*'Geometry'!$F$51+((MAX(MIN(S_1_Es*(O28+P28*'Geometry'!$G$52+Q28*'Geometry'!$F$52),S_1_fy),-S_1_fy))-(IF((O28+P28*'Geometry'!$G$52+Q28*'Geometry'!$F$52)&gt;0,IF((O28+P28*'Geometry'!$G$52+Q28*'Geometry'!$F$52)&lt;=C_eco,C_alpha*C_fck*(1-(1-(O28+P28*'Geometry'!$G$52+Q28*'Geometry'!$F$52)/C_eco)^C_n),C_alpha*C_fck),0)))*'Geometry'!$H$52*'Geometry'!$F$52+((MAX(MIN(S_1_Es*(O28+P28*'Geometry'!$G$53+Q28*'Geometry'!$F$53),S_1_fy),-S_1_fy))-(IF((O28+P28*'Geometry'!$G$53+Q28*'Geometry'!$F$53)&gt;0,IF((O28+P28*'Geometry'!$G$53+Q28*'Geometry'!$F$53)&lt;=C_eco,C_alpha*C_fck*(1-(1-(O28+P28*'Geometry'!$G$53+Q28*'Geometry'!$F$53)/C_eco)^C_n),C_alpha*C_fck),0)))*'Geometry'!$H$53*'Geometry'!$F$53+((MAX(MIN(S_1_Es*(O28+P28*'Geometry'!$G$54+Q28*'Geometry'!$F$54),S_1_fy),-S_1_fy))-(IF((O28+P28*'Geometry'!$G$54+Q28*'Geometry'!$F$54)&gt;0,IF((O28+P28*'Geometry'!$G$54+Q28*'Geometry'!$F$54)&lt;=C_eco,C_alpha*C_fck*(1-(1-(O28+P28*'Geometry'!$G$54+Q28*'Geometry'!$F$54)/C_eco)^C_n),C_alpha*C_fck),0)))*'Geometry'!$H$54*'Geometry'!$F$54+((MAX(MIN(S_1_Es*(O28+P28*'Geometry'!$G$55+Q28*'Geometry'!$F$55),S_1_fy),-S_1_fy))-(IF((O28+P28*'Geometry'!$G$55+Q28*'Geometry'!$F$55)&gt;0,IF((O28+P28*'Geometry'!$G$55+Q28*'Geometry'!$F$55)&lt;=C_eco,C_alpha*C_fck*(1-(1-(O28+P28*'Geometry'!$G$55+Q28*'Geometry'!$F$55)/C_eco)^C_n),C_alpha*C_fck),0)))*'Geometry'!$H$55*'Geometry'!$F$55+((MAX(MIN(S_1_Es*(O28+P28*'Geometry'!$G$56+Q28*'Geometry'!$F$56),S_1_fy),-S_1_fy))-(IF((O28+P28*'Geometry'!$G$56+Q28*'Geometry'!$F$56)&gt;0,IF((O28+P28*'Geometry'!$G$56+Q28*'Geometry'!$F$56)&lt;=C_eco,C_alpha*C_fck*(1-(1-(O28+P28*'Geometry'!$G$56+Q28*'Geometry'!$F$56)/C_eco)^C_n),C_alpha*C_fck),0)))*'Geometry'!$H$56*'Geometry'!$F$56+((MAX(MIN(S_1_Es*(O28+P28*'Geometry'!$G$57+Q28*'Geometry'!$F$57),S_1_fy),-S_1_fy))-(IF((O28+P28*'Geometry'!$G$57+Q28*'Geometry'!$F$57)&gt;0,IF((O28+P28*'Geometry'!$G$57+Q28*'Geometry'!$F$57)&lt;=C_eco,C_alpha*C_fck*(1-(1-(O28+P28*'Geometry'!$G$57+Q28*'Geometry'!$F$57)/C_eco)^C_n),C_alpha*C_fck),0)))*'Geometry'!$H$57*'Geometry'!$F$57)/1000000</f>
        <v>-514.3116793360281</v>
      </c>
      <c r="X28" s="10">
        <f>R28+U28</f>
        <v>-1527.7238628526823</v>
      </c>
      <c r="Y28" s="10">
        <f>S28+V28</f>
        <v>-2097.7198714629894</v>
      </c>
      <c r="Z28" s="10">
        <f>T28+W28</f>
        <v>-1552.8028303965848</v>
      </c>
      <c r="AA28" s="7">
        <v>0.85</v>
      </c>
      <c r="AB28" s="7">
        <v>0.85</v>
      </c>
      <c r="AC28" s="10">
        <f>X28*AA28</f>
        <v>-1298.56528342478</v>
      </c>
      <c r="AD28" s="10">
        <f>Y28*AB28</f>
        <v>-1783.061890743541</v>
      </c>
      <c r="AE28" s="10">
        <f>Z28*AB28</f>
        <v>-1319.882405837097</v>
      </c>
      <c r="AF28" s="7">
        <v>-1298.56528342478</v>
      </c>
      <c r="AG28" s="7">
        <v>-1783.061890743541</v>
      </c>
      <c r="AH28" s="7">
        <v>-1319.882405837097</v>
      </c>
      <c r="AI28" s="15">
        <f>AC28-AF28</f>
        <v>0</v>
      </c>
      <c r="AJ28" s="15">
        <f>SQRT((AD28-AG28)^2+(AE28-AH28)^2)</f>
        <v>0</v>
      </c>
      <c r="AK28" s="7" t="s">
        <v>189</v>
      </c>
      <c r="AL28" s="7">
        <v>-1527.7238628526823</v>
      </c>
      <c r="AM28" s="7">
        <v>-2097.7198714629894</v>
      </c>
      <c r="AN28" s="7">
        <v>-1552.8028303965848</v>
      </c>
      <c r="AO28" s="7">
        <v>2383.58952803423</v>
      </c>
      <c r="AP28" s="7">
        <v>-1181.109299290368</v>
      </c>
      <c r="AQ28" s="7">
        <v>-1038.4911510605568</v>
      </c>
      <c r="AR28" s="7">
        <v>-3911.3133908869127</v>
      </c>
      <c r="AS28" s="7">
        <v>-916.6105721726215</v>
      </c>
      <c r="AT28" s="7">
        <v>-514.3116793360281</v>
      </c>
    </row>
    <row r="29" spans="1:46" x14ac:dyDescent="0.25">
      <c r="A29" s="7" t="s">
        <v>232</v>
      </c>
      <c r="B29" s="7">
        <v>1</v>
      </c>
      <c r="C29" s="18">
        <v>210</v>
      </c>
      <c r="D29" s="7" t="s">
        <v>233</v>
      </c>
      <c r="E29" s="7" t="s">
        <v>192</v>
      </c>
      <c r="F29" s="19">
        <v>210.00000000000003</v>
      </c>
      <c r="G29" s="7" t="s">
        <v>188</v>
      </c>
      <c r="H29" s="20">
        <v>7.5</v>
      </c>
      <c r="I29" s="10">
        <f>MAX(('Geometry'!$G$13*COS(RADIANS(F29))+'Geometry'!$F$13*SIN(RADIANS(F29))),('Geometry'!$G$14*COS(RADIANS(F29))+'Geometry'!$F$14*SIN(RADIANS(F29))),('Geometry'!$G$15*COS(RADIANS(F29))+'Geometry'!$F$15*SIN(RADIANS(F29))),('Geometry'!$G$16*COS(RADIANS(F29))+'Geometry'!$F$16*SIN(RADIANS(F29))),('Geometry'!$G$17*COS(RADIANS(F29))+'Geometry'!$F$17*SIN(RADIANS(F29))),('Geometry'!$G$18*COS(RADIANS(F29))+'Geometry'!$F$18*SIN(RADIANS(F29))),('Geometry'!$G$19*COS(RADIANS(F29))+'Geometry'!$F$19*SIN(RADIANS(F29))),('Geometry'!$G$20*COS(RADIANS(F29))+'Geometry'!$F$20*SIN(RADIANS(F29))))</f>
        <v>794.6152422706632</v>
      </c>
      <c r="J29" s="10">
        <f>MIN(('Geometry'!$G$40*COS(RADIANS(F29))+'Geometry'!$F$40*SIN(RADIANS(F29))),('Geometry'!$G$41*COS(RADIANS(F29))+'Geometry'!$F$41*SIN(RADIANS(F29))),('Geometry'!$G$42*COS(RADIANS(F29))+'Geometry'!$F$42*SIN(RADIANS(F29))),('Geometry'!$G$43*COS(RADIANS(F29))+'Geometry'!$F$43*SIN(RADIANS(F29))),('Geometry'!$G$44*COS(RADIANS(F29))+'Geometry'!$F$44*SIN(RADIANS(F29))),('Geometry'!$G$45*COS(RADIANS(F29))+'Geometry'!$F$45*SIN(RADIANS(F29))),('Geometry'!$G$46*COS(RADIANS(F29))+'Geometry'!$F$46*SIN(RADIANS(F29))),('Geometry'!$G$47*COS(RADIANS(F29))+'Geometry'!$F$47*SIN(RADIANS(F29))),('Geometry'!$G$48*COS(RADIANS(F29))+'Geometry'!$F$48*SIN(RADIANS(F29))),('Geometry'!$G$49*COS(RADIANS(F29))+'Geometry'!$F$49*SIN(RADIANS(F29))),('Geometry'!$G$50*COS(RADIANS(F29))+'Geometry'!$F$50*SIN(RADIANS(F29))),('Geometry'!$G$51*COS(RADIANS(F29))+'Geometry'!$F$51*SIN(RADIANS(F29))),('Geometry'!$G$52*COS(RADIANS(F29))+'Geometry'!$F$52*SIN(RADIANS(F29))),('Geometry'!$G$53*COS(RADIANS(F29))+'Geometry'!$F$53*SIN(RADIANS(F29))),('Geometry'!$G$54*COS(RADIANS(F29))+'Geometry'!$F$54*SIN(RADIANS(F29))),('Geometry'!$G$55*COS(RADIANS(F29))+'Geometry'!$F$55*SIN(RADIANS(F29))),('Geometry'!$G$56*COS(RADIANS(F29))+'Geometry'!$F$56*SIN(RADIANS(F29))),('Geometry'!$G$57*COS(RADIANS(F29))+'Geometry'!$F$57*SIN(RADIANS(F29))))</f>
        <v>-658.9934640057525</v>
      </c>
      <c r="K29" s="10">
        <f>I29-MIN(('Geometry'!$G$13*COS(RADIANS(F29))+'Geometry'!$F$13*SIN(RADIANS(F29))),('Geometry'!$G$14*COS(RADIANS(F29))+'Geometry'!$F$14*SIN(RADIANS(F29))),('Geometry'!$G$15*COS(RADIANS(F29))+'Geometry'!$F$15*SIN(RADIANS(F29))),('Geometry'!$G$16*COS(RADIANS(F29))+'Geometry'!$F$16*SIN(RADIANS(F29))),('Geometry'!$G$17*COS(RADIANS(F29))+'Geometry'!$F$17*SIN(RADIANS(F29))),('Geometry'!$G$18*COS(RADIANS(F29))+'Geometry'!$F$18*SIN(RADIANS(F29))),('Geometry'!$G$19*COS(RADIANS(F29))+'Geometry'!$F$19*SIN(RADIANS(F29))),('Geometry'!$G$20*COS(RADIANS(F29))+'Geometry'!$F$20*SIN(RADIANS(F29))))</f>
        <v>1589.2304845413264</v>
      </c>
      <c r="L29" s="15">
        <f>C_ecu</f>
        <v>0.0033</v>
      </c>
      <c r="M29" s="15">
        <f>-H29*S_1_fy/S_1_Es</f>
        <v>-0.015</v>
      </c>
      <c r="N29" s="21">
        <f>IF(ABS(I29-J29)&lt;0.000000000001,0,(L29-M29)/(I29-J29))</f>
        <v>0.000012589357728103827</v>
      </c>
      <c r="O29" s="15">
        <f>L29-N29*I29</f>
        <v>-0.006703695541149268</v>
      </c>
      <c r="P29" s="21">
        <f>N29*COS(RADIANS(F29))</f>
        <v>-0.000010902703609867859</v>
      </c>
      <c r="Q29" s="21">
        <f>N29*SIN(RADIANS(F29))</f>
        <v>-0.000006294678864051915</v>
      </c>
      <c r="R29" s="10">
        <f>SUMPRODUCT(C_alpha*C_fck*(1-(1-(((O29+P29*Mesh_Y+Q29*Mesh_X))*((O29+P29*Mesh_Y+Q29*Mesh_X)&gt;0)*((O29+P29*Mesh_Y+Q29*Mesh_X)&lt;C_eco)+C_eco*((O29+P29*Mesh_Y+Q29*Mesh_X)&gt;=C_eco))/C_eco)^C_n)*(((O29+P29*Mesh_Y+Q29*Mesh_X))&gt;0),Mesh_A)/1000</f>
        <v>2327.269449932312</v>
      </c>
      <c r="S29" s="10">
        <f>SUMPRODUCT(C_alpha*C_fck*(1-(1-(((O29+P29*Mesh_Y+Q29*Mesh_X))*((O29+P29*Mesh_Y+Q29*Mesh_X)&gt;0)*((O29+P29*Mesh_Y+Q29*Mesh_X)&lt;C_eco)+C_eco*((O29+P29*Mesh_Y+Q29*Mesh_X)&gt;=C_eco))/C_eco)^C_n)*(((O29+P29*Mesh_Y+Q29*Mesh_X))&gt;0),Mesh_A,Mesh_Y)/1000000</f>
        <v>-1087.4119831386806</v>
      </c>
      <c r="T29" s="10">
        <f>SUMPRODUCT(C_alpha*C_fck*(1-(1-(((O29+P29*Mesh_Y+Q29*Mesh_X))*((O29+P29*Mesh_Y+Q29*Mesh_X)&gt;0)*((O29+P29*Mesh_Y+Q29*Mesh_X)&lt;C_eco)+C_eco*((O29+P29*Mesh_Y+Q29*Mesh_X)&gt;=C_eco))/C_eco)^C_n)*(((O29+P29*Mesh_Y+Q29*Mesh_X))&gt;0),Mesh_A,Mesh_X)/1000000</f>
        <v>-1175.8501549404368</v>
      </c>
      <c r="U29" s="10">
        <f>(((MAX(MIN(S_1_Es*(O29+P29*'Geometry'!$G$40+Q29*'Geometry'!$F$40),S_1_fy),-S_1_fy))-(IF((O29+P29*'Geometry'!$G$40+Q29*'Geometry'!$F$40)&gt;0,IF((O29+P29*'Geometry'!$G$40+Q29*'Geometry'!$F$40)&lt;=C_eco,C_alpha*C_fck*(1-(1-(O29+P29*'Geometry'!$G$40+Q29*'Geometry'!$F$40)/C_eco)^C_n),C_alpha*C_fck),0)))*'Geometry'!$H$40+((MAX(MIN(S_1_Es*(O29+P29*'Geometry'!$G$41+Q29*'Geometry'!$F$41),S_1_fy),-S_1_fy))-(IF((O29+P29*'Geometry'!$G$41+Q29*'Geometry'!$F$41)&gt;0,IF((O29+P29*'Geometry'!$G$41+Q29*'Geometry'!$F$41)&lt;=C_eco,C_alpha*C_fck*(1-(1-(O29+P29*'Geometry'!$G$41+Q29*'Geometry'!$F$41)/C_eco)^C_n),C_alpha*C_fck),0)))*'Geometry'!$H$41+((MAX(MIN(S_1_Es*(O29+P29*'Geometry'!$G$42+Q29*'Geometry'!$F$42),S_1_fy),-S_1_fy))-(IF((O29+P29*'Geometry'!$G$42+Q29*'Geometry'!$F$42)&gt;0,IF((O29+P29*'Geometry'!$G$42+Q29*'Geometry'!$F$42)&lt;=C_eco,C_alpha*C_fck*(1-(1-(O29+P29*'Geometry'!$G$42+Q29*'Geometry'!$F$42)/C_eco)^C_n),C_alpha*C_fck),0)))*'Geometry'!$H$42+((MAX(MIN(S_1_Es*(O29+P29*'Geometry'!$G$43+Q29*'Geometry'!$F$43),S_1_fy),-S_1_fy))-(IF((O29+P29*'Geometry'!$G$43+Q29*'Geometry'!$F$43)&gt;0,IF((O29+P29*'Geometry'!$G$43+Q29*'Geometry'!$F$43)&lt;=C_eco,C_alpha*C_fck*(1-(1-(O29+P29*'Geometry'!$G$43+Q29*'Geometry'!$F$43)/C_eco)^C_n),C_alpha*C_fck),0)))*'Geometry'!$H$43+((MAX(MIN(S_1_Es*(O29+P29*'Geometry'!$G$44+Q29*'Geometry'!$F$44),S_1_fy),-S_1_fy))-(IF((O29+P29*'Geometry'!$G$44+Q29*'Geometry'!$F$44)&gt;0,IF((O29+P29*'Geometry'!$G$44+Q29*'Geometry'!$F$44)&lt;=C_eco,C_alpha*C_fck*(1-(1-(O29+P29*'Geometry'!$G$44+Q29*'Geometry'!$F$44)/C_eco)^C_n),C_alpha*C_fck),0)))*'Geometry'!$H$44+((MAX(MIN(S_1_Es*(O29+P29*'Geometry'!$G$45+Q29*'Geometry'!$F$45),S_1_fy),-S_1_fy))-(IF((O29+P29*'Geometry'!$G$45+Q29*'Geometry'!$F$45)&gt;0,IF((O29+P29*'Geometry'!$G$45+Q29*'Geometry'!$F$45)&lt;=C_eco,C_alpha*C_fck*(1-(1-(O29+P29*'Geometry'!$G$45+Q29*'Geometry'!$F$45)/C_eco)^C_n),C_alpha*C_fck),0)))*'Geometry'!$H$45+((MAX(MIN(S_1_Es*(O29+P29*'Geometry'!$G$46+Q29*'Geometry'!$F$46),S_1_fy),-S_1_fy))-(IF((O29+P29*'Geometry'!$G$46+Q29*'Geometry'!$F$46)&gt;0,IF((O29+P29*'Geometry'!$G$46+Q29*'Geometry'!$F$46)&lt;=C_eco,C_alpha*C_fck*(1-(1-(O29+P29*'Geometry'!$G$46+Q29*'Geometry'!$F$46)/C_eco)^C_n),C_alpha*C_fck),0)))*'Geometry'!$H$46+((MAX(MIN(S_1_Es*(O29+P29*'Geometry'!$G$47+Q29*'Geometry'!$F$47),S_1_fy),-S_1_fy))-(IF((O29+P29*'Geometry'!$G$47+Q29*'Geometry'!$F$47)&gt;0,IF((O29+P29*'Geometry'!$G$47+Q29*'Geometry'!$F$47)&lt;=C_eco,C_alpha*C_fck*(1-(1-(O29+P29*'Geometry'!$G$47+Q29*'Geometry'!$F$47)/C_eco)^C_n),C_alpha*C_fck),0)))*'Geometry'!$H$47+((MAX(MIN(S_1_Es*(O29+P29*'Geometry'!$G$48+Q29*'Geometry'!$F$48),S_1_fy),-S_1_fy))-(IF((O29+P29*'Geometry'!$G$48+Q29*'Geometry'!$F$48)&gt;0,IF((O29+P29*'Geometry'!$G$48+Q29*'Geometry'!$F$48)&lt;=C_eco,C_alpha*C_fck*(1-(1-(O29+P29*'Geometry'!$G$48+Q29*'Geometry'!$F$48)/C_eco)^C_n),C_alpha*C_fck),0)))*'Geometry'!$H$48+((MAX(MIN(S_1_Es*(O29+P29*'Geometry'!$G$49+Q29*'Geometry'!$F$49),S_1_fy),-S_1_fy))-(IF((O29+P29*'Geometry'!$G$49+Q29*'Geometry'!$F$49)&gt;0,IF((O29+P29*'Geometry'!$G$49+Q29*'Geometry'!$F$49)&lt;=C_eco,C_alpha*C_fck*(1-(1-(O29+P29*'Geometry'!$G$49+Q29*'Geometry'!$F$49)/C_eco)^C_n),C_alpha*C_fck),0)))*'Geometry'!$H$49+((MAX(MIN(S_1_Es*(O29+P29*'Geometry'!$G$50+Q29*'Geometry'!$F$50),S_1_fy),-S_1_fy))-(IF((O29+P29*'Geometry'!$G$50+Q29*'Geometry'!$F$50)&gt;0,IF((O29+P29*'Geometry'!$G$50+Q29*'Geometry'!$F$50)&lt;=C_eco,C_alpha*C_fck*(1-(1-(O29+P29*'Geometry'!$G$50+Q29*'Geometry'!$F$50)/C_eco)^C_n),C_alpha*C_fck),0)))*'Geometry'!$H$50+((MAX(MIN(S_1_Es*(O29+P29*'Geometry'!$G$51+Q29*'Geometry'!$F$51),S_1_fy),-S_1_fy))-(IF((O29+P29*'Geometry'!$G$51+Q29*'Geometry'!$F$51)&gt;0,IF((O29+P29*'Geometry'!$G$51+Q29*'Geometry'!$F$51)&lt;=C_eco,C_alpha*C_fck*(1-(1-(O29+P29*'Geometry'!$G$51+Q29*'Geometry'!$F$51)/C_eco)^C_n),C_alpha*C_fck),0)))*'Geometry'!$H$51+((MAX(MIN(S_1_Es*(O29+P29*'Geometry'!$G$52+Q29*'Geometry'!$F$52),S_1_fy),-S_1_fy))-(IF((O29+P29*'Geometry'!$G$52+Q29*'Geometry'!$F$52)&gt;0,IF((O29+P29*'Geometry'!$G$52+Q29*'Geometry'!$F$52)&lt;=C_eco,C_alpha*C_fck*(1-(1-(O29+P29*'Geometry'!$G$52+Q29*'Geometry'!$F$52)/C_eco)^C_n),C_alpha*C_fck),0)))*'Geometry'!$H$52+((MAX(MIN(S_1_Es*(O29+P29*'Geometry'!$G$53+Q29*'Geometry'!$F$53),S_1_fy),-S_1_fy))-(IF((O29+P29*'Geometry'!$G$53+Q29*'Geometry'!$F$53)&gt;0,IF((O29+P29*'Geometry'!$G$53+Q29*'Geometry'!$F$53)&lt;=C_eco,C_alpha*C_fck*(1-(1-(O29+P29*'Geometry'!$G$53+Q29*'Geometry'!$F$53)/C_eco)^C_n),C_alpha*C_fck),0)))*'Geometry'!$H$53+((MAX(MIN(S_1_Es*(O29+P29*'Geometry'!$G$54+Q29*'Geometry'!$F$54),S_1_fy),-S_1_fy))-(IF((O29+P29*'Geometry'!$G$54+Q29*'Geometry'!$F$54)&gt;0,IF((O29+P29*'Geometry'!$G$54+Q29*'Geometry'!$F$54)&lt;=C_eco,C_alpha*C_fck*(1-(1-(O29+P29*'Geometry'!$G$54+Q29*'Geometry'!$F$54)/C_eco)^C_n),C_alpha*C_fck),0)))*'Geometry'!$H$54+((MAX(MIN(S_1_Es*(O29+P29*'Geometry'!$G$55+Q29*'Geometry'!$F$55),S_1_fy),-S_1_fy))-(IF((O29+P29*'Geometry'!$G$55+Q29*'Geometry'!$F$55)&gt;0,IF((O29+P29*'Geometry'!$G$55+Q29*'Geometry'!$F$55)&lt;=C_eco,C_alpha*C_fck*(1-(1-(O29+P29*'Geometry'!$G$55+Q29*'Geometry'!$F$55)/C_eco)^C_n),C_alpha*C_fck),0)))*'Geometry'!$H$55+((MAX(MIN(S_1_Es*(O29+P29*'Geometry'!$G$56+Q29*'Geometry'!$F$56),S_1_fy),-S_1_fy))-(IF((O29+P29*'Geometry'!$G$56+Q29*'Geometry'!$F$56)&gt;0,IF((O29+P29*'Geometry'!$G$56+Q29*'Geometry'!$F$56)&lt;=C_eco,C_alpha*C_fck*(1-(1-(O29+P29*'Geometry'!$G$56+Q29*'Geometry'!$F$56)/C_eco)^C_n),C_alpha*C_fck),0)))*'Geometry'!$H$56+((MAX(MIN(S_1_Es*(O29+P29*'Geometry'!$G$57+Q29*'Geometry'!$F$57),S_1_fy),-S_1_fy))-(IF((O29+P29*'Geometry'!$G$57+Q29*'Geometry'!$F$57)&gt;0,IF((O29+P29*'Geometry'!$G$57+Q29*'Geometry'!$F$57)&lt;=C_eco,C_alpha*C_fck*(1-(1-(O29+P29*'Geometry'!$G$57+Q29*'Geometry'!$F$57)/C_eco)^C_n),C_alpha*C_fck),0)))*'Geometry'!$H$57)/1000</f>
        <v>-4138.802369024737</v>
      </c>
      <c r="V29" s="10">
        <f>(((MAX(MIN(S_1_Es*(O29+P29*'Geometry'!$G$40+Q29*'Geometry'!$F$40),S_1_fy),-S_1_fy))-(IF((O29+P29*'Geometry'!$G$40+Q29*'Geometry'!$F$40)&gt;0,IF((O29+P29*'Geometry'!$G$40+Q29*'Geometry'!$F$40)&lt;=C_eco,C_alpha*C_fck*(1-(1-(O29+P29*'Geometry'!$G$40+Q29*'Geometry'!$F$40)/C_eco)^C_n),C_alpha*C_fck),0)))*'Geometry'!$H$40*'Geometry'!$G$40+((MAX(MIN(S_1_Es*(O29+P29*'Geometry'!$G$41+Q29*'Geometry'!$F$41),S_1_fy),-S_1_fy))-(IF((O29+P29*'Geometry'!$G$41+Q29*'Geometry'!$F$41)&gt;0,IF((O29+P29*'Geometry'!$G$41+Q29*'Geometry'!$F$41)&lt;=C_eco,C_alpha*C_fck*(1-(1-(O29+P29*'Geometry'!$G$41+Q29*'Geometry'!$F$41)/C_eco)^C_n),C_alpha*C_fck),0)))*'Geometry'!$H$41*'Geometry'!$G$41+((MAX(MIN(S_1_Es*(O29+P29*'Geometry'!$G$42+Q29*'Geometry'!$F$42),S_1_fy),-S_1_fy))-(IF((O29+P29*'Geometry'!$G$42+Q29*'Geometry'!$F$42)&gt;0,IF((O29+P29*'Geometry'!$G$42+Q29*'Geometry'!$F$42)&lt;=C_eco,C_alpha*C_fck*(1-(1-(O29+P29*'Geometry'!$G$42+Q29*'Geometry'!$F$42)/C_eco)^C_n),C_alpha*C_fck),0)))*'Geometry'!$H$42*'Geometry'!$G$42+((MAX(MIN(S_1_Es*(O29+P29*'Geometry'!$G$43+Q29*'Geometry'!$F$43),S_1_fy),-S_1_fy))-(IF((O29+P29*'Geometry'!$G$43+Q29*'Geometry'!$F$43)&gt;0,IF((O29+P29*'Geometry'!$G$43+Q29*'Geometry'!$F$43)&lt;=C_eco,C_alpha*C_fck*(1-(1-(O29+P29*'Geometry'!$G$43+Q29*'Geometry'!$F$43)/C_eco)^C_n),C_alpha*C_fck),0)))*'Geometry'!$H$43*'Geometry'!$G$43+((MAX(MIN(S_1_Es*(O29+P29*'Geometry'!$G$44+Q29*'Geometry'!$F$44),S_1_fy),-S_1_fy))-(IF((O29+P29*'Geometry'!$G$44+Q29*'Geometry'!$F$44)&gt;0,IF((O29+P29*'Geometry'!$G$44+Q29*'Geometry'!$F$44)&lt;=C_eco,C_alpha*C_fck*(1-(1-(O29+P29*'Geometry'!$G$44+Q29*'Geometry'!$F$44)/C_eco)^C_n),C_alpha*C_fck),0)))*'Geometry'!$H$44*'Geometry'!$G$44+((MAX(MIN(S_1_Es*(O29+P29*'Geometry'!$G$45+Q29*'Geometry'!$F$45),S_1_fy),-S_1_fy))-(IF((O29+P29*'Geometry'!$G$45+Q29*'Geometry'!$F$45)&gt;0,IF((O29+P29*'Geometry'!$G$45+Q29*'Geometry'!$F$45)&lt;=C_eco,C_alpha*C_fck*(1-(1-(O29+P29*'Geometry'!$G$45+Q29*'Geometry'!$F$45)/C_eco)^C_n),C_alpha*C_fck),0)))*'Geometry'!$H$45*'Geometry'!$G$45+((MAX(MIN(S_1_Es*(O29+P29*'Geometry'!$G$46+Q29*'Geometry'!$F$46),S_1_fy),-S_1_fy))-(IF((O29+P29*'Geometry'!$G$46+Q29*'Geometry'!$F$46)&gt;0,IF((O29+P29*'Geometry'!$G$46+Q29*'Geometry'!$F$46)&lt;=C_eco,C_alpha*C_fck*(1-(1-(O29+P29*'Geometry'!$G$46+Q29*'Geometry'!$F$46)/C_eco)^C_n),C_alpha*C_fck),0)))*'Geometry'!$H$46*'Geometry'!$G$46+((MAX(MIN(S_1_Es*(O29+P29*'Geometry'!$G$47+Q29*'Geometry'!$F$47),S_1_fy),-S_1_fy))-(IF((O29+P29*'Geometry'!$G$47+Q29*'Geometry'!$F$47)&gt;0,IF((O29+P29*'Geometry'!$G$47+Q29*'Geometry'!$F$47)&lt;=C_eco,C_alpha*C_fck*(1-(1-(O29+P29*'Geometry'!$G$47+Q29*'Geometry'!$F$47)/C_eco)^C_n),C_alpha*C_fck),0)))*'Geometry'!$H$47*'Geometry'!$G$47+((MAX(MIN(S_1_Es*(O29+P29*'Geometry'!$G$48+Q29*'Geometry'!$F$48),S_1_fy),-S_1_fy))-(IF((O29+P29*'Geometry'!$G$48+Q29*'Geometry'!$F$48)&gt;0,IF((O29+P29*'Geometry'!$G$48+Q29*'Geometry'!$F$48)&lt;=C_eco,C_alpha*C_fck*(1-(1-(O29+P29*'Geometry'!$G$48+Q29*'Geometry'!$F$48)/C_eco)^C_n),C_alpha*C_fck),0)))*'Geometry'!$H$48*'Geometry'!$G$48+((MAX(MIN(S_1_Es*(O29+P29*'Geometry'!$G$49+Q29*'Geometry'!$F$49),S_1_fy),-S_1_fy))-(IF((O29+P29*'Geometry'!$G$49+Q29*'Geometry'!$F$49)&gt;0,IF((O29+P29*'Geometry'!$G$49+Q29*'Geometry'!$F$49)&lt;=C_eco,C_alpha*C_fck*(1-(1-(O29+P29*'Geometry'!$G$49+Q29*'Geometry'!$F$49)/C_eco)^C_n),C_alpha*C_fck),0)))*'Geometry'!$H$49*'Geometry'!$G$49+((MAX(MIN(S_1_Es*(O29+P29*'Geometry'!$G$50+Q29*'Geometry'!$F$50),S_1_fy),-S_1_fy))-(IF((O29+P29*'Geometry'!$G$50+Q29*'Geometry'!$F$50)&gt;0,IF((O29+P29*'Geometry'!$G$50+Q29*'Geometry'!$F$50)&lt;=C_eco,C_alpha*C_fck*(1-(1-(O29+P29*'Geometry'!$G$50+Q29*'Geometry'!$F$50)/C_eco)^C_n),C_alpha*C_fck),0)))*'Geometry'!$H$50*'Geometry'!$G$50+((MAX(MIN(S_1_Es*(O29+P29*'Geometry'!$G$51+Q29*'Geometry'!$F$51),S_1_fy),-S_1_fy))-(IF((O29+P29*'Geometry'!$G$51+Q29*'Geometry'!$F$51)&gt;0,IF((O29+P29*'Geometry'!$G$51+Q29*'Geometry'!$F$51)&lt;=C_eco,C_alpha*C_fck*(1-(1-(O29+P29*'Geometry'!$G$51+Q29*'Geometry'!$F$51)/C_eco)^C_n),C_alpha*C_fck),0)))*'Geometry'!$H$51*'Geometry'!$G$51+((MAX(MIN(S_1_Es*(O29+P29*'Geometry'!$G$52+Q29*'Geometry'!$F$52),S_1_fy),-S_1_fy))-(IF((O29+P29*'Geometry'!$G$52+Q29*'Geometry'!$F$52)&gt;0,IF((O29+P29*'Geometry'!$G$52+Q29*'Geometry'!$F$52)&lt;=C_eco,C_alpha*C_fck*(1-(1-(O29+P29*'Geometry'!$G$52+Q29*'Geometry'!$F$52)/C_eco)^C_n),C_alpha*C_fck),0)))*'Geometry'!$H$52*'Geometry'!$G$52+((MAX(MIN(S_1_Es*(O29+P29*'Geometry'!$G$53+Q29*'Geometry'!$F$53),S_1_fy),-S_1_fy))-(IF((O29+P29*'Geometry'!$G$53+Q29*'Geometry'!$F$53)&gt;0,IF((O29+P29*'Geometry'!$G$53+Q29*'Geometry'!$F$53)&lt;=C_eco,C_alpha*C_fck*(1-(1-(O29+P29*'Geometry'!$G$53+Q29*'Geometry'!$F$53)/C_eco)^C_n),C_alpha*C_fck),0)))*'Geometry'!$H$53*'Geometry'!$G$53+((MAX(MIN(S_1_Es*(O29+P29*'Geometry'!$G$54+Q29*'Geometry'!$F$54),S_1_fy),-S_1_fy))-(IF((O29+P29*'Geometry'!$G$54+Q29*'Geometry'!$F$54)&gt;0,IF((O29+P29*'Geometry'!$G$54+Q29*'Geometry'!$F$54)&lt;=C_eco,C_alpha*C_fck*(1-(1-(O29+P29*'Geometry'!$G$54+Q29*'Geometry'!$F$54)/C_eco)^C_n),C_alpha*C_fck),0)))*'Geometry'!$H$54*'Geometry'!$G$54+((MAX(MIN(S_1_Es*(O29+P29*'Geometry'!$G$55+Q29*'Geometry'!$F$55),S_1_fy),-S_1_fy))-(IF((O29+P29*'Geometry'!$G$55+Q29*'Geometry'!$F$55)&gt;0,IF((O29+P29*'Geometry'!$G$55+Q29*'Geometry'!$F$55)&lt;=C_eco,C_alpha*C_fck*(1-(1-(O29+P29*'Geometry'!$G$55+Q29*'Geometry'!$F$55)/C_eco)^C_n),C_alpha*C_fck),0)))*'Geometry'!$H$55*'Geometry'!$G$55+((MAX(MIN(S_1_Es*(O29+P29*'Geometry'!$G$56+Q29*'Geometry'!$F$56),S_1_fy),-S_1_fy))-(IF((O29+P29*'Geometry'!$G$56+Q29*'Geometry'!$F$56)&gt;0,IF((O29+P29*'Geometry'!$G$56+Q29*'Geometry'!$F$56)&lt;=C_eco,C_alpha*C_fck*(1-(1-(O29+P29*'Geometry'!$G$56+Q29*'Geometry'!$F$56)/C_eco)^C_n),C_alpha*C_fck),0)))*'Geometry'!$H$56*'Geometry'!$G$56+((MAX(MIN(S_1_Es*(O29+P29*'Geometry'!$G$57+Q29*'Geometry'!$F$57),S_1_fy),-S_1_fy))-(IF((O29+P29*'Geometry'!$G$57+Q29*'Geometry'!$F$57)&gt;0,IF((O29+P29*'Geometry'!$G$57+Q29*'Geometry'!$F$57)&lt;=C_eco,C_alpha*C_fck*(1-(1-(O29+P29*'Geometry'!$G$57+Q29*'Geometry'!$F$57)/C_eco)^C_n),C_alpha*C_fck),0)))*'Geometry'!$H$57*'Geometry'!$G$57)/1000000</f>
        <v>-727.1201011257455</v>
      </c>
      <c r="W29" s="10">
        <f>(((MAX(MIN(S_1_Es*(O29+P29*'Geometry'!$G$40+Q29*'Geometry'!$F$40),S_1_fy),-S_1_fy))-(IF((O29+P29*'Geometry'!$G$40+Q29*'Geometry'!$F$40)&gt;0,IF((O29+P29*'Geometry'!$G$40+Q29*'Geometry'!$F$40)&lt;=C_eco,C_alpha*C_fck*(1-(1-(O29+P29*'Geometry'!$G$40+Q29*'Geometry'!$F$40)/C_eco)^C_n),C_alpha*C_fck),0)))*'Geometry'!$H$40*'Geometry'!$F$40+((MAX(MIN(S_1_Es*(O29+P29*'Geometry'!$G$41+Q29*'Geometry'!$F$41),S_1_fy),-S_1_fy))-(IF((O29+P29*'Geometry'!$G$41+Q29*'Geometry'!$F$41)&gt;0,IF((O29+P29*'Geometry'!$G$41+Q29*'Geometry'!$F$41)&lt;=C_eco,C_alpha*C_fck*(1-(1-(O29+P29*'Geometry'!$G$41+Q29*'Geometry'!$F$41)/C_eco)^C_n),C_alpha*C_fck),0)))*'Geometry'!$H$41*'Geometry'!$F$41+((MAX(MIN(S_1_Es*(O29+P29*'Geometry'!$G$42+Q29*'Geometry'!$F$42),S_1_fy),-S_1_fy))-(IF((O29+P29*'Geometry'!$G$42+Q29*'Geometry'!$F$42)&gt;0,IF((O29+P29*'Geometry'!$G$42+Q29*'Geometry'!$F$42)&lt;=C_eco,C_alpha*C_fck*(1-(1-(O29+P29*'Geometry'!$G$42+Q29*'Geometry'!$F$42)/C_eco)^C_n),C_alpha*C_fck),0)))*'Geometry'!$H$42*'Geometry'!$F$42+((MAX(MIN(S_1_Es*(O29+P29*'Geometry'!$G$43+Q29*'Geometry'!$F$43),S_1_fy),-S_1_fy))-(IF((O29+P29*'Geometry'!$G$43+Q29*'Geometry'!$F$43)&gt;0,IF((O29+P29*'Geometry'!$G$43+Q29*'Geometry'!$F$43)&lt;=C_eco,C_alpha*C_fck*(1-(1-(O29+P29*'Geometry'!$G$43+Q29*'Geometry'!$F$43)/C_eco)^C_n),C_alpha*C_fck),0)))*'Geometry'!$H$43*'Geometry'!$F$43+((MAX(MIN(S_1_Es*(O29+P29*'Geometry'!$G$44+Q29*'Geometry'!$F$44),S_1_fy),-S_1_fy))-(IF((O29+P29*'Geometry'!$G$44+Q29*'Geometry'!$F$44)&gt;0,IF((O29+P29*'Geometry'!$G$44+Q29*'Geometry'!$F$44)&lt;=C_eco,C_alpha*C_fck*(1-(1-(O29+P29*'Geometry'!$G$44+Q29*'Geometry'!$F$44)/C_eco)^C_n),C_alpha*C_fck),0)))*'Geometry'!$H$44*'Geometry'!$F$44+((MAX(MIN(S_1_Es*(O29+P29*'Geometry'!$G$45+Q29*'Geometry'!$F$45),S_1_fy),-S_1_fy))-(IF((O29+P29*'Geometry'!$G$45+Q29*'Geometry'!$F$45)&gt;0,IF((O29+P29*'Geometry'!$G$45+Q29*'Geometry'!$F$45)&lt;=C_eco,C_alpha*C_fck*(1-(1-(O29+P29*'Geometry'!$G$45+Q29*'Geometry'!$F$45)/C_eco)^C_n),C_alpha*C_fck),0)))*'Geometry'!$H$45*'Geometry'!$F$45+((MAX(MIN(S_1_Es*(O29+P29*'Geometry'!$G$46+Q29*'Geometry'!$F$46),S_1_fy),-S_1_fy))-(IF((O29+P29*'Geometry'!$G$46+Q29*'Geometry'!$F$46)&gt;0,IF((O29+P29*'Geometry'!$G$46+Q29*'Geometry'!$F$46)&lt;=C_eco,C_alpha*C_fck*(1-(1-(O29+P29*'Geometry'!$G$46+Q29*'Geometry'!$F$46)/C_eco)^C_n),C_alpha*C_fck),0)))*'Geometry'!$H$46*'Geometry'!$F$46+((MAX(MIN(S_1_Es*(O29+P29*'Geometry'!$G$47+Q29*'Geometry'!$F$47),S_1_fy),-S_1_fy))-(IF((O29+P29*'Geometry'!$G$47+Q29*'Geometry'!$F$47)&gt;0,IF((O29+P29*'Geometry'!$G$47+Q29*'Geometry'!$F$47)&lt;=C_eco,C_alpha*C_fck*(1-(1-(O29+P29*'Geometry'!$G$47+Q29*'Geometry'!$F$47)/C_eco)^C_n),C_alpha*C_fck),0)))*'Geometry'!$H$47*'Geometry'!$F$47+((MAX(MIN(S_1_Es*(O29+P29*'Geometry'!$G$48+Q29*'Geometry'!$F$48),S_1_fy),-S_1_fy))-(IF((O29+P29*'Geometry'!$G$48+Q29*'Geometry'!$F$48)&gt;0,IF((O29+P29*'Geometry'!$G$48+Q29*'Geometry'!$F$48)&lt;=C_eco,C_alpha*C_fck*(1-(1-(O29+P29*'Geometry'!$G$48+Q29*'Geometry'!$F$48)/C_eco)^C_n),C_alpha*C_fck),0)))*'Geometry'!$H$48*'Geometry'!$F$48+((MAX(MIN(S_1_Es*(O29+P29*'Geometry'!$G$49+Q29*'Geometry'!$F$49),S_1_fy),-S_1_fy))-(IF((O29+P29*'Geometry'!$G$49+Q29*'Geometry'!$F$49)&gt;0,IF((O29+P29*'Geometry'!$G$49+Q29*'Geometry'!$F$49)&lt;=C_eco,C_alpha*C_fck*(1-(1-(O29+P29*'Geometry'!$G$49+Q29*'Geometry'!$F$49)/C_eco)^C_n),C_alpha*C_fck),0)))*'Geometry'!$H$49*'Geometry'!$F$49+((MAX(MIN(S_1_Es*(O29+P29*'Geometry'!$G$50+Q29*'Geometry'!$F$50),S_1_fy),-S_1_fy))-(IF((O29+P29*'Geometry'!$G$50+Q29*'Geometry'!$F$50)&gt;0,IF((O29+P29*'Geometry'!$G$50+Q29*'Geometry'!$F$50)&lt;=C_eco,C_alpha*C_fck*(1-(1-(O29+P29*'Geometry'!$G$50+Q29*'Geometry'!$F$50)/C_eco)^C_n),C_alpha*C_fck),0)))*'Geometry'!$H$50*'Geometry'!$F$50+((MAX(MIN(S_1_Es*(O29+P29*'Geometry'!$G$51+Q29*'Geometry'!$F$51),S_1_fy),-S_1_fy))-(IF((O29+P29*'Geometry'!$G$51+Q29*'Geometry'!$F$51)&gt;0,IF((O29+P29*'Geometry'!$G$51+Q29*'Geometry'!$F$51)&lt;=C_eco,C_alpha*C_fck*(1-(1-(O29+P29*'Geometry'!$G$51+Q29*'Geometry'!$F$51)/C_eco)^C_n),C_alpha*C_fck),0)))*'Geometry'!$H$51*'Geometry'!$F$51+((MAX(MIN(S_1_Es*(O29+P29*'Geometry'!$G$52+Q29*'Geometry'!$F$52),S_1_fy),-S_1_fy))-(IF((O29+P29*'Geometry'!$G$52+Q29*'Geometry'!$F$52)&gt;0,IF((O29+P29*'Geometry'!$G$52+Q29*'Geometry'!$F$52)&lt;=C_eco,C_alpha*C_fck*(1-(1-(O29+P29*'Geometry'!$G$52+Q29*'Geometry'!$F$52)/C_eco)^C_n),C_alpha*C_fck),0)))*'Geometry'!$H$52*'Geometry'!$F$52+((MAX(MIN(S_1_Es*(O29+P29*'Geometry'!$G$53+Q29*'Geometry'!$F$53),S_1_fy),-S_1_fy))-(IF((O29+P29*'Geometry'!$G$53+Q29*'Geometry'!$F$53)&gt;0,IF((O29+P29*'Geometry'!$G$53+Q29*'Geometry'!$F$53)&lt;=C_eco,C_alpha*C_fck*(1-(1-(O29+P29*'Geometry'!$G$53+Q29*'Geometry'!$F$53)/C_eco)^C_n),C_alpha*C_fck),0)))*'Geometry'!$H$53*'Geometry'!$F$53+((MAX(MIN(S_1_Es*(O29+P29*'Geometry'!$G$54+Q29*'Geometry'!$F$54),S_1_fy),-S_1_fy))-(IF((O29+P29*'Geometry'!$G$54+Q29*'Geometry'!$F$54)&gt;0,IF((O29+P29*'Geometry'!$G$54+Q29*'Geometry'!$F$54)&lt;=C_eco,C_alpha*C_fck*(1-(1-(O29+P29*'Geometry'!$G$54+Q29*'Geometry'!$F$54)/C_eco)^C_n),C_alpha*C_fck),0)))*'Geometry'!$H$54*'Geometry'!$F$54+((MAX(MIN(S_1_Es*(O29+P29*'Geometry'!$G$55+Q29*'Geometry'!$F$55),S_1_fy),-S_1_fy))-(IF((O29+P29*'Geometry'!$G$55+Q29*'Geometry'!$F$55)&gt;0,IF((O29+P29*'Geometry'!$G$55+Q29*'Geometry'!$F$55)&lt;=C_eco,C_alpha*C_fck*(1-(1-(O29+P29*'Geometry'!$G$55+Q29*'Geometry'!$F$55)/C_eco)^C_n),C_alpha*C_fck),0)))*'Geometry'!$H$55*'Geometry'!$F$55+((MAX(MIN(S_1_Es*(O29+P29*'Geometry'!$G$56+Q29*'Geometry'!$F$56),S_1_fy),-S_1_fy))-(IF((O29+P29*'Geometry'!$G$56+Q29*'Geometry'!$F$56)&gt;0,IF((O29+P29*'Geometry'!$G$56+Q29*'Geometry'!$F$56)&lt;=C_eco,C_alpha*C_fck*(1-(1-(O29+P29*'Geometry'!$G$56+Q29*'Geometry'!$F$56)/C_eco)^C_n),C_alpha*C_fck),0)))*'Geometry'!$H$56*'Geometry'!$F$56+((MAX(MIN(S_1_Es*(O29+P29*'Geometry'!$G$57+Q29*'Geometry'!$F$57),S_1_fy),-S_1_fy))-(IF((O29+P29*'Geometry'!$G$57+Q29*'Geometry'!$F$57)&gt;0,IF((O29+P29*'Geometry'!$G$57+Q29*'Geometry'!$F$57)&lt;=C_eco,C_alpha*C_fck*(1-(1-(O29+P29*'Geometry'!$G$57+Q29*'Geometry'!$F$57)/C_eco)^C_n),C_alpha*C_fck),0)))*'Geometry'!$H$57*'Geometry'!$F$57)/1000000</f>
        <v>-672.1924876123413</v>
      </c>
      <c r="X29" s="10">
        <f>R29+U29</f>
        <v>-1811.5329190924251</v>
      </c>
      <c r="Y29" s="10">
        <f>S29+V29</f>
        <v>-1814.5320842644262</v>
      </c>
      <c r="Z29" s="10">
        <f>T29+W29</f>
        <v>-1848.0426425527783</v>
      </c>
      <c r="AA29" s="7">
        <v>0.85</v>
      </c>
      <c r="AB29" s="7">
        <v>0.85</v>
      </c>
      <c r="AC29" s="10">
        <f>X29*AA29</f>
        <v>-1539.8029812285613</v>
      </c>
      <c r="AD29" s="10">
        <f>Y29*AB29</f>
        <v>-1542.3522716247624</v>
      </c>
      <c r="AE29" s="10">
        <f>Z29*AB29</f>
        <v>-1570.8362461698616</v>
      </c>
      <c r="AF29" s="7">
        <v>-1539.8029812285613</v>
      </c>
      <c r="AG29" s="7">
        <v>-1542.3522716247624</v>
      </c>
      <c r="AH29" s="7">
        <v>-1570.8362461698616</v>
      </c>
      <c r="AI29" s="15">
        <f>AC29-AF29</f>
        <v>0</v>
      </c>
      <c r="AJ29" s="15">
        <f>SQRT((AD29-AG29)^2+(AE29-AH29)^2)</f>
        <v>0</v>
      </c>
      <c r="AK29" s="7" t="s">
        <v>189</v>
      </c>
      <c r="AL29" s="7">
        <v>-1811.5329190924251</v>
      </c>
      <c r="AM29" s="7">
        <v>-1814.5320842644262</v>
      </c>
      <c r="AN29" s="7">
        <v>-1848.0426425527783</v>
      </c>
      <c r="AO29" s="7">
        <v>2327.269449932312</v>
      </c>
      <c r="AP29" s="7">
        <v>-1087.4119831386806</v>
      </c>
      <c r="AQ29" s="7">
        <v>-1175.8501549404368</v>
      </c>
      <c r="AR29" s="7">
        <v>-4138.802369024737</v>
      </c>
      <c r="AS29" s="7">
        <v>-727.1201011257455</v>
      </c>
      <c r="AT29" s="7">
        <v>-672.1924876123413</v>
      </c>
    </row>
    <row r="30" spans="1:46" x14ac:dyDescent="0.25">
      <c r="A30" s="7" t="s">
        <v>234</v>
      </c>
      <c r="B30" s="7">
        <v>1</v>
      </c>
      <c r="C30" s="18">
        <v>220</v>
      </c>
      <c r="D30" s="7" t="s">
        <v>235</v>
      </c>
      <c r="E30" s="7" t="s">
        <v>192</v>
      </c>
      <c r="F30" s="19">
        <v>219.99999999999994</v>
      </c>
      <c r="G30" s="7" t="s">
        <v>188</v>
      </c>
      <c r="H30" s="20">
        <v>7.5</v>
      </c>
      <c r="I30" s="10">
        <f>MAX(('Geometry'!$G$13*COS(RADIANS(F30))+'Geometry'!$F$13*SIN(RADIANS(F30))),('Geometry'!$G$14*COS(RADIANS(F30))+'Geometry'!$F$14*SIN(RADIANS(F30))),('Geometry'!$G$15*COS(RADIANS(F30))+'Geometry'!$F$15*SIN(RADIANS(F30))),('Geometry'!$G$16*COS(RADIANS(F30))+'Geometry'!$F$16*SIN(RADIANS(F30))),('Geometry'!$G$17*COS(RADIANS(F30))+'Geometry'!$F$17*SIN(RADIANS(F30))),('Geometry'!$G$18*COS(RADIANS(F30))+'Geometry'!$F$18*SIN(RADIANS(F30))),('Geometry'!$G$19*COS(RADIANS(F30))+'Geometry'!$F$19*SIN(RADIANS(F30))),('Geometry'!$G$20*COS(RADIANS(F30))+'Geometry'!$F$20*SIN(RADIANS(F30))))</f>
        <v>813.1598511989833</v>
      </c>
      <c r="J30" s="10">
        <f>MIN(('Geometry'!$G$40*COS(RADIANS(F30))+'Geometry'!$F$40*SIN(RADIANS(F30))),('Geometry'!$G$41*COS(RADIANS(F30))+'Geometry'!$F$41*SIN(RADIANS(F30))),('Geometry'!$G$42*COS(RADIANS(F30))+'Geometry'!$F$42*SIN(RADIANS(F30))),('Geometry'!$G$43*COS(RADIANS(F30))+'Geometry'!$F$43*SIN(RADIANS(F30))),('Geometry'!$G$44*COS(RADIANS(F30))+'Geometry'!$F$44*SIN(RADIANS(F30))),('Geometry'!$G$45*COS(RADIANS(F30))+'Geometry'!$F$45*SIN(RADIANS(F30))),('Geometry'!$G$46*COS(RADIANS(F30))+'Geometry'!$F$46*SIN(RADIANS(F30))),('Geometry'!$G$47*COS(RADIANS(F30))+'Geometry'!$F$47*SIN(RADIANS(F30))),('Geometry'!$G$48*COS(RADIANS(F30))+'Geometry'!$F$48*SIN(RADIANS(F30))),('Geometry'!$G$49*COS(RADIANS(F30))+'Geometry'!$F$49*SIN(RADIANS(F30))),('Geometry'!$G$50*COS(RADIANS(F30))+'Geometry'!$F$50*SIN(RADIANS(F30))),('Geometry'!$G$51*COS(RADIANS(F30))+'Geometry'!$F$51*SIN(RADIANS(F30))),('Geometry'!$G$52*COS(RADIANS(F30))+'Geometry'!$F$52*SIN(RADIANS(F30))),('Geometry'!$G$53*COS(RADIANS(F30))+'Geometry'!$F$53*SIN(RADIANS(F30))),('Geometry'!$G$54*COS(RADIANS(F30))+'Geometry'!$F$54*SIN(RADIANS(F30))),('Geometry'!$G$55*COS(RADIANS(F30))+'Geometry'!$F$55*SIN(RADIANS(F30))),('Geometry'!$G$56*COS(RADIANS(F30))+'Geometry'!$F$56*SIN(RADIANS(F30))),('Geometry'!$G$57*COS(RADIANS(F30))+'Geometry'!$F$57*SIN(RADIANS(F30))))</f>
        <v>-666.9089075225397</v>
      </c>
      <c r="K30" s="10">
        <f>I30-MIN(('Geometry'!$G$13*COS(RADIANS(F30))+'Geometry'!$F$13*SIN(RADIANS(F30))),('Geometry'!$G$14*COS(RADIANS(F30))+'Geometry'!$F$14*SIN(RADIANS(F30))),('Geometry'!$G$15*COS(RADIANS(F30))+'Geometry'!$F$15*SIN(RADIANS(F30))),('Geometry'!$G$16*COS(RADIANS(F30))+'Geometry'!$F$16*SIN(RADIANS(F30))),('Geometry'!$G$17*COS(RADIANS(F30))+'Geometry'!$F$17*SIN(RADIANS(F30))),('Geometry'!$G$18*COS(RADIANS(F30))+'Geometry'!$F$18*SIN(RADIANS(F30))),('Geometry'!$G$19*COS(RADIANS(F30))+'Geometry'!$F$19*SIN(RADIANS(F30))),('Geometry'!$G$20*COS(RADIANS(F30))+'Geometry'!$F$20*SIN(RADIANS(F30))))</f>
        <v>1626.3197023979667</v>
      </c>
      <c r="L30" s="15">
        <f>C_ecu</f>
        <v>0.0032999999999999982</v>
      </c>
      <c r="M30" s="15">
        <f>-H30*S_1_fy/S_1_Es</f>
        <v>-0.015</v>
      </c>
      <c r="N30" s="21">
        <f>IF(ABS(I30-J30)&lt;0.000000000001,0,(L30-M30)/(I30-J30))</f>
        <v>0.000012364290437295262</v>
      </c>
      <c r="O30" s="15">
        <f>L30-N30*I30</f>
        <v>-0.0067541445721720295</v>
      </c>
      <c r="P30" s="21">
        <f>N30*COS(RADIANS(F30))</f>
        <v>-0.000009471595982599158</v>
      </c>
      <c r="Q30" s="21">
        <f>N30*SIN(RADIANS(F30))</f>
        <v>-0.000007947612695659153</v>
      </c>
      <c r="R30" s="10">
        <f>SUMPRODUCT(C_alpha*C_fck*(1-(1-(((O30+P30*Mesh_Y+Q30*Mesh_X))*((O30+P30*Mesh_Y+Q30*Mesh_X)&gt;0)*((O30+P30*Mesh_Y+Q30*Mesh_X)&lt;C_eco)+C_eco*((O30+P30*Mesh_Y+Q30*Mesh_X)&gt;=C_eco))/C_eco)^C_n)*(((O30+P30*Mesh_Y+Q30*Mesh_X))&gt;0),Mesh_A)/1000</f>
        <v>2506.5417401415057</v>
      </c>
      <c r="S30" s="10">
        <f>SUMPRODUCT(C_alpha*C_fck*(1-(1-(((O30+P30*Mesh_Y+Q30*Mesh_X))*((O30+P30*Mesh_Y+Q30*Mesh_X)&gt;0)*((O30+P30*Mesh_Y+Q30*Mesh_X)&lt;C_eco)+C_eco*((O30+P30*Mesh_Y+Q30*Mesh_X)&gt;=C_eco))/C_eco)^C_n)*(((O30+P30*Mesh_Y+Q30*Mesh_X))&gt;0),Mesh_A,Mesh_Y)/1000000</f>
        <v>-1081.3074587186702</v>
      </c>
      <c r="T30" s="10">
        <f>SUMPRODUCT(C_alpha*C_fck*(1-(1-(((O30+P30*Mesh_Y+Q30*Mesh_X))*((O30+P30*Mesh_Y+Q30*Mesh_X)&gt;0)*((O30+P30*Mesh_Y+Q30*Mesh_X)&lt;C_eco)+C_eco*((O30+P30*Mesh_Y+Q30*Mesh_X)&gt;=C_eco))/C_eco)^C_n)*(((O30+P30*Mesh_Y+Q30*Mesh_X))&gt;0),Mesh_A,Mesh_X)/1000000</f>
        <v>-1372.3074543499918</v>
      </c>
      <c r="U30" s="10">
        <f>(((MAX(MIN(S_1_Es*(O30+P30*'Geometry'!$G$40+Q30*'Geometry'!$F$40),S_1_fy),-S_1_fy))-(IF((O30+P30*'Geometry'!$G$40+Q30*'Geometry'!$F$40)&gt;0,IF((O30+P30*'Geometry'!$G$40+Q30*'Geometry'!$F$40)&lt;=C_eco,C_alpha*C_fck*(1-(1-(O30+P30*'Geometry'!$G$40+Q30*'Geometry'!$F$40)/C_eco)^C_n),C_alpha*C_fck),0)))*'Geometry'!$H$40+((MAX(MIN(S_1_Es*(O30+P30*'Geometry'!$G$41+Q30*'Geometry'!$F$41),S_1_fy),-S_1_fy))-(IF((O30+P30*'Geometry'!$G$41+Q30*'Geometry'!$F$41)&gt;0,IF((O30+P30*'Geometry'!$G$41+Q30*'Geometry'!$F$41)&lt;=C_eco,C_alpha*C_fck*(1-(1-(O30+P30*'Geometry'!$G$41+Q30*'Geometry'!$F$41)/C_eco)^C_n),C_alpha*C_fck),0)))*'Geometry'!$H$41+((MAX(MIN(S_1_Es*(O30+P30*'Geometry'!$G$42+Q30*'Geometry'!$F$42),S_1_fy),-S_1_fy))-(IF((O30+P30*'Geometry'!$G$42+Q30*'Geometry'!$F$42)&gt;0,IF((O30+P30*'Geometry'!$G$42+Q30*'Geometry'!$F$42)&lt;=C_eco,C_alpha*C_fck*(1-(1-(O30+P30*'Geometry'!$G$42+Q30*'Geometry'!$F$42)/C_eco)^C_n),C_alpha*C_fck),0)))*'Geometry'!$H$42+((MAX(MIN(S_1_Es*(O30+P30*'Geometry'!$G$43+Q30*'Geometry'!$F$43),S_1_fy),-S_1_fy))-(IF((O30+P30*'Geometry'!$G$43+Q30*'Geometry'!$F$43)&gt;0,IF((O30+P30*'Geometry'!$G$43+Q30*'Geometry'!$F$43)&lt;=C_eco,C_alpha*C_fck*(1-(1-(O30+P30*'Geometry'!$G$43+Q30*'Geometry'!$F$43)/C_eco)^C_n),C_alpha*C_fck),0)))*'Geometry'!$H$43+((MAX(MIN(S_1_Es*(O30+P30*'Geometry'!$G$44+Q30*'Geometry'!$F$44),S_1_fy),-S_1_fy))-(IF((O30+P30*'Geometry'!$G$44+Q30*'Geometry'!$F$44)&gt;0,IF((O30+P30*'Geometry'!$G$44+Q30*'Geometry'!$F$44)&lt;=C_eco,C_alpha*C_fck*(1-(1-(O30+P30*'Geometry'!$G$44+Q30*'Geometry'!$F$44)/C_eco)^C_n),C_alpha*C_fck),0)))*'Geometry'!$H$44+((MAX(MIN(S_1_Es*(O30+P30*'Geometry'!$G$45+Q30*'Geometry'!$F$45),S_1_fy),-S_1_fy))-(IF((O30+P30*'Geometry'!$G$45+Q30*'Geometry'!$F$45)&gt;0,IF((O30+P30*'Geometry'!$G$45+Q30*'Geometry'!$F$45)&lt;=C_eco,C_alpha*C_fck*(1-(1-(O30+P30*'Geometry'!$G$45+Q30*'Geometry'!$F$45)/C_eco)^C_n),C_alpha*C_fck),0)))*'Geometry'!$H$45+((MAX(MIN(S_1_Es*(O30+P30*'Geometry'!$G$46+Q30*'Geometry'!$F$46),S_1_fy),-S_1_fy))-(IF((O30+P30*'Geometry'!$G$46+Q30*'Geometry'!$F$46)&gt;0,IF((O30+P30*'Geometry'!$G$46+Q30*'Geometry'!$F$46)&lt;=C_eco,C_alpha*C_fck*(1-(1-(O30+P30*'Geometry'!$G$46+Q30*'Geometry'!$F$46)/C_eco)^C_n),C_alpha*C_fck),0)))*'Geometry'!$H$46+((MAX(MIN(S_1_Es*(O30+P30*'Geometry'!$G$47+Q30*'Geometry'!$F$47),S_1_fy),-S_1_fy))-(IF((O30+P30*'Geometry'!$G$47+Q30*'Geometry'!$F$47)&gt;0,IF((O30+P30*'Geometry'!$G$47+Q30*'Geometry'!$F$47)&lt;=C_eco,C_alpha*C_fck*(1-(1-(O30+P30*'Geometry'!$G$47+Q30*'Geometry'!$F$47)/C_eco)^C_n),C_alpha*C_fck),0)))*'Geometry'!$H$47+((MAX(MIN(S_1_Es*(O30+P30*'Geometry'!$G$48+Q30*'Geometry'!$F$48),S_1_fy),-S_1_fy))-(IF((O30+P30*'Geometry'!$G$48+Q30*'Geometry'!$F$48)&gt;0,IF((O30+P30*'Geometry'!$G$48+Q30*'Geometry'!$F$48)&lt;=C_eco,C_alpha*C_fck*(1-(1-(O30+P30*'Geometry'!$G$48+Q30*'Geometry'!$F$48)/C_eco)^C_n),C_alpha*C_fck),0)))*'Geometry'!$H$48+((MAX(MIN(S_1_Es*(O30+P30*'Geometry'!$G$49+Q30*'Geometry'!$F$49),S_1_fy),-S_1_fy))-(IF((O30+P30*'Geometry'!$G$49+Q30*'Geometry'!$F$49)&gt;0,IF((O30+P30*'Geometry'!$G$49+Q30*'Geometry'!$F$49)&lt;=C_eco,C_alpha*C_fck*(1-(1-(O30+P30*'Geometry'!$G$49+Q30*'Geometry'!$F$49)/C_eco)^C_n),C_alpha*C_fck),0)))*'Geometry'!$H$49+((MAX(MIN(S_1_Es*(O30+P30*'Geometry'!$G$50+Q30*'Geometry'!$F$50),S_1_fy),-S_1_fy))-(IF((O30+P30*'Geometry'!$G$50+Q30*'Geometry'!$F$50)&gt;0,IF((O30+P30*'Geometry'!$G$50+Q30*'Geometry'!$F$50)&lt;=C_eco,C_alpha*C_fck*(1-(1-(O30+P30*'Geometry'!$G$50+Q30*'Geometry'!$F$50)/C_eco)^C_n),C_alpha*C_fck),0)))*'Geometry'!$H$50+((MAX(MIN(S_1_Es*(O30+P30*'Geometry'!$G$51+Q30*'Geometry'!$F$51),S_1_fy),-S_1_fy))-(IF((O30+P30*'Geometry'!$G$51+Q30*'Geometry'!$F$51)&gt;0,IF((O30+P30*'Geometry'!$G$51+Q30*'Geometry'!$F$51)&lt;=C_eco,C_alpha*C_fck*(1-(1-(O30+P30*'Geometry'!$G$51+Q30*'Geometry'!$F$51)/C_eco)^C_n),C_alpha*C_fck),0)))*'Geometry'!$H$51+((MAX(MIN(S_1_Es*(O30+P30*'Geometry'!$G$52+Q30*'Geometry'!$F$52),S_1_fy),-S_1_fy))-(IF((O30+P30*'Geometry'!$G$52+Q30*'Geometry'!$F$52)&gt;0,IF((O30+P30*'Geometry'!$G$52+Q30*'Geometry'!$F$52)&lt;=C_eco,C_alpha*C_fck*(1-(1-(O30+P30*'Geometry'!$G$52+Q30*'Geometry'!$F$52)/C_eco)^C_n),C_alpha*C_fck),0)))*'Geometry'!$H$52+((MAX(MIN(S_1_Es*(O30+P30*'Geometry'!$G$53+Q30*'Geometry'!$F$53),S_1_fy),-S_1_fy))-(IF((O30+P30*'Geometry'!$G$53+Q30*'Geometry'!$F$53)&gt;0,IF((O30+P30*'Geometry'!$G$53+Q30*'Geometry'!$F$53)&lt;=C_eco,C_alpha*C_fck*(1-(1-(O30+P30*'Geometry'!$G$53+Q30*'Geometry'!$F$53)/C_eco)^C_n),C_alpha*C_fck),0)))*'Geometry'!$H$53+((MAX(MIN(S_1_Es*(O30+P30*'Geometry'!$G$54+Q30*'Geometry'!$F$54),S_1_fy),-S_1_fy))-(IF((O30+P30*'Geometry'!$G$54+Q30*'Geometry'!$F$54)&gt;0,IF((O30+P30*'Geometry'!$G$54+Q30*'Geometry'!$F$54)&lt;=C_eco,C_alpha*C_fck*(1-(1-(O30+P30*'Geometry'!$G$54+Q30*'Geometry'!$F$54)/C_eco)^C_n),C_alpha*C_fck),0)))*'Geometry'!$H$54+((MAX(MIN(S_1_Es*(O30+P30*'Geometry'!$G$55+Q30*'Geometry'!$F$55),S_1_fy),-S_1_fy))-(IF((O30+P30*'Geometry'!$G$55+Q30*'Geometry'!$F$55)&gt;0,IF((O30+P30*'Geometry'!$G$55+Q30*'Geometry'!$F$55)&lt;=C_eco,C_alpha*C_fck*(1-(1-(O30+P30*'Geometry'!$G$55+Q30*'Geometry'!$F$55)/C_eco)^C_n),C_alpha*C_fck),0)))*'Geometry'!$H$55+((MAX(MIN(S_1_Es*(O30+P30*'Geometry'!$G$56+Q30*'Geometry'!$F$56),S_1_fy),-S_1_fy))-(IF((O30+P30*'Geometry'!$G$56+Q30*'Geometry'!$F$56)&gt;0,IF((O30+P30*'Geometry'!$G$56+Q30*'Geometry'!$F$56)&lt;=C_eco,C_alpha*C_fck*(1-(1-(O30+P30*'Geometry'!$G$56+Q30*'Geometry'!$F$56)/C_eco)^C_n),C_alpha*C_fck),0)))*'Geometry'!$H$56+((MAX(MIN(S_1_Es*(O30+P30*'Geometry'!$G$57+Q30*'Geometry'!$F$57),S_1_fy),-S_1_fy))-(IF((O30+P30*'Geometry'!$G$57+Q30*'Geometry'!$F$57)&gt;0,IF((O30+P30*'Geometry'!$G$57+Q30*'Geometry'!$F$57)&lt;=C_eco,C_alpha*C_fck*(1-(1-(O30+P30*'Geometry'!$G$57+Q30*'Geometry'!$F$57)/C_eco)^C_n),C_alpha*C_fck),0)))*'Geometry'!$H$57)/1000</f>
        <v>-4114.831651386043</v>
      </c>
      <c r="V30" s="10">
        <f>(((MAX(MIN(S_1_Es*(O30+P30*'Geometry'!$G$40+Q30*'Geometry'!$F$40),S_1_fy),-S_1_fy))-(IF((O30+P30*'Geometry'!$G$40+Q30*'Geometry'!$F$40)&gt;0,IF((O30+P30*'Geometry'!$G$40+Q30*'Geometry'!$F$40)&lt;=C_eco,C_alpha*C_fck*(1-(1-(O30+P30*'Geometry'!$G$40+Q30*'Geometry'!$F$40)/C_eco)^C_n),C_alpha*C_fck),0)))*'Geometry'!$H$40*'Geometry'!$G$40+((MAX(MIN(S_1_Es*(O30+P30*'Geometry'!$G$41+Q30*'Geometry'!$F$41),S_1_fy),-S_1_fy))-(IF((O30+P30*'Geometry'!$G$41+Q30*'Geometry'!$F$41)&gt;0,IF((O30+P30*'Geometry'!$G$41+Q30*'Geometry'!$F$41)&lt;=C_eco,C_alpha*C_fck*(1-(1-(O30+P30*'Geometry'!$G$41+Q30*'Geometry'!$F$41)/C_eco)^C_n),C_alpha*C_fck),0)))*'Geometry'!$H$41*'Geometry'!$G$41+((MAX(MIN(S_1_Es*(O30+P30*'Geometry'!$G$42+Q30*'Geometry'!$F$42),S_1_fy),-S_1_fy))-(IF((O30+P30*'Geometry'!$G$42+Q30*'Geometry'!$F$42)&gt;0,IF((O30+P30*'Geometry'!$G$42+Q30*'Geometry'!$F$42)&lt;=C_eco,C_alpha*C_fck*(1-(1-(O30+P30*'Geometry'!$G$42+Q30*'Geometry'!$F$42)/C_eco)^C_n),C_alpha*C_fck),0)))*'Geometry'!$H$42*'Geometry'!$G$42+((MAX(MIN(S_1_Es*(O30+P30*'Geometry'!$G$43+Q30*'Geometry'!$F$43),S_1_fy),-S_1_fy))-(IF((O30+P30*'Geometry'!$G$43+Q30*'Geometry'!$F$43)&gt;0,IF((O30+P30*'Geometry'!$G$43+Q30*'Geometry'!$F$43)&lt;=C_eco,C_alpha*C_fck*(1-(1-(O30+P30*'Geometry'!$G$43+Q30*'Geometry'!$F$43)/C_eco)^C_n),C_alpha*C_fck),0)))*'Geometry'!$H$43*'Geometry'!$G$43+((MAX(MIN(S_1_Es*(O30+P30*'Geometry'!$G$44+Q30*'Geometry'!$F$44),S_1_fy),-S_1_fy))-(IF((O30+P30*'Geometry'!$G$44+Q30*'Geometry'!$F$44)&gt;0,IF((O30+P30*'Geometry'!$G$44+Q30*'Geometry'!$F$44)&lt;=C_eco,C_alpha*C_fck*(1-(1-(O30+P30*'Geometry'!$G$44+Q30*'Geometry'!$F$44)/C_eco)^C_n),C_alpha*C_fck),0)))*'Geometry'!$H$44*'Geometry'!$G$44+((MAX(MIN(S_1_Es*(O30+P30*'Geometry'!$G$45+Q30*'Geometry'!$F$45),S_1_fy),-S_1_fy))-(IF((O30+P30*'Geometry'!$G$45+Q30*'Geometry'!$F$45)&gt;0,IF((O30+P30*'Geometry'!$G$45+Q30*'Geometry'!$F$45)&lt;=C_eco,C_alpha*C_fck*(1-(1-(O30+P30*'Geometry'!$G$45+Q30*'Geometry'!$F$45)/C_eco)^C_n),C_alpha*C_fck),0)))*'Geometry'!$H$45*'Geometry'!$G$45+((MAX(MIN(S_1_Es*(O30+P30*'Geometry'!$G$46+Q30*'Geometry'!$F$46),S_1_fy),-S_1_fy))-(IF((O30+P30*'Geometry'!$G$46+Q30*'Geometry'!$F$46)&gt;0,IF((O30+P30*'Geometry'!$G$46+Q30*'Geometry'!$F$46)&lt;=C_eco,C_alpha*C_fck*(1-(1-(O30+P30*'Geometry'!$G$46+Q30*'Geometry'!$F$46)/C_eco)^C_n),C_alpha*C_fck),0)))*'Geometry'!$H$46*'Geometry'!$G$46+((MAX(MIN(S_1_Es*(O30+P30*'Geometry'!$G$47+Q30*'Geometry'!$F$47),S_1_fy),-S_1_fy))-(IF((O30+P30*'Geometry'!$G$47+Q30*'Geometry'!$F$47)&gt;0,IF((O30+P30*'Geometry'!$G$47+Q30*'Geometry'!$F$47)&lt;=C_eco,C_alpha*C_fck*(1-(1-(O30+P30*'Geometry'!$G$47+Q30*'Geometry'!$F$47)/C_eco)^C_n),C_alpha*C_fck),0)))*'Geometry'!$H$47*'Geometry'!$G$47+((MAX(MIN(S_1_Es*(O30+P30*'Geometry'!$G$48+Q30*'Geometry'!$F$48),S_1_fy),-S_1_fy))-(IF((O30+P30*'Geometry'!$G$48+Q30*'Geometry'!$F$48)&gt;0,IF((O30+P30*'Geometry'!$G$48+Q30*'Geometry'!$F$48)&lt;=C_eco,C_alpha*C_fck*(1-(1-(O30+P30*'Geometry'!$G$48+Q30*'Geometry'!$F$48)/C_eco)^C_n),C_alpha*C_fck),0)))*'Geometry'!$H$48*'Geometry'!$G$48+((MAX(MIN(S_1_Es*(O30+P30*'Geometry'!$G$49+Q30*'Geometry'!$F$49),S_1_fy),-S_1_fy))-(IF((O30+P30*'Geometry'!$G$49+Q30*'Geometry'!$F$49)&gt;0,IF((O30+P30*'Geometry'!$G$49+Q30*'Geometry'!$F$49)&lt;=C_eco,C_alpha*C_fck*(1-(1-(O30+P30*'Geometry'!$G$49+Q30*'Geometry'!$F$49)/C_eco)^C_n),C_alpha*C_fck),0)))*'Geometry'!$H$49*'Geometry'!$G$49+((MAX(MIN(S_1_Es*(O30+P30*'Geometry'!$G$50+Q30*'Geometry'!$F$50),S_1_fy),-S_1_fy))-(IF((O30+P30*'Geometry'!$G$50+Q30*'Geometry'!$F$50)&gt;0,IF((O30+P30*'Geometry'!$G$50+Q30*'Geometry'!$F$50)&lt;=C_eco,C_alpha*C_fck*(1-(1-(O30+P30*'Geometry'!$G$50+Q30*'Geometry'!$F$50)/C_eco)^C_n),C_alpha*C_fck),0)))*'Geometry'!$H$50*'Geometry'!$G$50+((MAX(MIN(S_1_Es*(O30+P30*'Geometry'!$G$51+Q30*'Geometry'!$F$51),S_1_fy),-S_1_fy))-(IF((O30+P30*'Geometry'!$G$51+Q30*'Geometry'!$F$51)&gt;0,IF((O30+P30*'Geometry'!$G$51+Q30*'Geometry'!$F$51)&lt;=C_eco,C_alpha*C_fck*(1-(1-(O30+P30*'Geometry'!$G$51+Q30*'Geometry'!$F$51)/C_eco)^C_n),C_alpha*C_fck),0)))*'Geometry'!$H$51*'Geometry'!$G$51+((MAX(MIN(S_1_Es*(O30+P30*'Geometry'!$G$52+Q30*'Geometry'!$F$52),S_1_fy),-S_1_fy))-(IF((O30+P30*'Geometry'!$G$52+Q30*'Geometry'!$F$52)&gt;0,IF((O30+P30*'Geometry'!$G$52+Q30*'Geometry'!$F$52)&lt;=C_eco,C_alpha*C_fck*(1-(1-(O30+P30*'Geometry'!$G$52+Q30*'Geometry'!$F$52)/C_eco)^C_n),C_alpha*C_fck),0)))*'Geometry'!$H$52*'Geometry'!$G$52+((MAX(MIN(S_1_Es*(O30+P30*'Geometry'!$G$53+Q30*'Geometry'!$F$53),S_1_fy),-S_1_fy))-(IF((O30+P30*'Geometry'!$G$53+Q30*'Geometry'!$F$53)&gt;0,IF((O30+P30*'Geometry'!$G$53+Q30*'Geometry'!$F$53)&lt;=C_eco,C_alpha*C_fck*(1-(1-(O30+P30*'Geometry'!$G$53+Q30*'Geometry'!$F$53)/C_eco)^C_n),C_alpha*C_fck),0)))*'Geometry'!$H$53*'Geometry'!$G$53+((MAX(MIN(S_1_Es*(O30+P30*'Geometry'!$G$54+Q30*'Geometry'!$F$54),S_1_fy),-S_1_fy))-(IF((O30+P30*'Geometry'!$G$54+Q30*'Geometry'!$F$54)&gt;0,IF((O30+P30*'Geometry'!$G$54+Q30*'Geometry'!$F$54)&lt;=C_eco,C_alpha*C_fck*(1-(1-(O30+P30*'Geometry'!$G$54+Q30*'Geometry'!$F$54)/C_eco)^C_n),C_alpha*C_fck),0)))*'Geometry'!$H$54*'Geometry'!$G$54+((MAX(MIN(S_1_Es*(O30+P30*'Geometry'!$G$55+Q30*'Geometry'!$F$55),S_1_fy),-S_1_fy))-(IF((O30+P30*'Geometry'!$G$55+Q30*'Geometry'!$F$55)&gt;0,IF((O30+P30*'Geometry'!$G$55+Q30*'Geometry'!$F$55)&lt;=C_eco,C_alpha*C_fck*(1-(1-(O30+P30*'Geometry'!$G$55+Q30*'Geometry'!$F$55)/C_eco)^C_n),C_alpha*C_fck),0)))*'Geometry'!$H$55*'Geometry'!$G$55+((MAX(MIN(S_1_Es*(O30+P30*'Geometry'!$G$56+Q30*'Geometry'!$F$56),S_1_fy),-S_1_fy))-(IF((O30+P30*'Geometry'!$G$56+Q30*'Geometry'!$F$56)&gt;0,IF((O30+P30*'Geometry'!$G$56+Q30*'Geometry'!$F$56)&lt;=C_eco,C_alpha*C_fck*(1-(1-(O30+P30*'Geometry'!$G$56+Q30*'Geometry'!$F$56)/C_eco)^C_n),C_alpha*C_fck),0)))*'Geometry'!$H$56*'Geometry'!$G$56+((MAX(MIN(S_1_Es*(O30+P30*'Geometry'!$G$57+Q30*'Geometry'!$F$57),S_1_fy),-S_1_fy))-(IF((O30+P30*'Geometry'!$G$57+Q30*'Geometry'!$F$57)&gt;0,IF((O30+P30*'Geometry'!$G$57+Q30*'Geometry'!$F$57)&lt;=C_eco,C_alpha*C_fck*(1-(1-(O30+P30*'Geometry'!$G$57+Q30*'Geometry'!$F$57)/C_eco)^C_n),C_alpha*C_fck),0)))*'Geometry'!$H$57*'Geometry'!$G$57)/1000000</f>
        <v>-652.899469557989</v>
      </c>
      <c r="W30" s="10">
        <f>(((MAX(MIN(S_1_Es*(O30+P30*'Geometry'!$G$40+Q30*'Geometry'!$F$40),S_1_fy),-S_1_fy))-(IF((O30+P30*'Geometry'!$G$40+Q30*'Geometry'!$F$40)&gt;0,IF((O30+P30*'Geometry'!$G$40+Q30*'Geometry'!$F$40)&lt;=C_eco,C_alpha*C_fck*(1-(1-(O30+P30*'Geometry'!$G$40+Q30*'Geometry'!$F$40)/C_eco)^C_n),C_alpha*C_fck),0)))*'Geometry'!$H$40*'Geometry'!$F$40+((MAX(MIN(S_1_Es*(O30+P30*'Geometry'!$G$41+Q30*'Geometry'!$F$41),S_1_fy),-S_1_fy))-(IF((O30+P30*'Geometry'!$G$41+Q30*'Geometry'!$F$41)&gt;0,IF((O30+P30*'Geometry'!$G$41+Q30*'Geometry'!$F$41)&lt;=C_eco,C_alpha*C_fck*(1-(1-(O30+P30*'Geometry'!$G$41+Q30*'Geometry'!$F$41)/C_eco)^C_n),C_alpha*C_fck),0)))*'Geometry'!$H$41*'Geometry'!$F$41+((MAX(MIN(S_1_Es*(O30+P30*'Geometry'!$G$42+Q30*'Geometry'!$F$42),S_1_fy),-S_1_fy))-(IF((O30+P30*'Geometry'!$G$42+Q30*'Geometry'!$F$42)&gt;0,IF((O30+P30*'Geometry'!$G$42+Q30*'Geometry'!$F$42)&lt;=C_eco,C_alpha*C_fck*(1-(1-(O30+P30*'Geometry'!$G$42+Q30*'Geometry'!$F$42)/C_eco)^C_n),C_alpha*C_fck),0)))*'Geometry'!$H$42*'Geometry'!$F$42+((MAX(MIN(S_1_Es*(O30+P30*'Geometry'!$G$43+Q30*'Geometry'!$F$43),S_1_fy),-S_1_fy))-(IF((O30+P30*'Geometry'!$G$43+Q30*'Geometry'!$F$43)&gt;0,IF((O30+P30*'Geometry'!$G$43+Q30*'Geometry'!$F$43)&lt;=C_eco,C_alpha*C_fck*(1-(1-(O30+P30*'Geometry'!$G$43+Q30*'Geometry'!$F$43)/C_eco)^C_n),C_alpha*C_fck),0)))*'Geometry'!$H$43*'Geometry'!$F$43+((MAX(MIN(S_1_Es*(O30+P30*'Geometry'!$G$44+Q30*'Geometry'!$F$44),S_1_fy),-S_1_fy))-(IF((O30+P30*'Geometry'!$G$44+Q30*'Geometry'!$F$44)&gt;0,IF((O30+P30*'Geometry'!$G$44+Q30*'Geometry'!$F$44)&lt;=C_eco,C_alpha*C_fck*(1-(1-(O30+P30*'Geometry'!$G$44+Q30*'Geometry'!$F$44)/C_eco)^C_n),C_alpha*C_fck),0)))*'Geometry'!$H$44*'Geometry'!$F$44+((MAX(MIN(S_1_Es*(O30+P30*'Geometry'!$G$45+Q30*'Geometry'!$F$45),S_1_fy),-S_1_fy))-(IF((O30+P30*'Geometry'!$G$45+Q30*'Geometry'!$F$45)&gt;0,IF((O30+P30*'Geometry'!$G$45+Q30*'Geometry'!$F$45)&lt;=C_eco,C_alpha*C_fck*(1-(1-(O30+P30*'Geometry'!$G$45+Q30*'Geometry'!$F$45)/C_eco)^C_n),C_alpha*C_fck),0)))*'Geometry'!$H$45*'Geometry'!$F$45+((MAX(MIN(S_1_Es*(O30+P30*'Geometry'!$G$46+Q30*'Geometry'!$F$46),S_1_fy),-S_1_fy))-(IF((O30+P30*'Geometry'!$G$46+Q30*'Geometry'!$F$46)&gt;0,IF((O30+P30*'Geometry'!$G$46+Q30*'Geometry'!$F$46)&lt;=C_eco,C_alpha*C_fck*(1-(1-(O30+P30*'Geometry'!$G$46+Q30*'Geometry'!$F$46)/C_eco)^C_n),C_alpha*C_fck),0)))*'Geometry'!$H$46*'Geometry'!$F$46+((MAX(MIN(S_1_Es*(O30+P30*'Geometry'!$G$47+Q30*'Geometry'!$F$47),S_1_fy),-S_1_fy))-(IF((O30+P30*'Geometry'!$G$47+Q30*'Geometry'!$F$47)&gt;0,IF((O30+P30*'Geometry'!$G$47+Q30*'Geometry'!$F$47)&lt;=C_eco,C_alpha*C_fck*(1-(1-(O30+P30*'Geometry'!$G$47+Q30*'Geometry'!$F$47)/C_eco)^C_n),C_alpha*C_fck),0)))*'Geometry'!$H$47*'Geometry'!$F$47+((MAX(MIN(S_1_Es*(O30+P30*'Geometry'!$G$48+Q30*'Geometry'!$F$48),S_1_fy),-S_1_fy))-(IF((O30+P30*'Geometry'!$G$48+Q30*'Geometry'!$F$48)&gt;0,IF((O30+P30*'Geometry'!$G$48+Q30*'Geometry'!$F$48)&lt;=C_eco,C_alpha*C_fck*(1-(1-(O30+P30*'Geometry'!$G$48+Q30*'Geometry'!$F$48)/C_eco)^C_n),C_alpha*C_fck),0)))*'Geometry'!$H$48*'Geometry'!$F$48+((MAX(MIN(S_1_Es*(O30+P30*'Geometry'!$G$49+Q30*'Geometry'!$F$49),S_1_fy),-S_1_fy))-(IF((O30+P30*'Geometry'!$G$49+Q30*'Geometry'!$F$49)&gt;0,IF((O30+P30*'Geometry'!$G$49+Q30*'Geometry'!$F$49)&lt;=C_eco,C_alpha*C_fck*(1-(1-(O30+P30*'Geometry'!$G$49+Q30*'Geometry'!$F$49)/C_eco)^C_n),C_alpha*C_fck),0)))*'Geometry'!$H$49*'Geometry'!$F$49+((MAX(MIN(S_1_Es*(O30+P30*'Geometry'!$G$50+Q30*'Geometry'!$F$50),S_1_fy),-S_1_fy))-(IF((O30+P30*'Geometry'!$G$50+Q30*'Geometry'!$F$50)&gt;0,IF((O30+P30*'Geometry'!$G$50+Q30*'Geometry'!$F$50)&lt;=C_eco,C_alpha*C_fck*(1-(1-(O30+P30*'Geometry'!$G$50+Q30*'Geometry'!$F$50)/C_eco)^C_n),C_alpha*C_fck),0)))*'Geometry'!$H$50*'Geometry'!$F$50+((MAX(MIN(S_1_Es*(O30+P30*'Geometry'!$G$51+Q30*'Geometry'!$F$51),S_1_fy),-S_1_fy))-(IF((O30+P30*'Geometry'!$G$51+Q30*'Geometry'!$F$51)&gt;0,IF((O30+P30*'Geometry'!$G$51+Q30*'Geometry'!$F$51)&lt;=C_eco,C_alpha*C_fck*(1-(1-(O30+P30*'Geometry'!$G$51+Q30*'Geometry'!$F$51)/C_eco)^C_n),C_alpha*C_fck),0)))*'Geometry'!$H$51*'Geometry'!$F$51+((MAX(MIN(S_1_Es*(O30+P30*'Geometry'!$G$52+Q30*'Geometry'!$F$52),S_1_fy),-S_1_fy))-(IF((O30+P30*'Geometry'!$G$52+Q30*'Geometry'!$F$52)&gt;0,IF((O30+P30*'Geometry'!$G$52+Q30*'Geometry'!$F$52)&lt;=C_eco,C_alpha*C_fck*(1-(1-(O30+P30*'Geometry'!$G$52+Q30*'Geometry'!$F$52)/C_eco)^C_n),C_alpha*C_fck),0)))*'Geometry'!$H$52*'Geometry'!$F$52+((MAX(MIN(S_1_Es*(O30+P30*'Geometry'!$G$53+Q30*'Geometry'!$F$53),S_1_fy),-S_1_fy))-(IF((O30+P30*'Geometry'!$G$53+Q30*'Geometry'!$F$53)&gt;0,IF((O30+P30*'Geometry'!$G$53+Q30*'Geometry'!$F$53)&lt;=C_eco,C_alpha*C_fck*(1-(1-(O30+P30*'Geometry'!$G$53+Q30*'Geometry'!$F$53)/C_eco)^C_n),C_alpha*C_fck),0)))*'Geometry'!$H$53*'Geometry'!$F$53+((MAX(MIN(S_1_Es*(O30+P30*'Geometry'!$G$54+Q30*'Geometry'!$F$54),S_1_fy),-S_1_fy))-(IF((O30+P30*'Geometry'!$G$54+Q30*'Geometry'!$F$54)&gt;0,IF((O30+P30*'Geometry'!$G$54+Q30*'Geometry'!$F$54)&lt;=C_eco,C_alpha*C_fck*(1-(1-(O30+P30*'Geometry'!$G$54+Q30*'Geometry'!$F$54)/C_eco)^C_n),C_alpha*C_fck),0)))*'Geometry'!$H$54*'Geometry'!$F$54+((MAX(MIN(S_1_Es*(O30+P30*'Geometry'!$G$55+Q30*'Geometry'!$F$55),S_1_fy),-S_1_fy))-(IF((O30+P30*'Geometry'!$G$55+Q30*'Geometry'!$F$55)&gt;0,IF((O30+P30*'Geometry'!$G$55+Q30*'Geometry'!$F$55)&lt;=C_eco,C_alpha*C_fck*(1-(1-(O30+P30*'Geometry'!$G$55+Q30*'Geometry'!$F$55)/C_eco)^C_n),C_alpha*C_fck),0)))*'Geometry'!$H$55*'Geometry'!$F$55+((MAX(MIN(S_1_Es*(O30+P30*'Geometry'!$G$56+Q30*'Geometry'!$F$56),S_1_fy),-S_1_fy))-(IF((O30+P30*'Geometry'!$G$56+Q30*'Geometry'!$F$56)&gt;0,IF((O30+P30*'Geometry'!$G$56+Q30*'Geometry'!$F$56)&lt;=C_eco,C_alpha*C_fck*(1-(1-(O30+P30*'Geometry'!$G$56+Q30*'Geometry'!$F$56)/C_eco)^C_n),C_alpha*C_fck),0)))*'Geometry'!$H$56*'Geometry'!$F$56+((MAX(MIN(S_1_Es*(O30+P30*'Geometry'!$G$57+Q30*'Geometry'!$F$57),S_1_fy),-S_1_fy))-(IF((O30+P30*'Geometry'!$G$57+Q30*'Geometry'!$F$57)&gt;0,IF((O30+P30*'Geometry'!$G$57+Q30*'Geometry'!$F$57)&lt;=C_eco,C_alpha*C_fck*(1-(1-(O30+P30*'Geometry'!$G$57+Q30*'Geometry'!$F$57)/C_eco)^C_n),C_alpha*C_fck),0)))*'Geometry'!$H$57*'Geometry'!$F$57)/1000000</f>
        <v>-817.3444797306366</v>
      </c>
      <c r="X30" s="10">
        <f>R30+U30</f>
        <v>-1608.2899112445368</v>
      </c>
      <c r="Y30" s="10">
        <f>S30+V30</f>
        <v>-1734.206928276659</v>
      </c>
      <c r="Z30" s="10">
        <f>T30+W30</f>
        <v>-2189.6519340806285</v>
      </c>
      <c r="AA30" s="7">
        <v>0.85</v>
      </c>
      <c r="AB30" s="7">
        <v>0.8499999999999999</v>
      </c>
      <c r="AC30" s="10">
        <f>X30*AA30</f>
        <v>-1367.0464245578562</v>
      </c>
      <c r="AD30" s="10">
        <f>Y30*AB30</f>
        <v>-1474.0758890351601</v>
      </c>
      <c r="AE30" s="10">
        <f>Z30*AB30</f>
        <v>-1861.204143968534</v>
      </c>
      <c r="AF30" s="7">
        <v>-1367.0464245578562</v>
      </c>
      <c r="AG30" s="7">
        <v>-1474.0758890351601</v>
      </c>
      <c r="AH30" s="7">
        <v>-1861.204143968534</v>
      </c>
      <c r="AI30" s="15">
        <f>AC30-AF30</f>
        <v>0</v>
      </c>
      <c r="AJ30" s="15">
        <f>SQRT((AD30-AG30)^2+(AE30-AH30)^2)</f>
        <v>0</v>
      </c>
      <c r="AK30" s="7" t="s">
        <v>189</v>
      </c>
      <c r="AL30" s="7">
        <v>-1608.2899112445368</v>
      </c>
      <c r="AM30" s="7">
        <v>-1734.206928276659</v>
      </c>
      <c r="AN30" s="7">
        <v>-2189.6519340806285</v>
      </c>
      <c r="AO30" s="7">
        <v>2506.5417401415057</v>
      </c>
      <c r="AP30" s="7">
        <v>-1081.3074587186702</v>
      </c>
      <c r="AQ30" s="7">
        <v>-1372.3074543499918</v>
      </c>
      <c r="AR30" s="7">
        <v>-4114.831651386043</v>
      </c>
      <c r="AS30" s="7">
        <v>-652.899469557989</v>
      </c>
      <c r="AT30" s="7">
        <v>-817.3444797306366</v>
      </c>
    </row>
    <row r="31" spans="1:46" x14ac:dyDescent="0.25">
      <c r="A31" s="7" t="s">
        <v>236</v>
      </c>
      <c r="B31" s="7">
        <v>1</v>
      </c>
      <c r="C31" s="18">
        <v>230</v>
      </c>
      <c r="D31" s="7" t="s">
        <v>237</v>
      </c>
      <c r="E31" s="7" t="s">
        <v>192</v>
      </c>
      <c r="F31" s="19">
        <v>230</v>
      </c>
      <c r="G31" s="7" t="s">
        <v>188</v>
      </c>
      <c r="H31" s="20">
        <v>7.5</v>
      </c>
      <c r="I31" s="10">
        <f>MAX(('Geometry'!$G$13*COS(RADIANS(F31))+'Geometry'!$F$13*SIN(RADIANS(F31))),('Geometry'!$G$14*COS(RADIANS(F31))+'Geometry'!$F$14*SIN(RADIANS(F31))),('Geometry'!$G$15*COS(RADIANS(F31))+'Geometry'!$F$15*SIN(RADIANS(F31))),('Geometry'!$G$16*COS(RADIANS(F31))+'Geometry'!$F$16*SIN(RADIANS(F31))),('Geometry'!$G$17*COS(RADIANS(F31))+'Geometry'!$F$17*SIN(RADIANS(F31))),('Geometry'!$G$18*COS(RADIANS(F31))+'Geometry'!$F$18*SIN(RADIANS(F31))),('Geometry'!$G$19*COS(RADIANS(F31))+'Geometry'!$F$19*SIN(RADIANS(F31))),('Geometry'!$G$20*COS(RADIANS(F31))+'Geometry'!$F$20*SIN(RADIANS(F31))))</f>
        <v>831.6483762138491</v>
      </c>
      <c r="J31" s="10">
        <f>MIN(('Geometry'!$G$40*COS(RADIANS(F31))+'Geometry'!$F$40*SIN(RADIANS(F31))),('Geometry'!$G$41*COS(RADIANS(F31))+'Geometry'!$F$41*SIN(RADIANS(F31))),('Geometry'!$G$42*COS(RADIANS(F31))+'Geometry'!$F$42*SIN(RADIANS(F31))),('Geometry'!$G$43*COS(RADIANS(F31))+'Geometry'!$F$43*SIN(RADIANS(F31))),('Geometry'!$G$44*COS(RADIANS(F31))+'Geometry'!$F$44*SIN(RADIANS(F31))),('Geometry'!$G$45*COS(RADIANS(F31))+'Geometry'!$F$45*SIN(RADIANS(F31))),('Geometry'!$G$46*COS(RADIANS(F31))+'Geometry'!$F$46*SIN(RADIANS(F31))),('Geometry'!$G$47*COS(RADIANS(F31))+'Geometry'!$F$47*SIN(RADIANS(F31))),('Geometry'!$G$48*COS(RADIANS(F31))+'Geometry'!$F$48*SIN(RADIANS(F31))),('Geometry'!$G$49*COS(RADIANS(F31))+'Geometry'!$F$49*SIN(RADIANS(F31))),('Geometry'!$G$50*COS(RADIANS(F31))+'Geometry'!$F$50*SIN(RADIANS(F31))),('Geometry'!$G$51*COS(RADIANS(F31))+'Geometry'!$F$51*SIN(RADIANS(F31))),('Geometry'!$G$52*COS(RADIANS(F31))+'Geometry'!$F$52*SIN(RADIANS(F31))),('Geometry'!$G$53*COS(RADIANS(F31))+'Geometry'!$F$53*SIN(RADIANS(F31))),('Geometry'!$G$54*COS(RADIANS(F31))+'Geometry'!$F$54*SIN(RADIANS(F31))),('Geometry'!$G$55*COS(RADIANS(F31))+'Geometry'!$F$55*SIN(RADIANS(F31))),('Geometry'!$G$56*COS(RADIANS(F31))+'Geometry'!$F$56*SIN(RADIANS(F31))),('Geometry'!$G$57*COS(RADIANS(F31))+'Geometry'!$F$57*SIN(RADIANS(F31))))</f>
        <v>-713.7465042268668</v>
      </c>
      <c r="K31" s="10">
        <f>I31-MIN(('Geometry'!$G$13*COS(RADIANS(F31))+'Geometry'!$F$13*SIN(RADIANS(F31))),('Geometry'!$G$14*COS(RADIANS(F31))+'Geometry'!$F$14*SIN(RADIANS(F31))),('Geometry'!$G$15*COS(RADIANS(F31))+'Geometry'!$F$15*SIN(RADIANS(F31))),('Geometry'!$G$16*COS(RADIANS(F31))+'Geometry'!$F$16*SIN(RADIANS(F31))),('Geometry'!$G$17*COS(RADIANS(F31))+'Geometry'!$F$17*SIN(RADIANS(F31))),('Geometry'!$G$18*COS(RADIANS(F31))+'Geometry'!$F$18*SIN(RADIANS(F31))),('Geometry'!$G$19*COS(RADIANS(F31))+'Geometry'!$F$19*SIN(RADIANS(F31))),('Geometry'!$G$20*COS(RADIANS(F31))+'Geometry'!$F$20*SIN(RADIANS(F31))))</f>
        <v>1663.2967524276983</v>
      </c>
      <c r="L31" s="15">
        <f>C_ecu</f>
        <v>0.0033</v>
      </c>
      <c r="M31" s="15">
        <f>-H31*S_1_fy/S_1_Es</f>
        <v>-0.015</v>
      </c>
      <c r="N31" s="21">
        <f>IF(ABS(I31-J31)&lt;0.000000000001,0,(L31-M31)/(I31-J31))</f>
        <v>0.00001184163363785779</v>
      </c>
      <c r="O31" s="15">
        <f>L31-N31*I31</f>
        <v>-0.006548075386643727</v>
      </c>
      <c r="P31" s="21">
        <f>N31*COS(RADIANS(F31))</f>
        <v>-0.00000761165538086233</v>
      </c>
      <c r="Q31" s="21">
        <f>N31*SIN(RADIANS(F31))</f>
        <v>-0.000009071217645731727</v>
      </c>
      <c r="R31" s="10">
        <f>SUMPRODUCT(C_alpha*C_fck*(1-(1-(((O31+P31*Mesh_Y+Q31*Mesh_X))*((O31+P31*Mesh_Y+Q31*Mesh_X)&gt;0)*((O31+P31*Mesh_Y+Q31*Mesh_X)&lt;C_eco)+C_eco*((O31+P31*Mesh_Y+Q31*Mesh_X)&gt;=C_eco))/C_eco)^C_n)*(((O31+P31*Mesh_Y+Q31*Mesh_X))&gt;0),Mesh_A)/1000</f>
        <v>2640.0802465284005</v>
      </c>
      <c r="S31" s="10">
        <f>SUMPRODUCT(C_alpha*C_fck*(1-(1-(((O31+P31*Mesh_Y+Q31*Mesh_X))*((O31+P31*Mesh_Y+Q31*Mesh_X)&gt;0)*((O31+P31*Mesh_Y+Q31*Mesh_X)&lt;C_eco)+C_eco*((O31+P31*Mesh_Y+Q31*Mesh_X)&gt;=C_eco))/C_eco)^C_n)*(((O31+P31*Mesh_Y+Q31*Mesh_X))&gt;0),Mesh_A,Mesh_Y)/1000000</f>
        <v>-1040.1697978293728</v>
      </c>
      <c r="T31" s="10">
        <f>SUMPRODUCT(C_alpha*C_fck*(1-(1-(((O31+P31*Mesh_Y+Q31*Mesh_X))*((O31+P31*Mesh_Y+Q31*Mesh_X)&gt;0)*((O31+P31*Mesh_Y+Q31*Mesh_X)&lt;C_eco)+C_eco*((O31+P31*Mesh_Y+Q31*Mesh_X)&gt;=C_eco))/C_eco)^C_n)*(((O31+P31*Mesh_Y+Q31*Mesh_X))&gt;0),Mesh_A,Mesh_X)/1000000</f>
        <v>-1527.1797593770984</v>
      </c>
      <c r="U31" s="10">
        <f>(((MAX(MIN(S_1_Es*(O31+P31*'Geometry'!$G$40+Q31*'Geometry'!$F$40),S_1_fy),-S_1_fy))-(IF((O31+P31*'Geometry'!$G$40+Q31*'Geometry'!$F$40)&gt;0,IF((O31+P31*'Geometry'!$G$40+Q31*'Geometry'!$F$40)&lt;=C_eco,C_alpha*C_fck*(1-(1-(O31+P31*'Geometry'!$G$40+Q31*'Geometry'!$F$40)/C_eco)^C_n),C_alpha*C_fck),0)))*'Geometry'!$H$40+((MAX(MIN(S_1_Es*(O31+P31*'Geometry'!$G$41+Q31*'Geometry'!$F$41),S_1_fy),-S_1_fy))-(IF((O31+P31*'Geometry'!$G$41+Q31*'Geometry'!$F$41)&gt;0,IF((O31+P31*'Geometry'!$G$41+Q31*'Geometry'!$F$41)&lt;=C_eco,C_alpha*C_fck*(1-(1-(O31+P31*'Geometry'!$G$41+Q31*'Geometry'!$F$41)/C_eco)^C_n),C_alpha*C_fck),0)))*'Geometry'!$H$41+((MAX(MIN(S_1_Es*(O31+P31*'Geometry'!$G$42+Q31*'Geometry'!$F$42),S_1_fy),-S_1_fy))-(IF((O31+P31*'Geometry'!$G$42+Q31*'Geometry'!$F$42)&gt;0,IF((O31+P31*'Geometry'!$G$42+Q31*'Geometry'!$F$42)&lt;=C_eco,C_alpha*C_fck*(1-(1-(O31+P31*'Geometry'!$G$42+Q31*'Geometry'!$F$42)/C_eco)^C_n),C_alpha*C_fck),0)))*'Geometry'!$H$42+((MAX(MIN(S_1_Es*(O31+P31*'Geometry'!$G$43+Q31*'Geometry'!$F$43),S_1_fy),-S_1_fy))-(IF((O31+P31*'Geometry'!$G$43+Q31*'Geometry'!$F$43)&gt;0,IF((O31+P31*'Geometry'!$G$43+Q31*'Geometry'!$F$43)&lt;=C_eco,C_alpha*C_fck*(1-(1-(O31+P31*'Geometry'!$G$43+Q31*'Geometry'!$F$43)/C_eco)^C_n),C_alpha*C_fck),0)))*'Geometry'!$H$43+((MAX(MIN(S_1_Es*(O31+P31*'Geometry'!$G$44+Q31*'Geometry'!$F$44),S_1_fy),-S_1_fy))-(IF((O31+P31*'Geometry'!$G$44+Q31*'Geometry'!$F$44)&gt;0,IF((O31+P31*'Geometry'!$G$44+Q31*'Geometry'!$F$44)&lt;=C_eco,C_alpha*C_fck*(1-(1-(O31+P31*'Geometry'!$G$44+Q31*'Geometry'!$F$44)/C_eco)^C_n),C_alpha*C_fck),0)))*'Geometry'!$H$44+((MAX(MIN(S_1_Es*(O31+P31*'Geometry'!$G$45+Q31*'Geometry'!$F$45),S_1_fy),-S_1_fy))-(IF((O31+P31*'Geometry'!$G$45+Q31*'Geometry'!$F$45)&gt;0,IF((O31+P31*'Geometry'!$G$45+Q31*'Geometry'!$F$45)&lt;=C_eco,C_alpha*C_fck*(1-(1-(O31+P31*'Geometry'!$G$45+Q31*'Geometry'!$F$45)/C_eco)^C_n),C_alpha*C_fck),0)))*'Geometry'!$H$45+((MAX(MIN(S_1_Es*(O31+P31*'Geometry'!$G$46+Q31*'Geometry'!$F$46),S_1_fy),-S_1_fy))-(IF((O31+P31*'Geometry'!$G$46+Q31*'Geometry'!$F$46)&gt;0,IF((O31+P31*'Geometry'!$G$46+Q31*'Geometry'!$F$46)&lt;=C_eco,C_alpha*C_fck*(1-(1-(O31+P31*'Geometry'!$G$46+Q31*'Geometry'!$F$46)/C_eco)^C_n),C_alpha*C_fck),0)))*'Geometry'!$H$46+((MAX(MIN(S_1_Es*(O31+P31*'Geometry'!$G$47+Q31*'Geometry'!$F$47),S_1_fy),-S_1_fy))-(IF((O31+P31*'Geometry'!$G$47+Q31*'Geometry'!$F$47)&gt;0,IF((O31+P31*'Geometry'!$G$47+Q31*'Geometry'!$F$47)&lt;=C_eco,C_alpha*C_fck*(1-(1-(O31+P31*'Geometry'!$G$47+Q31*'Geometry'!$F$47)/C_eco)^C_n),C_alpha*C_fck),0)))*'Geometry'!$H$47+((MAX(MIN(S_1_Es*(O31+P31*'Geometry'!$G$48+Q31*'Geometry'!$F$48),S_1_fy),-S_1_fy))-(IF((O31+P31*'Geometry'!$G$48+Q31*'Geometry'!$F$48)&gt;0,IF((O31+P31*'Geometry'!$G$48+Q31*'Geometry'!$F$48)&lt;=C_eco,C_alpha*C_fck*(1-(1-(O31+P31*'Geometry'!$G$48+Q31*'Geometry'!$F$48)/C_eco)^C_n),C_alpha*C_fck),0)))*'Geometry'!$H$48+((MAX(MIN(S_1_Es*(O31+P31*'Geometry'!$G$49+Q31*'Geometry'!$F$49),S_1_fy),-S_1_fy))-(IF((O31+P31*'Geometry'!$G$49+Q31*'Geometry'!$F$49)&gt;0,IF((O31+P31*'Geometry'!$G$49+Q31*'Geometry'!$F$49)&lt;=C_eco,C_alpha*C_fck*(1-(1-(O31+P31*'Geometry'!$G$49+Q31*'Geometry'!$F$49)/C_eco)^C_n),C_alpha*C_fck),0)))*'Geometry'!$H$49+((MAX(MIN(S_1_Es*(O31+P31*'Geometry'!$G$50+Q31*'Geometry'!$F$50),S_1_fy),-S_1_fy))-(IF((O31+P31*'Geometry'!$G$50+Q31*'Geometry'!$F$50)&gt;0,IF((O31+P31*'Geometry'!$G$50+Q31*'Geometry'!$F$50)&lt;=C_eco,C_alpha*C_fck*(1-(1-(O31+P31*'Geometry'!$G$50+Q31*'Geometry'!$F$50)/C_eco)^C_n),C_alpha*C_fck),0)))*'Geometry'!$H$50+((MAX(MIN(S_1_Es*(O31+P31*'Geometry'!$G$51+Q31*'Geometry'!$F$51),S_1_fy),-S_1_fy))-(IF((O31+P31*'Geometry'!$G$51+Q31*'Geometry'!$F$51)&gt;0,IF((O31+P31*'Geometry'!$G$51+Q31*'Geometry'!$F$51)&lt;=C_eco,C_alpha*C_fck*(1-(1-(O31+P31*'Geometry'!$G$51+Q31*'Geometry'!$F$51)/C_eco)^C_n),C_alpha*C_fck),0)))*'Geometry'!$H$51+((MAX(MIN(S_1_Es*(O31+P31*'Geometry'!$G$52+Q31*'Geometry'!$F$52),S_1_fy),-S_1_fy))-(IF((O31+P31*'Geometry'!$G$52+Q31*'Geometry'!$F$52)&gt;0,IF((O31+P31*'Geometry'!$G$52+Q31*'Geometry'!$F$52)&lt;=C_eco,C_alpha*C_fck*(1-(1-(O31+P31*'Geometry'!$G$52+Q31*'Geometry'!$F$52)/C_eco)^C_n),C_alpha*C_fck),0)))*'Geometry'!$H$52+((MAX(MIN(S_1_Es*(O31+P31*'Geometry'!$G$53+Q31*'Geometry'!$F$53),S_1_fy),-S_1_fy))-(IF((O31+P31*'Geometry'!$G$53+Q31*'Geometry'!$F$53)&gt;0,IF((O31+P31*'Geometry'!$G$53+Q31*'Geometry'!$F$53)&lt;=C_eco,C_alpha*C_fck*(1-(1-(O31+P31*'Geometry'!$G$53+Q31*'Geometry'!$F$53)/C_eco)^C_n),C_alpha*C_fck),0)))*'Geometry'!$H$53+((MAX(MIN(S_1_Es*(O31+P31*'Geometry'!$G$54+Q31*'Geometry'!$F$54),S_1_fy),-S_1_fy))-(IF((O31+P31*'Geometry'!$G$54+Q31*'Geometry'!$F$54)&gt;0,IF((O31+P31*'Geometry'!$G$54+Q31*'Geometry'!$F$54)&lt;=C_eco,C_alpha*C_fck*(1-(1-(O31+P31*'Geometry'!$G$54+Q31*'Geometry'!$F$54)/C_eco)^C_n),C_alpha*C_fck),0)))*'Geometry'!$H$54+((MAX(MIN(S_1_Es*(O31+P31*'Geometry'!$G$55+Q31*'Geometry'!$F$55),S_1_fy),-S_1_fy))-(IF((O31+P31*'Geometry'!$G$55+Q31*'Geometry'!$F$55)&gt;0,IF((O31+P31*'Geometry'!$G$55+Q31*'Geometry'!$F$55)&lt;=C_eco,C_alpha*C_fck*(1-(1-(O31+P31*'Geometry'!$G$55+Q31*'Geometry'!$F$55)/C_eco)^C_n),C_alpha*C_fck),0)))*'Geometry'!$H$55+((MAX(MIN(S_1_Es*(O31+P31*'Geometry'!$G$56+Q31*'Geometry'!$F$56),S_1_fy),-S_1_fy))-(IF((O31+P31*'Geometry'!$G$56+Q31*'Geometry'!$F$56)&gt;0,IF((O31+P31*'Geometry'!$G$56+Q31*'Geometry'!$F$56)&lt;=C_eco,C_alpha*C_fck*(1-(1-(O31+P31*'Geometry'!$G$56+Q31*'Geometry'!$F$56)/C_eco)^C_n),C_alpha*C_fck),0)))*'Geometry'!$H$56+((MAX(MIN(S_1_Es*(O31+P31*'Geometry'!$G$57+Q31*'Geometry'!$F$57),S_1_fy),-S_1_fy))-(IF((O31+P31*'Geometry'!$G$57+Q31*'Geometry'!$F$57)&gt;0,IF((O31+P31*'Geometry'!$G$57+Q31*'Geometry'!$F$57)&lt;=C_eco,C_alpha*C_fck*(1-(1-(O31+P31*'Geometry'!$G$57+Q31*'Geometry'!$F$57)/C_eco)^C_n),C_alpha*C_fck),0)))*'Geometry'!$H$57)/1000</f>
        <v>-3975.2729154405133</v>
      </c>
      <c r="V31" s="10">
        <f>(((MAX(MIN(S_1_Es*(O31+P31*'Geometry'!$G$40+Q31*'Geometry'!$F$40),S_1_fy),-S_1_fy))-(IF((O31+P31*'Geometry'!$G$40+Q31*'Geometry'!$F$40)&gt;0,IF((O31+P31*'Geometry'!$G$40+Q31*'Geometry'!$F$40)&lt;=C_eco,C_alpha*C_fck*(1-(1-(O31+P31*'Geometry'!$G$40+Q31*'Geometry'!$F$40)/C_eco)^C_n),C_alpha*C_fck),0)))*'Geometry'!$H$40*'Geometry'!$G$40+((MAX(MIN(S_1_Es*(O31+P31*'Geometry'!$G$41+Q31*'Geometry'!$F$41),S_1_fy),-S_1_fy))-(IF((O31+P31*'Geometry'!$G$41+Q31*'Geometry'!$F$41)&gt;0,IF((O31+P31*'Geometry'!$G$41+Q31*'Geometry'!$F$41)&lt;=C_eco,C_alpha*C_fck*(1-(1-(O31+P31*'Geometry'!$G$41+Q31*'Geometry'!$F$41)/C_eco)^C_n),C_alpha*C_fck),0)))*'Geometry'!$H$41*'Geometry'!$G$41+((MAX(MIN(S_1_Es*(O31+P31*'Geometry'!$G$42+Q31*'Geometry'!$F$42),S_1_fy),-S_1_fy))-(IF((O31+P31*'Geometry'!$G$42+Q31*'Geometry'!$F$42)&gt;0,IF((O31+P31*'Geometry'!$G$42+Q31*'Geometry'!$F$42)&lt;=C_eco,C_alpha*C_fck*(1-(1-(O31+P31*'Geometry'!$G$42+Q31*'Geometry'!$F$42)/C_eco)^C_n),C_alpha*C_fck),0)))*'Geometry'!$H$42*'Geometry'!$G$42+((MAX(MIN(S_1_Es*(O31+P31*'Geometry'!$G$43+Q31*'Geometry'!$F$43),S_1_fy),-S_1_fy))-(IF((O31+P31*'Geometry'!$G$43+Q31*'Geometry'!$F$43)&gt;0,IF((O31+P31*'Geometry'!$G$43+Q31*'Geometry'!$F$43)&lt;=C_eco,C_alpha*C_fck*(1-(1-(O31+P31*'Geometry'!$G$43+Q31*'Geometry'!$F$43)/C_eco)^C_n),C_alpha*C_fck),0)))*'Geometry'!$H$43*'Geometry'!$G$43+((MAX(MIN(S_1_Es*(O31+P31*'Geometry'!$G$44+Q31*'Geometry'!$F$44),S_1_fy),-S_1_fy))-(IF((O31+P31*'Geometry'!$G$44+Q31*'Geometry'!$F$44)&gt;0,IF((O31+P31*'Geometry'!$G$44+Q31*'Geometry'!$F$44)&lt;=C_eco,C_alpha*C_fck*(1-(1-(O31+P31*'Geometry'!$G$44+Q31*'Geometry'!$F$44)/C_eco)^C_n),C_alpha*C_fck),0)))*'Geometry'!$H$44*'Geometry'!$G$44+((MAX(MIN(S_1_Es*(O31+P31*'Geometry'!$G$45+Q31*'Geometry'!$F$45),S_1_fy),-S_1_fy))-(IF((O31+P31*'Geometry'!$G$45+Q31*'Geometry'!$F$45)&gt;0,IF((O31+P31*'Geometry'!$G$45+Q31*'Geometry'!$F$45)&lt;=C_eco,C_alpha*C_fck*(1-(1-(O31+P31*'Geometry'!$G$45+Q31*'Geometry'!$F$45)/C_eco)^C_n),C_alpha*C_fck),0)))*'Geometry'!$H$45*'Geometry'!$G$45+((MAX(MIN(S_1_Es*(O31+P31*'Geometry'!$G$46+Q31*'Geometry'!$F$46),S_1_fy),-S_1_fy))-(IF((O31+P31*'Geometry'!$G$46+Q31*'Geometry'!$F$46)&gt;0,IF((O31+P31*'Geometry'!$G$46+Q31*'Geometry'!$F$46)&lt;=C_eco,C_alpha*C_fck*(1-(1-(O31+P31*'Geometry'!$G$46+Q31*'Geometry'!$F$46)/C_eco)^C_n),C_alpha*C_fck),0)))*'Geometry'!$H$46*'Geometry'!$G$46+((MAX(MIN(S_1_Es*(O31+P31*'Geometry'!$G$47+Q31*'Geometry'!$F$47),S_1_fy),-S_1_fy))-(IF((O31+P31*'Geometry'!$G$47+Q31*'Geometry'!$F$47)&gt;0,IF((O31+P31*'Geometry'!$G$47+Q31*'Geometry'!$F$47)&lt;=C_eco,C_alpha*C_fck*(1-(1-(O31+P31*'Geometry'!$G$47+Q31*'Geometry'!$F$47)/C_eco)^C_n),C_alpha*C_fck),0)))*'Geometry'!$H$47*'Geometry'!$G$47+((MAX(MIN(S_1_Es*(O31+P31*'Geometry'!$G$48+Q31*'Geometry'!$F$48),S_1_fy),-S_1_fy))-(IF((O31+P31*'Geometry'!$G$48+Q31*'Geometry'!$F$48)&gt;0,IF((O31+P31*'Geometry'!$G$48+Q31*'Geometry'!$F$48)&lt;=C_eco,C_alpha*C_fck*(1-(1-(O31+P31*'Geometry'!$G$48+Q31*'Geometry'!$F$48)/C_eco)^C_n),C_alpha*C_fck),0)))*'Geometry'!$H$48*'Geometry'!$G$48+((MAX(MIN(S_1_Es*(O31+P31*'Geometry'!$G$49+Q31*'Geometry'!$F$49),S_1_fy),-S_1_fy))-(IF((O31+P31*'Geometry'!$G$49+Q31*'Geometry'!$F$49)&gt;0,IF((O31+P31*'Geometry'!$G$49+Q31*'Geometry'!$F$49)&lt;=C_eco,C_alpha*C_fck*(1-(1-(O31+P31*'Geometry'!$G$49+Q31*'Geometry'!$F$49)/C_eco)^C_n),C_alpha*C_fck),0)))*'Geometry'!$H$49*'Geometry'!$G$49+((MAX(MIN(S_1_Es*(O31+P31*'Geometry'!$G$50+Q31*'Geometry'!$F$50),S_1_fy),-S_1_fy))-(IF((O31+P31*'Geometry'!$G$50+Q31*'Geometry'!$F$50)&gt;0,IF((O31+P31*'Geometry'!$G$50+Q31*'Geometry'!$F$50)&lt;=C_eco,C_alpha*C_fck*(1-(1-(O31+P31*'Geometry'!$G$50+Q31*'Geometry'!$F$50)/C_eco)^C_n),C_alpha*C_fck),0)))*'Geometry'!$H$50*'Geometry'!$G$50+((MAX(MIN(S_1_Es*(O31+P31*'Geometry'!$G$51+Q31*'Geometry'!$F$51),S_1_fy),-S_1_fy))-(IF((O31+P31*'Geometry'!$G$51+Q31*'Geometry'!$F$51)&gt;0,IF((O31+P31*'Geometry'!$G$51+Q31*'Geometry'!$F$51)&lt;=C_eco,C_alpha*C_fck*(1-(1-(O31+P31*'Geometry'!$G$51+Q31*'Geometry'!$F$51)/C_eco)^C_n),C_alpha*C_fck),0)))*'Geometry'!$H$51*'Geometry'!$G$51+((MAX(MIN(S_1_Es*(O31+P31*'Geometry'!$G$52+Q31*'Geometry'!$F$52),S_1_fy),-S_1_fy))-(IF((O31+P31*'Geometry'!$G$52+Q31*'Geometry'!$F$52)&gt;0,IF((O31+P31*'Geometry'!$G$52+Q31*'Geometry'!$F$52)&lt;=C_eco,C_alpha*C_fck*(1-(1-(O31+P31*'Geometry'!$G$52+Q31*'Geometry'!$F$52)/C_eco)^C_n),C_alpha*C_fck),0)))*'Geometry'!$H$52*'Geometry'!$G$52+((MAX(MIN(S_1_Es*(O31+P31*'Geometry'!$G$53+Q31*'Geometry'!$F$53),S_1_fy),-S_1_fy))-(IF((O31+P31*'Geometry'!$G$53+Q31*'Geometry'!$F$53)&gt;0,IF((O31+P31*'Geometry'!$G$53+Q31*'Geometry'!$F$53)&lt;=C_eco,C_alpha*C_fck*(1-(1-(O31+P31*'Geometry'!$G$53+Q31*'Geometry'!$F$53)/C_eco)^C_n),C_alpha*C_fck),0)))*'Geometry'!$H$53*'Geometry'!$G$53+((MAX(MIN(S_1_Es*(O31+P31*'Geometry'!$G$54+Q31*'Geometry'!$F$54),S_1_fy),-S_1_fy))-(IF((O31+P31*'Geometry'!$G$54+Q31*'Geometry'!$F$54)&gt;0,IF((O31+P31*'Geometry'!$G$54+Q31*'Geometry'!$F$54)&lt;=C_eco,C_alpha*C_fck*(1-(1-(O31+P31*'Geometry'!$G$54+Q31*'Geometry'!$F$54)/C_eco)^C_n),C_alpha*C_fck),0)))*'Geometry'!$H$54*'Geometry'!$G$54+((MAX(MIN(S_1_Es*(O31+P31*'Geometry'!$G$55+Q31*'Geometry'!$F$55),S_1_fy),-S_1_fy))-(IF((O31+P31*'Geometry'!$G$55+Q31*'Geometry'!$F$55)&gt;0,IF((O31+P31*'Geometry'!$G$55+Q31*'Geometry'!$F$55)&lt;=C_eco,C_alpha*C_fck*(1-(1-(O31+P31*'Geometry'!$G$55+Q31*'Geometry'!$F$55)/C_eco)^C_n),C_alpha*C_fck),0)))*'Geometry'!$H$55*'Geometry'!$G$55+((MAX(MIN(S_1_Es*(O31+P31*'Geometry'!$G$56+Q31*'Geometry'!$F$56),S_1_fy),-S_1_fy))-(IF((O31+P31*'Geometry'!$G$56+Q31*'Geometry'!$F$56)&gt;0,IF((O31+P31*'Geometry'!$G$56+Q31*'Geometry'!$F$56)&lt;=C_eco,C_alpha*C_fck*(1-(1-(O31+P31*'Geometry'!$G$56+Q31*'Geometry'!$F$56)/C_eco)^C_n),C_alpha*C_fck),0)))*'Geometry'!$H$56*'Geometry'!$G$56+((MAX(MIN(S_1_Es*(O31+P31*'Geometry'!$G$57+Q31*'Geometry'!$F$57),S_1_fy),-S_1_fy))-(IF((O31+P31*'Geometry'!$G$57+Q31*'Geometry'!$F$57)&gt;0,IF((O31+P31*'Geometry'!$G$57+Q31*'Geometry'!$F$57)&lt;=C_eco,C_alpha*C_fck*(1-(1-(O31+P31*'Geometry'!$G$57+Q31*'Geometry'!$F$57)/C_eco)^C_n),C_alpha*C_fck),0)))*'Geometry'!$H$57*'Geometry'!$G$57)/1000000</f>
        <v>-573.6554342734162</v>
      </c>
      <c r="W31" s="10">
        <f>(((MAX(MIN(S_1_Es*(O31+P31*'Geometry'!$G$40+Q31*'Geometry'!$F$40),S_1_fy),-S_1_fy))-(IF((O31+P31*'Geometry'!$G$40+Q31*'Geometry'!$F$40)&gt;0,IF((O31+P31*'Geometry'!$G$40+Q31*'Geometry'!$F$40)&lt;=C_eco,C_alpha*C_fck*(1-(1-(O31+P31*'Geometry'!$G$40+Q31*'Geometry'!$F$40)/C_eco)^C_n),C_alpha*C_fck),0)))*'Geometry'!$H$40*'Geometry'!$F$40+((MAX(MIN(S_1_Es*(O31+P31*'Geometry'!$G$41+Q31*'Geometry'!$F$41),S_1_fy),-S_1_fy))-(IF((O31+P31*'Geometry'!$G$41+Q31*'Geometry'!$F$41)&gt;0,IF((O31+P31*'Geometry'!$G$41+Q31*'Geometry'!$F$41)&lt;=C_eco,C_alpha*C_fck*(1-(1-(O31+P31*'Geometry'!$G$41+Q31*'Geometry'!$F$41)/C_eco)^C_n),C_alpha*C_fck),0)))*'Geometry'!$H$41*'Geometry'!$F$41+((MAX(MIN(S_1_Es*(O31+P31*'Geometry'!$G$42+Q31*'Geometry'!$F$42),S_1_fy),-S_1_fy))-(IF((O31+P31*'Geometry'!$G$42+Q31*'Geometry'!$F$42)&gt;0,IF((O31+P31*'Geometry'!$G$42+Q31*'Geometry'!$F$42)&lt;=C_eco,C_alpha*C_fck*(1-(1-(O31+P31*'Geometry'!$G$42+Q31*'Geometry'!$F$42)/C_eco)^C_n),C_alpha*C_fck),0)))*'Geometry'!$H$42*'Geometry'!$F$42+((MAX(MIN(S_1_Es*(O31+P31*'Geometry'!$G$43+Q31*'Geometry'!$F$43),S_1_fy),-S_1_fy))-(IF((O31+P31*'Geometry'!$G$43+Q31*'Geometry'!$F$43)&gt;0,IF((O31+P31*'Geometry'!$G$43+Q31*'Geometry'!$F$43)&lt;=C_eco,C_alpha*C_fck*(1-(1-(O31+P31*'Geometry'!$G$43+Q31*'Geometry'!$F$43)/C_eco)^C_n),C_alpha*C_fck),0)))*'Geometry'!$H$43*'Geometry'!$F$43+((MAX(MIN(S_1_Es*(O31+P31*'Geometry'!$G$44+Q31*'Geometry'!$F$44),S_1_fy),-S_1_fy))-(IF((O31+P31*'Geometry'!$G$44+Q31*'Geometry'!$F$44)&gt;0,IF((O31+P31*'Geometry'!$G$44+Q31*'Geometry'!$F$44)&lt;=C_eco,C_alpha*C_fck*(1-(1-(O31+P31*'Geometry'!$G$44+Q31*'Geometry'!$F$44)/C_eco)^C_n),C_alpha*C_fck),0)))*'Geometry'!$H$44*'Geometry'!$F$44+((MAX(MIN(S_1_Es*(O31+P31*'Geometry'!$G$45+Q31*'Geometry'!$F$45),S_1_fy),-S_1_fy))-(IF((O31+P31*'Geometry'!$G$45+Q31*'Geometry'!$F$45)&gt;0,IF((O31+P31*'Geometry'!$G$45+Q31*'Geometry'!$F$45)&lt;=C_eco,C_alpha*C_fck*(1-(1-(O31+P31*'Geometry'!$G$45+Q31*'Geometry'!$F$45)/C_eco)^C_n),C_alpha*C_fck),0)))*'Geometry'!$H$45*'Geometry'!$F$45+((MAX(MIN(S_1_Es*(O31+P31*'Geometry'!$G$46+Q31*'Geometry'!$F$46),S_1_fy),-S_1_fy))-(IF((O31+P31*'Geometry'!$G$46+Q31*'Geometry'!$F$46)&gt;0,IF((O31+P31*'Geometry'!$G$46+Q31*'Geometry'!$F$46)&lt;=C_eco,C_alpha*C_fck*(1-(1-(O31+P31*'Geometry'!$G$46+Q31*'Geometry'!$F$46)/C_eco)^C_n),C_alpha*C_fck),0)))*'Geometry'!$H$46*'Geometry'!$F$46+((MAX(MIN(S_1_Es*(O31+P31*'Geometry'!$G$47+Q31*'Geometry'!$F$47),S_1_fy),-S_1_fy))-(IF((O31+P31*'Geometry'!$G$47+Q31*'Geometry'!$F$47)&gt;0,IF((O31+P31*'Geometry'!$G$47+Q31*'Geometry'!$F$47)&lt;=C_eco,C_alpha*C_fck*(1-(1-(O31+P31*'Geometry'!$G$47+Q31*'Geometry'!$F$47)/C_eco)^C_n),C_alpha*C_fck),0)))*'Geometry'!$H$47*'Geometry'!$F$47+((MAX(MIN(S_1_Es*(O31+P31*'Geometry'!$G$48+Q31*'Geometry'!$F$48),S_1_fy),-S_1_fy))-(IF((O31+P31*'Geometry'!$G$48+Q31*'Geometry'!$F$48)&gt;0,IF((O31+P31*'Geometry'!$G$48+Q31*'Geometry'!$F$48)&lt;=C_eco,C_alpha*C_fck*(1-(1-(O31+P31*'Geometry'!$G$48+Q31*'Geometry'!$F$48)/C_eco)^C_n),C_alpha*C_fck),0)))*'Geometry'!$H$48*'Geometry'!$F$48+((MAX(MIN(S_1_Es*(O31+P31*'Geometry'!$G$49+Q31*'Geometry'!$F$49),S_1_fy),-S_1_fy))-(IF((O31+P31*'Geometry'!$G$49+Q31*'Geometry'!$F$49)&gt;0,IF((O31+P31*'Geometry'!$G$49+Q31*'Geometry'!$F$49)&lt;=C_eco,C_alpha*C_fck*(1-(1-(O31+P31*'Geometry'!$G$49+Q31*'Geometry'!$F$49)/C_eco)^C_n),C_alpha*C_fck),0)))*'Geometry'!$H$49*'Geometry'!$F$49+((MAX(MIN(S_1_Es*(O31+P31*'Geometry'!$G$50+Q31*'Geometry'!$F$50),S_1_fy),-S_1_fy))-(IF((O31+P31*'Geometry'!$G$50+Q31*'Geometry'!$F$50)&gt;0,IF((O31+P31*'Geometry'!$G$50+Q31*'Geometry'!$F$50)&lt;=C_eco,C_alpha*C_fck*(1-(1-(O31+P31*'Geometry'!$G$50+Q31*'Geometry'!$F$50)/C_eco)^C_n),C_alpha*C_fck),0)))*'Geometry'!$H$50*'Geometry'!$F$50+((MAX(MIN(S_1_Es*(O31+P31*'Geometry'!$G$51+Q31*'Geometry'!$F$51),S_1_fy),-S_1_fy))-(IF((O31+P31*'Geometry'!$G$51+Q31*'Geometry'!$F$51)&gt;0,IF((O31+P31*'Geometry'!$G$51+Q31*'Geometry'!$F$51)&lt;=C_eco,C_alpha*C_fck*(1-(1-(O31+P31*'Geometry'!$G$51+Q31*'Geometry'!$F$51)/C_eco)^C_n),C_alpha*C_fck),0)))*'Geometry'!$H$51*'Geometry'!$F$51+((MAX(MIN(S_1_Es*(O31+P31*'Geometry'!$G$52+Q31*'Geometry'!$F$52),S_1_fy),-S_1_fy))-(IF((O31+P31*'Geometry'!$G$52+Q31*'Geometry'!$F$52)&gt;0,IF((O31+P31*'Geometry'!$G$52+Q31*'Geometry'!$F$52)&lt;=C_eco,C_alpha*C_fck*(1-(1-(O31+P31*'Geometry'!$G$52+Q31*'Geometry'!$F$52)/C_eco)^C_n),C_alpha*C_fck),0)))*'Geometry'!$H$52*'Geometry'!$F$52+((MAX(MIN(S_1_Es*(O31+P31*'Geometry'!$G$53+Q31*'Geometry'!$F$53),S_1_fy),-S_1_fy))-(IF((O31+P31*'Geometry'!$G$53+Q31*'Geometry'!$F$53)&gt;0,IF((O31+P31*'Geometry'!$G$53+Q31*'Geometry'!$F$53)&lt;=C_eco,C_alpha*C_fck*(1-(1-(O31+P31*'Geometry'!$G$53+Q31*'Geometry'!$F$53)/C_eco)^C_n),C_alpha*C_fck),0)))*'Geometry'!$H$53*'Geometry'!$F$53+((MAX(MIN(S_1_Es*(O31+P31*'Geometry'!$G$54+Q31*'Geometry'!$F$54),S_1_fy),-S_1_fy))-(IF((O31+P31*'Geometry'!$G$54+Q31*'Geometry'!$F$54)&gt;0,IF((O31+P31*'Geometry'!$G$54+Q31*'Geometry'!$F$54)&lt;=C_eco,C_alpha*C_fck*(1-(1-(O31+P31*'Geometry'!$G$54+Q31*'Geometry'!$F$54)/C_eco)^C_n),C_alpha*C_fck),0)))*'Geometry'!$H$54*'Geometry'!$F$54+((MAX(MIN(S_1_Es*(O31+P31*'Geometry'!$G$55+Q31*'Geometry'!$F$55),S_1_fy),-S_1_fy))-(IF((O31+P31*'Geometry'!$G$55+Q31*'Geometry'!$F$55)&gt;0,IF((O31+P31*'Geometry'!$G$55+Q31*'Geometry'!$F$55)&lt;=C_eco,C_alpha*C_fck*(1-(1-(O31+P31*'Geometry'!$G$55+Q31*'Geometry'!$F$55)/C_eco)^C_n),C_alpha*C_fck),0)))*'Geometry'!$H$55*'Geometry'!$F$55+((MAX(MIN(S_1_Es*(O31+P31*'Geometry'!$G$56+Q31*'Geometry'!$F$56),S_1_fy),-S_1_fy))-(IF((O31+P31*'Geometry'!$G$56+Q31*'Geometry'!$F$56)&gt;0,IF((O31+P31*'Geometry'!$G$56+Q31*'Geometry'!$F$56)&lt;=C_eco,C_alpha*C_fck*(1-(1-(O31+P31*'Geometry'!$G$56+Q31*'Geometry'!$F$56)/C_eco)^C_n),C_alpha*C_fck),0)))*'Geometry'!$H$56*'Geometry'!$F$56+((MAX(MIN(S_1_Es*(O31+P31*'Geometry'!$G$57+Q31*'Geometry'!$F$57),S_1_fy),-S_1_fy))-(IF((O31+P31*'Geometry'!$G$57+Q31*'Geometry'!$F$57)&gt;0,IF((O31+P31*'Geometry'!$G$57+Q31*'Geometry'!$F$57)&lt;=C_eco,C_alpha*C_fck*(1-(1-(O31+P31*'Geometry'!$G$57+Q31*'Geometry'!$F$57)/C_eco)^C_n),C_alpha*C_fck),0)))*'Geometry'!$H$57*'Geometry'!$F$57)/1000000</f>
        <v>-998.3568987492602</v>
      </c>
      <c r="X31" s="10">
        <f>R31+U31</f>
        <v>-1335.1926689121128</v>
      </c>
      <c r="Y31" s="10">
        <f>S31+V31</f>
        <v>-1613.825232102789</v>
      </c>
      <c r="Z31" s="10">
        <f>T31+W31</f>
        <v>-2525.5366581263584</v>
      </c>
      <c r="AA31" s="7">
        <v>0.85</v>
      </c>
      <c r="AB31" s="7">
        <v>0.85</v>
      </c>
      <c r="AC31" s="10">
        <f>X31*AA31</f>
        <v>-1134.9137685752958</v>
      </c>
      <c r="AD31" s="10">
        <f>Y31*AB31</f>
        <v>-1371.7514472873704</v>
      </c>
      <c r="AE31" s="10">
        <f>Z31*AB31</f>
        <v>-2146.706159407405</v>
      </c>
      <c r="AF31" s="7">
        <v>-1134.9137685752958</v>
      </c>
      <c r="AG31" s="7">
        <v>-1371.7514472873704</v>
      </c>
      <c r="AH31" s="7">
        <v>-2146.706159407405</v>
      </c>
      <c r="AI31" s="15">
        <f>AC31-AF31</f>
        <v>0</v>
      </c>
      <c r="AJ31" s="15">
        <f>SQRT((AD31-AG31)^2+(AE31-AH31)^2)</f>
        <v>0</v>
      </c>
      <c r="AK31" s="7" t="s">
        <v>189</v>
      </c>
      <c r="AL31" s="7">
        <v>-1335.1926689121128</v>
      </c>
      <c r="AM31" s="7">
        <v>-1613.825232102789</v>
      </c>
      <c r="AN31" s="7">
        <v>-2525.5366581263584</v>
      </c>
      <c r="AO31" s="7">
        <v>2640.0802465284005</v>
      </c>
      <c r="AP31" s="7">
        <v>-1040.1697978293728</v>
      </c>
      <c r="AQ31" s="7">
        <v>-1527.1797593770984</v>
      </c>
      <c r="AR31" s="7">
        <v>-3975.2729154405133</v>
      </c>
      <c r="AS31" s="7">
        <v>-573.6554342734162</v>
      </c>
      <c r="AT31" s="7">
        <v>-998.3568987492602</v>
      </c>
    </row>
    <row r="32" spans="1:46" x14ac:dyDescent="0.25">
      <c r="A32" s="7" t="s">
        <v>238</v>
      </c>
      <c r="B32" s="7">
        <v>1</v>
      </c>
      <c r="C32" s="18">
        <v>240</v>
      </c>
      <c r="D32" s="7" t="s">
        <v>239</v>
      </c>
      <c r="E32" s="7" t="s">
        <v>192</v>
      </c>
      <c r="F32" s="19">
        <v>240</v>
      </c>
      <c r="G32" s="7" t="s">
        <v>188</v>
      </c>
      <c r="H32" s="20">
        <v>7.500000000000001</v>
      </c>
      <c r="I32" s="10">
        <f>MAX(('Geometry'!$G$13*COS(RADIANS(F32))+'Geometry'!$F$13*SIN(RADIANS(F32))),('Geometry'!$G$14*COS(RADIANS(F32))+'Geometry'!$F$14*SIN(RADIANS(F32))),('Geometry'!$G$15*COS(RADIANS(F32))+'Geometry'!$F$15*SIN(RADIANS(F32))),('Geometry'!$G$16*COS(RADIANS(F32))+'Geometry'!$F$16*SIN(RADIANS(F32))),('Geometry'!$G$17*COS(RADIANS(F32))+'Geometry'!$F$17*SIN(RADIANS(F32))),('Geometry'!$G$18*COS(RADIANS(F32))+'Geometry'!$F$18*SIN(RADIANS(F32))),('Geometry'!$G$19*COS(RADIANS(F32))+'Geometry'!$F$19*SIN(RADIANS(F32))),('Geometry'!$G$20*COS(RADIANS(F32))+'Geometry'!$F$20*SIN(RADIANS(F32))))</f>
        <v>849.5190528383291</v>
      </c>
      <c r="J32" s="10">
        <f>MIN(('Geometry'!$G$40*COS(RADIANS(F32))+'Geometry'!$F$40*SIN(RADIANS(F32))),('Geometry'!$G$41*COS(RADIANS(F32))+'Geometry'!$F$41*SIN(RADIANS(F32))),('Geometry'!$G$42*COS(RADIANS(F32))+'Geometry'!$F$42*SIN(RADIANS(F32))),('Geometry'!$G$43*COS(RADIANS(F32))+'Geometry'!$F$43*SIN(RADIANS(F32))),('Geometry'!$G$44*COS(RADIANS(F32))+'Geometry'!$F$44*SIN(RADIANS(F32))),('Geometry'!$G$45*COS(RADIANS(F32))+'Geometry'!$F$45*SIN(RADIANS(F32))),('Geometry'!$G$46*COS(RADIANS(F32))+'Geometry'!$F$46*SIN(RADIANS(F32))),('Geometry'!$G$47*COS(RADIANS(F32))+'Geometry'!$F$47*SIN(RADIANS(F32))),('Geometry'!$G$48*COS(RADIANS(F32))+'Geometry'!$F$48*SIN(RADIANS(F32))),('Geometry'!$G$49*COS(RADIANS(F32))+'Geometry'!$F$49*SIN(RADIANS(F32))),('Geometry'!$G$50*COS(RADIANS(F32))+'Geometry'!$F$50*SIN(RADIANS(F32))),('Geometry'!$G$51*COS(RADIANS(F32))+'Geometry'!$F$51*SIN(RADIANS(F32))),('Geometry'!$G$52*COS(RADIANS(F32))+'Geometry'!$F$52*SIN(RADIANS(F32))),('Geometry'!$G$53*COS(RADIANS(F32))+'Geometry'!$F$53*SIN(RADIANS(F32))),('Geometry'!$G$54*COS(RADIANS(F32))+'Geometry'!$F$54*SIN(RADIANS(F32))),('Geometry'!$G$55*COS(RADIANS(F32))+'Geometry'!$F$55*SIN(RADIANS(F32))),('Geometry'!$G$56*COS(RADIANS(F32))+'Geometry'!$F$56*SIN(RADIANS(F32))),('Geometry'!$G$57*COS(RADIANS(F32))+'Geometry'!$F$57*SIN(RADIANS(F32))))</f>
        <v>-738.8972745734183</v>
      </c>
      <c r="K32" s="10">
        <f>I32-MIN(('Geometry'!$G$13*COS(RADIANS(F32))+'Geometry'!$F$13*SIN(RADIANS(F32))),('Geometry'!$G$14*COS(RADIANS(F32))+'Geometry'!$F$14*SIN(RADIANS(F32))),('Geometry'!$G$15*COS(RADIANS(F32))+'Geometry'!$F$15*SIN(RADIANS(F32))),('Geometry'!$G$16*COS(RADIANS(F32))+'Geometry'!$F$16*SIN(RADIANS(F32))),('Geometry'!$G$17*COS(RADIANS(F32))+'Geometry'!$F$17*SIN(RADIANS(F32))),('Geometry'!$G$18*COS(RADIANS(F32))+'Geometry'!$F$18*SIN(RADIANS(F32))),('Geometry'!$G$19*COS(RADIANS(F32))+'Geometry'!$F$19*SIN(RADIANS(F32))),('Geometry'!$G$20*COS(RADIANS(F32))+'Geometry'!$F$20*SIN(RADIANS(F32))))</f>
        <v>1699.0381056766582</v>
      </c>
      <c r="L32" s="15">
        <f>C_ecu</f>
        <v>0.0033</v>
      </c>
      <c r="M32" s="15">
        <f>-H32*S_1_fy/S_1_Es</f>
        <v>-0.015000000000000003</v>
      </c>
      <c r="N32" s="21">
        <f>IF(ABS(I32-J32)&lt;0.000000000001,0,(L32-M32)/(I32-J32))</f>
        <v>0.000011520909023781583</v>
      </c>
      <c r="O32" s="15">
        <f>L32-N32*I32</f>
        <v>-0.00648723172171949</v>
      </c>
      <c r="P32" s="21">
        <f>N32*COS(RADIANS(F32))</f>
        <v>-0.000005760454511890797</v>
      </c>
      <c r="Q32" s="21">
        <f>N32*SIN(RADIANS(F32))</f>
        <v>-0.000009977399889284227</v>
      </c>
      <c r="R32" s="10">
        <f>SUMPRODUCT(C_alpha*C_fck*(1-(1-(((O32+P32*Mesh_Y+Q32*Mesh_X))*((O32+P32*Mesh_Y+Q32*Mesh_X)&gt;0)*((O32+P32*Mesh_Y+Q32*Mesh_X)&lt;C_eco)+C_eco*((O32+P32*Mesh_Y+Q32*Mesh_X)&gt;=C_eco))/C_eco)^C_n)*(((O32+P32*Mesh_Y+Q32*Mesh_X))&gt;0),Mesh_A)/1000</f>
        <v>2664.1841839042067</v>
      </c>
      <c r="S32" s="10">
        <f>SUMPRODUCT(C_alpha*C_fck*(1-(1-(((O32+P32*Mesh_Y+Q32*Mesh_X))*((O32+P32*Mesh_Y+Q32*Mesh_X)&gt;0)*((O32+P32*Mesh_Y+Q32*Mesh_X)&lt;C_eco)+C_eco*((O32+P32*Mesh_Y+Q32*Mesh_X)&gt;=C_eco))/C_eco)^C_n)*(((O32+P32*Mesh_Y+Q32*Mesh_X))&gt;0),Mesh_A,Mesh_Y)/1000000</f>
        <v>-920.191129872321</v>
      </c>
      <c r="T32" s="10">
        <f>SUMPRODUCT(C_alpha*C_fck*(1-(1-(((O32+P32*Mesh_Y+Q32*Mesh_X))*((O32+P32*Mesh_Y+Q32*Mesh_X)&gt;0)*((O32+P32*Mesh_Y+Q32*Mesh_X)&lt;C_eco)+C_eco*((O32+P32*Mesh_Y+Q32*Mesh_X)&gt;=C_eco))/C_eco)^C_n)*(((O32+P32*Mesh_Y+Q32*Mesh_X))&gt;0),Mesh_A,Mesh_X)/1000000</f>
        <v>-1624.7965271114747</v>
      </c>
      <c r="U32" s="10">
        <f>(((MAX(MIN(S_1_Es*(O32+P32*'Geometry'!$G$40+Q32*'Geometry'!$F$40),S_1_fy),-S_1_fy))-(IF((O32+P32*'Geometry'!$G$40+Q32*'Geometry'!$F$40)&gt;0,IF((O32+P32*'Geometry'!$G$40+Q32*'Geometry'!$F$40)&lt;=C_eco,C_alpha*C_fck*(1-(1-(O32+P32*'Geometry'!$G$40+Q32*'Geometry'!$F$40)/C_eco)^C_n),C_alpha*C_fck),0)))*'Geometry'!$H$40+((MAX(MIN(S_1_Es*(O32+P32*'Geometry'!$G$41+Q32*'Geometry'!$F$41),S_1_fy),-S_1_fy))-(IF((O32+P32*'Geometry'!$G$41+Q32*'Geometry'!$F$41)&gt;0,IF((O32+P32*'Geometry'!$G$41+Q32*'Geometry'!$F$41)&lt;=C_eco,C_alpha*C_fck*(1-(1-(O32+P32*'Geometry'!$G$41+Q32*'Geometry'!$F$41)/C_eco)^C_n),C_alpha*C_fck),0)))*'Geometry'!$H$41+((MAX(MIN(S_1_Es*(O32+P32*'Geometry'!$G$42+Q32*'Geometry'!$F$42),S_1_fy),-S_1_fy))-(IF((O32+P32*'Geometry'!$G$42+Q32*'Geometry'!$F$42)&gt;0,IF((O32+P32*'Geometry'!$G$42+Q32*'Geometry'!$F$42)&lt;=C_eco,C_alpha*C_fck*(1-(1-(O32+P32*'Geometry'!$G$42+Q32*'Geometry'!$F$42)/C_eco)^C_n),C_alpha*C_fck),0)))*'Geometry'!$H$42+((MAX(MIN(S_1_Es*(O32+P32*'Geometry'!$G$43+Q32*'Geometry'!$F$43),S_1_fy),-S_1_fy))-(IF((O32+P32*'Geometry'!$G$43+Q32*'Geometry'!$F$43)&gt;0,IF((O32+P32*'Geometry'!$G$43+Q32*'Geometry'!$F$43)&lt;=C_eco,C_alpha*C_fck*(1-(1-(O32+P32*'Geometry'!$G$43+Q32*'Geometry'!$F$43)/C_eco)^C_n),C_alpha*C_fck),0)))*'Geometry'!$H$43+((MAX(MIN(S_1_Es*(O32+P32*'Geometry'!$G$44+Q32*'Geometry'!$F$44),S_1_fy),-S_1_fy))-(IF((O32+P32*'Geometry'!$G$44+Q32*'Geometry'!$F$44)&gt;0,IF((O32+P32*'Geometry'!$G$44+Q32*'Geometry'!$F$44)&lt;=C_eco,C_alpha*C_fck*(1-(1-(O32+P32*'Geometry'!$G$44+Q32*'Geometry'!$F$44)/C_eco)^C_n),C_alpha*C_fck),0)))*'Geometry'!$H$44+((MAX(MIN(S_1_Es*(O32+P32*'Geometry'!$G$45+Q32*'Geometry'!$F$45),S_1_fy),-S_1_fy))-(IF((O32+P32*'Geometry'!$G$45+Q32*'Geometry'!$F$45)&gt;0,IF((O32+P32*'Geometry'!$G$45+Q32*'Geometry'!$F$45)&lt;=C_eco,C_alpha*C_fck*(1-(1-(O32+P32*'Geometry'!$G$45+Q32*'Geometry'!$F$45)/C_eco)^C_n),C_alpha*C_fck),0)))*'Geometry'!$H$45+((MAX(MIN(S_1_Es*(O32+P32*'Geometry'!$G$46+Q32*'Geometry'!$F$46),S_1_fy),-S_1_fy))-(IF((O32+P32*'Geometry'!$G$46+Q32*'Geometry'!$F$46)&gt;0,IF((O32+P32*'Geometry'!$G$46+Q32*'Geometry'!$F$46)&lt;=C_eco,C_alpha*C_fck*(1-(1-(O32+P32*'Geometry'!$G$46+Q32*'Geometry'!$F$46)/C_eco)^C_n),C_alpha*C_fck),0)))*'Geometry'!$H$46+((MAX(MIN(S_1_Es*(O32+P32*'Geometry'!$G$47+Q32*'Geometry'!$F$47),S_1_fy),-S_1_fy))-(IF((O32+P32*'Geometry'!$G$47+Q32*'Geometry'!$F$47)&gt;0,IF((O32+P32*'Geometry'!$G$47+Q32*'Geometry'!$F$47)&lt;=C_eco,C_alpha*C_fck*(1-(1-(O32+P32*'Geometry'!$G$47+Q32*'Geometry'!$F$47)/C_eco)^C_n),C_alpha*C_fck),0)))*'Geometry'!$H$47+((MAX(MIN(S_1_Es*(O32+P32*'Geometry'!$G$48+Q32*'Geometry'!$F$48),S_1_fy),-S_1_fy))-(IF((O32+P32*'Geometry'!$G$48+Q32*'Geometry'!$F$48)&gt;0,IF((O32+P32*'Geometry'!$G$48+Q32*'Geometry'!$F$48)&lt;=C_eco,C_alpha*C_fck*(1-(1-(O32+P32*'Geometry'!$G$48+Q32*'Geometry'!$F$48)/C_eco)^C_n),C_alpha*C_fck),0)))*'Geometry'!$H$48+((MAX(MIN(S_1_Es*(O32+P32*'Geometry'!$G$49+Q32*'Geometry'!$F$49),S_1_fy),-S_1_fy))-(IF((O32+P32*'Geometry'!$G$49+Q32*'Geometry'!$F$49)&gt;0,IF((O32+P32*'Geometry'!$G$49+Q32*'Geometry'!$F$49)&lt;=C_eco,C_alpha*C_fck*(1-(1-(O32+P32*'Geometry'!$G$49+Q32*'Geometry'!$F$49)/C_eco)^C_n),C_alpha*C_fck),0)))*'Geometry'!$H$49+((MAX(MIN(S_1_Es*(O32+P32*'Geometry'!$G$50+Q32*'Geometry'!$F$50),S_1_fy),-S_1_fy))-(IF((O32+P32*'Geometry'!$G$50+Q32*'Geometry'!$F$50)&gt;0,IF((O32+P32*'Geometry'!$G$50+Q32*'Geometry'!$F$50)&lt;=C_eco,C_alpha*C_fck*(1-(1-(O32+P32*'Geometry'!$G$50+Q32*'Geometry'!$F$50)/C_eco)^C_n),C_alpha*C_fck),0)))*'Geometry'!$H$50+((MAX(MIN(S_1_Es*(O32+P32*'Geometry'!$G$51+Q32*'Geometry'!$F$51),S_1_fy),-S_1_fy))-(IF((O32+P32*'Geometry'!$G$51+Q32*'Geometry'!$F$51)&gt;0,IF((O32+P32*'Geometry'!$G$51+Q32*'Geometry'!$F$51)&lt;=C_eco,C_alpha*C_fck*(1-(1-(O32+P32*'Geometry'!$G$51+Q32*'Geometry'!$F$51)/C_eco)^C_n),C_alpha*C_fck),0)))*'Geometry'!$H$51+((MAX(MIN(S_1_Es*(O32+P32*'Geometry'!$G$52+Q32*'Geometry'!$F$52),S_1_fy),-S_1_fy))-(IF((O32+P32*'Geometry'!$G$52+Q32*'Geometry'!$F$52)&gt;0,IF((O32+P32*'Geometry'!$G$52+Q32*'Geometry'!$F$52)&lt;=C_eco,C_alpha*C_fck*(1-(1-(O32+P32*'Geometry'!$G$52+Q32*'Geometry'!$F$52)/C_eco)^C_n),C_alpha*C_fck),0)))*'Geometry'!$H$52+((MAX(MIN(S_1_Es*(O32+P32*'Geometry'!$G$53+Q32*'Geometry'!$F$53),S_1_fy),-S_1_fy))-(IF((O32+P32*'Geometry'!$G$53+Q32*'Geometry'!$F$53)&gt;0,IF((O32+P32*'Geometry'!$G$53+Q32*'Geometry'!$F$53)&lt;=C_eco,C_alpha*C_fck*(1-(1-(O32+P32*'Geometry'!$G$53+Q32*'Geometry'!$F$53)/C_eco)^C_n),C_alpha*C_fck),0)))*'Geometry'!$H$53+((MAX(MIN(S_1_Es*(O32+P32*'Geometry'!$G$54+Q32*'Geometry'!$F$54),S_1_fy),-S_1_fy))-(IF((O32+P32*'Geometry'!$G$54+Q32*'Geometry'!$F$54)&gt;0,IF((O32+P32*'Geometry'!$G$54+Q32*'Geometry'!$F$54)&lt;=C_eco,C_alpha*C_fck*(1-(1-(O32+P32*'Geometry'!$G$54+Q32*'Geometry'!$F$54)/C_eco)^C_n),C_alpha*C_fck),0)))*'Geometry'!$H$54+((MAX(MIN(S_1_Es*(O32+P32*'Geometry'!$G$55+Q32*'Geometry'!$F$55),S_1_fy),-S_1_fy))-(IF((O32+P32*'Geometry'!$G$55+Q32*'Geometry'!$F$55)&gt;0,IF((O32+P32*'Geometry'!$G$55+Q32*'Geometry'!$F$55)&lt;=C_eco,C_alpha*C_fck*(1-(1-(O32+P32*'Geometry'!$G$55+Q32*'Geometry'!$F$55)/C_eco)^C_n),C_alpha*C_fck),0)))*'Geometry'!$H$55+((MAX(MIN(S_1_Es*(O32+P32*'Geometry'!$G$56+Q32*'Geometry'!$F$56),S_1_fy),-S_1_fy))-(IF((O32+P32*'Geometry'!$G$56+Q32*'Geometry'!$F$56)&gt;0,IF((O32+P32*'Geometry'!$G$56+Q32*'Geometry'!$F$56)&lt;=C_eco,C_alpha*C_fck*(1-(1-(O32+P32*'Geometry'!$G$56+Q32*'Geometry'!$F$56)/C_eco)^C_n),C_alpha*C_fck),0)))*'Geometry'!$H$56+((MAX(MIN(S_1_Es*(O32+P32*'Geometry'!$G$57+Q32*'Geometry'!$F$57),S_1_fy),-S_1_fy))-(IF((O32+P32*'Geometry'!$G$57+Q32*'Geometry'!$F$57)&gt;0,IF((O32+P32*'Geometry'!$G$57+Q32*'Geometry'!$F$57)&lt;=C_eco,C_alpha*C_fck*(1-(1-(O32+P32*'Geometry'!$G$57+Q32*'Geometry'!$F$57)/C_eco)^C_n),C_alpha*C_fck),0)))*'Geometry'!$H$57)/1000</f>
        <v>-3859.348548429662</v>
      </c>
      <c r="V32" s="10">
        <f>(((MAX(MIN(S_1_Es*(O32+P32*'Geometry'!$G$40+Q32*'Geometry'!$F$40),S_1_fy),-S_1_fy))-(IF((O32+P32*'Geometry'!$G$40+Q32*'Geometry'!$F$40)&gt;0,IF((O32+P32*'Geometry'!$G$40+Q32*'Geometry'!$F$40)&lt;=C_eco,C_alpha*C_fck*(1-(1-(O32+P32*'Geometry'!$G$40+Q32*'Geometry'!$F$40)/C_eco)^C_n),C_alpha*C_fck),0)))*'Geometry'!$H$40*'Geometry'!$G$40+((MAX(MIN(S_1_Es*(O32+P32*'Geometry'!$G$41+Q32*'Geometry'!$F$41),S_1_fy),-S_1_fy))-(IF((O32+P32*'Geometry'!$G$41+Q32*'Geometry'!$F$41)&gt;0,IF((O32+P32*'Geometry'!$G$41+Q32*'Geometry'!$F$41)&lt;=C_eco,C_alpha*C_fck*(1-(1-(O32+P32*'Geometry'!$G$41+Q32*'Geometry'!$F$41)/C_eco)^C_n),C_alpha*C_fck),0)))*'Geometry'!$H$41*'Geometry'!$G$41+((MAX(MIN(S_1_Es*(O32+P32*'Geometry'!$G$42+Q32*'Geometry'!$F$42),S_1_fy),-S_1_fy))-(IF((O32+P32*'Geometry'!$G$42+Q32*'Geometry'!$F$42)&gt;0,IF((O32+P32*'Geometry'!$G$42+Q32*'Geometry'!$F$42)&lt;=C_eco,C_alpha*C_fck*(1-(1-(O32+P32*'Geometry'!$G$42+Q32*'Geometry'!$F$42)/C_eco)^C_n),C_alpha*C_fck),0)))*'Geometry'!$H$42*'Geometry'!$G$42+((MAX(MIN(S_1_Es*(O32+P32*'Geometry'!$G$43+Q32*'Geometry'!$F$43),S_1_fy),-S_1_fy))-(IF((O32+P32*'Geometry'!$G$43+Q32*'Geometry'!$F$43)&gt;0,IF((O32+P32*'Geometry'!$G$43+Q32*'Geometry'!$F$43)&lt;=C_eco,C_alpha*C_fck*(1-(1-(O32+P32*'Geometry'!$G$43+Q32*'Geometry'!$F$43)/C_eco)^C_n),C_alpha*C_fck),0)))*'Geometry'!$H$43*'Geometry'!$G$43+((MAX(MIN(S_1_Es*(O32+P32*'Geometry'!$G$44+Q32*'Geometry'!$F$44),S_1_fy),-S_1_fy))-(IF((O32+P32*'Geometry'!$G$44+Q32*'Geometry'!$F$44)&gt;0,IF((O32+P32*'Geometry'!$G$44+Q32*'Geometry'!$F$44)&lt;=C_eco,C_alpha*C_fck*(1-(1-(O32+P32*'Geometry'!$G$44+Q32*'Geometry'!$F$44)/C_eco)^C_n),C_alpha*C_fck),0)))*'Geometry'!$H$44*'Geometry'!$G$44+((MAX(MIN(S_1_Es*(O32+P32*'Geometry'!$G$45+Q32*'Geometry'!$F$45),S_1_fy),-S_1_fy))-(IF((O32+P32*'Geometry'!$G$45+Q32*'Geometry'!$F$45)&gt;0,IF((O32+P32*'Geometry'!$G$45+Q32*'Geometry'!$F$45)&lt;=C_eco,C_alpha*C_fck*(1-(1-(O32+P32*'Geometry'!$G$45+Q32*'Geometry'!$F$45)/C_eco)^C_n),C_alpha*C_fck),0)))*'Geometry'!$H$45*'Geometry'!$G$45+((MAX(MIN(S_1_Es*(O32+P32*'Geometry'!$G$46+Q32*'Geometry'!$F$46),S_1_fy),-S_1_fy))-(IF((O32+P32*'Geometry'!$G$46+Q32*'Geometry'!$F$46)&gt;0,IF((O32+P32*'Geometry'!$G$46+Q32*'Geometry'!$F$46)&lt;=C_eco,C_alpha*C_fck*(1-(1-(O32+P32*'Geometry'!$G$46+Q32*'Geometry'!$F$46)/C_eco)^C_n),C_alpha*C_fck),0)))*'Geometry'!$H$46*'Geometry'!$G$46+((MAX(MIN(S_1_Es*(O32+P32*'Geometry'!$G$47+Q32*'Geometry'!$F$47),S_1_fy),-S_1_fy))-(IF((O32+P32*'Geometry'!$G$47+Q32*'Geometry'!$F$47)&gt;0,IF((O32+P32*'Geometry'!$G$47+Q32*'Geometry'!$F$47)&lt;=C_eco,C_alpha*C_fck*(1-(1-(O32+P32*'Geometry'!$G$47+Q32*'Geometry'!$F$47)/C_eco)^C_n),C_alpha*C_fck),0)))*'Geometry'!$H$47*'Geometry'!$G$47+((MAX(MIN(S_1_Es*(O32+P32*'Geometry'!$G$48+Q32*'Geometry'!$F$48),S_1_fy),-S_1_fy))-(IF((O32+P32*'Geometry'!$G$48+Q32*'Geometry'!$F$48)&gt;0,IF((O32+P32*'Geometry'!$G$48+Q32*'Geometry'!$F$48)&lt;=C_eco,C_alpha*C_fck*(1-(1-(O32+P32*'Geometry'!$G$48+Q32*'Geometry'!$F$48)/C_eco)^C_n),C_alpha*C_fck),0)))*'Geometry'!$H$48*'Geometry'!$G$48+((MAX(MIN(S_1_Es*(O32+P32*'Geometry'!$G$49+Q32*'Geometry'!$F$49),S_1_fy),-S_1_fy))-(IF((O32+P32*'Geometry'!$G$49+Q32*'Geometry'!$F$49)&gt;0,IF((O32+P32*'Geometry'!$G$49+Q32*'Geometry'!$F$49)&lt;=C_eco,C_alpha*C_fck*(1-(1-(O32+P32*'Geometry'!$G$49+Q32*'Geometry'!$F$49)/C_eco)^C_n),C_alpha*C_fck),0)))*'Geometry'!$H$49*'Geometry'!$G$49+((MAX(MIN(S_1_Es*(O32+P32*'Geometry'!$G$50+Q32*'Geometry'!$F$50),S_1_fy),-S_1_fy))-(IF((O32+P32*'Geometry'!$G$50+Q32*'Geometry'!$F$50)&gt;0,IF((O32+P32*'Geometry'!$G$50+Q32*'Geometry'!$F$50)&lt;=C_eco,C_alpha*C_fck*(1-(1-(O32+P32*'Geometry'!$G$50+Q32*'Geometry'!$F$50)/C_eco)^C_n),C_alpha*C_fck),0)))*'Geometry'!$H$50*'Geometry'!$G$50+((MAX(MIN(S_1_Es*(O32+P32*'Geometry'!$G$51+Q32*'Geometry'!$F$51),S_1_fy),-S_1_fy))-(IF((O32+P32*'Geometry'!$G$51+Q32*'Geometry'!$F$51)&gt;0,IF((O32+P32*'Geometry'!$G$51+Q32*'Geometry'!$F$51)&lt;=C_eco,C_alpha*C_fck*(1-(1-(O32+P32*'Geometry'!$G$51+Q32*'Geometry'!$F$51)/C_eco)^C_n),C_alpha*C_fck),0)))*'Geometry'!$H$51*'Geometry'!$G$51+((MAX(MIN(S_1_Es*(O32+P32*'Geometry'!$G$52+Q32*'Geometry'!$F$52),S_1_fy),-S_1_fy))-(IF((O32+P32*'Geometry'!$G$52+Q32*'Geometry'!$F$52)&gt;0,IF((O32+P32*'Geometry'!$G$52+Q32*'Geometry'!$F$52)&lt;=C_eco,C_alpha*C_fck*(1-(1-(O32+P32*'Geometry'!$G$52+Q32*'Geometry'!$F$52)/C_eco)^C_n),C_alpha*C_fck),0)))*'Geometry'!$H$52*'Geometry'!$G$52+((MAX(MIN(S_1_Es*(O32+P32*'Geometry'!$G$53+Q32*'Geometry'!$F$53),S_1_fy),-S_1_fy))-(IF((O32+P32*'Geometry'!$G$53+Q32*'Geometry'!$F$53)&gt;0,IF((O32+P32*'Geometry'!$G$53+Q32*'Geometry'!$F$53)&lt;=C_eco,C_alpha*C_fck*(1-(1-(O32+P32*'Geometry'!$G$53+Q32*'Geometry'!$F$53)/C_eco)^C_n),C_alpha*C_fck),0)))*'Geometry'!$H$53*'Geometry'!$G$53+((MAX(MIN(S_1_Es*(O32+P32*'Geometry'!$G$54+Q32*'Geometry'!$F$54),S_1_fy),-S_1_fy))-(IF((O32+P32*'Geometry'!$G$54+Q32*'Geometry'!$F$54)&gt;0,IF((O32+P32*'Geometry'!$G$54+Q32*'Geometry'!$F$54)&lt;=C_eco,C_alpha*C_fck*(1-(1-(O32+P32*'Geometry'!$G$54+Q32*'Geometry'!$F$54)/C_eco)^C_n),C_alpha*C_fck),0)))*'Geometry'!$H$54*'Geometry'!$G$54+((MAX(MIN(S_1_Es*(O32+P32*'Geometry'!$G$55+Q32*'Geometry'!$F$55),S_1_fy),-S_1_fy))-(IF((O32+P32*'Geometry'!$G$55+Q32*'Geometry'!$F$55)&gt;0,IF((O32+P32*'Geometry'!$G$55+Q32*'Geometry'!$F$55)&lt;=C_eco,C_alpha*C_fck*(1-(1-(O32+P32*'Geometry'!$G$55+Q32*'Geometry'!$F$55)/C_eco)^C_n),C_alpha*C_fck),0)))*'Geometry'!$H$55*'Geometry'!$G$55+((MAX(MIN(S_1_Es*(O32+P32*'Geometry'!$G$56+Q32*'Geometry'!$F$56),S_1_fy),-S_1_fy))-(IF((O32+P32*'Geometry'!$G$56+Q32*'Geometry'!$F$56)&gt;0,IF((O32+P32*'Geometry'!$G$56+Q32*'Geometry'!$F$56)&lt;=C_eco,C_alpha*C_fck*(1-(1-(O32+P32*'Geometry'!$G$56+Q32*'Geometry'!$F$56)/C_eco)^C_n),C_alpha*C_fck),0)))*'Geometry'!$H$56*'Geometry'!$G$56+((MAX(MIN(S_1_Es*(O32+P32*'Geometry'!$G$57+Q32*'Geometry'!$F$57),S_1_fy),-S_1_fy))-(IF((O32+P32*'Geometry'!$G$57+Q32*'Geometry'!$F$57)&gt;0,IF((O32+P32*'Geometry'!$G$57+Q32*'Geometry'!$F$57)&lt;=C_eco,C_alpha*C_fck*(1-(1-(O32+P32*'Geometry'!$G$57+Q32*'Geometry'!$F$57)/C_eco)^C_n),C_alpha*C_fck),0)))*'Geometry'!$H$57*'Geometry'!$G$57)/1000000</f>
        <v>-437.1342758718782</v>
      </c>
      <c r="W32" s="10">
        <f>(((MAX(MIN(S_1_Es*(O32+P32*'Geometry'!$G$40+Q32*'Geometry'!$F$40),S_1_fy),-S_1_fy))-(IF((O32+P32*'Geometry'!$G$40+Q32*'Geometry'!$F$40)&gt;0,IF((O32+P32*'Geometry'!$G$40+Q32*'Geometry'!$F$40)&lt;=C_eco,C_alpha*C_fck*(1-(1-(O32+P32*'Geometry'!$G$40+Q32*'Geometry'!$F$40)/C_eco)^C_n),C_alpha*C_fck),0)))*'Geometry'!$H$40*'Geometry'!$F$40+((MAX(MIN(S_1_Es*(O32+P32*'Geometry'!$G$41+Q32*'Geometry'!$F$41),S_1_fy),-S_1_fy))-(IF((O32+P32*'Geometry'!$G$41+Q32*'Geometry'!$F$41)&gt;0,IF((O32+P32*'Geometry'!$G$41+Q32*'Geometry'!$F$41)&lt;=C_eco,C_alpha*C_fck*(1-(1-(O32+P32*'Geometry'!$G$41+Q32*'Geometry'!$F$41)/C_eco)^C_n),C_alpha*C_fck),0)))*'Geometry'!$H$41*'Geometry'!$F$41+((MAX(MIN(S_1_Es*(O32+P32*'Geometry'!$G$42+Q32*'Geometry'!$F$42),S_1_fy),-S_1_fy))-(IF((O32+P32*'Geometry'!$G$42+Q32*'Geometry'!$F$42)&gt;0,IF((O32+P32*'Geometry'!$G$42+Q32*'Geometry'!$F$42)&lt;=C_eco,C_alpha*C_fck*(1-(1-(O32+P32*'Geometry'!$G$42+Q32*'Geometry'!$F$42)/C_eco)^C_n),C_alpha*C_fck),0)))*'Geometry'!$H$42*'Geometry'!$F$42+((MAX(MIN(S_1_Es*(O32+P32*'Geometry'!$G$43+Q32*'Geometry'!$F$43),S_1_fy),-S_1_fy))-(IF((O32+P32*'Geometry'!$G$43+Q32*'Geometry'!$F$43)&gt;0,IF((O32+P32*'Geometry'!$G$43+Q32*'Geometry'!$F$43)&lt;=C_eco,C_alpha*C_fck*(1-(1-(O32+P32*'Geometry'!$G$43+Q32*'Geometry'!$F$43)/C_eco)^C_n),C_alpha*C_fck),0)))*'Geometry'!$H$43*'Geometry'!$F$43+((MAX(MIN(S_1_Es*(O32+P32*'Geometry'!$G$44+Q32*'Geometry'!$F$44),S_1_fy),-S_1_fy))-(IF((O32+P32*'Geometry'!$G$44+Q32*'Geometry'!$F$44)&gt;0,IF((O32+P32*'Geometry'!$G$44+Q32*'Geometry'!$F$44)&lt;=C_eco,C_alpha*C_fck*(1-(1-(O32+P32*'Geometry'!$G$44+Q32*'Geometry'!$F$44)/C_eco)^C_n),C_alpha*C_fck),0)))*'Geometry'!$H$44*'Geometry'!$F$44+((MAX(MIN(S_1_Es*(O32+P32*'Geometry'!$G$45+Q32*'Geometry'!$F$45),S_1_fy),-S_1_fy))-(IF((O32+P32*'Geometry'!$G$45+Q32*'Geometry'!$F$45)&gt;0,IF((O32+P32*'Geometry'!$G$45+Q32*'Geometry'!$F$45)&lt;=C_eco,C_alpha*C_fck*(1-(1-(O32+P32*'Geometry'!$G$45+Q32*'Geometry'!$F$45)/C_eco)^C_n),C_alpha*C_fck),0)))*'Geometry'!$H$45*'Geometry'!$F$45+((MAX(MIN(S_1_Es*(O32+P32*'Geometry'!$G$46+Q32*'Geometry'!$F$46),S_1_fy),-S_1_fy))-(IF((O32+P32*'Geometry'!$G$46+Q32*'Geometry'!$F$46)&gt;0,IF((O32+P32*'Geometry'!$G$46+Q32*'Geometry'!$F$46)&lt;=C_eco,C_alpha*C_fck*(1-(1-(O32+P32*'Geometry'!$G$46+Q32*'Geometry'!$F$46)/C_eco)^C_n),C_alpha*C_fck),0)))*'Geometry'!$H$46*'Geometry'!$F$46+((MAX(MIN(S_1_Es*(O32+P32*'Geometry'!$G$47+Q32*'Geometry'!$F$47),S_1_fy),-S_1_fy))-(IF((O32+P32*'Geometry'!$G$47+Q32*'Geometry'!$F$47)&gt;0,IF((O32+P32*'Geometry'!$G$47+Q32*'Geometry'!$F$47)&lt;=C_eco,C_alpha*C_fck*(1-(1-(O32+P32*'Geometry'!$G$47+Q32*'Geometry'!$F$47)/C_eco)^C_n),C_alpha*C_fck),0)))*'Geometry'!$H$47*'Geometry'!$F$47+((MAX(MIN(S_1_Es*(O32+P32*'Geometry'!$G$48+Q32*'Geometry'!$F$48),S_1_fy),-S_1_fy))-(IF((O32+P32*'Geometry'!$G$48+Q32*'Geometry'!$F$48)&gt;0,IF((O32+P32*'Geometry'!$G$48+Q32*'Geometry'!$F$48)&lt;=C_eco,C_alpha*C_fck*(1-(1-(O32+P32*'Geometry'!$G$48+Q32*'Geometry'!$F$48)/C_eco)^C_n),C_alpha*C_fck),0)))*'Geometry'!$H$48*'Geometry'!$F$48+((MAX(MIN(S_1_Es*(O32+P32*'Geometry'!$G$49+Q32*'Geometry'!$F$49),S_1_fy),-S_1_fy))-(IF((O32+P32*'Geometry'!$G$49+Q32*'Geometry'!$F$49)&gt;0,IF((O32+P32*'Geometry'!$G$49+Q32*'Geometry'!$F$49)&lt;=C_eco,C_alpha*C_fck*(1-(1-(O32+P32*'Geometry'!$G$49+Q32*'Geometry'!$F$49)/C_eco)^C_n),C_alpha*C_fck),0)))*'Geometry'!$H$49*'Geometry'!$F$49+((MAX(MIN(S_1_Es*(O32+P32*'Geometry'!$G$50+Q32*'Geometry'!$F$50),S_1_fy),-S_1_fy))-(IF((O32+P32*'Geometry'!$G$50+Q32*'Geometry'!$F$50)&gt;0,IF((O32+P32*'Geometry'!$G$50+Q32*'Geometry'!$F$50)&lt;=C_eco,C_alpha*C_fck*(1-(1-(O32+P32*'Geometry'!$G$50+Q32*'Geometry'!$F$50)/C_eco)^C_n),C_alpha*C_fck),0)))*'Geometry'!$H$50*'Geometry'!$F$50+((MAX(MIN(S_1_Es*(O32+P32*'Geometry'!$G$51+Q32*'Geometry'!$F$51),S_1_fy),-S_1_fy))-(IF((O32+P32*'Geometry'!$G$51+Q32*'Geometry'!$F$51)&gt;0,IF((O32+P32*'Geometry'!$G$51+Q32*'Geometry'!$F$51)&lt;=C_eco,C_alpha*C_fck*(1-(1-(O32+P32*'Geometry'!$G$51+Q32*'Geometry'!$F$51)/C_eco)^C_n),C_alpha*C_fck),0)))*'Geometry'!$H$51*'Geometry'!$F$51+((MAX(MIN(S_1_Es*(O32+P32*'Geometry'!$G$52+Q32*'Geometry'!$F$52),S_1_fy),-S_1_fy))-(IF((O32+P32*'Geometry'!$G$52+Q32*'Geometry'!$F$52)&gt;0,IF((O32+P32*'Geometry'!$G$52+Q32*'Geometry'!$F$52)&lt;=C_eco,C_alpha*C_fck*(1-(1-(O32+P32*'Geometry'!$G$52+Q32*'Geometry'!$F$52)/C_eco)^C_n),C_alpha*C_fck),0)))*'Geometry'!$H$52*'Geometry'!$F$52+((MAX(MIN(S_1_Es*(O32+P32*'Geometry'!$G$53+Q32*'Geometry'!$F$53),S_1_fy),-S_1_fy))-(IF((O32+P32*'Geometry'!$G$53+Q32*'Geometry'!$F$53)&gt;0,IF((O32+P32*'Geometry'!$G$53+Q32*'Geometry'!$F$53)&lt;=C_eco,C_alpha*C_fck*(1-(1-(O32+P32*'Geometry'!$G$53+Q32*'Geometry'!$F$53)/C_eco)^C_n),C_alpha*C_fck),0)))*'Geometry'!$H$53*'Geometry'!$F$53+((MAX(MIN(S_1_Es*(O32+P32*'Geometry'!$G$54+Q32*'Geometry'!$F$54),S_1_fy),-S_1_fy))-(IF((O32+P32*'Geometry'!$G$54+Q32*'Geometry'!$F$54)&gt;0,IF((O32+P32*'Geometry'!$G$54+Q32*'Geometry'!$F$54)&lt;=C_eco,C_alpha*C_fck*(1-(1-(O32+P32*'Geometry'!$G$54+Q32*'Geometry'!$F$54)/C_eco)^C_n),C_alpha*C_fck),0)))*'Geometry'!$H$54*'Geometry'!$F$54+((MAX(MIN(S_1_Es*(O32+P32*'Geometry'!$G$55+Q32*'Geometry'!$F$55),S_1_fy),-S_1_fy))-(IF((O32+P32*'Geometry'!$G$55+Q32*'Geometry'!$F$55)&gt;0,IF((O32+P32*'Geometry'!$G$55+Q32*'Geometry'!$F$55)&lt;=C_eco,C_alpha*C_fck*(1-(1-(O32+P32*'Geometry'!$G$55+Q32*'Geometry'!$F$55)/C_eco)^C_n),C_alpha*C_fck),0)))*'Geometry'!$H$55*'Geometry'!$F$55+((MAX(MIN(S_1_Es*(O32+P32*'Geometry'!$G$56+Q32*'Geometry'!$F$56),S_1_fy),-S_1_fy))-(IF((O32+P32*'Geometry'!$G$56+Q32*'Geometry'!$F$56)&gt;0,IF((O32+P32*'Geometry'!$G$56+Q32*'Geometry'!$F$56)&lt;=C_eco,C_alpha*C_fck*(1-(1-(O32+P32*'Geometry'!$G$56+Q32*'Geometry'!$F$56)/C_eco)^C_n),C_alpha*C_fck),0)))*'Geometry'!$H$56*'Geometry'!$F$56+((MAX(MIN(S_1_Es*(O32+P32*'Geometry'!$G$57+Q32*'Geometry'!$F$57),S_1_fy),-S_1_fy))-(IF((O32+P32*'Geometry'!$G$57+Q32*'Geometry'!$F$57)&gt;0,IF((O32+P32*'Geometry'!$G$57+Q32*'Geometry'!$F$57)&lt;=C_eco,C_alpha*C_fck*(1-(1-(O32+P32*'Geometry'!$G$57+Q32*'Geometry'!$F$57)/C_eco)^C_n),C_alpha*C_fck),0)))*'Geometry'!$H$57*'Geometry'!$F$57)/1000000</f>
        <v>-1157.5046224785335</v>
      </c>
      <c r="X32" s="10">
        <f>R32+U32</f>
        <v>-1195.164364525455</v>
      </c>
      <c r="Y32" s="10">
        <f>S32+V32</f>
        <v>-1357.3254057441993</v>
      </c>
      <c r="Z32" s="10">
        <f>T32+W32</f>
        <v>-2782.301149590008</v>
      </c>
      <c r="AA32" s="7">
        <v>0.85</v>
      </c>
      <c r="AB32" s="7">
        <v>0.85</v>
      </c>
      <c r="AC32" s="10">
        <f>X32*AA32</f>
        <v>-1015.8897098466367</v>
      </c>
      <c r="AD32" s="10">
        <f>Y32*AB32</f>
        <v>-1153.7265948825693</v>
      </c>
      <c r="AE32" s="10">
        <f>Z32*AB32</f>
        <v>-2364.955977151507</v>
      </c>
      <c r="AF32" s="7">
        <v>-1015.8897098466367</v>
      </c>
      <c r="AG32" s="7">
        <v>-1153.7265948825693</v>
      </c>
      <c r="AH32" s="7">
        <v>-2364.955977151507</v>
      </c>
      <c r="AI32" s="15">
        <f>AC32-AF32</f>
        <v>0</v>
      </c>
      <c r="AJ32" s="15">
        <f>SQRT((AD32-AG32)^2+(AE32-AH32)^2)</f>
        <v>0</v>
      </c>
      <c r="AK32" s="7" t="s">
        <v>189</v>
      </c>
      <c r="AL32" s="7">
        <v>-1195.164364525455</v>
      </c>
      <c r="AM32" s="7">
        <v>-1357.3254057441993</v>
      </c>
      <c r="AN32" s="7">
        <v>-2782.301149590008</v>
      </c>
      <c r="AO32" s="7">
        <v>2664.1841839042067</v>
      </c>
      <c r="AP32" s="7">
        <v>-920.191129872321</v>
      </c>
      <c r="AQ32" s="7">
        <v>-1624.7965271114747</v>
      </c>
      <c r="AR32" s="7">
        <v>-3859.348548429662</v>
      </c>
      <c r="AS32" s="7">
        <v>-437.1342758718782</v>
      </c>
      <c r="AT32" s="7">
        <v>-1157.5046224785335</v>
      </c>
    </row>
    <row r="33" spans="1:46" x14ac:dyDescent="0.25">
      <c r="A33" s="7" t="s">
        <v>240</v>
      </c>
      <c r="B33" s="7">
        <v>1</v>
      </c>
      <c r="C33" s="18">
        <v>250</v>
      </c>
      <c r="D33" s="7" t="s">
        <v>241</v>
      </c>
      <c r="E33" s="7" t="s">
        <v>192</v>
      </c>
      <c r="F33" s="19">
        <v>250</v>
      </c>
      <c r="G33" s="7" t="s">
        <v>188</v>
      </c>
      <c r="H33" s="20">
        <v>7.500000000000001</v>
      </c>
      <c r="I33" s="10">
        <f>MAX(('Geometry'!$G$13*COS(RADIANS(F33))+'Geometry'!$F$13*SIN(RADIANS(F33))),('Geometry'!$G$14*COS(RADIANS(F33))+'Geometry'!$F$14*SIN(RADIANS(F33))),('Geometry'!$G$15*COS(RADIANS(F33))+'Geometry'!$F$15*SIN(RADIANS(F33))),('Geometry'!$G$16*COS(RADIANS(F33))+'Geometry'!$F$16*SIN(RADIANS(F33))),('Geometry'!$G$17*COS(RADIANS(F33))+'Geometry'!$F$17*SIN(RADIANS(F33))),('Geometry'!$G$18*COS(RADIANS(F33))+'Geometry'!$F$18*SIN(RADIANS(F33))),('Geometry'!$G$19*COS(RADIANS(F33))+'Geometry'!$F$19*SIN(RADIANS(F33))),('Geometry'!$G$20*COS(RADIANS(F33))+'Geometry'!$F$20*SIN(RADIANS(F33))))</f>
        <v>841.5775229196989</v>
      </c>
      <c r="J33" s="10">
        <f>MIN(('Geometry'!$G$40*COS(RADIANS(F33))+'Geometry'!$F$40*SIN(RADIANS(F33))),('Geometry'!$G$41*COS(RADIANS(F33))+'Geometry'!$F$41*SIN(RADIANS(F33))),('Geometry'!$G$42*COS(RADIANS(F33))+'Geometry'!$F$42*SIN(RADIANS(F33))),('Geometry'!$G$43*COS(RADIANS(F33))+'Geometry'!$F$43*SIN(RADIANS(F33))),('Geometry'!$G$44*COS(RADIANS(F33))+'Geometry'!$F$44*SIN(RADIANS(F33))),('Geometry'!$G$45*COS(RADIANS(F33))+'Geometry'!$F$45*SIN(RADIANS(F33))),('Geometry'!$G$46*COS(RADIANS(F33))+'Geometry'!$F$46*SIN(RADIANS(F33))),('Geometry'!$G$47*COS(RADIANS(F33))+'Geometry'!$F$47*SIN(RADIANS(F33))),('Geometry'!$G$48*COS(RADIANS(F33))+'Geometry'!$F$48*SIN(RADIANS(F33))),('Geometry'!$G$49*COS(RADIANS(F33))+'Geometry'!$F$49*SIN(RADIANS(F33))),('Geometry'!$G$50*COS(RADIANS(F33))+'Geometry'!$F$50*SIN(RADIANS(F33))),('Geometry'!$G$51*COS(RADIANS(F33))+'Geometry'!$F$51*SIN(RADIANS(F33))),('Geometry'!$G$52*COS(RADIANS(F33))+'Geometry'!$F$52*SIN(RADIANS(F33))),('Geometry'!$G$53*COS(RADIANS(F33))+'Geometry'!$F$53*SIN(RADIANS(F33))),('Geometry'!$G$54*COS(RADIANS(F33))+'Geometry'!$F$54*SIN(RADIANS(F33))),('Geometry'!$G$55*COS(RADIANS(F33))+'Geometry'!$F$55*SIN(RADIANS(F33))),('Geometry'!$G$56*COS(RADIANS(F33))+'Geometry'!$F$56*SIN(RADIANS(F33))),('Geometry'!$G$57*COS(RADIANS(F33))+'Geometry'!$F$57*SIN(RADIANS(F33))))</f>
        <v>-741.5970251321183</v>
      </c>
      <c r="K33" s="10">
        <f>I33-MIN(('Geometry'!$G$13*COS(RADIANS(F33))+'Geometry'!$F$13*SIN(RADIANS(F33))),('Geometry'!$G$14*COS(RADIANS(F33))+'Geometry'!$F$14*SIN(RADIANS(F33))),('Geometry'!$G$15*COS(RADIANS(F33))+'Geometry'!$F$15*SIN(RADIANS(F33))),('Geometry'!$G$16*COS(RADIANS(F33))+'Geometry'!$F$16*SIN(RADIANS(F33))),('Geometry'!$G$17*COS(RADIANS(F33))+'Geometry'!$F$17*SIN(RADIANS(F33))),('Geometry'!$G$18*COS(RADIANS(F33))+'Geometry'!$F$18*SIN(RADIANS(F33))),('Geometry'!$G$19*COS(RADIANS(F33))+'Geometry'!$F$19*SIN(RADIANS(F33))),('Geometry'!$G$20*COS(RADIANS(F33))+'Geometry'!$F$20*SIN(RADIANS(F33))))</f>
        <v>1683.1550458393979</v>
      </c>
      <c r="L33" s="15">
        <f>C_ecu</f>
        <v>0.0033000000000000035</v>
      </c>
      <c r="M33" s="15">
        <f>-H33*S_1_fy/S_1_Es</f>
        <v>-0.015000000000000003</v>
      </c>
      <c r="N33" s="21">
        <f>IF(ABS(I33-J33)&lt;0.000000000001,0,(L33-M33)/(I33-J33))</f>
        <v>0.000011559053941663699</v>
      </c>
      <c r="O33" s="15">
        <f>L33-N33*I33</f>
        <v>-0.006427839983520515</v>
      </c>
      <c r="P33" s="21">
        <f>N33*COS(RADIANS(F33))</f>
        <v>-0.000003953429285836952</v>
      </c>
      <c r="Q33" s="21">
        <f>N33*SIN(RADIANS(F33))</f>
        <v>-0.000010861957692247647</v>
      </c>
      <c r="R33" s="10">
        <f>SUMPRODUCT(C_alpha*C_fck*(1-(1-(((O33+P33*Mesh_Y+Q33*Mesh_X))*((O33+P33*Mesh_Y+Q33*Mesh_X)&gt;0)*((O33+P33*Mesh_Y+Q33*Mesh_X)&lt;C_eco)+C_eco*((O33+P33*Mesh_Y+Q33*Mesh_X)&gt;=C_eco))/C_eco)^C_n)*(((O33+P33*Mesh_Y+Q33*Mesh_X))&gt;0),Mesh_A)/1000</f>
        <v>2979.896117562373</v>
      </c>
      <c r="S33" s="10">
        <f>SUMPRODUCT(C_alpha*C_fck*(1-(1-(((O33+P33*Mesh_Y+Q33*Mesh_X))*((O33+P33*Mesh_Y+Q33*Mesh_X)&gt;0)*((O33+P33*Mesh_Y+Q33*Mesh_X)&lt;C_eco)+C_eco*((O33+P33*Mesh_Y+Q33*Mesh_X)&gt;=C_eco))/C_eco)^C_n)*(((O33+P33*Mesh_Y+Q33*Mesh_X))&gt;0),Mesh_A,Mesh_Y)/1000000</f>
        <v>-783.3752666295769</v>
      </c>
      <c r="T33" s="10">
        <f>SUMPRODUCT(C_alpha*C_fck*(1-(1-(((O33+P33*Mesh_Y+Q33*Mesh_X))*((O33+P33*Mesh_Y+Q33*Mesh_X)&gt;0)*((O33+P33*Mesh_Y+Q33*Mesh_X)&lt;C_eco)+C_eco*((O33+P33*Mesh_Y+Q33*Mesh_X)&gt;=C_eco))/C_eco)^C_n)*(((O33+P33*Mesh_Y+Q33*Mesh_X))&gt;0),Mesh_A,Mesh_X)/1000000</f>
        <v>-1894.520038525521</v>
      </c>
      <c r="U33" s="10">
        <f>(((MAX(MIN(S_1_Es*(O33+P33*'Geometry'!$G$40+Q33*'Geometry'!$F$40),S_1_fy),-S_1_fy))-(IF((O33+P33*'Geometry'!$G$40+Q33*'Geometry'!$F$40)&gt;0,IF((O33+P33*'Geometry'!$G$40+Q33*'Geometry'!$F$40)&lt;=C_eco,C_alpha*C_fck*(1-(1-(O33+P33*'Geometry'!$G$40+Q33*'Geometry'!$F$40)/C_eco)^C_n),C_alpha*C_fck),0)))*'Geometry'!$H$40+((MAX(MIN(S_1_Es*(O33+P33*'Geometry'!$G$41+Q33*'Geometry'!$F$41),S_1_fy),-S_1_fy))-(IF((O33+P33*'Geometry'!$G$41+Q33*'Geometry'!$F$41)&gt;0,IF((O33+P33*'Geometry'!$G$41+Q33*'Geometry'!$F$41)&lt;=C_eco,C_alpha*C_fck*(1-(1-(O33+P33*'Geometry'!$G$41+Q33*'Geometry'!$F$41)/C_eco)^C_n),C_alpha*C_fck),0)))*'Geometry'!$H$41+((MAX(MIN(S_1_Es*(O33+P33*'Geometry'!$G$42+Q33*'Geometry'!$F$42),S_1_fy),-S_1_fy))-(IF((O33+P33*'Geometry'!$G$42+Q33*'Geometry'!$F$42)&gt;0,IF((O33+P33*'Geometry'!$G$42+Q33*'Geometry'!$F$42)&lt;=C_eco,C_alpha*C_fck*(1-(1-(O33+P33*'Geometry'!$G$42+Q33*'Geometry'!$F$42)/C_eco)^C_n),C_alpha*C_fck),0)))*'Geometry'!$H$42+((MAX(MIN(S_1_Es*(O33+P33*'Geometry'!$G$43+Q33*'Geometry'!$F$43),S_1_fy),-S_1_fy))-(IF((O33+P33*'Geometry'!$G$43+Q33*'Geometry'!$F$43)&gt;0,IF((O33+P33*'Geometry'!$G$43+Q33*'Geometry'!$F$43)&lt;=C_eco,C_alpha*C_fck*(1-(1-(O33+P33*'Geometry'!$G$43+Q33*'Geometry'!$F$43)/C_eco)^C_n),C_alpha*C_fck),0)))*'Geometry'!$H$43+((MAX(MIN(S_1_Es*(O33+P33*'Geometry'!$G$44+Q33*'Geometry'!$F$44),S_1_fy),-S_1_fy))-(IF((O33+P33*'Geometry'!$G$44+Q33*'Geometry'!$F$44)&gt;0,IF((O33+P33*'Geometry'!$G$44+Q33*'Geometry'!$F$44)&lt;=C_eco,C_alpha*C_fck*(1-(1-(O33+P33*'Geometry'!$G$44+Q33*'Geometry'!$F$44)/C_eco)^C_n),C_alpha*C_fck),0)))*'Geometry'!$H$44+((MAX(MIN(S_1_Es*(O33+P33*'Geometry'!$G$45+Q33*'Geometry'!$F$45),S_1_fy),-S_1_fy))-(IF((O33+P33*'Geometry'!$G$45+Q33*'Geometry'!$F$45)&gt;0,IF((O33+P33*'Geometry'!$G$45+Q33*'Geometry'!$F$45)&lt;=C_eco,C_alpha*C_fck*(1-(1-(O33+P33*'Geometry'!$G$45+Q33*'Geometry'!$F$45)/C_eco)^C_n),C_alpha*C_fck),0)))*'Geometry'!$H$45+((MAX(MIN(S_1_Es*(O33+P33*'Geometry'!$G$46+Q33*'Geometry'!$F$46),S_1_fy),-S_1_fy))-(IF((O33+P33*'Geometry'!$G$46+Q33*'Geometry'!$F$46)&gt;0,IF((O33+P33*'Geometry'!$G$46+Q33*'Geometry'!$F$46)&lt;=C_eco,C_alpha*C_fck*(1-(1-(O33+P33*'Geometry'!$G$46+Q33*'Geometry'!$F$46)/C_eco)^C_n),C_alpha*C_fck),0)))*'Geometry'!$H$46+((MAX(MIN(S_1_Es*(O33+P33*'Geometry'!$G$47+Q33*'Geometry'!$F$47),S_1_fy),-S_1_fy))-(IF((O33+P33*'Geometry'!$G$47+Q33*'Geometry'!$F$47)&gt;0,IF((O33+P33*'Geometry'!$G$47+Q33*'Geometry'!$F$47)&lt;=C_eco,C_alpha*C_fck*(1-(1-(O33+P33*'Geometry'!$G$47+Q33*'Geometry'!$F$47)/C_eco)^C_n),C_alpha*C_fck),0)))*'Geometry'!$H$47+((MAX(MIN(S_1_Es*(O33+P33*'Geometry'!$G$48+Q33*'Geometry'!$F$48),S_1_fy),-S_1_fy))-(IF((O33+P33*'Geometry'!$G$48+Q33*'Geometry'!$F$48)&gt;0,IF((O33+P33*'Geometry'!$G$48+Q33*'Geometry'!$F$48)&lt;=C_eco,C_alpha*C_fck*(1-(1-(O33+P33*'Geometry'!$G$48+Q33*'Geometry'!$F$48)/C_eco)^C_n),C_alpha*C_fck),0)))*'Geometry'!$H$48+((MAX(MIN(S_1_Es*(O33+P33*'Geometry'!$G$49+Q33*'Geometry'!$F$49),S_1_fy),-S_1_fy))-(IF((O33+P33*'Geometry'!$G$49+Q33*'Geometry'!$F$49)&gt;0,IF((O33+P33*'Geometry'!$G$49+Q33*'Geometry'!$F$49)&lt;=C_eco,C_alpha*C_fck*(1-(1-(O33+P33*'Geometry'!$G$49+Q33*'Geometry'!$F$49)/C_eco)^C_n),C_alpha*C_fck),0)))*'Geometry'!$H$49+((MAX(MIN(S_1_Es*(O33+P33*'Geometry'!$G$50+Q33*'Geometry'!$F$50),S_1_fy),-S_1_fy))-(IF((O33+P33*'Geometry'!$G$50+Q33*'Geometry'!$F$50)&gt;0,IF((O33+P33*'Geometry'!$G$50+Q33*'Geometry'!$F$50)&lt;=C_eco,C_alpha*C_fck*(1-(1-(O33+P33*'Geometry'!$G$50+Q33*'Geometry'!$F$50)/C_eco)^C_n),C_alpha*C_fck),0)))*'Geometry'!$H$50+((MAX(MIN(S_1_Es*(O33+P33*'Geometry'!$G$51+Q33*'Geometry'!$F$51),S_1_fy),-S_1_fy))-(IF((O33+P33*'Geometry'!$G$51+Q33*'Geometry'!$F$51)&gt;0,IF((O33+P33*'Geometry'!$G$51+Q33*'Geometry'!$F$51)&lt;=C_eco,C_alpha*C_fck*(1-(1-(O33+P33*'Geometry'!$G$51+Q33*'Geometry'!$F$51)/C_eco)^C_n),C_alpha*C_fck),0)))*'Geometry'!$H$51+((MAX(MIN(S_1_Es*(O33+P33*'Geometry'!$G$52+Q33*'Geometry'!$F$52),S_1_fy),-S_1_fy))-(IF((O33+P33*'Geometry'!$G$52+Q33*'Geometry'!$F$52)&gt;0,IF((O33+P33*'Geometry'!$G$52+Q33*'Geometry'!$F$52)&lt;=C_eco,C_alpha*C_fck*(1-(1-(O33+P33*'Geometry'!$G$52+Q33*'Geometry'!$F$52)/C_eco)^C_n),C_alpha*C_fck),0)))*'Geometry'!$H$52+((MAX(MIN(S_1_Es*(O33+P33*'Geometry'!$G$53+Q33*'Geometry'!$F$53),S_1_fy),-S_1_fy))-(IF((O33+P33*'Geometry'!$G$53+Q33*'Geometry'!$F$53)&gt;0,IF((O33+P33*'Geometry'!$G$53+Q33*'Geometry'!$F$53)&lt;=C_eco,C_alpha*C_fck*(1-(1-(O33+P33*'Geometry'!$G$53+Q33*'Geometry'!$F$53)/C_eco)^C_n),C_alpha*C_fck),0)))*'Geometry'!$H$53+((MAX(MIN(S_1_Es*(O33+P33*'Geometry'!$G$54+Q33*'Geometry'!$F$54),S_1_fy),-S_1_fy))-(IF((O33+P33*'Geometry'!$G$54+Q33*'Geometry'!$F$54)&gt;0,IF((O33+P33*'Geometry'!$G$54+Q33*'Geometry'!$F$54)&lt;=C_eco,C_alpha*C_fck*(1-(1-(O33+P33*'Geometry'!$G$54+Q33*'Geometry'!$F$54)/C_eco)^C_n),C_alpha*C_fck),0)))*'Geometry'!$H$54+((MAX(MIN(S_1_Es*(O33+P33*'Geometry'!$G$55+Q33*'Geometry'!$F$55),S_1_fy),-S_1_fy))-(IF((O33+P33*'Geometry'!$G$55+Q33*'Geometry'!$F$55)&gt;0,IF((O33+P33*'Geometry'!$G$55+Q33*'Geometry'!$F$55)&lt;=C_eco,C_alpha*C_fck*(1-(1-(O33+P33*'Geometry'!$G$55+Q33*'Geometry'!$F$55)/C_eco)^C_n),C_alpha*C_fck),0)))*'Geometry'!$H$55+((MAX(MIN(S_1_Es*(O33+P33*'Geometry'!$G$56+Q33*'Geometry'!$F$56),S_1_fy),-S_1_fy))-(IF((O33+P33*'Geometry'!$G$56+Q33*'Geometry'!$F$56)&gt;0,IF((O33+P33*'Geometry'!$G$56+Q33*'Geometry'!$F$56)&lt;=C_eco,C_alpha*C_fck*(1-(1-(O33+P33*'Geometry'!$G$56+Q33*'Geometry'!$F$56)/C_eco)^C_n),C_alpha*C_fck),0)))*'Geometry'!$H$56+((MAX(MIN(S_1_Es*(O33+P33*'Geometry'!$G$57+Q33*'Geometry'!$F$57),S_1_fy),-S_1_fy))-(IF((O33+P33*'Geometry'!$G$57+Q33*'Geometry'!$F$57)&gt;0,IF((O33+P33*'Geometry'!$G$57+Q33*'Geometry'!$F$57)&lt;=C_eco,C_alpha*C_fck*(1-(1-(O33+P33*'Geometry'!$G$57+Q33*'Geometry'!$F$57)/C_eco)^C_n),C_alpha*C_fck),0)))*'Geometry'!$H$57)/1000</f>
        <v>-3635.812564656075</v>
      </c>
      <c r="V33" s="10">
        <f>(((MAX(MIN(S_1_Es*(O33+P33*'Geometry'!$G$40+Q33*'Geometry'!$F$40),S_1_fy),-S_1_fy))-(IF((O33+P33*'Geometry'!$G$40+Q33*'Geometry'!$F$40)&gt;0,IF((O33+P33*'Geometry'!$G$40+Q33*'Geometry'!$F$40)&lt;=C_eco,C_alpha*C_fck*(1-(1-(O33+P33*'Geometry'!$G$40+Q33*'Geometry'!$F$40)/C_eco)^C_n),C_alpha*C_fck),0)))*'Geometry'!$H$40*'Geometry'!$G$40+((MAX(MIN(S_1_Es*(O33+P33*'Geometry'!$G$41+Q33*'Geometry'!$F$41),S_1_fy),-S_1_fy))-(IF((O33+P33*'Geometry'!$G$41+Q33*'Geometry'!$F$41)&gt;0,IF((O33+P33*'Geometry'!$G$41+Q33*'Geometry'!$F$41)&lt;=C_eco,C_alpha*C_fck*(1-(1-(O33+P33*'Geometry'!$G$41+Q33*'Geometry'!$F$41)/C_eco)^C_n),C_alpha*C_fck),0)))*'Geometry'!$H$41*'Geometry'!$G$41+((MAX(MIN(S_1_Es*(O33+P33*'Geometry'!$G$42+Q33*'Geometry'!$F$42),S_1_fy),-S_1_fy))-(IF((O33+P33*'Geometry'!$G$42+Q33*'Geometry'!$F$42)&gt;0,IF((O33+P33*'Geometry'!$G$42+Q33*'Geometry'!$F$42)&lt;=C_eco,C_alpha*C_fck*(1-(1-(O33+P33*'Geometry'!$G$42+Q33*'Geometry'!$F$42)/C_eco)^C_n),C_alpha*C_fck),0)))*'Geometry'!$H$42*'Geometry'!$G$42+((MAX(MIN(S_1_Es*(O33+P33*'Geometry'!$G$43+Q33*'Geometry'!$F$43),S_1_fy),-S_1_fy))-(IF((O33+P33*'Geometry'!$G$43+Q33*'Geometry'!$F$43)&gt;0,IF((O33+P33*'Geometry'!$G$43+Q33*'Geometry'!$F$43)&lt;=C_eco,C_alpha*C_fck*(1-(1-(O33+P33*'Geometry'!$G$43+Q33*'Geometry'!$F$43)/C_eco)^C_n),C_alpha*C_fck),0)))*'Geometry'!$H$43*'Geometry'!$G$43+((MAX(MIN(S_1_Es*(O33+P33*'Geometry'!$G$44+Q33*'Geometry'!$F$44),S_1_fy),-S_1_fy))-(IF((O33+P33*'Geometry'!$G$44+Q33*'Geometry'!$F$44)&gt;0,IF((O33+P33*'Geometry'!$G$44+Q33*'Geometry'!$F$44)&lt;=C_eco,C_alpha*C_fck*(1-(1-(O33+P33*'Geometry'!$G$44+Q33*'Geometry'!$F$44)/C_eco)^C_n),C_alpha*C_fck),0)))*'Geometry'!$H$44*'Geometry'!$G$44+((MAX(MIN(S_1_Es*(O33+P33*'Geometry'!$G$45+Q33*'Geometry'!$F$45),S_1_fy),-S_1_fy))-(IF((O33+P33*'Geometry'!$G$45+Q33*'Geometry'!$F$45)&gt;0,IF((O33+P33*'Geometry'!$G$45+Q33*'Geometry'!$F$45)&lt;=C_eco,C_alpha*C_fck*(1-(1-(O33+P33*'Geometry'!$G$45+Q33*'Geometry'!$F$45)/C_eco)^C_n),C_alpha*C_fck),0)))*'Geometry'!$H$45*'Geometry'!$G$45+((MAX(MIN(S_1_Es*(O33+P33*'Geometry'!$G$46+Q33*'Geometry'!$F$46),S_1_fy),-S_1_fy))-(IF((O33+P33*'Geometry'!$G$46+Q33*'Geometry'!$F$46)&gt;0,IF((O33+P33*'Geometry'!$G$46+Q33*'Geometry'!$F$46)&lt;=C_eco,C_alpha*C_fck*(1-(1-(O33+P33*'Geometry'!$G$46+Q33*'Geometry'!$F$46)/C_eco)^C_n),C_alpha*C_fck),0)))*'Geometry'!$H$46*'Geometry'!$G$46+((MAX(MIN(S_1_Es*(O33+P33*'Geometry'!$G$47+Q33*'Geometry'!$F$47),S_1_fy),-S_1_fy))-(IF((O33+P33*'Geometry'!$G$47+Q33*'Geometry'!$F$47)&gt;0,IF((O33+P33*'Geometry'!$G$47+Q33*'Geometry'!$F$47)&lt;=C_eco,C_alpha*C_fck*(1-(1-(O33+P33*'Geometry'!$G$47+Q33*'Geometry'!$F$47)/C_eco)^C_n),C_alpha*C_fck),0)))*'Geometry'!$H$47*'Geometry'!$G$47+((MAX(MIN(S_1_Es*(O33+P33*'Geometry'!$G$48+Q33*'Geometry'!$F$48),S_1_fy),-S_1_fy))-(IF((O33+P33*'Geometry'!$G$48+Q33*'Geometry'!$F$48)&gt;0,IF((O33+P33*'Geometry'!$G$48+Q33*'Geometry'!$F$48)&lt;=C_eco,C_alpha*C_fck*(1-(1-(O33+P33*'Geometry'!$G$48+Q33*'Geometry'!$F$48)/C_eco)^C_n),C_alpha*C_fck),0)))*'Geometry'!$H$48*'Geometry'!$G$48+((MAX(MIN(S_1_Es*(O33+P33*'Geometry'!$G$49+Q33*'Geometry'!$F$49),S_1_fy),-S_1_fy))-(IF((O33+P33*'Geometry'!$G$49+Q33*'Geometry'!$F$49)&gt;0,IF((O33+P33*'Geometry'!$G$49+Q33*'Geometry'!$F$49)&lt;=C_eco,C_alpha*C_fck*(1-(1-(O33+P33*'Geometry'!$G$49+Q33*'Geometry'!$F$49)/C_eco)^C_n),C_alpha*C_fck),0)))*'Geometry'!$H$49*'Geometry'!$G$49+((MAX(MIN(S_1_Es*(O33+P33*'Geometry'!$G$50+Q33*'Geometry'!$F$50),S_1_fy),-S_1_fy))-(IF((O33+P33*'Geometry'!$G$50+Q33*'Geometry'!$F$50)&gt;0,IF((O33+P33*'Geometry'!$G$50+Q33*'Geometry'!$F$50)&lt;=C_eco,C_alpha*C_fck*(1-(1-(O33+P33*'Geometry'!$G$50+Q33*'Geometry'!$F$50)/C_eco)^C_n),C_alpha*C_fck),0)))*'Geometry'!$H$50*'Geometry'!$G$50+((MAX(MIN(S_1_Es*(O33+P33*'Geometry'!$G$51+Q33*'Geometry'!$F$51),S_1_fy),-S_1_fy))-(IF((O33+P33*'Geometry'!$G$51+Q33*'Geometry'!$F$51)&gt;0,IF((O33+P33*'Geometry'!$G$51+Q33*'Geometry'!$F$51)&lt;=C_eco,C_alpha*C_fck*(1-(1-(O33+P33*'Geometry'!$G$51+Q33*'Geometry'!$F$51)/C_eco)^C_n),C_alpha*C_fck),0)))*'Geometry'!$H$51*'Geometry'!$G$51+((MAX(MIN(S_1_Es*(O33+P33*'Geometry'!$G$52+Q33*'Geometry'!$F$52),S_1_fy),-S_1_fy))-(IF((O33+P33*'Geometry'!$G$52+Q33*'Geometry'!$F$52)&gt;0,IF((O33+P33*'Geometry'!$G$52+Q33*'Geometry'!$F$52)&lt;=C_eco,C_alpha*C_fck*(1-(1-(O33+P33*'Geometry'!$G$52+Q33*'Geometry'!$F$52)/C_eco)^C_n),C_alpha*C_fck),0)))*'Geometry'!$H$52*'Geometry'!$G$52+((MAX(MIN(S_1_Es*(O33+P33*'Geometry'!$G$53+Q33*'Geometry'!$F$53),S_1_fy),-S_1_fy))-(IF((O33+P33*'Geometry'!$G$53+Q33*'Geometry'!$F$53)&gt;0,IF((O33+P33*'Geometry'!$G$53+Q33*'Geometry'!$F$53)&lt;=C_eco,C_alpha*C_fck*(1-(1-(O33+P33*'Geometry'!$G$53+Q33*'Geometry'!$F$53)/C_eco)^C_n),C_alpha*C_fck),0)))*'Geometry'!$H$53*'Geometry'!$G$53+((MAX(MIN(S_1_Es*(O33+P33*'Geometry'!$G$54+Q33*'Geometry'!$F$54),S_1_fy),-S_1_fy))-(IF((O33+P33*'Geometry'!$G$54+Q33*'Geometry'!$F$54)&gt;0,IF((O33+P33*'Geometry'!$G$54+Q33*'Geometry'!$F$54)&lt;=C_eco,C_alpha*C_fck*(1-(1-(O33+P33*'Geometry'!$G$54+Q33*'Geometry'!$F$54)/C_eco)^C_n),C_alpha*C_fck),0)))*'Geometry'!$H$54*'Geometry'!$G$54+((MAX(MIN(S_1_Es*(O33+P33*'Geometry'!$G$55+Q33*'Geometry'!$F$55),S_1_fy),-S_1_fy))-(IF((O33+P33*'Geometry'!$G$55+Q33*'Geometry'!$F$55)&gt;0,IF((O33+P33*'Geometry'!$G$55+Q33*'Geometry'!$F$55)&lt;=C_eco,C_alpha*C_fck*(1-(1-(O33+P33*'Geometry'!$G$55+Q33*'Geometry'!$F$55)/C_eco)^C_n),C_alpha*C_fck),0)))*'Geometry'!$H$55*'Geometry'!$G$55+((MAX(MIN(S_1_Es*(O33+P33*'Geometry'!$G$56+Q33*'Geometry'!$F$56),S_1_fy),-S_1_fy))-(IF((O33+P33*'Geometry'!$G$56+Q33*'Geometry'!$F$56)&gt;0,IF((O33+P33*'Geometry'!$G$56+Q33*'Geometry'!$F$56)&lt;=C_eco,C_alpha*C_fck*(1-(1-(O33+P33*'Geometry'!$G$56+Q33*'Geometry'!$F$56)/C_eco)^C_n),C_alpha*C_fck),0)))*'Geometry'!$H$56*'Geometry'!$G$56+((MAX(MIN(S_1_Es*(O33+P33*'Geometry'!$G$57+Q33*'Geometry'!$F$57),S_1_fy),-S_1_fy))-(IF((O33+P33*'Geometry'!$G$57+Q33*'Geometry'!$F$57)&gt;0,IF((O33+P33*'Geometry'!$G$57+Q33*'Geometry'!$F$57)&lt;=C_eco,C_alpha*C_fck*(1-(1-(O33+P33*'Geometry'!$G$57+Q33*'Geometry'!$F$57)/C_eco)^C_n),C_alpha*C_fck),0)))*'Geometry'!$H$57*'Geometry'!$G$57)/1000000</f>
        <v>-284.6331024035581</v>
      </c>
      <c r="W33" s="10">
        <f>(((MAX(MIN(S_1_Es*(O33+P33*'Geometry'!$G$40+Q33*'Geometry'!$F$40),S_1_fy),-S_1_fy))-(IF((O33+P33*'Geometry'!$G$40+Q33*'Geometry'!$F$40)&gt;0,IF((O33+P33*'Geometry'!$G$40+Q33*'Geometry'!$F$40)&lt;=C_eco,C_alpha*C_fck*(1-(1-(O33+P33*'Geometry'!$G$40+Q33*'Geometry'!$F$40)/C_eco)^C_n),C_alpha*C_fck),0)))*'Geometry'!$H$40*'Geometry'!$F$40+((MAX(MIN(S_1_Es*(O33+P33*'Geometry'!$G$41+Q33*'Geometry'!$F$41),S_1_fy),-S_1_fy))-(IF((O33+P33*'Geometry'!$G$41+Q33*'Geometry'!$F$41)&gt;0,IF((O33+P33*'Geometry'!$G$41+Q33*'Geometry'!$F$41)&lt;=C_eco,C_alpha*C_fck*(1-(1-(O33+P33*'Geometry'!$G$41+Q33*'Geometry'!$F$41)/C_eco)^C_n),C_alpha*C_fck),0)))*'Geometry'!$H$41*'Geometry'!$F$41+((MAX(MIN(S_1_Es*(O33+P33*'Geometry'!$G$42+Q33*'Geometry'!$F$42),S_1_fy),-S_1_fy))-(IF((O33+P33*'Geometry'!$G$42+Q33*'Geometry'!$F$42)&gt;0,IF((O33+P33*'Geometry'!$G$42+Q33*'Geometry'!$F$42)&lt;=C_eco,C_alpha*C_fck*(1-(1-(O33+P33*'Geometry'!$G$42+Q33*'Geometry'!$F$42)/C_eco)^C_n),C_alpha*C_fck),0)))*'Geometry'!$H$42*'Geometry'!$F$42+((MAX(MIN(S_1_Es*(O33+P33*'Geometry'!$G$43+Q33*'Geometry'!$F$43),S_1_fy),-S_1_fy))-(IF((O33+P33*'Geometry'!$G$43+Q33*'Geometry'!$F$43)&gt;0,IF((O33+P33*'Geometry'!$G$43+Q33*'Geometry'!$F$43)&lt;=C_eco,C_alpha*C_fck*(1-(1-(O33+P33*'Geometry'!$G$43+Q33*'Geometry'!$F$43)/C_eco)^C_n),C_alpha*C_fck),0)))*'Geometry'!$H$43*'Geometry'!$F$43+((MAX(MIN(S_1_Es*(O33+P33*'Geometry'!$G$44+Q33*'Geometry'!$F$44),S_1_fy),-S_1_fy))-(IF((O33+P33*'Geometry'!$G$44+Q33*'Geometry'!$F$44)&gt;0,IF((O33+P33*'Geometry'!$G$44+Q33*'Geometry'!$F$44)&lt;=C_eco,C_alpha*C_fck*(1-(1-(O33+P33*'Geometry'!$G$44+Q33*'Geometry'!$F$44)/C_eco)^C_n),C_alpha*C_fck),0)))*'Geometry'!$H$44*'Geometry'!$F$44+((MAX(MIN(S_1_Es*(O33+P33*'Geometry'!$G$45+Q33*'Geometry'!$F$45),S_1_fy),-S_1_fy))-(IF((O33+P33*'Geometry'!$G$45+Q33*'Geometry'!$F$45)&gt;0,IF((O33+P33*'Geometry'!$G$45+Q33*'Geometry'!$F$45)&lt;=C_eco,C_alpha*C_fck*(1-(1-(O33+P33*'Geometry'!$G$45+Q33*'Geometry'!$F$45)/C_eco)^C_n),C_alpha*C_fck),0)))*'Geometry'!$H$45*'Geometry'!$F$45+((MAX(MIN(S_1_Es*(O33+P33*'Geometry'!$G$46+Q33*'Geometry'!$F$46),S_1_fy),-S_1_fy))-(IF((O33+P33*'Geometry'!$G$46+Q33*'Geometry'!$F$46)&gt;0,IF((O33+P33*'Geometry'!$G$46+Q33*'Geometry'!$F$46)&lt;=C_eco,C_alpha*C_fck*(1-(1-(O33+P33*'Geometry'!$G$46+Q33*'Geometry'!$F$46)/C_eco)^C_n),C_alpha*C_fck),0)))*'Geometry'!$H$46*'Geometry'!$F$46+((MAX(MIN(S_1_Es*(O33+P33*'Geometry'!$G$47+Q33*'Geometry'!$F$47),S_1_fy),-S_1_fy))-(IF((O33+P33*'Geometry'!$G$47+Q33*'Geometry'!$F$47)&gt;0,IF((O33+P33*'Geometry'!$G$47+Q33*'Geometry'!$F$47)&lt;=C_eco,C_alpha*C_fck*(1-(1-(O33+P33*'Geometry'!$G$47+Q33*'Geometry'!$F$47)/C_eco)^C_n),C_alpha*C_fck),0)))*'Geometry'!$H$47*'Geometry'!$F$47+((MAX(MIN(S_1_Es*(O33+P33*'Geometry'!$G$48+Q33*'Geometry'!$F$48),S_1_fy),-S_1_fy))-(IF((O33+P33*'Geometry'!$G$48+Q33*'Geometry'!$F$48)&gt;0,IF((O33+P33*'Geometry'!$G$48+Q33*'Geometry'!$F$48)&lt;=C_eco,C_alpha*C_fck*(1-(1-(O33+P33*'Geometry'!$G$48+Q33*'Geometry'!$F$48)/C_eco)^C_n),C_alpha*C_fck),0)))*'Geometry'!$H$48*'Geometry'!$F$48+((MAX(MIN(S_1_Es*(O33+P33*'Geometry'!$G$49+Q33*'Geometry'!$F$49),S_1_fy),-S_1_fy))-(IF((O33+P33*'Geometry'!$G$49+Q33*'Geometry'!$F$49)&gt;0,IF((O33+P33*'Geometry'!$G$49+Q33*'Geometry'!$F$49)&lt;=C_eco,C_alpha*C_fck*(1-(1-(O33+P33*'Geometry'!$G$49+Q33*'Geometry'!$F$49)/C_eco)^C_n),C_alpha*C_fck),0)))*'Geometry'!$H$49*'Geometry'!$F$49+((MAX(MIN(S_1_Es*(O33+P33*'Geometry'!$G$50+Q33*'Geometry'!$F$50),S_1_fy),-S_1_fy))-(IF((O33+P33*'Geometry'!$G$50+Q33*'Geometry'!$F$50)&gt;0,IF((O33+P33*'Geometry'!$G$50+Q33*'Geometry'!$F$50)&lt;=C_eco,C_alpha*C_fck*(1-(1-(O33+P33*'Geometry'!$G$50+Q33*'Geometry'!$F$50)/C_eco)^C_n),C_alpha*C_fck),0)))*'Geometry'!$H$50*'Geometry'!$F$50+((MAX(MIN(S_1_Es*(O33+P33*'Geometry'!$G$51+Q33*'Geometry'!$F$51),S_1_fy),-S_1_fy))-(IF((O33+P33*'Geometry'!$G$51+Q33*'Geometry'!$F$51)&gt;0,IF((O33+P33*'Geometry'!$G$51+Q33*'Geometry'!$F$51)&lt;=C_eco,C_alpha*C_fck*(1-(1-(O33+P33*'Geometry'!$G$51+Q33*'Geometry'!$F$51)/C_eco)^C_n),C_alpha*C_fck),0)))*'Geometry'!$H$51*'Geometry'!$F$51+((MAX(MIN(S_1_Es*(O33+P33*'Geometry'!$G$52+Q33*'Geometry'!$F$52),S_1_fy),-S_1_fy))-(IF((O33+P33*'Geometry'!$G$52+Q33*'Geometry'!$F$52)&gt;0,IF((O33+P33*'Geometry'!$G$52+Q33*'Geometry'!$F$52)&lt;=C_eco,C_alpha*C_fck*(1-(1-(O33+P33*'Geometry'!$G$52+Q33*'Geometry'!$F$52)/C_eco)^C_n),C_alpha*C_fck),0)))*'Geometry'!$H$52*'Geometry'!$F$52+((MAX(MIN(S_1_Es*(O33+P33*'Geometry'!$G$53+Q33*'Geometry'!$F$53),S_1_fy),-S_1_fy))-(IF((O33+P33*'Geometry'!$G$53+Q33*'Geometry'!$F$53)&gt;0,IF((O33+P33*'Geometry'!$G$53+Q33*'Geometry'!$F$53)&lt;=C_eco,C_alpha*C_fck*(1-(1-(O33+P33*'Geometry'!$G$53+Q33*'Geometry'!$F$53)/C_eco)^C_n),C_alpha*C_fck),0)))*'Geometry'!$H$53*'Geometry'!$F$53+((MAX(MIN(S_1_Es*(O33+P33*'Geometry'!$G$54+Q33*'Geometry'!$F$54),S_1_fy),-S_1_fy))-(IF((O33+P33*'Geometry'!$G$54+Q33*'Geometry'!$F$54)&gt;0,IF((O33+P33*'Geometry'!$G$54+Q33*'Geometry'!$F$54)&lt;=C_eco,C_alpha*C_fck*(1-(1-(O33+P33*'Geometry'!$G$54+Q33*'Geometry'!$F$54)/C_eco)^C_n),C_alpha*C_fck),0)))*'Geometry'!$H$54*'Geometry'!$F$54+((MAX(MIN(S_1_Es*(O33+P33*'Geometry'!$G$55+Q33*'Geometry'!$F$55),S_1_fy),-S_1_fy))-(IF((O33+P33*'Geometry'!$G$55+Q33*'Geometry'!$F$55)&gt;0,IF((O33+P33*'Geometry'!$G$55+Q33*'Geometry'!$F$55)&lt;=C_eco,C_alpha*C_fck*(1-(1-(O33+P33*'Geometry'!$G$55+Q33*'Geometry'!$F$55)/C_eco)^C_n),C_alpha*C_fck),0)))*'Geometry'!$H$55*'Geometry'!$F$55+((MAX(MIN(S_1_Es*(O33+P33*'Geometry'!$G$56+Q33*'Geometry'!$F$56),S_1_fy),-S_1_fy))-(IF((O33+P33*'Geometry'!$G$56+Q33*'Geometry'!$F$56)&gt;0,IF((O33+P33*'Geometry'!$G$56+Q33*'Geometry'!$F$56)&lt;=C_eco,C_alpha*C_fck*(1-(1-(O33+P33*'Geometry'!$G$56+Q33*'Geometry'!$F$56)/C_eco)^C_n),C_alpha*C_fck),0)))*'Geometry'!$H$56*'Geometry'!$F$56+((MAX(MIN(S_1_Es*(O33+P33*'Geometry'!$G$57+Q33*'Geometry'!$F$57),S_1_fy),-S_1_fy))-(IF((O33+P33*'Geometry'!$G$57+Q33*'Geometry'!$F$57)&gt;0,IF((O33+P33*'Geometry'!$G$57+Q33*'Geometry'!$F$57)&lt;=C_eco,C_alpha*C_fck*(1-(1-(O33+P33*'Geometry'!$G$57+Q33*'Geometry'!$F$57)/C_eco)^C_n),C_alpha*C_fck),0)))*'Geometry'!$H$57*'Geometry'!$F$57)/1000000</f>
        <v>-1374.6865419294932</v>
      </c>
      <c r="X33" s="10">
        <f>R33+U33</f>
        <v>-655.9164470937019</v>
      </c>
      <c r="Y33" s="10">
        <f>S33+V33</f>
        <v>-1068.0083690331348</v>
      </c>
      <c r="Z33" s="10">
        <f>T33+W33</f>
        <v>-3269.2065804550143</v>
      </c>
      <c r="AA33" s="7">
        <v>0.8500000000000001</v>
      </c>
      <c r="AB33" s="7">
        <v>0.8499999999999999</v>
      </c>
      <c r="AC33" s="10">
        <f>X33*AA33</f>
        <v>-557.5289800296466</v>
      </c>
      <c r="AD33" s="10">
        <f>Y33*AB33</f>
        <v>-907.8071136781647</v>
      </c>
      <c r="AE33" s="10">
        <f>Z33*AB33</f>
        <v>-2778.825593386762</v>
      </c>
      <c r="AF33" s="7">
        <v>-557.5289800296466</v>
      </c>
      <c r="AG33" s="7">
        <v>-907.8071136781647</v>
      </c>
      <c r="AH33" s="7">
        <v>-2778.825593386762</v>
      </c>
      <c r="AI33" s="15">
        <f>AC33-AF33</f>
        <v>0</v>
      </c>
      <c r="AJ33" s="15">
        <f>SQRT((AD33-AG33)^2+(AE33-AH33)^2)</f>
        <v>0</v>
      </c>
      <c r="AK33" s="7" t="s">
        <v>189</v>
      </c>
      <c r="AL33" s="7">
        <v>-655.9164470937019</v>
      </c>
      <c r="AM33" s="7">
        <v>-1068.0083690331348</v>
      </c>
      <c r="AN33" s="7">
        <v>-3269.2065804550143</v>
      </c>
      <c r="AO33" s="7">
        <v>2979.896117562373</v>
      </c>
      <c r="AP33" s="7">
        <v>-783.3752666295769</v>
      </c>
      <c r="AQ33" s="7">
        <v>-1894.520038525521</v>
      </c>
      <c r="AR33" s="7">
        <v>-3635.812564656075</v>
      </c>
      <c r="AS33" s="7">
        <v>-284.6331024035581</v>
      </c>
      <c r="AT33" s="7">
        <v>-1374.6865419294932</v>
      </c>
    </row>
    <row r="34" spans="1:46" x14ac:dyDescent="0.25">
      <c r="A34" s="7" t="s">
        <v>242</v>
      </c>
      <c r="B34" s="7">
        <v>1</v>
      </c>
      <c r="C34" s="18">
        <v>260</v>
      </c>
      <c r="D34" s="7" t="s">
        <v>243</v>
      </c>
      <c r="E34" s="7" t="s">
        <v>207</v>
      </c>
      <c r="F34" s="19">
        <v>260</v>
      </c>
      <c r="G34" s="7" t="s">
        <v>188</v>
      </c>
      <c r="H34" s="20">
        <v>9.999999999999998</v>
      </c>
      <c r="I34" s="10">
        <f>MAX(('Geometry'!$G$13*COS(RADIANS(F34))+'Geometry'!$F$13*SIN(RADIANS(F34))),('Geometry'!$G$14*COS(RADIANS(F34))+'Geometry'!$F$14*SIN(RADIANS(F34))),('Geometry'!$G$15*COS(RADIANS(F34))+'Geometry'!$F$15*SIN(RADIANS(F34))),('Geometry'!$G$16*COS(RADIANS(F34))+'Geometry'!$F$16*SIN(RADIANS(F34))),('Geometry'!$G$17*COS(RADIANS(F34))+'Geometry'!$F$17*SIN(RADIANS(F34))),('Geometry'!$G$18*COS(RADIANS(F34))+'Geometry'!$F$18*SIN(RADIANS(F34))),('Geometry'!$G$19*COS(RADIANS(F34))+'Geometry'!$F$19*SIN(RADIANS(F34))),('Geometry'!$G$20*COS(RADIANS(F34))+'Geometry'!$F$20*SIN(RADIANS(F34))))</f>
        <v>808.0650858259281</v>
      </c>
      <c r="J34" s="10">
        <f>MIN(('Geometry'!$G$40*COS(RADIANS(F34))+'Geometry'!$F$40*SIN(RADIANS(F34))),('Geometry'!$G$41*COS(RADIANS(F34))+'Geometry'!$F$41*SIN(RADIANS(F34))),('Geometry'!$G$42*COS(RADIANS(F34))+'Geometry'!$F$42*SIN(RADIANS(F34))),('Geometry'!$G$43*COS(RADIANS(F34))+'Geometry'!$F$43*SIN(RADIANS(F34))),('Geometry'!$G$44*COS(RADIANS(F34))+'Geometry'!$F$44*SIN(RADIANS(F34))),('Geometry'!$G$45*COS(RADIANS(F34))+'Geometry'!$F$45*SIN(RADIANS(F34))),('Geometry'!$G$46*COS(RADIANS(F34))+'Geometry'!$F$46*SIN(RADIANS(F34))),('Geometry'!$G$47*COS(RADIANS(F34))+'Geometry'!$F$47*SIN(RADIANS(F34))),('Geometry'!$G$48*COS(RADIANS(F34))+'Geometry'!$F$48*SIN(RADIANS(F34))),('Geometry'!$G$49*COS(RADIANS(F34))+'Geometry'!$F$49*SIN(RADIANS(F34))),('Geometry'!$G$50*COS(RADIANS(F34))+'Geometry'!$F$50*SIN(RADIANS(F34))),('Geometry'!$G$51*COS(RADIANS(F34))+'Geometry'!$F$51*SIN(RADIANS(F34))),('Geometry'!$G$52*COS(RADIANS(F34))+'Geometry'!$F$52*SIN(RADIANS(F34))),('Geometry'!$G$53*COS(RADIANS(F34))+'Geometry'!$F$53*SIN(RADIANS(F34))),('Geometry'!$G$54*COS(RADIANS(F34))+'Geometry'!$F$54*SIN(RADIANS(F34))),('Geometry'!$G$55*COS(RADIANS(F34))+'Geometry'!$F$55*SIN(RADIANS(F34))),('Geometry'!$G$56*COS(RADIANS(F34))+'Geometry'!$F$56*SIN(RADIANS(F34))),('Geometry'!$G$57*COS(RADIANS(F34))+'Geometry'!$F$57*SIN(RADIANS(F34))))</f>
        <v>-721.7637253483805</v>
      </c>
      <c r="K34" s="10">
        <f>I34-MIN(('Geometry'!$G$13*COS(RADIANS(F34))+'Geometry'!$F$13*SIN(RADIANS(F34))),('Geometry'!$G$14*COS(RADIANS(F34))+'Geometry'!$F$14*SIN(RADIANS(F34))),('Geometry'!$G$15*COS(RADIANS(F34))+'Geometry'!$F$15*SIN(RADIANS(F34))),('Geometry'!$G$16*COS(RADIANS(F34))+'Geometry'!$F$16*SIN(RADIANS(F34))),('Geometry'!$G$17*COS(RADIANS(F34))+'Geometry'!$F$17*SIN(RADIANS(F34))),('Geometry'!$G$18*COS(RADIANS(F34))+'Geometry'!$F$18*SIN(RADIANS(F34))),('Geometry'!$G$19*COS(RADIANS(F34))+'Geometry'!$F$19*SIN(RADIANS(F34))),('Geometry'!$G$20*COS(RADIANS(F34))+'Geometry'!$F$20*SIN(RADIANS(F34))))</f>
        <v>1616.1301716518562</v>
      </c>
      <c r="L34" s="15">
        <f>C_ecu</f>
        <v>0.0032999999999999974</v>
      </c>
      <c r="M34" s="15">
        <f>-H34*S_1_fy/S_1_Es</f>
        <v>-0.019999999999999997</v>
      </c>
      <c r="N34" s="21">
        <f>IF(ABS(I34-J34)&lt;0.000000000001,0,(L34-M34)/(I34-J34))</f>
        <v>0.000015230462277746446</v>
      </c>
      <c r="O34" s="15">
        <f>L34-N34*I34</f>
        <v>-0.009007204807635744</v>
      </c>
      <c r="P34" s="21">
        <f>N34*COS(RADIANS(F34))</f>
        <v>-0.0000026447420195555955</v>
      </c>
      <c r="Q34" s="21">
        <f>N34*SIN(RADIANS(F34))</f>
        <v>-0.000014999077333084675</v>
      </c>
      <c r="R34" s="10">
        <f>SUMPRODUCT(C_alpha*C_fck*(1-(1-(((O34+P34*Mesh_Y+Q34*Mesh_X))*((O34+P34*Mesh_Y+Q34*Mesh_X)&gt;0)*((O34+P34*Mesh_Y+Q34*Mesh_X)&lt;C_eco)+C_eco*((O34+P34*Mesh_Y+Q34*Mesh_X)&gt;=C_eco))/C_eco)^C_n)*(((O34+P34*Mesh_Y+Q34*Mesh_X))&gt;0),Mesh_A)/1000</f>
        <v>2671.0429527304013</v>
      </c>
      <c r="S34" s="10">
        <f>SUMPRODUCT(C_alpha*C_fck*(1-(1-(((O34+P34*Mesh_Y+Q34*Mesh_X))*((O34+P34*Mesh_Y+Q34*Mesh_X)&gt;0)*((O34+P34*Mesh_Y+Q34*Mesh_X)&lt;C_eco)+C_eco*((O34+P34*Mesh_Y+Q34*Mesh_X)&gt;=C_eco))/C_eco)^C_n)*(((O34+P34*Mesh_Y+Q34*Mesh_X))&gt;0),Mesh_A,Mesh_Y)/1000000</f>
        <v>-411.43343781822557</v>
      </c>
      <c r="T34" s="10">
        <f>SUMPRODUCT(C_alpha*C_fck*(1-(1-(((O34+P34*Mesh_Y+Q34*Mesh_X))*((O34+P34*Mesh_Y+Q34*Mesh_X)&gt;0)*((O34+P34*Mesh_Y+Q34*Mesh_X)&lt;C_eco)+C_eco*((O34+P34*Mesh_Y+Q34*Mesh_X)&gt;=C_eco))/C_eco)^C_n)*(((O34+P34*Mesh_Y+Q34*Mesh_X))&gt;0),Mesh_A,Mesh_X)/1000000</f>
        <v>-1795.1331858688875</v>
      </c>
      <c r="U34" s="10">
        <f>(((MAX(MIN(S_1_Es*(O34+P34*'Geometry'!$G$40+Q34*'Geometry'!$F$40),S_1_fy),-S_1_fy))-(IF((O34+P34*'Geometry'!$G$40+Q34*'Geometry'!$F$40)&gt;0,IF((O34+P34*'Geometry'!$G$40+Q34*'Geometry'!$F$40)&lt;=C_eco,C_alpha*C_fck*(1-(1-(O34+P34*'Geometry'!$G$40+Q34*'Geometry'!$F$40)/C_eco)^C_n),C_alpha*C_fck),0)))*'Geometry'!$H$40+((MAX(MIN(S_1_Es*(O34+P34*'Geometry'!$G$41+Q34*'Geometry'!$F$41),S_1_fy),-S_1_fy))-(IF((O34+P34*'Geometry'!$G$41+Q34*'Geometry'!$F$41)&gt;0,IF((O34+P34*'Geometry'!$G$41+Q34*'Geometry'!$F$41)&lt;=C_eco,C_alpha*C_fck*(1-(1-(O34+P34*'Geometry'!$G$41+Q34*'Geometry'!$F$41)/C_eco)^C_n),C_alpha*C_fck),0)))*'Geometry'!$H$41+((MAX(MIN(S_1_Es*(O34+P34*'Geometry'!$G$42+Q34*'Geometry'!$F$42),S_1_fy),-S_1_fy))-(IF((O34+P34*'Geometry'!$G$42+Q34*'Geometry'!$F$42)&gt;0,IF((O34+P34*'Geometry'!$G$42+Q34*'Geometry'!$F$42)&lt;=C_eco,C_alpha*C_fck*(1-(1-(O34+P34*'Geometry'!$G$42+Q34*'Geometry'!$F$42)/C_eco)^C_n),C_alpha*C_fck),0)))*'Geometry'!$H$42+((MAX(MIN(S_1_Es*(O34+P34*'Geometry'!$G$43+Q34*'Geometry'!$F$43),S_1_fy),-S_1_fy))-(IF((O34+P34*'Geometry'!$G$43+Q34*'Geometry'!$F$43)&gt;0,IF((O34+P34*'Geometry'!$G$43+Q34*'Geometry'!$F$43)&lt;=C_eco,C_alpha*C_fck*(1-(1-(O34+P34*'Geometry'!$G$43+Q34*'Geometry'!$F$43)/C_eco)^C_n),C_alpha*C_fck),0)))*'Geometry'!$H$43+((MAX(MIN(S_1_Es*(O34+P34*'Geometry'!$G$44+Q34*'Geometry'!$F$44),S_1_fy),-S_1_fy))-(IF((O34+P34*'Geometry'!$G$44+Q34*'Geometry'!$F$44)&gt;0,IF((O34+P34*'Geometry'!$G$44+Q34*'Geometry'!$F$44)&lt;=C_eco,C_alpha*C_fck*(1-(1-(O34+P34*'Geometry'!$G$44+Q34*'Geometry'!$F$44)/C_eco)^C_n),C_alpha*C_fck),0)))*'Geometry'!$H$44+((MAX(MIN(S_1_Es*(O34+P34*'Geometry'!$G$45+Q34*'Geometry'!$F$45),S_1_fy),-S_1_fy))-(IF((O34+P34*'Geometry'!$G$45+Q34*'Geometry'!$F$45)&gt;0,IF((O34+P34*'Geometry'!$G$45+Q34*'Geometry'!$F$45)&lt;=C_eco,C_alpha*C_fck*(1-(1-(O34+P34*'Geometry'!$G$45+Q34*'Geometry'!$F$45)/C_eco)^C_n),C_alpha*C_fck),0)))*'Geometry'!$H$45+((MAX(MIN(S_1_Es*(O34+P34*'Geometry'!$G$46+Q34*'Geometry'!$F$46),S_1_fy),-S_1_fy))-(IF((O34+P34*'Geometry'!$G$46+Q34*'Geometry'!$F$46)&gt;0,IF((O34+P34*'Geometry'!$G$46+Q34*'Geometry'!$F$46)&lt;=C_eco,C_alpha*C_fck*(1-(1-(O34+P34*'Geometry'!$G$46+Q34*'Geometry'!$F$46)/C_eco)^C_n),C_alpha*C_fck),0)))*'Geometry'!$H$46+((MAX(MIN(S_1_Es*(O34+P34*'Geometry'!$G$47+Q34*'Geometry'!$F$47),S_1_fy),-S_1_fy))-(IF((O34+P34*'Geometry'!$G$47+Q34*'Geometry'!$F$47)&gt;0,IF((O34+P34*'Geometry'!$G$47+Q34*'Geometry'!$F$47)&lt;=C_eco,C_alpha*C_fck*(1-(1-(O34+P34*'Geometry'!$G$47+Q34*'Geometry'!$F$47)/C_eco)^C_n),C_alpha*C_fck),0)))*'Geometry'!$H$47+((MAX(MIN(S_1_Es*(O34+P34*'Geometry'!$G$48+Q34*'Geometry'!$F$48),S_1_fy),-S_1_fy))-(IF((O34+P34*'Geometry'!$G$48+Q34*'Geometry'!$F$48)&gt;0,IF((O34+P34*'Geometry'!$G$48+Q34*'Geometry'!$F$48)&lt;=C_eco,C_alpha*C_fck*(1-(1-(O34+P34*'Geometry'!$G$48+Q34*'Geometry'!$F$48)/C_eco)^C_n),C_alpha*C_fck),0)))*'Geometry'!$H$48+((MAX(MIN(S_1_Es*(O34+P34*'Geometry'!$G$49+Q34*'Geometry'!$F$49),S_1_fy),-S_1_fy))-(IF((O34+P34*'Geometry'!$G$49+Q34*'Geometry'!$F$49)&gt;0,IF((O34+P34*'Geometry'!$G$49+Q34*'Geometry'!$F$49)&lt;=C_eco,C_alpha*C_fck*(1-(1-(O34+P34*'Geometry'!$G$49+Q34*'Geometry'!$F$49)/C_eco)^C_n),C_alpha*C_fck),0)))*'Geometry'!$H$49+((MAX(MIN(S_1_Es*(O34+P34*'Geometry'!$G$50+Q34*'Geometry'!$F$50),S_1_fy),-S_1_fy))-(IF((O34+P34*'Geometry'!$G$50+Q34*'Geometry'!$F$50)&gt;0,IF((O34+P34*'Geometry'!$G$50+Q34*'Geometry'!$F$50)&lt;=C_eco,C_alpha*C_fck*(1-(1-(O34+P34*'Geometry'!$G$50+Q34*'Geometry'!$F$50)/C_eco)^C_n),C_alpha*C_fck),0)))*'Geometry'!$H$50+((MAX(MIN(S_1_Es*(O34+P34*'Geometry'!$G$51+Q34*'Geometry'!$F$51),S_1_fy),-S_1_fy))-(IF((O34+P34*'Geometry'!$G$51+Q34*'Geometry'!$F$51)&gt;0,IF((O34+P34*'Geometry'!$G$51+Q34*'Geometry'!$F$51)&lt;=C_eco,C_alpha*C_fck*(1-(1-(O34+P34*'Geometry'!$G$51+Q34*'Geometry'!$F$51)/C_eco)^C_n),C_alpha*C_fck),0)))*'Geometry'!$H$51+((MAX(MIN(S_1_Es*(O34+P34*'Geometry'!$G$52+Q34*'Geometry'!$F$52),S_1_fy),-S_1_fy))-(IF((O34+P34*'Geometry'!$G$52+Q34*'Geometry'!$F$52)&gt;0,IF((O34+P34*'Geometry'!$G$52+Q34*'Geometry'!$F$52)&lt;=C_eco,C_alpha*C_fck*(1-(1-(O34+P34*'Geometry'!$G$52+Q34*'Geometry'!$F$52)/C_eco)^C_n),C_alpha*C_fck),0)))*'Geometry'!$H$52+((MAX(MIN(S_1_Es*(O34+P34*'Geometry'!$G$53+Q34*'Geometry'!$F$53),S_1_fy),-S_1_fy))-(IF((O34+P34*'Geometry'!$G$53+Q34*'Geometry'!$F$53)&gt;0,IF((O34+P34*'Geometry'!$G$53+Q34*'Geometry'!$F$53)&lt;=C_eco,C_alpha*C_fck*(1-(1-(O34+P34*'Geometry'!$G$53+Q34*'Geometry'!$F$53)/C_eco)^C_n),C_alpha*C_fck),0)))*'Geometry'!$H$53+((MAX(MIN(S_1_Es*(O34+P34*'Geometry'!$G$54+Q34*'Geometry'!$F$54),S_1_fy),-S_1_fy))-(IF((O34+P34*'Geometry'!$G$54+Q34*'Geometry'!$F$54)&gt;0,IF((O34+P34*'Geometry'!$G$54+Q34*'Geometry'!$F$54)&lt;=C_eco,C_alpha*C_fck*(1-(1-(O34+P34*'Geometry'!$G$54+Q34*'Geometry'!$F$54)/C_eco)^C_n),C_alpha*C_fck),0)))*'Geometry'!$H$54+((MAX(MIN(S_1_Es*(O34+P34*'Geometry'!$G$55+Q34*'Geometry'!$F$55),S_1_fy),-S_1_fy))-(IF((O34+P34*'Geometry'!$G$55+Q34*'Geometry'!$F$55)&gt;0,IF((O34+P34*'Geometry'!$G$55+Q34*'Geometry'!$F$55)&lt;=C_eco,C_alpha*C_fck*(1-(1-(O34+P34*'Geometry'!$G$55+Q34*'Geometry'!$F$55)/C_eco)^C_n),C_alpha*C_fck),0)))*'Geometry'!$H$55+((MAX(MIN(S_1_Es*(O34+P34*'Geometry'!$G$56+Q34*'Geometry'!$F$56),S_1_fy),-S_1_fy))-(IF((O34+P34*'Geometry'!$G$56+Q34*'Geometry'!$F$56)&gt;0,IF((O34+P34*'Geometry'!$G$56+Q34*'Geometry'!$F$56)&lt;=C_eco,C_alpha*C_fck*(1-(1-(O34+P34*'Geometry'!$G$56+Q34*'Geometry'!$F$56)/C_eco)^C_n),C_alpha*C_fck),0)))*'Geometry'!$H$56+((MAX(MIN(S_1_Es*(O34+P34*'Geometry'!$G$57+Q34*'Geometry'!$F$57),S_1_fy),-S_1_fy))-(IF((O34+P34*'Geometry'!$G$57+Q34*'Geometry'!$F$57)&gt;0,IF((O34+P34*'Geometry'!$G$57+Q34*'Geometry'!$F$57)&lt;=C_eco,C_alpha*C_fck*(1-(1-(O34+P34*'Geometry'!$G$57+Q34*'Geometry'!$F$57)/C_eco)^C_n),C_alpha*C_fck),0)))*'Geometry'!$H$57)/1000</f>
        <v>-3734.8287622967655</v>
      </c>
      <c r="V34" s="10">
        <f>(((MAX(MIN(S_1_Es*(O34+P34*'Geometry'!$G$40+Q34*'Geometry'!$F$40),S_1_fy),-S_1_fy))-(IF((O34+P34*'Geometry'!$G$40+Q34*'Geometry'!$F$40)&gt;0,IF((O34+P34*'Geometry'!$G$40+Q34*'Geometry'!$F$40)&lt;=C_eco,C_alpha*C_fck*(1-(1-(O34+P34*'Geometry'!$G$40+Q34*'Geometry'!$F$40)/C_eco)^C_n),C_alpha*C_fck),0)))*'Geometry'!$H$40*'Geometry'!$G$40+((MAX(MIN(S_1_Es*(O34+P34*'Geometry'!$G$41+Q34*'Geometry'!$F$41),S_1_fy),-S_1_fy))-(IF((O34+P34*'Geometry'!$G$41+Q34*'Geometry'!$F$41)&gt;0,IF((O34+P34*'Geometry'!$G$41+Q34*'Geometry'!$F$41)&lt;=C_eco,C_alpha*C_fck*(1-(1-(O34+P34*'Geometry'!$G$41+Q34*'Geometry'!$F$41)/C_eco)^C_n),C_alpha*C_fck),0)))*'Geometry'!$H$41*'Geometry'!$G$41+((MAX(MIN(S_1_Es*(O34+P34*'Geometry'!$G$42+Q34*'Geometry'!$F$42),S_1_fy),-S_1_fy))-(IF((O34+P34*'Geometry'!$G$42+Q34*'Geometry'!$F$42)&gt;0,IF((O34+P34*'Geometry'!$G$42+Q34*'Geometry'!$F$42)&lt;=C_eco,C_alpha*C_fck*(1-(1-(O34+P34*'Geometry'!$G$42+Q34*'Geometry'!$F$42)/C_eco)^C_n),C_alpha*C_fck),0)))*'Geometry'!$H$42*'Geometry'!$G$42+((MAX(MIN(S_1_Es*(O34+P34*'Geometry'!$G$43+Q34*'Geometry'!$F$43),S_1_fy),-S_1_fy))-(IF((O34+P34*'Geometry'!$G$43+Q34*'Geometry'!$F$43)&gt;0,IF((O34+P34*'Geometry'!$G$43+Q34*'Geometry'!$F$43)&lt;=C_eco,C_alpha*C_fck*(1-(1-(O34+P34*'Geometry'!$G$43+Q34*'Geometry'!$F$43)/C_eco)^C_n),C_alpha*C_fck),0)))*'Geometry'!$H$43*'Geometry'!$G$43+((MAX(MIN(S_1_Es*(O34+P34*'Geometry'!$G$44+Q34*'Geometry'!$F$44),S_1_fy),-S_1_fy))-(IF((O34+P34*'Geometry'!$G$44+Q34*'Geometry'!$F$44)&gt;0,IF((O34+P34*'Geometry'!$G$44+Q34*'Geometry'!$F$44)&lt;=C_eco,C_alpha*C_fck*(1-(1-(O34+P34*'Geometry'!$G$44+Q34*'Geometry'!$F$44)/C_eco)^C_n),C_alpha*C_fck),0)))*'Geometry'!$H$44*'Geometry'!$G$44+((MAX(MIN(S_1_Es*(O34+P34*'Geometry'!$G$45+Q34*'Geometry'!$F$45),S_1_fy),-S_1_fy))-(IF((O34+P34*'Geometry'!$G$45+Q34*'Geometry'!$F$45)&gt;0,IF((O34+P34*'Geometry'!$G$45+Q34*'Geometry'!$F$45)&lt;=C_eco,C_alpha*C_fck*(1-(1-(O34+P34*'Geometry'!$G$45+Q34*'Geometry'!$F$45)/C_eco)^C_n),C_alpha*C_fck),0)))*'Geometry'!$H$45*'Geometry'!$G$45+((MAX(MIN(S_1_Es*(O34+P34*'Geometry'!$G$46+Q34*'Geometry'!$F$46),S_1_fy),-S_1_fy))-(IF((O34+P34*'Geometry'!$G$46+Q34*'Geometry'!$F$46)&gt;0,IF((O34+P34*'Geometry'!$G$46+Q34*'Geometry'!$F$46)&lt;=C_eco,C_alpha*C_fck*(1-(1-(O34+P34*'Geometry'!$G$46+Q34*'Geometry'!$F$46)/C_eco)^C_n),C_alpha*C_fck),0)))*'Geometry'!$H$46*'Geometry'!$G$46+((MAX(MIN(S_1_Es*(O34+P34*'Geometry'!$G$47+Q34*'Geometry'!$F$47),S_1_fy),-S_1_fy))-(IF((O34+P34*'Geometry'!$G$47+Q34*'Geometry'!$F$47)&gt;0,IF((O34+P34*'Geometry'!$G$47+Q34*'Geometry'!$F$47)&lt;=C_eco,C_alpha*C_fck*(1-(1-(O34+P34*'Geometry'!$G$47+Q34*'Geometry'!$F$47)/C_eco)^C_n),C_alpha*C_fck),0)))*'Geometry'!$H$47*'Geometry'!$G$47+((MAX(MIN(S_1_Es*(O34+P34*'Geometry'!$G$48+Q34*'Geometry'!$F$48),S_1_fy),-S_1_fy))-(IF((O34+P34*'Geometry'!$G$48+Q34*'Geometry'!$F$48)&gt;0,IF((O34+P34*'Geometry'!$G$48+Q34*'Geometry'!$F$48)&lt;=C_eco,C_alpha*C_fck*(1-(1-(O34+P34*'Geometry'!$G$48+Q34*'Geometry'!$F$48)/C_eco)^C_n),C_alpha*C_fck),0)))*'Geometry'!$H$48*'Geometry'!$G$48+((MAX(MIN(S_1_Es*(O34+P34*'Geometry'!$G$49+Q34*'Geometry'!$F$49),S_1_fy),-S_1_fy))-(IF((O34+P34*'Geometry'!$G$49+Q34*'Geometry'!$F$49)&gt;0,IF((O34+P34*'Geometry'!$G$49+Q34*'Geometry'!$F$49)&lt;=C_eco,C_alpha*C_fck*(1-(1-(O34+P34*'Geometry'!$G$49+Q34*'Geometry'!$F$49)/C_eco)^C_n),C_alpha*C_fck),0)))*'Geometry'!$H$49*'Geometry'!$G$49+((MAX(MIN(S_1_Es*(O34+P34*'Geometry'!$G$50+Q34*'Geometry'!$F$50),S_1_fy),-S_1_fy))-(IF((O34+P34*'Geometry'!$G$50+Q34*'Geometry'!$F$50)&gt;0,IF((O34+P34*'Geometry'!$G$50+Q34*'Geometry'!$F$50)&lt;=C_eco,C_alpha*C_fck*(1-(1-(O34+P34*'Geometry'!$G$50+Q34*'Geometry'!$F$50)/C_eco)^C_n),C_alpha*C_fck),0)))*'Geometry'!$H$50*'Geometry'!$G$50+((MAX(MIN(S_1_Es*(O34+P34*'Geometry'!$G$51+Q34*'Geometry'!$F$51),S_1_fy),-S_1_fy))-(IF((O34+P34*'Geometry'!$G$51+Q34*'Geometry'!$F$51)&gt;0,IF((O34+P34*'Geometry'!$G$51+Q34*'Geometry'!$F$51)&lt;=C_eco,C_alpha*C_fck*(1-(1-(O34+P34*'Geometry'!$G$51+Q34*'Geometry'!$F$51)/C_eco)^C_n),C_alpha*C_fck),0)))*'Geometry'!$H$51*'Geometry'!$G$51+((MAX(MIN(S_1_Es*(O34+P34*'Geometry'!$G$52+Q34*'Geometry'!$F$52),S_1_fy),-S_1_fy))-(IF((O34+P34*'Geometry'!$G$52+Q34*'Geometry'!$F$52)&gt;0,IF((O34+P34*'Geometry'!$G$52+Q34*'Geometry'!$F$52)&lt;=C_eco,C_alpha*C_fck*(1-(1-(O34+P34*'Geometry'!$G$52+Q34*'Geometry'!$F$52)/C_eco)^C_n),C_alpha*C_fck),0)))*'Geometry'!$H$52*'Geometry'!$G$52+((MAX(MIN(S_1_Es*(O34+P34*'Geometry'!$G$53+Q34*'Geometry'!$F$53),S_1_fy),-S_1_fy))-(IF((O34+P34*'Geometry'!$G$53+Q34*'Geometry'!$F$53)&gt;0,IF((O34+P34*'Geometry'!$G$53+Q34*'Geometry'!$F$53)&lt;=C_eco,C_alpha*C_fck*(1-(1-(O34+P34*'Geometry'!$G$53+Q34*'Geometry'!$F$53)/C_eco)^C_n),C_alpha*C_fck),0)))*'Geometry'!$H$53*'Geometry'!$G$53+((MAX(MIN(S_1_Es*(O34+P34*'Geometry'!$G$54+Q34*'Geometry'!$F$54),S_1_fy),-S_1_fy))-(IF((O34+P34*'Geometry'!$G$54+Q34*'Geometry'!$F$54)&gt;0,IF((O34+P34*'Geometry'!$G$54+Q34*'Geometry'!$F$54)&lt;=C_eco,C_alpha*C_fck*(1-(1-(O34+P34*'Geometry'!$G$54+Q34*'Geometry'!$F$54)/C_eco)^C_n),C_alpha*C_fck),0)))*'Geometry'!$H$54*'Geometry'!$G$54+((MAX(MIN(S_1_Es*(O34+P34*'Geometry'!$G$55+Q34*'Geometry'!$F$55),S_1_fy),-S_1_fy))-(IF((O34+P34*'Geometry'!$G$55+Q34*'Geometry'!$F$55)&gt;0,IF((O34+P34*'Geometry'!$G$55+Q34*'Geometry'!$F$55)&lt;=C_eco,C_alpha*C_fck*(1-(1-(O34+P34*'Geometry'!$G$55+Q34*'Geometry'!$F$55)/C_eco)^C_n),C_alpha*C_fck),0)))*'Geometry'!$H$55*'Geometry'!$G$55+((MAX(MIN(S_1_Es*(O34+P34*'Geometry'!$G$56+Q34*'Geometry'!$F$56),S_1_fy),-S_1_fy))-(IF((O34+P34*'Geometry'!$G$56+Q34*'Geometry'!$F$56)&gt;0,IF((O34+P34*'Geometry'!$G$56+Q34*'Geometry'!$F$56)&lt;=C_eco,C_alpha*C_fck*(1-(1-(O34+P34*'Geometry'!$G$56+Q34*'Geometry'!$F$56)/C_eco)^C_n),C_alpha*C_fck),0)))*'Geometry'!$H$56*'Geometry'!$G$56+((MAX(MIN(S_1_Es*(O34+P34*'Geometry'!$G$57+Q34*'Geometry'!$F$57),S_1_fy),-S_1_fy))-(IF((O34+P34*'Geometry'!$G$57+Q34*'Geometry'!$F$57)&gt;0,IF((O34+P34*'Geometry'!$G$57+Q34*'Geometry'!$F$57)&lt;=C_eco,C_alpha*C_fck*(1-(1-(O34+P34*'Geometry'!$G$57+Q34*'Geometry'!$F$57)/C_eco)^C_n),C_alpha*C_fck),0)))*'Geometry'!$H$57*'Geometry'!$G$57)/1000000</f>
        <v>-114.29997685711258</v>
      </c>
      <c r="W34" s="10">
        <f>(((MAX(MIN(S_1_Es*(O34+P34*'Geometry'!$G$40+Q34*'Geometry'!$F$40),S_1_fy),-S_1_fy))-(IF((O34+P34*'Geometry'!$G$40+Q34*'Geometry'!$F$40)&gt;0,IF((O34+P34*'Geometry'!$G$40+Q34*'Geometry'!$F$40)&lt;=C_eco,C_alpha*C_fck*(1-(1-(O34+P34*'Geometry'!$G$40+Q34*'Geometry'!$F$40)/C_eco)^C_n),C_alpha*C_fck),0)))*'Geometry'!$H$40*'Geometry'!$F$40+((MAX(MIN(S_1_Es*(O34+P34*'Geometry'!$G$41+Q34*'Geometry'!$F$41),S_1_fy),-S_1_fy))-(IF((O34+P34*'Geometry'!$G$41+Q34*'Geometry'!$F$41)&gt;0,IF((O34+P34*'Geometry'!$G$41+Q34*'Geometry'!$F$41)&lt;=C_eco,C_alpha*C_fck*(1-(1-(O34+P34*'Geometry'!$G$41+Q34*'Geometry'!$F$41)/C_eco)^C_n),C_alpha*C_fck),0)))*'Geometry'!$H$41*'Geometry'!$F$41+((MAX(MIN(S_1_Es*(O34+P34*'Geometry'!$G$42+Q34*'Geometry'!$F$42),S_1_fy),-S_1_fy))-(IF((O34+P34*'Geometry'!$G$42+Q34*'Geometry'!$F$42)&gt;0,IF((O34+P34*'Geometry'!$G$42+Q34*'Geometry'!$F$42)&lt;=C_eco,C_alpha*C_fck*(1-(1-(O34+P34*'Geometry'!$G$42+Q34*'Geometry'!$F$42)/C_eco)^C_n),C_alpha*C_fck),0)))*'Geometry'!$H$42*'Geometry'!$F$42+((MAX(MIN(S_1_Es*(O34+P34*'Geometry'!$G$43+Q34*'Geometry'!$F$43),S_1_fy),-S_1_fy))-(IF((O34+P34*'Geometry'!$G$43+Q34*'Geometry'!$F$43)&gt;0,IF((O34+P34*'Geometry'!$G$43+Q34*'Geometry'!$F$43)&lt;=C_eco,C_alpha*C_fck*(1-(1-(O34+P34*'Geometry'!$G$43+Q34*'Geometry'!$F$43)/C_eco)^C_n),C_alpha*C_fck),0)))*'Geometry'!$H$43*'Geometry'!$F$43+((MAX(MIN(S_1_Es*(O34+P34*'Geometry'!$G$44+Q34*'Geometry'!$F$44),S_1_fy),-S_1_fy))-(IF((O34+P34*'Geometry'!$G$44+Q34*'Geometry'!$F$44)&gt;0,IF((O34+P34*'Geometry'!$G$44+Q34*'Geometry'!$F$44)&lt;=C_eco,C_alpha*C_fck*(1-(1-(O34+P34*'Geometry'!$G$44+Q34*'Geometry'!$F$44)/C_eco)^C_n),C_alpha*C_fck),0)))*'Geometry'!$H$44*'Geometry'!$F$44+((MAX(MIN(S_1_Es*(O34+P34*'Geometry'!$G$45+Q34*'Geometry'!$F$45),S_1_fy),-S_1_fy))-(IF((O34+P34*'Geometry'!$G$45+Q34*'Geometry'!$F$45)&gt;0,IF((O34+P34*'Geometry'!$G$45+Q34*'Geometry'!$F$45)&lt;=C_eco,C_alpha*C_fck*(1-(1-(O34+P34*'Geometry'!$G$45+Q34*'Geometry'!$F$45)/C_eco)^C_n),C_alpha*C_fck),0)))*'Geometry'!$H$45*'Geometry'!$F$45+((MAX(MIN(S_1_Es*(O34+P34*'Geometry'!$G$46+Q34*'Geometry'!$F$46),S_1_fy),-S_1_fy))-(IF((O34+P34*'Geometry'!$G$46+Q34*'Geometry'!$F$46)&gt;0,IF((O34+P34*'Geometry'!$G$46+Q34*'Geometry'!$F$46)&lt;=C_eco,C_alpha*C_fck*(1-(1-(O34+P34*'Geometry'!$G$46+Q34*'Geometry'!$F$46)/C_eco)^C_n),C_alpha*C_fck),0)))*'Geometry'!$H$46*'Geometry'!$F$46+((MAX(MIN(S_1_Es*(O34+P34*'Geometry'!$G$47+Q34*'Geometry'!$F$47),S_1_fy),-S_1_fy))-(IF((O34+P34*'Geometry'!$G$47+Q34*'Geometry'!$F$47)&gt;0,IF((O34+P34*'Geometry'!$G$47+Q34*'Geometry'!$F$47)&lt;=C_eco,C_alpha*C_fck*(1-(1-(O34+P34*'Geometry'!$G$47+Q34*'Geometry'!$F$47)/C_eco)^C_n),C_alpha*C_fck),0)))*'Geometry'!$H$47*'Geometry'!$F$47+((MAX(MIN(S_1_Es*(O34+P34*'Geometry'!$G$48+Q34*'Geometry'!$F$48),S_1_fy),-S_1_fy))-(IF((O34+P34*'Geometry'!$G$48+Q34*'Geometry'!$F$48)&gt;0,IF((O34+P34*'Geometry'!$G$48+Q34*'Geometry'!$F$48)&lt;=C_eco,C_alpha*C_fck*(1-(1-(O34+P34*'Geometry'!$G$48+Q34*'Geometry'!$F$48)/C_eco)^C_n),C_alpha*C_fck),0)))*'Geometry'!$H$48*'Geometry'!$F$48+((MAX(MIN(S_1_Es*(O34+P34*'Geometry'!$G$49+Q34*'Geometry'!$F$49),S_1_fy),-S_1_fy))-(IF((O34+P34*'Geometry'!$G$49+Q34*'Geometry'!$F$49)&gt;0,IF((O34+P34*'Geometry'!$G$49+Q34*'Geometry'!$F$49)&lt;=C_eco,C_alpha*C_fck*(1-(1-(O34+P34*'Geometry'!$G$49+Q34*'Geometry'!$F$49)/C_eco)^C_n),C_alpha*C_fck),0)))*'Geometry'!$H$49*'Geometry'!$F$49+((MAX(MIN(S_1_Es*(O34+P34*'Geometry'!$G$50+Q34*'Geometry'!$F$50),S_1_fy),-S_1_fy))-(IF((O34+P34*'Geometry'!$G$50+Q34*'Geometry'!$F$50)&gt;0,IF((O34+P34*'Geometry'!$G$50+Q34*'Geometry'!$F$50)&lt;=C_eco,C_alpha*C_fck*(1-(1-(O34+P34*'Geometry'!$G$50+Q34*'Geometry'!$F$50)/C_eco)^C_n),C_alpha*C_fck),0)))*'Geometry'!$H$50*'Geometry'!$F$50+((MAX(MIN(S_1_Es*(O34+P34*'Geometry'!$G$51+Q34*'Geometry'!$F$51),S_1_fy),-S_1_fy))-(IF((O34+P34*'Geometry'!$G$51+Q34*'Geometry'!$F$51)&gt;0,IF((O34+P34*'Geometry'!$G$51+Q34*'Geometry'!$F$51)&lt;=C_eco,C_alpha*C_fck*(1-(1-(O34+P34*'Geometry'!$G$51+Q34*'Geometry'!$F$51)/C_eco)^C_n),C_alpha*C_fck),0)))*'Geometry'!$H$51*'Geometry'!$F$51+((MAX(MIN(S_1_Es*(O34+P34*'Geometry'!$G$52+Q34*'Geometry'!$F$52),S_1_fy),-S_1_fy))-(IF((O34+P34*'Geometry'!$G$52+Q34*'Geometry'!$F$52)&gt;0,IF((O34+P34*'Geometry'!$G$52+Q34*'Geometry'!$F$52)&lt;=C_eco,C_alpha*C_fck*(1-(1-(O34+P34*'Geometry'!$G$52+Q34*'Geometry'!$F$52)/C_eco)^C_n),C_alpha*C_fck),0)))*'Geometry'!$H$52*'Geometry'!$F$52+((MAX(MIN(S_1_Es*(O34+P34*'Geometry'!$G$53+Q34*'Geometry'!$F$53),S_1_fy),-S_1_fy))-(IF((O34+P34*'Geometry'!$G$53+Q34*'Geometry'!$F$53)&gt;0,IF((O34+P34*'Geometry'!$G$53+Q34*'Geometry'!$F$53)&lt;=C_eco,C_alpha*C_fck*(1-(1-(O34+P34*'Geometry'!$G$53+Q34*'Geometry'!$F$53)/C_eco)^C_n),C_alpha*C_fck),0)))*'Geometry'!$H$53*'Geometry'!$F$53+((MAX(MIN(S_1_Es*(O34+P34*'Geometry'!$G$54+Q34*'Geometry'!$F$54),S_1_fy),-S_1_fy))-(IF((O34+P34*'Geometry'!$G$54+Q34*'Geometry'!$F$54)&gt;0,IF((O34+P34*'Geometry'!$G$54+Q34*'Geometry'!$F$54)&lt;=C_eco,C_alpha*C_fck*(1-(1-(O34+P34*'Geometry'!$G$54+Q34*'Geometry'!$F$54)/C_eco)^C_n),C_alpha*C_fck),0)))*'Geometry'!$H$54*'Geometry'!$F$54+((MAX(MIN(S_1_Es*(O34+P34*'Geometry'!$G$55+Q34*'Geometry'!$F$55),S_1_fy),-S_1_fy))-(IF((O34+P34*'Geometry'!$G$55+Q34*'Geometry'!$F$55)&gt;0,IF((O34+P34*'Geometry'!$G$55+Q34*'Geometry'!$F$55)&lt;=C_eco,C_alpha*C_fck*(1-(1-(O34+P34*'Geometry'!$G$55+Q34*'Geometry'!$F$55)/C_eco)^C_n),C_alpha*C_fck),0)))*'Geometry'!$H$55*'Geometry'!$F$55+((MAX(MIN(S_1_Es*(O34+P34*'Geometry'!$G$56+Q34*'Geometry'!$F$56),S_1_fy),-S_1_fy))-(IF((O34+P34*'Geometry'!$G$56+Q34*'Geometry'!$F$56)&gt;0,IF((O34+P34*'Geometry'!$G$56+Q34*'Geometry'!$F$56)&lt;=C_eco,C_alpha*C_fck*(1-(1-(O34+P34*'Geometry'!$G$56+Q34*'Geometry'!$F$56)/C_eco)^C_n),C_alpha*C_fck),0)))*'Geometry'!$H$56*'Geometry'!$F$56+((MAX(MIN(S_1_Es*(O34+P34*'Geometry'!$G$57+Q34*'Geometry'!$F$57),S_1_fy),-S_1_fy))-(IF((O34+P34*'Geometry'!$G$57+Q34*'Geometry'!$F$57)&gt;0,IF((O34+P34*'Geometry'!$G$57+Q34*'Geometry'!$F$57)&lt;=C_eco,C_alpha*C_fck*(1-(1-(O34+P34*'Geometry'!$G$57+Q34*'Geometry'!$F$57)/C_eco)^C_n),C_alpha*C_fck),0)))*'Geometry'!$H$57*'Geometry'!$F$57)/1000000</f>
        <v>-1380.162075647345</v>
      </c>
      <c r="X34" s="10">
        <f>R34+U34</f>
        <v>-1063.7858095663642</v>
      </c>
      <c r="Y34" s="10">
        <f>S34+V34</f>
        <v>-525.7334146753382</v>
      </c>
      <c r="Z34" s="10">
        <f>T34+W34</f>
        <v>-3175.2952615162326</v>
      </c>
      <c r="AA34" s="7">
        <v>0.85</v>
      </c>
      <c r="AB34" s="7">
        <v>0.8499999999999999</v>
      </c>
      <c r="AC34" s="10">
        <f>X34*AA34</f>
        <v>-904.2179381314095</v>
      </c>
      <c r="AD34" s="10">
        <f>Y34*AB34</f>
        <v>-446.8734024740374</v>
      </c>
      <c r="AE34" s="10">
        <f>Z34*AB34</f>
        <v>-2699.0009722887976</v>
      </c>
      <c r="AF34" s="7">
        <v>-904.2179381314095</v>
      </c>
      <c r="AG34" s="7">
        <v>-446.8734024740374</v>
      </c>
      <c r="AH34" s="7">
        <v>-2699.0009722887976</v>
      </c>
      <c r="AI34" s="15">
        <f>AC34-AF34</f>
        <v>0</v>
      </c>
      <c r="AJ34" s="15">
        <f>SQRT((AD34-AG34)^2+(AE34-AH34)^2)</f>
        <v>0</v>
      </c>
      <c r="AK34" s="7" t="s">
        <v>189</v>
      </c>
      <c r="AL34" s="7">
        <v>-1063.7858095663642</v>
      </c>
      <c r="AM34" s="7">
        <v>-525.7334146753382</v>
      </c>
      <c r="AN34" s="7">
        <v>-3175.2952615162326</v>
      </c>
      <c r="AO34" s="7">
        <v>2671.0429527304013</v>
      </c>
      <c r="AP34" s="7">
        <v>-411.43343781822557</v>
      </c>
      <c r="AQ34" s="7">
        <v>-1795.1331858688875</v>
      </c>
      <c r="AR34" s="7">
        <v>-3734.8287622967655</v>
      </c>
      <c r="AS34" s="7">
        <v>-114.29997685711258</v>
      </c>
      <c r="AT34" s="7">
        <v>-1380.162075647345</v>
      </c>
    </row>
    <row r="35" spans="1:46" x14ac:dyDescent="0.25">
      <c r="A35" s="7" t="s">
        <v>244</v>
      </c>
      <c r="B35" s="7">
        <v>1</v>
      </c>
      <c r="C35" s="18">
        <v>270</v>
      </c>
      <c r="D35" s="7" t="s">
        <v>245</v>
      </c>
      <c r="E35" s="7" t="s">
        <v>187</v>
      </c>
      <c r="F35" s="19">
        <v>270</v>
      </c>
      <c r="G35" s="7" t="s">
        <v>188</v>
      </c>
      <c r="H35" s="20">
        <v>20.000000000000004</v>
      </c>
      <c r="I35" s="10">
        <f>MAX(('Geometry'!$G$13*COS(RADIANS(F35))+'Geometry'!$F$13*SIN(RADIANS(F35))),('Geometry'!$G$14*COS(RADIANS(F35))+'Geometry'!$F$14*SIN(RADIANS(F35))),('Geometry'!$G$15*COS(RADIANS(F35))+'Geometry'!$F$15*SIN(RADIANS(F35))),('Geometry'!$G$16*COS(RADIANS(F35))+'Geometry'!$F$16*SIN(RADIANS(F35))),('Geometry'!$G$17*COS(RADIANS(F35))+'Geometry'!$F$17*SIN(RADIANS(F35))),('Geometry'!$G$18*COS(RADIANS(F35))+'Geometry'!$F$18*SIN(RADIANS(F35))),('Geometry'!$G$19*COS(RADIANS(F35))+'Geometry'!$F$19*SIN(RADIANS(F35))),('Geometry'!$G$20*COS(RADIANS(F35))+'Geometry'!$F$20*SIN(RADIANS(F35))))</f>
        <v>750.0000000000001</v>
      </c>
      <c r="J35" s="10">
        <f>MIN(('Geometry'!$G$40*COS(RADIANS(F35))+'Geometry'!$F$40*SIN(RADIANS(F35))),('Geometry'!$G$41*COS(RADIANS(F35))+'Geometry'!$F$41*SIN(RADIANS(F35))),('Geometry'!$G$42*COS(RADIANS(F35))+'Geometry'!$F$42*SIN(RADIANS(F35))),('Geometry'!$G$43*COS(RADIANS(F35))+'Geometry'!$F$43*SIN(RADIANS(F35))),('Geometry'!$G$44*COS(RADIANS(F35))+'Geometry'!$F$44*SIN(RADIANS(F35))),('Geometry'!$G$45*COS(RADIANS(F35))+'Geometry'!$F$45*SIN(RADIANS(F35))),('Geometry'!$G$46*COS(RADIANS(F35))+'Geometry'!$F$46*SIN(RADIANS(F35))),('Geometry'!$G$47*COS(RADIANS(F35))+'Geometry'!$F$47*SIN(RADIANS(F35))),('Geometry'!$G$48*COS(RADIANS(F35))+'Geometry'!$F$48*SIN(RADIANS(F35))),('Geometry'!$G$49*COS(RADIANS(F35))+'Geometry'!$F$49*SIN(RADIANS(F35))),('Geometry'!$G$50*COS(RADIANS(F35))+'Geometry'!$F$50*SIN(RADIANS(F35))),('Geometry'!$G$51*COS(RADIANS(F35))+'Geometry'!$F$51*SIN(RADIANS(F35))),('Geometry'!$G$52*COS(RADIANS(F35))+'Geometry'!$F$52*SIN(RADIANS(F35))),('Geometry'!$G$53*COS(RADIANS(F35))+'Geometry'!$F$53*SIN(RADIANS(F35))),('Geometry'!$G$54*COS(RADIANS(F35))+'Geometry'!$F$54*SIN(RADIANS(F35))),('Geometry'!$G$55*COS(RADIANS(F35))+'Geometry'!$F$55*SIN(RADIANS(F35))),('Geometry'!$G$56*COS(RADIANS(F35))+'Geometry'!$F$56*SIN(RADIANS(F35))),('Geometry'!$G$57*COS(RADIANS(F35))+'Geometry'!$F$57*SIN(RADIANS(F35))))</f>
        <v>-680</v>
      </c>
      <c r="K35" s="10">
        <f>I35-MIN(('Geometry'!$G$13*COS(RADIANS(F35))+'Geometry'!$F$13*SIN(RADIANS(F35))),('Geometry'!$G$14*COS(RADIANS(F35))+'Geometry'!$F$14*SIN(RADIANS(F35))),('Geometry'!$G$15*COS(RADIANS(F35))+'Geometry'!$F$15*SIN(RADIANS(F35))),('Geometry'!$G$16*COS(RADIANS(F35))+'Geometry'!$F$16*SIN(RADIANS(F35))),('Geometry'!$G$17*COS(RADIANS(F35))+'Geometry'!$F$17*SIN(RADIANS(F35))),('Geometry'!$G$18*COS(RADIANS(F35))+'Geometry'!$F$18*SIN(RADIANS(F35))),('Geometry'!$G$19*COS(RADIANS(F35))+'Geometry'!$F$19*SIN(RADIANS(F35))),('Geometry'!$G$20*COS(RADIANS(F35))+'Geometry'!$F$20*SIN(RADIANS(F35))))</f>
        <v>1500.0000000000002</v>
      </c>
      <c r="L35" s="15">
        <f>C_ecu</f>
        <v>0.003300000000000001</v>
      </c>
      <c r="M35" s="15">
        <f>-H35*S_1_fy/S_1_Es</f>
        <v>-0.04000000000000001</v>
      </c>
      <c r="N35" s="21">
        <f>IF(ABS(I35-J35)&lt;0.000000000001,0,(L35-M35)/(I35-J35))</f>
        <v>0.00003027972027972028</v>
      </c>
      <c r="O35" s="15">
        <f>L35-N35*I35</f>
        <v>-0.019409790209790213</v>
      </c>
      <c r="P35" s="21">
        <f>N35*COS(RADIANS(F35))</f>
        <v>-5.562294377945495e-21</v>
      </c>
      <c r="Q35" s="21">
        <f>N35*SIN(RADIANS(F35))</f>
        <v>-0.00003027972027972028</v>
      </c>
      <c r="R35" s="10">
        <f>SUMPRODUCT(C_alpha*C_fck*(1-(1-(((O35+P35*Mesh_Y+Q35*Mesh_X))*((O35+P35*Mesh_Y+Q35*Mesh_X)&gt;0)*((O35+P35*Mesh_Y+Q35*Mesh_X)&lt;C_eco)+C_eco*((O35+P35*Mesh_Y+Q35*Mesh_X)&gt;=C_eco))/C_eco)^C_n)*(((O35+P35*Mesh_Y+Q35*Mesh_X))&gt;0),Mesh_A)/1000</f>
        <v>1856.8137345245061</v>
      </c>
      <c r="S35" s="10">
        <f>SUMPRODUCT(C_alpha*C_fck*(1-(1-(((O35+P35*Mesh_Y+Q35*Mesh_X))*((O35+P35*Mesh_Y+Q35*Mesh_X)&gt;0)*((O35+P35*Mesh_Y+Q35*Mesh_X)&lt;C_eco)+C_eco*((O35+P35*Mesh_Y+Q35*Mesh_X)&gt;=C_eco))/C_eco)^C_n)*(((O35+P35*Mesh_Y+Q35*Mesh_X))&gt;0),Mesh_A,Mesh_Y)/1000000</f>
        <v>4.488888920018507</v>
      </c>
      <c r="T35" s="10">
        <f>SUMPRODUCT(C_alpha*C_fck*(1-(1-(((O35+P35*Mesh_Y+Q35*Mesh_X))*((O35+P35*Mesh_Y+Q35*Mesh_X)&gt;0)*((O35+P35*Mesh_Y+Q35*Mesh_X)&lt;C_eco)+C_eco*((O35+P35*Mesh_Y+Q35*Mesh_X)&gt;=C_eco))/C_eco)^C_n)*(((O35+P35*Mesh_Y+Q35*Mesh_X))&gt;0),Mesh_A,Mesh_X)/1000000</f>
        <v>-1317.426602671924</v>
      </c>
      <c r="U35" s="10">
        <f>(((MAX(MIN(S_1_Es*(O35+P35*'Geometry'!$G$40+Q35*'Geometry'!$F$40),S_1_fy),-S_1_fy))-(IF((O35+P35*'Geometry'!$G$40+Q35*'Geometry'!$F$40)&gt;0,IF((O35+P35*'Geometry'!$G$40+Q35*'Geometry'!$F$40)&lt;=C_eco,C_alpha*C_fck*(1-(1-(O35+P35*'Geometry'!$G$40+Q35*'Geometry'!$F$40)/C_eco)^C_n),C_alpha*C_fck),0)))*'Geometry'!$H$40+((MAX(MIN(S_1_Es*(O35+P35*'Geometry'!$G$41+Q35*'Geometry'!$F$41),S_1_fy),-S_1_fy))-(IF((O35+P35*'Geometry'!$G$41+Q35*'Geometry'!$F$41)&gt;0,IF((O35+P35*'Geometry'!$G$41+Q35*'Geometry'!$F$41)&lt;=C_eco,C_alpha*C_fck*(1-(1-(O35+P35*'Geometry'!$G$41+Q35*'Geometry'!$F$41)/C_eco)^C_n),C_alpha*C_fck),0)))*'Geometry'!$H$41+((MAX(MIN(S_1_Es*(O35+P35*'Geometry'!$G$42+Q35*'Geometry'!$F$42),S_1_fy),-S_1_fy))-(IF((O35+P35*'Geometry'!$G$42+Q35*'Geometry'!$F$42)&gt;0,IF((O35+P35*'Geometry'!$G$42+Q35*'Geometry'!$F$42)&lt;=C_eco,C_alpha*C_fck*(1-(1-(O35+P35*'Geometry'!$G$42+Q35*'Geometry'!$F$42)/C_eco)^C_n),C_alpha*C_fck),0)))*'Geometry'!$H$42+((MAX(MIN(S_1_Es*(O35+P35*'Geometry'!$G$43+Q35*'Geometry'!$F$43),S_1_fy),-S_1_fy))-(IF((O35+P35*'Geometry'!$G$43+Q35*'Geometry'!$F$43)&gt;0,IF((O35+P35*'Geometry'!$G$43+Q35*'Geometry'!$F$43)&lt;=C_eco,C_alpha*C_fck*(1-(1-(O35+P35*'Geometry'!$G$43+Q35*'Geometry'!$F$43)/C_eco)^C_n),C_alpha*C_fck),0)))*'Geometry'!$H$43+((MAX(MIN(S_1_Es*(O35+P35*'Geometry'!$G$44+Q35*'Geometry'!$F$44),S_1_fy),-S_1_fy))-(IF((O35+P35*'Geometry'!$G$44+Q35*'Geometry'!$F$44)&gt;0,IF((O35+P35*'Geometry'!$G$44+Q35*'Geometry'!$F$44)&lt;=C_eco,C_alpha*C_fck*(1-(1-(O35+P35*'Geometry'!$G$44+Q35*'Geometry'!$F$44)/C_eco)^C_n),C_alpha*C_fck),0)))*'Geometry'!$H$44+((MAX(MIN(S_1_Es*(O35+P35*'Geometry'!$G$45+Q35*'Geometry'!$F$45),S_1_fy),-S_1_fy))-(IF((O35+P35*'Geometry'!$G$45+Q35*'Geometry'!$F$45)&gt;0,IF((O35+P35*'Geometry'!$G$45+Q35*'Geometry'!$F$45)&lt;=C_eco,C_alpha*C_fck*(1-(1-(O35+P35*'Geometry'!$G$45+Q35*'Geometry'!$F$45)/C_eco)^C_n),C_alpha*C_fck),0)))*'Geometry'!$H$45+((MAX(MIN(S_1_Es*(O35+P35*'Geometry'!$G$46+Q35*'Geometry'!$F$46),S_1_fy),-S_1_fy))-(IF((O35+P35*'Geometry'!$G$46+Q35*'Geometry'!$F$46)&gt;0,IF((O35+P35*'Geometry'!$G$46+Q35*'Geometry'!$F$46)&lt;=C_eco,C_alpha*C_fck*(1-(1-(O35+P35*'Geometry'!$G$46+Q35*'Geometry'!$F$46)/C_eco)^C_n),C_alpha*C_fck),0)))*'Geometry'!$H$46+((MAX(MIN(S_1_Es*(O35+P35*'Geometry'!$G$47+Q35*'Geometry'!$F$47),S_1_fy),-S_1_fy))-(IF((O35+P35*'Geometry'!$G$47+Q35*'Geometry'!$F$47)&gt;0,IF((O35+P35*'Geometry'!$G$47+Q35*'Geometry'!$F$47)&lt;=C_eco,C_alpha*C_fck*(1-(1-(O35+P35*'Geometry'!$G$47+Q35*'Geometry'!$F$47)/C_eco)^C_n),C_alpha*C_fck),0)))*'Geometry'!$H$47+((MAX(MIN(S_1_Es*(O35+P35*'Geometry'!$G$48+Q35*'Geometry'!$F$48),S_1_fy),-S_1_fy))-(IF((O35+P35*'Geometry'!$G$48+Q35*'Geometry'!$F$48)&gt;0,IF((O35+P35*'Geometry'!$G$48+Q35*'Geometry'!$F$48)&lt;=C_eco,C_alpha*C_fck*(1-(1-(O35+P35*'Geometry'!$G$48+Q35*'Geometry'!$F$48)/C_eco)^C_n),C_alpha*C_fck),0)))*'Geometry'!$H$48+((MAX(MIN(S_1_Es*(O35+P35*'Geometry'!$G$49+Q35*'Geometry'!$F$49),S_1_fy),-S_1_fy))-(IF((O35+P35*'Geometry'!$G$49+Q35*'Geometry'!$F$49)&gt;0,IF((O35+P35*'Geometry'!$G$49+Q35*'Geometry'!$F$49)&lt;=C_eco,C_alpha*C_fck*(1-(1-(O35+P35*'Geometry'!$G$49+Q35*'Geometry'!$F$49)/C_eco)^C_n),C_alpha*C_fck),0)))*'Geometry'!$H$49+((MAX(MIN(S_1_Es*(O35+P35*'Geometry'!$G$50+Q35*'Geometry'!$F$50),S_1_fy),-S_1_fy))-(IF((O35+P35*'Geometry'!$G$50+Q35*'Geometry'!$F$50)&gt;0,IF((O35+P35*'Geometry'!$G$50+Q35*'Geometry'!$F$50)&lt;=C_eco,C_alpha*C_fck*(1-(1-(O35+P35*'Geometry'!$G$50+Q35*'Geometry'!$F$50)/C_eco)^C_n),C_alpha*C_fck),0)))*'Geometry'!$H$50+((MAX(MIN(S_1_Es*(O35+P35*'Geometry'!$G$51+Q35*'Geometry'!$F$51),S_1_fy),-S_1_fy))-(IF((O35+P35*'Geometry'!$G$51+Q35*'Geometry'!$F$51)&gt;0,IF((O35+P35*'Geometry'!$G$51+Q35*'Geometry'!$F$51)&lt;=C_eco,C_alpha*C_fck*(1-(1-(O35+P35*'Geometry'!$G$51+Q35*'Geometry'!$F$51)/C_eco)^C_n),C_alpha*C_fck),0)))*'Geometry'!$H$51+((MAX(MIN(S_1_Es*(O35+P35*'Geometry'!$G$52+Q35*'Geometry'!$F$52),S_1_fy),-S_1_fy))-(IF((O35+P35*'Geometry'!$G$52+Q35*'Geometry'!$F$52)&gt;0,IF((O35+P35*'Geometry'!$G$52+Q35*'Geometry'!$F$52)&lt;=C_eco,C_alpha*C_fck*(1-(1-(O35+P35*'Geometry'!$G$52+Q35*'Geometry'!$F$52)/C_eco)^C_n),C_alpha*C_fck),0)))*'Geometry'!$H$52+((MAX(MIN(S_1_Es*(O35+P35*'Geometry'!$G$53+Q35*'Geometry'!$F$53),S_1_fy),-S_1_fy))-(IF((O35+P35*'Geometry'!$G$53+Q35*'Geometry'!$F$53)&gt;0,IF((O35+P35*'Geometry'!$G$53+Q35*'Geometry'!$F$53)&lt;=C_eco,C_alpha*C_fck*(1-(1-(O35+P35*'Geometry'!$G$53+Q35*'Geometry'!$F$53)/C_eco)^C_n),C_alpha*C_fck),0)))*'Geometry'!$H$53+((MAX(MIN(S_1_Es*(O35+P35*'Geometry'!$G$54+Q35*'Geometry'!$F$54),S_1_fy),-S_1_fy))-(IF((O35+P35*'Geometry'!$G$54+Q35*'Geometry'!$F$54)&gt;0,IF((O35+P35*'Geometry'!$G$54+Q35*'Geometry'!$F$54)&lt;=C_eco,C_alpha*C_fck*(1-(1-(O35+P35*'Geometry'!$G$54+Q35*'Geometry'!$F$54)/C_eco)^C_n),C_alpha*C_fck),0)))*'Geometry'!$H$54+((MAX(MIN(S_1_Es*(O35+P35*'Geometry'!$G$55+Q35*'Geometry'!$F$55),S_1_fy),-S_1_fy))-(IF((O35+P35*'Geometry'!$G$55+Q35*'Geometry'!$F$55)&gt;0,IF((O35+P35*'Geometry'!$G$55+Q35*'Geometry'!$F$55)&lt;=C_eco,C_alpha*C_fck*(1-(1-(O35+P35*'Geometry'!$G$55+Q35*'Geometry'!$F$55)/C_eco)^C_n),C_alpha*C_fck),0)))*'Geometry'!$H$55+((MAX(MIN(S_1_Es*(O35+P35*'Geometry'!$G$56+Q35*'Geometry'!$F$56),S_1_fy),-S_1_fy))-(IF((O35+P35*'Geometry'!$G$56+Q35*'Geometry'!$F$56)&gt;0,IF((O35+P35*'Geometry'!$G$56+Q35*'Geometry'!$F$56)&lt;=C_eco,C_alpha*C_fck*(1-(1-(O35+P35*'Geometry'!$G$56+Q35*'Geometry'!$F$56)/C_eco)^C_n),C_alpha*C_fck),0)))*'Geometry'!$H$56+((MAX(MIN(S_1_Es*(O35+P35*'Geometry'!$G$57+Q35*'Geometry'!$F$57),S_1_fy),-S_1_fy))-(IF((O35+P35*'Geometry'!$G$57+Q35*'Geometry'!$F$57)&gt;0,IF((O35+P35*'Geometry'!$G$57+Q35*'Geometry'!$F$57)&lt;=C_eco,C_alpha*C_fck*(1-(1-(O35+P35*'Geometry'!$G$57+Q35*'Geometry'!$F$57)/C_eco)^C_n),C_alpha*C_fck),0)))*'Geometry'!$H$57)/1000</f>
        <v>-3812.565007404521</v>
      </c>
      <c r="V35" s="10">
        <f>(((MAX(MIN(S_1_Es*(O35+P35*'Geometry'!$G$40+Q35*'Geometry'!$F$40),S_1_fy),-S_1_fy))-(IF((O35+P35*'Geometry'!$G$40+Q35*'Geometry'!$F$40)&gt;0,IF((O35+P35*'Geometry'!$G$40+Q35*'Geometry'!$F$40)&lt;=C_eco,C_alpha*C_fck*(1-(1-(O35+P35*'Geometry'!$G$40+Q35*'Geometry'!$F$40)/C_eco)^C_n),C_alpha*C_fck),0)))*'Geometry'!$H$40*'Geometry'!$G$40+((MAX(MIN(S_1_Es*(O35+P35*'Geometry'!$G$41+Q35*'Geometry'!$F$41),S_1_fy),-S_1_fy))-(IF((O35+P35*'Geometry'!$G$41+Q35*'Geometry'!$F$41)&gt;0,IF((O35+P35*'Geometry'!$G$41+Q35*'Geometry'!$F$41)&lt;=C_eco,C_alpha*C_fck*(1-(1-(O35+P35*'Geometry'!$G$41+Q35*'Geometry'!$F$41)/C_eco)^C_n),C_alpha*C_fck),0)))*'Geometry'!$H$41*'Geometry'!$G$41+((MAX(MIN(S_1_Es*(O35+P35*'Geometry'!$G$42+Q35*'Geometry'!$F$42),S_1_fy),-S_1_fy))-(IF((O35+P35*'Geometry'!$G$42+Q35*'Geometry'!$F$42)&gt;0,IF((O35+P35*'Geometry'!$G$42+Q35*'Geometry'!$F$42)&lt;=C_eco,C_alpha*C_fck*(1-(1-(O35+P35*'Geometry'!$G$42+Q35*'Geometry'!$F$42)/C_eco)^C_n),C_alpha*C_fck),0)))*'Geometry'!$H$42*'Geometry'!$G$42+((MAX(MIN(S_1_Es*(O35+P35*'Geometry'!$G$43+Q35*'Geometry'!$F$43),S_1_fy),-S_1_fy))-(IF((O35+P35*'Geometry'!$G$43+Q35*'Geometry'!$F$43)&gt;0,IF((O35+P35*'Geometry'!$G$43+Q35*'Geometry'!$F$43)&lt;=C_eco,C_alpha*C_fck*(1-(1-(O35+P35*'Geometry'!$G$43+Q35*'Geometry'!$F$43)/C_eco)^C_n),C_alpha*C_fck),0)))*'Geometry'!$H$43*'Geometry'!$G$43+((MAX(MIN(S_1_Es*(O35+P35*'Geometry'!$G$44+Q35*'Geometry'!$F$44),S_1_fy),-S_1_fy))-(IF((O35+P35*'Geometry'!$G$44+Q35*'Geometry'!$F$44)&gt;0,IF((O35+P35*'Geometry'!$G$44+Q35*'Geometry'!$F$44)&lt;=C_eco,C_alpha*C_fck*(1-(1-(O35+P35*'Geometry'!$G$44+Q35*'Geometry'!$F$44)/C_eco)^C_n),C_alpha*C_fck),0)))*'Geometry'!$H$44*'Geometry'!$G$44+((MAX(MIN(S_1_Es*(O35+P35*'Geometry'!$G$45+Q35*'Geometry'!$F$45),S_1_fy),-S_1_fy))-(IF((O35+P35*'Geometry'!$G$45+Q35*'Geometry'!$F$45)&gt;0,IF((O35+P35*'Geometry'!$G$45+Q35*'Geometry'!$F$45)&lt;=C_eco,C_alpha*C_fck*(1-(1-(O35+P35*'Geometry'!$G$45+Q35*'Geometry'!$F$45)/C_eco)^C_n),C_alpha*C_fck),0)))*'Geometry'!$H$45*'Geometry'!$G$45+((MAX(MIN(S_1_Es*(O35+P35*'Geometry'!$G$46+Q35*'Geometry'!$F$46),S_1_fy),-S_1_fy))-(IF((O35+P35*'Geometry'!$G$46+Q35*'Geometry'!$F$46)&gt;0,IF((O35+P35*'Geometry'!$G$46+Q35*'Geometry'!$F$46)&lt;=C_eco,C_alpha*C_fck*(1-(1-(O35+P35*'Geometry'!$G$46+Q35*'Geometry'!$F$46)/C_eco)^C_n),C_alpha*C_fck),0)))*'Geometry'!$H$46*'Geometry'!$G$46+((MAX(MIN(S_1_Es*(O35+P35*'Geometry'!$G$47+Q35*'Geometry'!$F$47),S_1_fy),-S_1_fy))-(IF((O35+P35*'Geometry'!$G$47+Q35*'Geometry'!$F$47)&gt;0,IF((O35+P35*'Geometry'!$G$47+Q35*'Geometry'!$F$47)&lt;=C_eco,C_alpha*C_fck*(1-(1-(O35+P35*'Geometry'!$G$47+Q35*'Geometry'!$F$47)/C_eco)^C_n),C_alpha*C_fck),0)))*'Geometry'!$H$47*'Geometry'!$G$47+((MAX(MIN(S_1_Es*(O35+P35*'Geometry'!$G$48+Q35*'Geometry'!$F$48),S_1_fy),-S_1_fy))-(IF((O35+P35*'Geometry'!$G$48+Q35*'Geometry'!$F$48)&gt;0,IF((O35+P35*'Geometry'!$G$48+Q35*'Geometry'!$F$48)&lt;=C_eco,C_alpha*C_fck*(1-(1-(O35+P35*'Geometry'!$G$48+Q35*'Geometry'!$F$48)/C_eco)^C_n),C_alpha*C_fck),0)))*'Geometry'!$H$48*'Geometry'!$G$48+((MAX(MIN(S_1_Es*(O35+P35*'Geometry'!$G$49+Q35*'Geometry'!$F$49),S_1_fy),-S_1_fy))-(IF((O35+P35*'Geometry'!$G$49+Q35*'Geometry'!$F$49)&gt;0,IF((O35+P35*'Geometry'!$G$49+Q35*'Geometry'!$F$49)&lt;=C_eco,C_alpha*C_fck*(1-(1-(O35+P35*'Geometry'!$G$49+Q35*'Geometry'!$F$49)/C_eco)^C_n),C_alpha*C_fck),0)))*'Geometry'!$H$49*'Geometry'!$G$49+((MAX(MIN(S_1_Es*(O35+P35*'Geometry'!$G$50+Q35*'Geometry'!$F$50),S_1_fy),-S_1_fy))-(IF((O35+P35*'Geometry'!$G$50+Q35*'Geometry'!$F$50)&gt;0,IF((O35+P35*'Geometry'!$G$50+Q35*'Geometry'!$F$50)&lt;=C_eco,C_alpha*C_fck*(1-(1-(O35+P35*'Geometry'!$G$50+Q35*'Geometry'!$F$50)/C_eco)^C_n),C_alpha*C_fck),0)))*'Geometry'!$H$50*'Geometry'!$G$50+((MAX(MIN(S_1_Es*(O35+P35*'Geometry'!$G$51+Q35*'Geometry'!$F$51),S_1_fy),-S_1_fy))-(IF((O35+P35*'Geometry'!$G$51+Q35*'Geometry'!$F$51)&gt;0,IF((O35+P35*'Geometry'!$G$51+Q35*'Geometry'!$F$51)&lt;=C_eco,C_alpha*C_fck*(1-(1-(O35+P35*'Geometry'!$G$51+Q35*'Geometry'!$F$51)/C_eco)^C_n),C_alpha*C_fck),0)))*'Geometry'!$H$51*'Geometry'!$G$51+((MAX(MIN(S_1_Es*(O35+P35*'Geometry'!$G$52+Q35*'Geometry'!$F$52),S_1_fy),-S_1_fy))-(IF((O35+P35*'Geometry'!$G$52+Q35*'Geometry'!$F$52)&gt;0,IF((O35+P35*'Geometry'!$G$52+Q35*'Geometry'!$F$52)&lt;=C_eco,C_alpha*C_fck*(1-(1-(O35+P35*'Geometry'!$G$52+Q35*'Geometry'!$F$52)/C_eco)^C_n),C_alpha*C_fck),0)))*'Geometry'!$H$52*'Geometry'!$G$52+((MAX(MIN(S_1_Es*(O35+P35*'Geometry'!$G$53+Q35*'Geometry'!$F$53),S_1_fy),-S_1_fy))-(IF((O35+P35*'Geometry'!$G$53+Q35*'Geometry'!$F$53)&gt;0,IF((O35+P35*'Geometry'!$G$53+Q35*'Geometry'!$F$53)&lt;=C_eco,C_alpha*C_fck*(1-(1-(O35+P35*'Geometry'!$G$53+Q35*'Geometry'!$F$53)/C_eco)^C_n),C_alpha*C_fck),0)))*'Geometry'!$H$53*'Geometry'!$G$53+((MAX(MIN(S_1_Es*(O35+P35*'Geometry'!$G$54+Q35*'Geometry'!$F$54),S_1_fy),-S_1_fy))-(IF((O35+P35*'Geometry'!$G$54+Q35*'Geometry'!$F$54)&gt;0,IF((O35+P35*'Geometry'!$G$54+Q35*'Geometry'!$F$54)&lt;=C_eco,C_alpha*C_fck*(1-(1-(O35+P35*'Geometry'!$G$54+Q35*'Geometry'!$F$54)/C_eco)^C_n),C_alpha*C_fck),0)))*'Geometry'!$H$54*'Geometry'!$G$54+((MAX(MIN(S_1_Es*(O35+P35*'Geometry'!$G$55+Q35*'Geometry'!$F$55),S_1_fy),-S_1_fy))-(IF((O35+P35*'Geometry'!$G$55+Q35*'Geometry'!$F$55)&gt;0,IF((O35+P35*'Geometry'!$G$55+Q35*'Geometry'!$F$55)&lt;=C_eco,C_alpha*C_fck*(1-(1-(O35+P35*'Geometry'!$G$55+Q35*'Geometry'!$F$55)/C_eco)^C_n),C_alpha*C_fck),0)))*'Geometry'!$H$55*'Geometry'!$G$55+((MAX(MIN(S_1_Es*(O35+P35*'Geometry'!$G$56+Q35*'Geometry'!$F$56),S_1_fy),-S_1_fy))-(IF((O35+P35*'Geometry'!$G$56+Q35*'Geometry'!$F$56)&gt;0,IF((O35+P35*'Geometry'!$G$56+Q35*'Geometry'!$F$56)&lt;=C_eco,C_alpha*C_fck*(1-(1-(O35+P35*'Geometry'!$G$56+Q35*'Geometry'!$F$56)/C_eco)^C_n),C_alpha*C_fck),0)))*'Geometry'!$H$56*'Geometry'!$G$56+((MAX(MIN(S_1_Es*(O35+P35*'Geometry'!$G$57+Q35*'Geometry'!$F$57),S_1_fy),-S_1_fy))-(IF((O35+P35*'Geometry'!$G$57+Q35*'Geometry'!$F$57)&gt;0,IF((O35+P35*'Geometry'!$G$57+Q35*'Geometry'!$F$57)&lt;=C_eco,C_alpha*C_fck*(1-(1-(O35+P35*'Geometry'!$G$57+Q35*'Geometry'!$F$57)/C_eco)^C_n),C_alpha*C_fck),0)))*'Geometry'!$H$57*'Geometry'!$G$57)/1000000</f>
        <v>-1.4901161193847656e-14</v>
      </c>
      <c r="W35" s="10">
        <f>(((MAX(MIN(S_1_Es*(O35+P35*'Geometry'!$G$40+Q35*'Geometry'!$F$40),S_1_fy),-S_1_fy))-(IF((O35+P35*'Geometry'!$G$40+Q35*'Geometry'!$F$40)&gt;0,IF((O35+P35*'Geometry'!$G$40+Q35*'Geometry'!$F$40)&lt;=C_eco,C_alpha*C_fck*(1-(1-(O35+P35*'Geometry'!$G$40+Q35*'Geometry'!$F$40)/C_eco)^C_n),C_alpha*C_fck),0)))*'Geometry'!$H$40*'Geometry'!$F$40+((MAX(MIN(S_1_Es*(O35+P35*'Geometry'!$G$41+Q35*'Geometry'!$F$41),S_1_fy),-S_1_fy))-(IF((O35+P35*'Geometry'!$G$41+Q35*'Geometry'!$F$41)&gt;0,IF((O35+P35*'Geometry'!$G$41+Q35*'Geometry'!$F$41)&lt;=C_eco,C_alpha*C_fck*(1-(1-(O35+P35*'Geometry'!$G$41+Q35*'Geometry'!$F$41)/C_eco)^C_n),C_alpha*C_fck),0)))*'Geometry'!$H$41*'Geometry'!$F$41+((MAX(MIN(S_1_Es*(O35+P35*'Geometry'!$G$42+Q35*'Geometry'!$F$42),S_1_fy),-S_1_fy))-(IF((O35+P35*'Geometry'!$G$42+Q35*'Geometry'!$F$42)&gt;0,IF((O35+P35*'Geometry'!$G$42+Q35*'Geometry'!$F$42)&lt;=C_eco,C_alpha*C_fck*(1-(1-(O35+P35*'Geometry'!$G$42+Q35*'Geometry'!$F$42)/C_eco)^C_n),C_alpha*C_fck),0)))*'Geometry'!$H$42*'Geometry'!$F$42+((MAX(MIN(S_1_Es*(O35+P35*'Geometry'!$G$43+Q35*'Geometry'!$F$43),S_1_fy),-S_1_fy))-(IF((O35+P35*'Geometry'!$G$43+Q35*'Geometry'!$F$43)&gt;0,IF((O35+P35*'Geometry'!$G$43+Q35*'Geometry'!$F$43)&lt;=C_eco,C_alpha*C_fck*(1-(1-(O35+P35*'Geometry'!$G$43+Q35*'Geometry'!$F$43)/C_eco)^C_n),C_alpha*C_fck),0)))*'Geometry'!$H$43*'Geometry'!$F$43+((MAX(MIN(S_1_Es*(O35+P35*'Geometry'!$G$44+Q35*'Geometry'!$F$44),S_1_fy),-S_1_fy))-(IF((O35+P35*'Geometry'!$G$44+Q35*'Geometry'!$F$44)&gt;0,IF((O35+P35*'Geometry'!$G$44+Q35*'Geometry'!$F$44)&lt;=C_eco,C_alpha*C_fck*(1-(1-(O35+P35*'Geometry'!$G$44+Q35*'Geometry'!$F$44)/C_eco)^C_n),C_alpha*C_fck),0)))*'Geometry'!$H$44*'Geometry'!$F$44+((MAX(MIN(S_1_Es*(O35+P35*'Geometry'!$G$45+Q35*'Geometry'!$F$45),S_1_fy),-S_1_fy))-(IF((O35+P35*'Geometry'!$G$45+Q35*'Geometry'!$F$45)&gt;0,IF((O35+P35*'Geometry'!$G$45+Q35*'Geometry'!$F$45)&lt;=C_eco,C_alpha*C_fck*(1-(1-(O35+P35*'Geometry'!$G$45+Q35*'Geometry'!$F$45)/C_eco)^C_n),C_alpha*C_fck),0)))*'Geometry'!$H$45*'Geometry'!$F$45+((MAX(MIN(S_1_Es*(O35+P35*'Geometry'!$G$46+Q35*'Geometry'!$F$46),S_1_fy),-S_1_fy))-(IF((O35+P35*'Geometry'!$G$46+Q35*'Geometry'!$F$46)&gt;0,IF((O35+P35*'Geometry'!$G$46+Q35*'Geometry'!$F$46)&lt;=C_eco,C_alpha*C_fck*(1-(1-(O35+P35*'Geometry'!$G$46+Q35*'Geometry'!$F$46)/C_eco)^C_n),C_alpha*C_fck),0)))*'Geometry'!$H$46*'Geometry'!$F$46+((MAX(MIN(S_1_Es*(O35+P35*'Geometry'!$G$47+Q35*'Geometry'!$F$47),S_1_fy),-S_1_fy))-(IF((O35+P35*'Geometry'!$G$47+Q35*'Geometry'!$F$47)&gt;0,IF((O35+P35*'Geometry'!$G$47+Q35*'Geometry'!$F$47)&lt;=C_eco,C_alpha*C_fck*(1-(1-(O35+P35*'Geometry'!$G$47+Q35*'Geometry'!$F$47)/C_eco)^C_n),C_alpha*C_fck),0)))*'Geometry'!$H$47*'Geometry'!$F$47+((MAX(MIN(S_1_Es*(O35+P35*'Geometry'!$G$48+Q35*'Geometry'!$F$48),S_1_fy),-S_1_fy))-(IF((O35+P35*'Geometry'!$G$48+Q35*'Geometry'!$F$48)&gt;0,IF((O35+P35*'Geometry'!$G$48+Q35*'Geometry'!$F$48)&lt;=C_eco,C_alpha*C_fck*(1-(1-(O35+P35*'Geometry'!$G$48+Q35*'Geometry'!$F$48)/C_eco)^C_n),C_alpha*C_fck),0)))*'Geometry'!$H$48*'Geometry'!$F$48+((MAX(MIN(S_1_Es*(O35+P35*'Geometry'!$G$49+Q35*'Geometry'!$F$49),S_1_fy),-S_1_fy))-(IF((O35+P35*'Geometry'!$G$49+Q35*'Geometry'!$F$49)&gt;0,IF((O35+P35*'Geometry'!$G$49+Q35*'Geometry'!$F$49)&lt;=C_eco,C_alpha*C_fck*(1-(1-(O35+P35*'Geometry'!$G$49+Q35*'Geometry'!$F$49)/C_eco)^C_n),C_alpha*C_fck),0)))*'Geometry'!$H$49*'Geometry'!$F$49+((MAX(MIN(S_1_Es*(O35+P35*'Geometry'!$G$50+Q35*'Geometry'!$F$50),S_1_fy),-S_1_fy))-(IF((O35+P35*'Geometry'!$G$50+Q35*'Geometry'!$F$50)&gt;0,IF((O35+P35*'Geometry'!$G$50+Q35*'Geometry'!$F$50)&lt;=C_eco,C_alpha*C_fck*(1-(1-(O35+P35*'Geometry'!$G$50+Q35*'Geometry'!$F$50)/C_eco)^C_n),C_alpha*C_fck),0)))*'Geometry'!$H$50*'Geometry'!$F$50+((MAX(MIN(S_1_Es*(O35+P35*'Geometry'!$G$51+Q35*'Geometry'!$F$51),S_1_fy),-S_1_fy))-(IF((O35+P35*'Geometry'!$G$51+Q35*'Geometry'!$F$51)&gt;0,IF((O35+P35*'Geometry'!$G$51+Q35*'Geometry'!$F$51)&lt;=C_eco,C_alpha*C_fck*(1-(1-(O35+P35*'Geometry'!$G$51+Q35*'Geometry'!$F$51)/C_eco)^C_n),C_alpha*C_fck),0)))*'Geometry'!$H$51*'Geometry'!$F$51+((MAX(MIN(S_1_Es*(O35+P35*'Geometry'!$G$52+Q35*'Geometry'!$F$52),S_1_fy),-S_1_fy))-(IF((O35+P35*'Geometry'!$G$52+Q35*'Geometry'!$F$52)&gt;0,IF((O35+P35*'Geometry'!$G$52+Q35*'Geometry'!$F$52)&lt;=C_eco,C_alpha*C_fck*(1-(1-(O35+P35*'Geometry'!$G$52+Q35*'Geometry'!$F$52)/C_eco)^C_n),C_alpha*C_fck),0)))*'Geometry'!$H$52*'Geometry'!$F$52+((MAX(MIN(S_1_Es*(O35+P35*'Geometry'!$G$53+Q35*'Geometry'!$F$53),S_1_fy),-S_1_fy))-(IF((O35+P35*'Geometry'!$G$53+Q35*'Geometry'!$F$53)&gt;0,IF((O35+P35*'Geometry'!$G$53+Q35*'Geometry'!$F$53)&lt;=C_eco,C_alpha*C_fck*(1-(1-(O35+P35*'Geometry'!$G$53+Q35*'Geometry'!$F$53)/C_eco)^C_n),C_alpha*C_fck),0)))*'Geometry'!$H$53*'Geometry'!$F$53+((MAX(MIN(S_1_Es*(O35+P35*'Geometry'!$G$54+Q35*'Geometry'!$F$54),S_1_fy),-S_1_fy))-(IF((O35+P35*'Geometry'!$G$54+Q35*'Geometry'!$F$54)&gt;0,IF((O35+P35*'Geometry'!$G$54+Q35*'Geometry'!$F$54)&lt;=C_eco,C_alpha*C_fck*(1-(1-(O35+P35*'Geometry'!$G$54+Q35*'Geometry'!$F$54)/C_eco)^C_n),C_alpha*C_fck),0)))*'Geometry'!$H$54*'Geometry'!$F$54+((MAX(MIN(S_1_Es*(O35+P35*'Geometry'!$G$55+Q35*'Geometry'!$F$55),S_1_fy),-S_1_fy))-(IF((O35+P35*'Geometry'!$G$55+Q35*'Geometry'!$F$55)&gt;0,IF((O35+P35*'Geometry'!$G$55+Q35*'Geometry'!$F$55)&lt;=C_eco,C_alpha*C_fck*(1-(1-(O35+P35*'Geometry'!$G$55+Q35*'Geometry'!$F$55)/C_eco)^C_n),C_alpha*C_fck),0)))*'Geometry'!$H$55*'Geometry'!$F$55+((MAX(MIN(S_1_Es*(O35+P35*'Geometry'!$G$56+Q35*'Geometry'!$F$56),S_1_fy),-S_1_fy))-(IF((O35+P35*'Geometry'!$G$56+Q35*'Geometry'!$F$56)&gt;0,IF((O35+P35*'Geometry'!$G$56+Q35*'Geometry'!$F$56)&lt;=C_eco,C_alpha*C_fck*(1-(1-(O35+P35*'Geometry'!$G$56+Q35*'Geometry'!$F$56)/C_eco)^C_n),C_alpha*C_fck),0)))*'Geometry'!$H$56*'Geometry'!$F$56+((MAX(MIN(S_1_Es*(O35+P35*'Geometry'!$G$57+Q35*'Geometry'!$F$57),S_1_fy),-S_1_fy))-(IF((O35+P35*'Geometry'!$G$57+Q35*'Geometry'!$F$57)&gt;0,IF((O35+P35*'Geometry'!$G$57+Q35*'Geometry'!$F$57)&lt;=C_eco,C_alpha*C_fck*(1-(1-(O35+P35*'Geometry'!$G$57+Q35*'Geometry'!$F$57)/C_eco)^C_n),C_alpha*C_fck),0)))*'Geometry'!$H$57*'Geometry'!$F$57)/1000000</f>
        <v>-1345.052628750686</v>
      </c>
      <c r="X35" s="10">
        <f>R35+U35</f>
        <v>-1955.751272880015</v>
      </c>
      <c r="Y35" s="10">
        <f>S35+V35</f>
        <v>4.488888920018492</v>
      </c>
      <c r="Z35" s="10">
        <f>T35+W35</f>
        <v>-2662.47923142261</v>
      </c>
      <c r="AA35" s="7">
        <v>0.85</v>
      </c>
      <c r="AB35" s="7">
        <v>0.85</v>
      </c>
      <c r="AC35" s="10">
        <f>X35*AA35</f>
        <v>-1662.3885819480126</v>
      </c>
      <c r="AD35" s="10">
        <f>Y35*AB35</f>
        <v>3.8155555820157185</v>
      </c>
      <c r="AE35" s="10">
        <f>Z35*AB35</f>
        <v>-2263.1073467092183</v>
      </c>
      <c r="AF35" s="7">
        <v>-1662.3885819480126</v>
      </c>
      <c r="AG35" s="7">
        <v>3.8155555820157185</v>
      </c>
      <c r="AH35" s="7">
        <v>-2263.1073467092183</v>
      </c>
      <c r="AI35" s="15">
        <f>AC35-AF35</f>
        <v>0</v>
      </c>
      <c r="AJ35" s="15">
        <f>SQRT((AD35-AG35)^2+(AE35-AH35)^2)</f>
        <v>0</v>
      </c>
      <c r="AK35" s="7" t="s">
        <v>189</v>
      </c>
      <c r="AL35" s="7">
        <v>-1955.751272880015</v>
      </c>
      <c r="AM35" s="7">
        <v>4.488888920018492</v>
      </c>
      <c r="AN35" s="7">
        <v>-2662.47923142261</v>
      </c>
      <c r="AO35" s="7">
        <v>1856.8137345245061</v>
      </c>
      <c r="AP35" s="7">
        <v>4.488888920018507</v>
      </c>
      <c r="AQ35" s="7">
        <v>-1317.426602671924</v>
      </c>
      <c r="AR35" s="7">
        <v>-3812.565007404521</v>
      </c>
      <c r="AS35" s="7">
        <v>-1.4901161193847656e-14</v>
      </c>
      <c r="AT35" s="7">
        <v>-1345.052628750686</v>
      </c>
    </row>
    <row r="36" spans="1:46" x14ac:dyDescent="0.25">
      <c r="A36" s="7" t="s">
        <v>246</v>
      </c>
      <c r="B36" s="7">
        <v>1</v>
      </c>
      <c r="C36" s="18">
        <v>280</v>
      </c>
      <c r="D36" s="7" t="s">
        <v>247</v>
      </c>
      <c r="E36" s="7" t="s">
        <v>207</v>
      </c>
      <c r="F36" s="19">
        <v>280</v>
      </c>
      <c r="G36" s="7" t="s">
        <v>188</v>
      </c>
      <c r="H36" s="20">
        <v>10</v>
      </c>
      <c r="I36" s="10">
        <f>MAX(('Geometry'!$G$13*COS(RADIANS(F36))+'Geometry'!$F$13*SIN(RADIANS(F36))),('Geometry'!$G$14*COS(RADIANS(F36))+'Geometry'!$F$14*SIN(RADIANS(F36))),('Geometry'!$G$15*COS(RADIANS(F36))+'Geometry'!$F$15*SIN(RADIANS(F36))),('Geometry'!$G$16*COS(RADIANS(F36))+'Geometry'!$F$16*SIN(RADIANS(F36))),('Geometry'!$G$17*COS(RADIANS(F36))+'Geometry'!$F$17*SIN(RADIANS(F36))),('Geometry'!$G$18*COS(RADIANS(F36))+'Geometry'!$F$18*SIN(RADIANS(F36))),('Geometry'!$G$19*COS(RADIANS(F36))+'Geometry'!$F$19*SIN(RADIANS(F36))),('Geometry'!$G$20*COS(RADIANS(F36))+'Geometry'!$F$20*SIN(RADIANS(F36))))</f>
        <v>808.0650858259281</v>
      </c>
      <c r="J36" s="10">
        <f>MIN(('Geometry'!$G$40*COS(RADIANS(F36))+'Geometry'!$F$40*SIN(RADIANS(F36))),('Geometry'!$G$41*COS(RADIANS(F36))+'Geometry'!$F$41*SIN(RADIANS(F36))),('Geometry'!$G$42*COS(RADIANS(F36))+'Geometry'!$F$42*SIN(RADIANS(F36))),('Geometry'!$G$43*COS(RADIANS(F36))+'Geometry'!$F$43*SIN(RADIANS(F36))),('Geometry'!$G$44*COS(RADIANS(F36))+'Geometry'!$F$44*SIN(RADIANS(F36))),('Geometry'!$G$45*COS(RADIANS(F36))+'Geometry'!$F$45*SIN(RADIANS(F36))),('Geometry'!$G$46*COS(RADIANS(F36))+'Geometry'!$F$46*SIN(RADIANS(F36))),('Geometry'!$G$47*COS(RADIANS(F36))+'Geometry'!$F$47*SIN(RADIANS(F36))),('Geometry'!$G$48*COS(RADIANS(F36))+'Geometry'!$F$48*SIN(RADIANS(F36))),('Geometry'!$G$49*COS(RADIANS(F36))+'Geometry'!$F$49*SIN(RADIANS(F36))),('Geometry'!$G$50*COS(RADIANS(F36))+'Geometry'!$F$50*SIN(RADIANS(F36))),('Geometry'!$G$51*COS(RADIANS(F36))+'Geometry'!$F$51*SIN(RADIANS(F36))),('Geometry'!$G$52*COS(RADIANS(F36))+'Geometry'!$F$52*SIN(RADIANS(F36))),('Geometry'!$G$53*COS(RADIANS(F36))+'Geometry'!$F$53*SIN(RADIANS(F36))),('Geometry'!$G$54*COS(RADIANS(F36))+'Geometry'!$F$54*SIN(RADIANS(F36))),('Geometry'!$G$55*COS(RADIANS(F36))+'Geometry'!$F$55*SIN(RADIANS(F36))),('Geometry'!$G$56*COS(RADIANS(F36))+'Geometry'!$F$56*SIN(RADIANS(F36))),('Geometry'!$G$57*COS(RADIANS(F36))+'Geometry'!$F$57*SIN(RADIANS(F36))))</f>
        <v>-721.7637253483805</v>
      </c>
      <c r="K36" s="10">
        <f>I36-MIN(('Geometry'!$G$13*COS(RADIANS(F36))+'Geometry'!$F$13*SIN(RADIANS(F36))),('Geometry'!$G$14*COS(RADIANS(F36))+'Geometry'!$F$14*SIN(RADIANS(F36))),('Geometry'!$G$15*COS(RADIANS(F36))+'Geometry'!$F$15*SIN(RADIANS(F36))),('Geometry'!$G$16*COS(RADIANS(F36))+'Geometry'!$F$16*SIN(RADIANS(F36))),('Geometry'!$G$17*COS(RADIANS(F36))+'Geometry'!$F$17*SIN(RADIANS(F36))),('Geometry'!$G$18*COS(RADIANS(F36))+'Geometry'!$F$18*SIN(RADIANS(F36))),('Geometry'!$G$19*COS(RADIANS(F36))+'Geometry'!$F$19*SIN(RADIANS(F36))),('Geometry'!$G$20*COS(RADIANS(F36))+'Geometry'!$F$20*SIN(RADIANS(F36))))</f>
        <v>1616.1301716518562</v>
      </c>
      <c r="L36" s="15">
        <f>C_ecu</f>
        <v>0.003299999999999999</v>
      </c>
      <c r="M36" s="15">
        <f>-H36*S_1_fy/S_1_Es</f>
        <v>-0.02</v>
      </c>
      <c r="N36" s="21">
        <f>IF(ABS(I36-J36)&lt;0.000000000001,0,(L36-M36)/(I36-J36))</f>
        <v>0.000015230462277746447</v>
      </c>
      <c r="O36" s="15">
        <f>L36-N36*I36</f>
        <v>-0.009007204807635744</v>
      </c>
      <c r="P36" s="21">
        <f>N36*COS(RADIANS(F36))</f>
        <v>0.00000264474201955559</v>
      </c>
      <c r="Q36" s="21">
        <f>N36*SIN(RADIANS(F36))</f>
        <v>-0.000014999077333084677</v>
      </c>
      <c r="R36" s="10">
        <f>SUMPRODUCT(C_alpha*C_fck*(1-(1-(((O36+P36*Mesh_Y+Q36*Mesh_X))*((O36+P36*Mesh_Y+Q36*Mesh_X)&gt;0)*((O36+P36*Mesh_Y+Q36*Mesh_X)&lt;C_eco)+C_eco*((O36+P36*Mesh_Y+Q36*Mesh_X)&gt;=C_eco))/C_eco)^C_n)*(((O36+P36*Mesh_Y+Q36*Mesh_X))&gt;0),Mesh_A)/1000</f>
        <v>2657.8438353129627</v>
      </c>
      <c r="S36" s="10">
        <f>SUMPRODUCT(C_alpha*C_fck*(1-(1-(((O36+P36*Mesh_Y+Q36*Mesh_X))*((O36+P36*Mesh_Y+Q36*Mesh_X)&gt;0)*((O36+P36*Mesh_Y+Q36*Mesh_X)&lt;C_eco)+C_eco*((O36+P36*Mesh_Y+Q36*Mesh_X)&gt;=C_eco))/C_eco)^C_n)*(((O36+P36*Mesh_Y+Q36*Mesh_X))&gt;0),Mesh_A,Mesh_Y)/1000000</f>
        <v>413.8525413053357</v>
      </c>
      <c r="T36" s="10">
        <f>SUMPRODUCT(C_alpha*C_fck*(1-(1-(((O36+P36*Mesh_Y+Q36*Mesh_X))*((O36+P36*Mesh_Y+Q36*Mesh_X)&gt;0)*((O36+P36*Mesh_Y+Q36*Mesh_X)&lt;C_eco)+C_eco*((O36+P36*Mesh_Y+Q36*Mesh_X)&gt;=C_eco))/C_eco)^C_n)*(((O36+P36*Mesh_Y+Q36*Mesh_X))&gt;0),Mesh_A,Mesh_X)/1000000</f>
        <v>-1787.1582269522692</v>
      </c>
      <c r="U36" s="10">
        <f>(((MAX(MIN(S_1_Es*(O36+P36*'Geometry'!$G$40+Q36*'Geometry'!$F$40),S_1_fy),-S_1_fy))-(IF((O36+P36*'Geometry'!$G$40+Q36*'Geometry'!$F$40)&gt;0,IF((O36+P36*'Geometry'!$G$40+Q36*'Geometry'!$F$40)&lt;=C_eco,C_alpha*C_fck*(1-(1-(O36+P36*'Geometry'!$G$40+Q36*'Geometry'!$F$40)/C_eco)^C_n),C_alpha*C_fck),0)))*'Geometry'!$H$40+((MAX(MIN(S_1_Es*(O36+P36*'Geometry'!$G$41+Q36*'Geometry'!$F$41),S_1_fy),-S_1_fy))-(IF((O36+P36*'Geometry'!$G$41+Q36*'Geometry'!$F$41)&gt;0,IF((O36+P36*'Geometry'!$G$41+Q36*'Geometry'!$F$41)&lt;=C_eco,C_alpha*C_fck*(1-(1-(O36+P36*'Geometry'!$G$41+Q36*'Geometry'!$F$41)/C_eco)^C_n),C_alpha*C_fck),0)))*'Geometry'!$H$41+((MAX(MIN(S_1_Es*(O36+P36*'Geometry'!$G$42+Q36*'Geometry'!$F$42),S_1_fy),-S_1_fy))-(IF((O36+P36*'Geometry'!$G$42+Q36*'Geometry'!$F$42)&gt;0,IF((O36+P36*'Geometry'!$G$42+Q36*'Geometry'!$F$42)&lt;=C_eco,C_alpha*C_fck*(1-(1-(O36+P36*'Geometry'!$G$42+Q36*'Geometry'!$F$42)/C_eco)^C_n),C_alpha*C_fck),0)))*'Geometry'!$H$42+((MAX(MIN(S_1_Es*(O36+P36*'Geometry'!$G$43+Q36*'Geometry'!$F$43),S_1_fy),-S_1_fy))-(IF((O36+P36*'Geometry'!$G$43+Q36*'Geometry'!$F$43)&gt;0,IF((O36+P36*'Geometry'!$G$43+Q36*'Geometry'!$F$43)&lt;=C_eco,C_alpha*C_fck*(1-(1-(O36+P36*'Geometry'!$G$43+Q36*'Geometry'!$F$43)/C_eco)^C_n),C_alpha*C_fck),0)))*'Geometry'!$H$43+((MAX(MIN(S_1_Es*(O36+P36*'Geometry'!$G$44+Q36*'Geometry'!$F$44),S_1_fy),-S_1_fy))-(IF((O36+P36*'Geometry'!$G$44+Q36*'Geometry'!$F$44)&gt;0,IF((O36+P36*'Geometry'!$G$44+Q36*'Geometry'!$F$44)&lt;=C_eco,C_alpha*C_fck*(1-(1-(O36+P36*'Geometry'!$G$44+Q36*'Geometry'!$F$44)/C_eco)^C_n),C_alpha*C_fck),0)))*'Geometry'!$H$44+((MAX(MIN(S_1_Es*(O36+P36*'Geometry'!$G$45+Q36*'Geometry'!$F$45),S_1_fy),-S_1_fy))-(IF((O36+P36*'Geometry'!$G$45+Q36*'Geometry'!$F$45)&gt;0,IF((O36+P36*'Geometry'!$G$45+Q36*'Geometry'!$F$45)&lt;=C_eco,C_alpha*C_fck*(1-(1-(O36+P36*'Geometry'!$G$45+Q36*'Geometry'!$F$45)/C_eco)^C_n),C_alpha*C_fck),0)))*'Geometry'!$H$45+((MAX(MIN(S_1_Es*(O36+P36*'Geometry'!$G$46+Q36*'Geometry'!$F$46),S_1_fy),-S_1_fy))-(IF((O36+P36*'Geometry'!$G$46+Q36*'Geometry'!$F$46)&gt;0,IF((O36+P36*'Geometry'!$G$46+Q36*'Geometry'!$F$46)&lt;=C_eco,C_alpha*C_fck*(1-(1-(O36+P36*'Geometry'!$G$46+Q36*'Geometry'!$F$46)/C_eco)^C_n),C_alpha*C_fck),0)))*'Geometry'!$H$46+((MAX(MIN(S_1_Es*(O36+P36*'Geometry'!$G$47+Q36*'Geometry'!$F$47),S_1_fy),-S_1_fy))-(IF((O36+P36*'Geometry'!$G$47+Q36*'Geometry'!$F$47)&gt;0,IF((O36+P36*'Geometry'!$G$47+Q36*'Geometry'!$F$47)&lt;=C_eco,C_alpha*C_fck*(1-(1-(O36+P36*'Geometry'!$G$47+Q36*'Geometry'!$F$47)/C_eco)^C_n),C_alpha*C_fck),0)))*'Geometry'!$H$47+((MAX(MIN(S_1_Es*(O36+P36*'Geometry'!$G$48+Q36*'Geometry'!$F$48),S_1_fy),-S_1_fy))-(IF((O36+P36*'Geometry'!$G$48+Q36*'Geometry'!$F$48)&gt;0,IF((O36+P36*'Geometry'!$G$48+Q36*'Geometry'!$F$48)&lt;=C_eco,C_alpha*C_fck*(1-(1-(O36+P36*'Geometry'!$G$48+Q36*'Geometry'!$F$48)/C_eco)^C_n),C_alpha*C_fck),0)))*'Geometry'!$H$48+((MAX(MIN(S_1_Es*(O36+P36*'Geometry'!$G$49+Q36*'Geometry'!$F$49),S_1_fy),-S_1_fy))-(IF((O36+P36*'Geometry'!$G$49+Q36*'Geometry'!$F$49)&gt;0,IF((O36+P36*'Geometry'!$G$49+Q36*'Geometry'!$F$49)&lt;=C_eco,C_alpha*C_fck*(1-(1-(O36+P36*'Geometry'!$G$49+Q36*'Geometry'!$F$49)/C_eco)^C_n),C_alpha*C_fck),0)))*'Geometry'!$H$49+((MAX(MIN(S_1_Es*(O36+P36*'Geometry'!$G$50+Q36*'Geometry'!$F$50),S_1_fy),-S_1_fy))-(IF((O36+P36*'Geometry'!$G$50+Q36*'Geometry'!$F$50)&gt;0,IF((O36+P36*'Geometry'!$G$50+Q36*'Geometry'!$F$50)&lt;=C_eco,C_alpha*C_fck*(1-(1-(O36+P36*'Geometry'!$G$50+Q36*'Geometry'!$F$50)/C_eco)^C_n),C_alpha*C_fck),0)))*'Geometry'!$H$50+((MAX(MIN(S_1_Es*(O36+P36*'Geometry'!$G$51+Q36*'Geometry'!$F$51),S_1_fy),-S_1_fy))-(IF((O36+P36*'Geometry'!$G$51+Q36*'Geometry'!$F$51)&gt;0,IF((O36+P36*'Geometry'!$G$51+Q36*'Geometry'!$F$51)&lt;=C_eco,C_alpha*C_fck*(1-(1-(O36+P36*'Geometry'!$G$51+Q36*'Geometry'!$F$51)/C_eco)^C_n),C_alpha*C_fck),0)))*'Geometry'!$H$51+((MAX(MIN(S_1_Es*(O36+P36*'Geometry'!$G$52+Q36*'Geometry'!$F$52),S_1_fy),-S_1_fy))-(IF((O36+P36*'Geometry'!$G$52+Q36*'Geometry'!$F$52)&gt;0,IF((O36+P36*'Geometry'!$G$52+Q36*'Geometry'!$F$52)&lt;=C_eco,C_alpha*C_fck*(1-(1-(O36+P36*'Geometry'!$G$52+Q36*'Geometry'!$F$52)/C_eco)^C_n),C_alpha*C_fck),0)))*'Geometry'!$H$52+((MAX(MIN(S_1_Es*(O36+P36*'Geometry'!$G$53+Q36*'Geometry'!$F$53),S_1_fy),-S_1_fy))-(IF((O36+P36*'Geometry'!$G$53+Q36*'Geometry'!$F$53)&gt;0,IF((O36+P36*'Geometry'!$G$53+Q36*'Geometry'!$F$53)&lt;=C_eco,C_alpha*C_fck*(1-(1-(O36+P36*'Geometry'!$G$53+Q36*'Geometry'!$F$53)/C_eco)^C_n),C_alpha*C_fck),0)))*'Geometry'!$H$53+((MAX(MIN(S_1_Es*(O36+P36*'Geometry'!$G$54+Q36*'Geometry'!$F$54),S_1_fy),-S_1_fy))-(IF((O36+P36*'Geometry'!$G$54+Q36*'Geometry'!$F$54)&gt;0,IF((O36+P36*'Geometry'!$G$54+Q36*'Geometry'!$F$54)&lt;=C_eco,C_alpha*C_fck*(1-(1-(O36+P36*'Geometry'!$G$54+Q36*'Geometry'!$F$54)/C_eco)^C_n),C_alpha*C_fck),0)))*'Geometry'!$H$54+((MAX(MIN(S_1_Es*(O36+P36*'Geometry'!$G$55+Q36*'Geometry'!$F$55),S_1_fy),-S_1_fy))-(IF((O36+P36*'Geometry'!$G$55+Q36*'Geometry'!$F$55)&gt;0,IF((O36+P36*'Geometry'!$G$55+Q36*'Geometry'!$F$55)&lt;=C_eco,C_alpha*C_fck*(1-(1-(O36+P36*'Geometry'!$G$55+Q36*'Geometry'!$F$55)/C_eco)^C_n),C_alpha*C_fck),0)))*'Geometry'!$H$55+((MAX(MIN(S_1_Es*(O36+P36*'Geometry'!$G$56+Q36*'Geometry'!$F$56),S_1_fy),-S_1_fy))-(IF((O36+P36*'Geometry'!$G$56+Q36*'Geometry'!$F$56)&gt;0,IF((O36+P36*'Geometry'!$G$56+Q36*'Geometry'!$F$56)&lt;=C_eco,C_alpha*C_fck*(1-(1-(O36+P36*'Geometry'!$G$56+Q36*'Geometry'!$F$56)/C_eco)^C_n),C_alpha*C_fck),0)))*'Geometry'!$H$56+((MAX(MIN(S_1_Es*(O36+P36*'Geometry'!$G$57+Q36*'Geometry'!$F$57),S_1_fy),-S_1_fy))-(IF((O36+P36*'Geometry'!$G$57+Q36*'Geometry'!$F$57)&gt;0,IF((O36+P36*'Geometry'!$G$57+Q36*'Geometry'!$F$57)&lt;=C_eco,C_alpha*C_fck*(1-(1-(O36+P36*'Geometry'!$G$57+Q36*'Geometry'!$F$57)/C_eco)^C_n),C_alpha*C_fck),0)))*'Geometry'!$H$57)/1000</f>
        <v>-3734.8287622967655</v>
      </c>
      <c r="V36" s="10">
        <f>(((MAX(MIN(S_1_Es*(O36+P36*'Geometry'!$G$40+Q36*'Geometry'!$F$40),S_1_fy),-S_1_fy))-(IF((O36+P36*'Geometry'!$G$40+Q36*'Geometry'!$F$40)&gt;0,IF((O36+P36*'Geometry'!$G$40+Q36*'Geometry'!$F$40)&lt;=C_eco,C_alpha*C_fck*(1-(1-(O36+P36*'Geometry'!$G$40+Q36*'Geometry'!$F$40)/C_eco)^C_n),C_alpha*C_fck),0)))*'Geometry'!$H$40*'Geometry'!$G$40+((MAX(MIN(S_1_Es*(O36+P36*'Geometry'!$G$41+Q36*'Geometry'!$F$41),S_1_fy),-S_1_fy))-(IF((O36+P36*'Geometry'!$G$41+Q36*'Geometry'!$F$41)&gt;0,IF((O36+P36*'Geometry'!$G$41+Q36*'Geometry'!$F$41)&lt;=C_eco,C_alpha*C_fck*(1-(1-(O36+P36*'Geometry'!$G$41+Q36*'Geometry'!$F$41)/C_eco)^C_n),C_alpha*C_fck),0)))*'Geometry'!$H$41*'Geometry'!$G$41+((MAX(MIN(S_1_Es*(O36+P36*'Geometry'!$G$42+Q36*'Geometry'!$F$42),S_1_fy),-S_1_fy))-(IF((O36+P36*'Geometry'!$G$42+Q36*'Geometry'!$F$42)&gt;0,IF((O36+P36*'Geometry'!$G$42+Q36*'Geometry'!$F$42)&lt;=C_eco,C_alpha*C_fck*(1-(1-(O36+P36*'Geometry'!$G$42+Q36*'Geometry'!$F$42)/C_eco)^C_n),C_alpha*C_fck),0)))*'Geometry'!$H$42*'Geometry'!$G$42+((MAX(MIN(S_1_Es*(O36+P36*'Geometry'!$G$43+Q36*'Geometry'!$F$43),S_1_fy),-S_1_fy))-(IF((O36+P36*'Geometry'!$G$43+Q36*'Geometry'!$F$43)&gt;0,IF((O36+P36*'Geometry'!$G$43+Q36*'Geometry'!$F$43)&lt;=C_eco,C_alpha*C_fck*(1-(1-(O36+P36*'Geometry'!$G$43+Q36*'Geometry'!$F$43)/C_eco)^C_n),C_alpha*C_fck),0)))*'Geometry'!$H$43*'Geometry'!$G$43+((MAX(MIN(S_1_Es*(O36+P36*'Geometry'!$G$44+Q36*'Geometry'!$F$44),S_1_fy),-S_1_fy))-(IF((O36+P36*'Geometry'!$G$44+Q36*'Geometry'!$F$44)&gt;0,IF((O36+P36*'Geometry'!$G$44+Q36*'Geometry'!$F$44)&lt;=C_eco,C_alpha*C_fck*(1-(1-(O36+P36*'Geometry'!$G$44+Q36*'Geometry'!$F$44)/C_eco)^C_n),C_alpha*C_fck),0)))*'Geometry'!$H$44*'Geometry'!$G$44+((MAX(MIN(S_1_Es*(O36+P36*'Geometry'!$G$45+Q36*'Geometry'!$F$45),S_1_fy),-S_1_fy))-(IF((O36+P36*'Geometry'!$G$45+Q36*'Geometry'!$F$45)&gt;0,IF((O36+P36*'Geometry'!$G$45+Q36*'Geometry'!$F$45)&lt;=C_eco,C_alpha*C_fck*(1-(1-(O36+P36*'Geometry'!$G$45+Q36*'Geometry'!$F$45)/C_eco)^C_n),C_alpha*C_fck),0)))*'Geometry'!$H$45*'Geometry'!$G$45+((MAX(MIN(S_1_Es*(O36+P36*'Geometry'!$G$46+Q36*'Geometry'!$F$46),S_1_fy),-S_1_fy))-(IF((O36+P36*'Geometry'!$G$46+Q36*'Geometry'!$F$46)&gt;0,IF((O36+P36*'Geometry'!$G$46+Q36*'Geometry'!$F$46)&lt;=C_eco,C_alpha*C_fck*(1-(1-(O36+P36*'Geometry'!$G$46+Q36*'Geometry'!$F$46)/C_eco)^C_n),C_alpha*C_fck),0)))*'Geometry'!$H$46*'Geometry'!$G$46+((MAX(MIN(S_1_Es*(O36+P36*'Geometry'!$G$47+Q36*'Geometry'!$F$47),S_1_fy),-S_1_fy))-(IF((O36+P36*'Geometry'!$G$47+Q36*'Geometry'!$F$47)&gt;0,IF((O36+P36*'Geometry'!$G$47+Q36*'Geometry'!$F$47)&lt;=C_eco,C_alpha*C_fck*(1-(1-(O36+P36*'Geometry'!$G$47+Q36*'Geometry'!$F$47)/C_eco)^C_n),C_alpha*C_fck),0)))*'Geometry'!$H$47*'Geometry'!$G$47+((MAX(MIN(S_1_Es*(O36+P36*'Geometry'!$G$48+Q36*'Geometry'!$F$48),S_1_fy),-S_1_fy))-(IF((O36+P36*'Geometry'!$G$48+Q36*'Geometry'!$F$48)&gt;0,IF((O36+P36*'Geometry'!$G$48+Q36*'Geometry'!$F$48)&lt;=C_eco,C_alpha*C_fck*(1-(1-(O36+P36*'Geometry'!$G$48+Q36*'Geometry'!$F$48)/C_eco)^C_n),C_alpha*C_fck),0)))*'Geometry'!$H$48*'Geometry'!$G$48+((MAX(MIN(S_1_Es*(O36+P36*'Geometry'!$G$49+Q36*'Geometry'!$F$49),S_1_fy),-S_1_fy))-(IF((O36+P36*'Geometry'!$G$49+Q36*'Geometry'!$F$49)&gt;0,IF((O36+P36*'Geometry'!$G$49+Q36*'Geometry'!$F$49)&lt;=C_eco,C_alpha*C_fck*(1-(1-(O36+P36*'Geometry'!$G$49+Q36*'Geometry'!$F$49)/C_eco)^C_n),C_alpha*C_fck),0)))*'Geometry'!$H$49*'Geometry'!$G$49+((MAX(MIN(S_1_Es*(O36+P36*'Geometry'!$G$50+Q36*'Geometry'!$F$50),S_1_fy),-S_1_fy))-(IF((O36+P36*'Geometry'!$G$50+Q36*'Geometry'!$F$50)&gt;0,IF((O36+P36*'Geometry'!$G$50+Q36*'Geometry'!$F$50)&lt;=C_eco,C_alpha*C_fck*(1-(1-(O36+P36*'Geometry'!$G$50+Q36*'Geometry'!$F$50)/C_eco)^C_n),C_alpha*C_fck),0)))*'Geometry'!$H$50*'Geometry'!$G$50+((MAX(MIN(S_1_Es*(O36+P36*'Geometry'!$G$51+Q36*'Geometry'!$F$51),S_1_fy),-S_1_fy))-(IF((O36+P36*'Geometry'!$G$51+Q36*'Geometry'!$F$51)&gt;0,IF((O36+P36*'Geometry'!$G$51+Q36*'Geometry'!$F$51)&lt;=C_eco,C_alpha*C_fck*(1-(1-(O36+P36*'Geometry'!$G$51+Q36*'Geometry'!$F$51)/C_eco)^C_n),C_alpha*C_fck),0)))*'Geometry'!$H$51*'Geometry'!$G$51+((MAX(MIN(S_1_Es*(O36+P36*'Geometry'!$G$52+Q36*'Geometry'!$F$52),S_1_fy),-S_1_fy))-(IF((O36+P36*'Geometry'!$G$52+Q36*'Geometry'!$F$52)&gt;0,IF((O36+P36*'Geometry'!$G$52+Q36*'Geometry'!$F$52)&lt;=C_eco,C_alpha*C_fck*(1-(1-(O36+P36*'Geometry'!$G$52+Q36*'Geometry'!$F$52)/C_eco)^C_n),C_alpha*C_fck),0)))*'Geometry'!$H$52*'Geometry'!$G$52+((MAX(MIN(S_1_Es*(O36+P36*'Geometry'!$G$53+Q36*'Geometry'!$F$53),S_1_fy),-S_1_fy))-(IF((O36+P36*'Geometry'!$G$53+Q36*'Geometry'!$F$53)&gt;0,IF((O36+P36*'Geometry'!$G$53+Q36*'Geometry'!$F$53)&lt;=C_eco,C_alpha*C_fck*(1-(1-(O36+P36*'Geometry'!$G$53+Q36*'Geometry'!$F$53)/C_eco)^C_n),C_alpha*C_fck),0)))*'Geometry'!$H$53*'Geometry'!$G$53+((MAX(MIN(S_1_Es*(O36+P36*'Geometry'!$G$54+Q36*'Geometry'!$F$54),S_1_fy),-S_1_fy))-(IF((O36+P36*'Geometry'!$G$54+Q36*'Geometry'!$F$54)&gt;0,IF((O36+P36*'Geometry'!$G$54+Q36*'Geometry'!$F$54)&lt;=C_eco,C_alpha*C_fck*(1-(1-(O36+P36*'Geometry'!$G$54+Q36*'Geometry'!$F$54)/C_eco)^C_n),C_alpha*C_fck),0)))*'Geometry'!$H$54*'Geometry'!$G$54+((MAX(MIN(S_1_Es*(O36+P36*'Geometry'!$G$55+Q36*'Geometry'!$F$55),S_1_fy),-S_1_fy))-(IF((O36+P36*'Geometry'!$G$55+Q36*'Geometry'!$F$55)&gt;0,IF((O36+P36*'Geometry'!$G$55+Q36*'Geometry'!$F$55)&lt;=C_eco,C_alpha*C_fck*(1-(1-(O36+P36*'Geometry'!$G$55+Q36*'Geometry'!$F$55)/C_eco)^C_n),C_alpha*C_fck),0)))*'Geometry'!$H$55*'Geometry'!$G$55+((MAX(MIN(S_1_Es*(O36+P36*'Geometry'!$G$56+Q36*'Geometry'!$F$56),S_1_fy),-S_1_fy))-(IF((O36+P36*'Geometry'!$G$56+Q36*'Geometry'!$F$56)&gt;0,IF((O36+P36*'Geometry'!$G$56+Q36*'Geometry'!$F$56)&lt;=C_eco,C_alpha*C_fck*(1-(1-(O36+P36*'Geometry'!$G$56+Q36*'Geometry'!$F$56)/C_eco)^C_n),C_alpha*C_fck),0)))*'Geometry'!$H$56*'Geometry'!$G$56+((MAX(MIN(S_1_Es*(O36+P36*'Geometry'!$G$57+Q36*'Geometry'!$F$57),S_1_fy),-S_1_fy))-(IF((O36+P36*'Geometry'!$G$57+Q36*'Geometry'!$F$57)&gt;0,IF((O36+P36*'Geometry'!$G$57+Q36*'Geometry'!$F$57)&lt;=C_eco,C_alpha*C_fck*(1-(1-(O36+P36*'Geometry'!$G$57+Q36*'Geometry'!$F$57)/C_eco)^C_n),C_alpha*C_fck),0)))*'Geometry'!$H$57*'Geometry'!$G$57)/1000000</f>
        <v>114.29997685711223</v>
      </c>
      <c r="W36" s="10">
        <f>(((MAX(MIN(S_1_Es*(O36+P36*'Geometry'!$G$40+Q36*'Geometry'!$F$40),S_1_fy),-S_1_fy))-(IF((O36+P36*'Geometry'!$G$40+Q36*'Geometry'!$F$40)&gt;0,IF((O36+P36*'Geometry'!$G$40+Q36*'Geometry'!$F$40)&lt;=C_eco,C_alpha*C_fck*(1-(1-(O36+P36*'Geometry'!$G$40+Q36*'Geometry'!$F$40)/C_eco)^C_n),C_alpha*C_fck),0)))*'Geometry'!$H$40*'Geometry'!$F$40+((MAX(MIN(S_1_Es*(O36+P36*'Geometry'!$G$41+Q36*'Geometry'!$F$41),S_1_fy),-S_1_fy))-(IF((O36+P36*'Geometry'!$G$41+Q36*'Geometry'!$F$41)&gt;0,IF((O36+P36*'Geometry'!$G$41+Q36*'Geometry'!$F$41)&lt;=C_eco,C_alpha*C_fck*(1-(1-(O36+P36*'Geometry'!$G$41+Q36*'Geometry'!$F$41)/C_eco)^C_n),C_alpha*C_fck),0)))*'Geometry'!$H$41*'Geometry'!$F$41+((MAX(MIN(S_1_Es*(O36+P36*'Geometry'!$G$42+Q36*'Geometry'!$F$42),S_1_fy),-S_1_fy))-(IF((O36+P36*'Geometry'!$G$42+Q36*'Geometry'!$F$42)&gt;0,IF((O36+P36*'Geometry'!$G$42+Q36*'Geometry'!$F$42)&lt;=C_eco,C_alpha*C_fck*(1-(1-(O36+P36*'Geometry'!$G$42+Q36*'Geometry'!$F$42)/C_eco)^C_n),C_alpha*C_fck),0)))*'Geometry'!$H$42*'Geometry'!$F$42+((MAX(MIN(S_1_Es*(O36+P36*'Geometry'!$G$43+Q36*'Geometry'!$F$43),S_1_fy),-S_1_fy))-(IF((O36+P36*'Geometry'!$G$43+Q36*'Geometry'!$F$43)&gt;0,IF((O36+P36*'Geometry'!$G$43+Q36*'Geometry'!$F$43)&lt;=C_eco,C_alpha*C_fck*(1-(1-(O36+P36*'Geometry'!$G$43+Q36*'Geometry'!$F$43)/C_eco)^C_n),C_alpha*C_fck),0)))*'Geometry'!$H$43*'Geometry'!$F$43+((MAX(MIN(S_1_Es*(O36+P36*'Geometry'!$G$44+Q36*'Geometry'!$F$44),S_1_fy),-S_1_fy))-(IF((O36+P36*'Geometry'!$G$44+Q36*'Geometry'!$F$44)&gt;0,IF((O36+P36*'Geometry'!$G$44+Q36*'Geometry'!$F$44)&lt;=C_eco,C_alpha*C_fck*(1-(1-(O36+P36*'Geometry'!$G$44+Q36*'Geometry'!$F$44)/C_eco)^C_n),C_alpha*C_fck),0)))*'Geometry'!$H$44*'Geometry'!$F$44+((MAX(MIN(S_1_Es*(O36+P36*'Geometry'!$G$45+Q36*'Geometry'!$F$45),S_1_fy),-S_1_fy))-(IF((O36+P36*'Geometry'!$G$45+Q36*'Geometry'!$F$45)&gt;0,IF((O36+P36*'Geometry'!$G$45+Q36*'Geometry'!$F$45)&lt;=C_eco,C_alpha*C_fck*(1-(1-(O36+P36*'Geometry'!$G$45+Q36*'Geometry'!$F$45)/C_eco)^C_n),C_alpha*C_fck),0)))*'Geometry'!$H$45*'Geometry'!$F$45+((MAX(MIN(S_1_Es*(O36+P36*'Geometry'!$G$46+Q36*'Geometry'!$F$46),S_1_fy),-S_1_fy))-(IF((O36+P36*'Geometry'!$G$46+Q36*'Geometry'!$F$46)&gt;0,IF((O36+P36*'Geometry'!$G$46+Q36*'Geometry'!$F$46)&lt;=C_eco,C_alpha*C_fck*(1-(1-(O36+P36*'Geometry'!$G$46+Q36*'Geometry'!$F$46)/C_eco)^C_n),C_alpha*C_fck),0)))*'Geometry'!$H$46*'Geometry'!$F$46+((MAX(MIN(S_1_Es*(O36+P36*'Geometry'!$G$47+Q36*'Geometry'!$F$47),S_1_fy),-S_1_fy))-(IF((O36+P36*'Geometry'!$G$47+Q36*'Geometry'!$F$47)&gt;0,IF((O36+P36*'Geometry'!$G$47+Q36*'Geometry'!$F$47)&lt;=C_eco,C_alpha*C_fck*(1-(1-(O36+P36*'Geometry'!$G$47+Q36*'Geometry'!$F$47)/C_eco)^C_n),C_alpha*C_fck),0)))*'Geometry'!$H$47*'Geometry'!$F$47+((MAX(MIN(S_1_Es*(O36+P36*'Geometry'!$G$48+Q36*'Geometry'!$F$48),S_1_fy),-S_1_fy))-(IF((O36+P36*'Geometry'!$G$48+Q36*'Geometry'!$F$48)&gt;0,IF((O36+P36*'Geometry'!$G$48+Q36*'Geometry'!$F$48)&lt;=C_eco,C_alpha*C_fck*(1-(1-(O36+P36*'Geometry'!$G$48+Q36*'Geometry'!$F$48)/C_eco)^C_n),C_alpha*C_fck),0)))*'Geometry'!$H$48*'Geometry'!$F$48+((MAX(MIN(S_1_Es*(O36+P36*'Geometry'!$G$49+Q36*'Geometry'!$F$49),S_1_fy),-S_1_fy))-(IF((O36+P36*'Geometry'!$G$49+Q36*'Geometry'!$F$49)&gt;0,IF((O36+P36*'Geometry'!$G$49+Q36*'Geometry'!$F$49)&lt;=C_eco,C_alpha*C_fck*(1-(1-(O36+P36*'Geometry'!$G$49+Q36*'Geometry'!$F$49)/C_eco)^C_n),C_alpha*C_fck),0)))*'Geometry'!$H$49*'Geometry'!$F$49+((MAX(MIN(S_1_Es*(O36+P36*'Geometry'!$G$50+Q36*'Geometry'!$F$50),S_1_fy),-S_1_fy))-(IF((O36+P36*'Geometry'!$G$50+Q36*'Geometry'!$F$50)&gt;0,IF((O36+P36*'Geometry'!$G$50+Q36*'Geometry'!$F$50)&lt;=C_eco,C_alpha*C_fck*(1-(1-(O36+P36*'Geometry'!$G$50+Q36*'Geometry'!$F$50)/C_eco)^C_n),C_alpha*C_fck),0)))*'Geometry'!$H$50*'Geometry'!$F$50+((MAX(MIN(S_1_Es*(O36+P36*'Geometry'!$G$51+Q36*'Geometry'!$F$51),S_1_fy),-S_1_fy))-(IF((O36+P36*'Geometry'!$G$51+Q36*'Geometry'!$F$51)&gt;0,IF((O36+P36*'Geometry'!$G$51+Q36*'Geometry'!$F$51)&lt;=C_eco,C_alpha*C_fck*(1-(1-(O36+P36*'Geometry'!$G$51+Q36*'Geometry'!$F$51)/C_eco)^C_n),C_alpha*C_fck),0)))*'Geometry'!$H$51*'Geometry'!$F$51+((MAX(MIN(S_1_Es*(O36+P36*'Geometry'!$G$52+Q36*'Geometry'!$F$52),S_1_fy),-S_1_fy))-(IF((O36+P36*'Geometry'!$G$52+Q36*'Geometry'!$F$52)&gt;0,IF((O36+P36*'Geometry'!$G$52+Q36*'Geometry'!$F$52)&lt;=C_eco,C_alpha*C_fck*(1-(1-(O36+P36*'Geometry'!$G$52+Q36*'Geometry'!$F$52)/C_eco)^C_n),C_alpha*C_fck),0)))*'Geometry'!$H$52*'Geometry'!$F$52+((MAX(MIN(S_1_Es*(O36+P36*'Geometry'!$G$53+Q36*'Geometry'!$F$53),S_1_fy),-S_1_fy))-(IF((O36+P36*'Geometry'!$G$53+Q36*'Geometry'!$F$53)&gt;0,IF((O36+P36*'Geometry'!$G$53+Q36*'Geometry'!$F$53)&lt;=C_eco,C_alpha*C_fck*(1-(1-(O36+P36*'Geometry'!$G$53+Q36*'Geometry'!$F$53)/C_eco)^C_n),C_alpha*C_fck),0)))*'Geometry'!$H$53*'Geometry'!$F$53+((MAX(MIN(S_1_Es*(O36+P36*'Geometry'!$G$54+Q36*'Geometry'!$F$54),S_1_fy),-S_1_fy))-(IF((O36+P36*'Geometry'!$G$54+Q36*'Geometry'!$F$54)&gt;0,IF((O36+P36*'Geometry'!$G$54+Q36*'Geometry'!$F$54)&lt;=C_eco,C_alpha*C_fck*(1-(1-(O36+P36*'Geometry'!$G$54+Q36*'Geometry'!$F$54)/C_eco)^C_n),C_alpha*C_fck),0)))*'Geometry'!$H$54*'Geometry'!$F$54+((MAX(MIN(S_1_Es*(O36+P36*'Geometry'!$G$55+Q36*'Geometry'!$F$55),S_1_fy),-S_1_fy))-(IF((O36+P36*'Geometry'!$G$55+Q36*'Geometry'!$F$55)&gt;0,IF((O36+P36*'Geometry'!$G$55+Q36*'Geometry'!$F$55)&lt;=C_eco,C_alpha*C_fck*(1-(1-(O36+P36*'Geometry'!$G$55+Q36*'Geometry'!$F$55)/C_eco)^C_n),C_alpha*C_fck),0)))*'Geometry'!$H$55*'Geometry'!$F$55+((MAX(MIN(S_1_Es*(O36+P36*'Geometry'!$G$56+Q36*'Geometry'!$F$56),S_1_fy),-S_1_fy))-(IF((O36+P36*'Geometry'!$G$56+Q36*'Geometry'!$F$56)&gt;0,IF((O36+P36*'Geometry'!$G$56+Q36*'Geometry'!$F$56)&lt;=C_eco,C_alpha*C_fck*(1-(1-(O36+P36*'Geometry'!$G$56+Q36*'Geometry'!$F$56)/C_eco)^C_n),C_alpha*C_fck),0)))*'Geometry'!$H$56*'Geometry'!$F$56+((MAX(MIN(S_1_Es*(O36+P36*'Geometry'!$G$57+Q36*'Geometry'!$F$57),S_1_fy),-S_1_fy))-(IF((O36+P36*'Geometry'!$G$57+Q36*'Geometry'!$F$57)&gt;0,IF((O36+P36*'Geometry'!$G$57+Q36*'Geometry'!$F$57)&lt;=C_eco,C_alpha*C_fck*(1-(1-(O36+P36*'Geometry'!$G$57+Q36*'Geometry'!$F$57)/C_eco)^C_n),C_alpha*C_fck),0)))*'Geometry'!$H$57*'Geometry'!$F$57)/1000000</f>
        <v>-1380.162075647345</v>
      </c>
      <c r="X36" s="10">
        <f>R36+U36</f>
        <v>-1076.984926983803</v>
      </c>
      <c r="Y36" s="10">
        <f>S36+V36</f>
        <v>528.1525181624479</v>
      </c>
      <c r="Z36" s="10">
        <f>T36+W36</f>
        <v>-3167.320302599614</v>
      </c>
      <c r="AA36" s="7">
        <v>0.85</v>
      </c>
      <c r="AB36" s="7">
        <v>0.85</v>
      </c>
      <c r="AC36" s="10">
        <f>X36*AA36</f>
        <v>-915.4371879362326</v>
      </c>
      <c r="AD36" s="10">
        <f>Y36*AB36</f>
        <v>448.92964043808075</v>
      </c>
      <c r="AE36" s="10">
        <f>Z36*AB36</f>
        <v>-2692.222257209672</v>
      </c>
      <c r="AF36" s="7">
        <v>-915.4371879362326</v>
      </c>
      <c r="AG36" s="7">
        <v>448.92964043808075</v>
      </c>
      <c r="AH36" s="7">
        <v>-2692.222257209672</v>
      </c>
      <c r="AI36" s="15">
        <f>AC36-AF36</f>
        <v>0</v>
      </c>
      <c r="AJ36" s="15">
        <f>SQRT((AD36-AG36)^2+(AE36-AH36)^2)</f>
        <v>0</v>
      </c>
      <c r="AK36" s="7" t="s">
        <v>189</v>
      </c>
      <c r="AL36" s="7">
        <v>-1076.984926983803</v>
      </c>
      <c r="AM36" s="7">
        <v>528.1525181624479</v>
      </c>
      <c r="AN36" s="7">
        <v>-3167.320302599614</v>
      </c>
      <c r="AO36" s="7">
        <v>2657.8438353129627</v>
      </c>
      <c r="AP36" s="7">
        <v>413.8525413053357</v>
      </c>
      <c r="AQ36" s="7">
        <v>-1787.1582269522692</v>
      </c>
      <c r="AR36" s="7">
        <v>-3734.8287622967655</v>
      </c>
      <c r="AS36" s="7">
        <v>114.29997685711223</v>
      </c>
      <c r="AT36" s="7">
        <v>-1380.162075647345</v>
      </c>
    </row>
    <row r="37" spans="1:46" x14ac:dyDescent="0.25">
      <c r="A37" s="7" t="s">
        <v>248</v>
      </c>
      <c r="B37" s="7">
        <v>1</v>
      </c>
      <c r="C37" s="18">
        <v>290</v>
      </c>
      <c r="D37" s="7" t="s">
        <v>249</v>
      </c>
      <c r="E37" s="7" t="s">
        <v>192</v>
      </c>
      <c r="F37" s="19">
        <v>290</v>
      </c>
      <c r="G37" s="7" t="s">
        <v>188</v>
      </c>
      <c r="H37" s="20">
        <v>7.500000000000001</v>
      </c>
      <c r="I37" s="10">
        <f>MAX(('Geometry'!$G$13*COS(RADIANS(F37))+'Geometry'!$F$13*SIN(RADIANS(F37))),('Geometry'!$G$14*COS(RADIANS(F37))+'Geometry'!$F$14*SIN(RADIANS(F37))),('Geometry'!$G$15*COS(RADIANS(F37))+'Geometry'!$F$15*SIN(RADIANS(F37))),('Geometry'!$G$16*COS(RADIANS(F37))+'Geometry'!$F$16*SIN(RADIANS(F37))),('Geometry'!$G$17*COS(RADIANS(F37))+'Geometry'!$F$17*SIN(RADIANS(F37))),('Geometry'!$G$18*COS(RADIANS(F37))+'Geometry'!$F$18*SIN(RADIANS(F37))),('Geometry'!$G$19*COS(RADIANS(F37))+'Geometry'!$F$19*SIN(RADIANS(F37))),('Geometry'!$G$20*COS(RADIANS(F37))+'Geometry'!$F$20*SIN(RADIANS(F37))))</f>
        <v>841.5775229196987</v>
      </c>
      <c r="J37" s="10">
        <f>MIN(('Geometry'!$G$40*COS(RADIANS(F37))+'Geometry'!$F$40*SIN(RADIANS(F37))),('Geometry'!$G$41*COS(RADIANS(F37))+'Geometry'!$F$41*SIN(RADIANS(F37))),('Geometry'!$G$42*COS(RADIANS(F37))+'Geometry'!$F$42*SIN(RADIANS(F37))),('Geometry'!$G$43*COS(RADIANS(F37))+'Geometry'!$F$43*SIN(RADIANS(F37))),('Geometry'!$G$44*COS(RADIANS(F37))+'Geometry'!$F$44*SIN(RADIANS(F37))),('Geometry'!$G$45*COS(RADIANS(F37))+'Geometry'!$F$45*SIN(RADIANS(F37))),('Geometry'!$G$46*COS(RADIANS(F37))+'Geometry'!$F$46*SIN(RADIANS(F37))),('Geometry'!$G$47*COS(RADIANS(F37))+'Geometry'!$F$47*SIN(RADIANS(F37))),('Geometry'!$G$48*COS(RADIANS(F37))+'Geometry'!$F$48*SIN(RADIANS(F37))),('Geometry'!$G$49*COS(RADIANS(F37))+'Geometry'!$F$49*SIN(RADIANS(F37))),('Geometry'!$G$50*COS(RADIANS(F37))+'Geometry'!$F$50*SIN(RADIANS(F37))),('Geometry'!$G$51*COS(RADIANS(F37))+'Geometry'!$F$51*SIN(RADIANS(F37))),('Geometry'!$G$52*COS(RADIANS(F37))+'Geometry'!$F$52*SIN(RADIANS(F37))),('Geometry'!$G$53*COS(RADIANS(F37))+'Geometry'!$F$53*SIN(RADIANS(F37))),('Geometry'!$G$54*COS(RADIANS(F37))+'Geometry'!$F$54*SIN(RADIANS(F37))),('Geometry'!$G$55*COS(RADIANS(F37))+'Geometry'!$F$55*SIN(RADIANS(F37))),('Geometry'!$G$56*COS(RADIANS(F37))+'Geometry'!$F$56*SIN(RADIANS(F37))),('Geometry'!$G$57*COS(RADIANS(F37))+'Geometry'!$F$57*SIN(RADIANS(F37))))</f>
        <v>-741.5970251321182</v>
      </c>
      <c r="K37" s="10">
        <f>I37-MIN(('Geometry'!$G$13*COS(RADIANS(F37))+'Geometry'!$F$13*SIN(RADIANS(F37))),('Geometry'!$G$14*COS(RADIANS(F37))+'Geometry'!$F$14*SIN(RADIANS(F37))),('Geometry'!$G$15*COS(RADIANS(F37))+'Geometry'!$F$15*SIN(RADIANS(F37))),('Geometry'!$G$16*COS(RADIANS(F37))+'Geometry'!$F$16*SIN(RADIANS(F37))),('Geometry'!$G$17*COS(RADIANS(F37))+'Geometry'!$F$17*SIN(RADIANS(F37))),('Geometry'!$G$18*COS(RADIANS(F37))+'Geometry'!$F$18*SIN(RADIANS(F37))),('Geometry'!$G$19*COS(RADIANS(F37))+'Geometry'!$F$19*SIN(RADIANS(F37))),('Geometry'!$G$20*COS(RADIANS(F37))+'Geometry'!$F$20*SIN(RADIANS(F37))))</f>
        <v>1683.1550458393974</v>
      </c>
      <c r="L37" s="15">
        <f>C_ecu</f>
        <v>0.0032999999999999982</v>
      </c>
      <c r="M37" s="15">
        <f>-H37*S_1_fy/S_1_Es</f>
        <v>-0.015000000000000003</v>
      </c>
      <c r="N37" s="21">
        <f>IF(ABS(I37-J37)&lt;0.000000000001,0,(L37-M37)/(I37-J37))</f>
        <v>0.000011559053941663699</v>
      </c>
      <c r="O37" s="15">
        <f>L37-N37*I37</f>
        <v>-0.006427839983520517</v>
      </c>
      <c r="P37" s="21">
        <f>N37*COS(RADIANS(F37))</f>
        <v>0.000003953429285836958</v>
      </c>
      <c r="Q37" s="21">
        <f>N37*SIN(RADIANS(F37))</f>
        <v>-0.000010861957692247645</v>
      </c>
      <c r="R37" s="10">
        <f>SUMPRODUCT(C_alpha*C_fck*(1-(1-(((O37+P37*Mesh_Y+Q37*Mesh_X))*((O37+P37*Mesh_Y+Q37*Mesh_X)&gt;0)*((O37+P37*Mesh_Y+Q37*Mesh_X)&lt;C_eco)+C_eco*((O37+P37*Mesh_Y+Q37*Mesh_X)&gt;=C_eco))/C_eco)^C_n)*(((O37+P37*Mesh_Y+Q37*Mesh_X))&gt;0),Mesh_A)/1000</f>
        <v>2986.575681869066</v>
      </c>
      <c r="S37" s="10">
        <f>SUMPRODUCT(C_alpha*C_fck*(1-(1-(((O37+P37*Mesh_Y+Q37*Mesh_X))*((O37+P37*Mesh_Y+Q37*Mesh_X)&gt;0)*((O37+P37*Mesh_Y+Q37*Mesh_X)&lt;C_eco)+C_eco*((O37+P37*Mesh_Y+Q37*Mesh_X)&gt;=C_eco))/C_eco)^C_n)*(((O37+P37*Mesh_Y+Q37*Mesh_X))&gt;0),Mesh_A,Mesh_Y)/1000000</f>
        <v>782.074777204341</v>
      </c>
      <c r="T37" s="10">
        <f>SUMPRODUCT(C_alpha*C_fck*(1-(1-(((O37+P37*Mesh_Y+Q37*Mesh_X))*((O37+P37*Mesh_Y+Q37*Mesh_X)&gt;0)*((O37+P37*Mesh_Y+Q37*Mesh_X)&lt;C_eco)+C_eco*((O37+P37*Mesh_Y+Q37*Mesh_X)&gt;=C_eco))/C_eco)^C_n)*(((O37+P37*Mesh_Y+Q37*Mesh_X))&gt;0),Mesh_A,Mesh_X)/1000000</f>
        <v>-1898.4599681763552</v>
      </c>
      <c r="U37" s="10">
        <f>(((MAX(MIN(S_1_Es*(O37+P37*'Geometry'!$G$40+Q37*'Geometry'!$F$40),S_1_fy),-S_1_fy))-(IF((O37+P37*'Geometry'!$G$40+Q37*'Geometry'!$F$40)&gt;0,IF((O37+P37*'Geometry'!$G$40+Q37*'Geometry'!$F$40)&lt;=C_eco,C_alpha*C_fck*(1-(1-(O37+P37*'Geometry'!$G$40+Q37*'Geometry'!$F$40)/C_eco)^C_n),C_alpha*C_fck),0)))*'Geometry'!$H$40+((MAX(MIN(S_1_Es*(O37+P37*'Geometry'!$G$41+Q37*'Geometry'!$F$41),S_1_fy),-S_1_fy))-(IF((O37+P37*'Geometry'!$G$41+Q37*'Geometry'!$F$41)&gt;0,IF((O37+P37*'Geometry'!$G$41+Q37*'Geometry'!$F$41)&lt;=C_eco,C_alpha*C_fck*(1-(1-(O37+P37*'Geometry'!$G$41+Q37*'Geometry'!$F$41)/C_eco)^C_n),C_alpha*C_fck),0)))*'Geometry'!$H$41+((MAX(MIN(S_1_Es*(O37+P37*'Geometry'!$G$42+Q37*'Geometry'!$F$42),S_1_fy),-S_1_fy))-(IF((O37+P37*'Geometry'!$G$42+Q37*'Geometry'!$F$42)&gt;0,IF((O37+P37*'Geometry'!$G$42+Q37*'Geometry'!$F$42)&lt;=C_eco,C_alpha*C_fck*(1-(1-(O37+P37*'Geometry'!$G$42+Q37*'Geometry'!$F$42)/C_eco)^C_n),C_alpha*C_fck),0)))*'Geometry'!$H$42+((MAX(MIN(S_1_Es*(O37+P37*'Geometry'!$G$43+Q37*'Geometry'!$F$43),S_1_fy),-S_1_fy))-(IF((O37+P37*'Geometry'!$G$43+Q37*'Geometry'!$F$43)&gt;0,IF((O37+P37*'Geometry'!$G$43+Q37*'Geometry'!$F$43)&lt;=C_eco,C_alpha*C_fck*(1-(1-(O37+P37*'Geometry'!$G$43+Q37*'Geometry'!$F$43)/C_eco)^C_n),C_alpha*C_fck),0)))*'Geometry'!$H$43+((MAX(MIN(S_1_Es*(O37+P37*'Geometry'!$G$44+Q37*'Geometry'!$F$44),S_1_fy),-S_1_fy))-(IF((O37+P37*'Geometry'!$G$44+Q37*'Geometry'!$F$44)&gt;0,IF((O37+P37*'Geometry'!$G$44+Q37*'Geometry'!$F$44)&lt;=C_eco,C_alpha*C_fck*(1-(1-(O37+P37*'Geometry'!$G$44+Q37*'Geometry'!$F$44)/C_eco)^C_n),C_alpha*C_fck),0)))*'Geometry'!$H$44+((MAX(MIN(S_1_Es*(O37+P37*'Geometry'!$G$45+Q37*'Geometry'!$F$45),S_1_fy),-S_1_fy))-(IF((O37+P37*'Geometry'!$G$45+Q37*'Geometry'!$F$45)&gt;0,IF((O37+P37*'Geometry'!$G$45+Q37*'Geometry'!$F$45)&lt;=C_eco,C_alpha*C_fck*(1-(1-(O37+P37*'Geometry'!$G$45+Q37*'Geometry'!$F$45)/C_eco)^C_n),C_alpha*C_fck),0)))*'Geometry'!$H$45+((MAX(MIN(S_1_Es*(O37+P37*'Geometry'!$G$46+Q37*'Geometry'!$F$46),S_1_fy),-S_1_fy))-(IF((O37+P37*'Geometry'!$G$46+Q37*'Geometry'!$F$46)&gt;0,IF((O37+P37*'Geometry'!$G$46+Q37*'Geometry'!$F$46)&lt;=C_eco,C_alpha*C_fck*(1-(1-(O37+P37*'Geometry'!$G$46+Q37*'Geometry'!$F$46)/C_eco)^C_n),C_alpha*C_fck),0)))*'Geometry'!$H$46+((MAX(MIN(S_1_Es*(O37+P37*'Geometry'!$G$47+Q37*'Geometry'!$F$47),S_1_fy),-S_1_fy))-(IF((O37+P37*'Geometry'!$G$47+Q37*'Geometry'!$F$47)&gt;0,IF((O37+P37*'Geometry'!$G$47+Q37*'Geometry'!$F$47)&lt;=C_eco,C_alpha*C_fck*(1-(1-(O37+P37*'Geometry'!$G$47+Q37*'Geometry'!$F$47)/C_eco)^C_n),C_alpha*C_fck),0)))*'Geometry'!$H$47+((MAX(MIN(S_1_Es*(O37+P37*'Geometry'!$G$48+Q37*'Geometry'!$F$48),S_1_fy),-S_1_fy))-(IF((O37+P37*'Geometry'!$G$48+Q37*'Geometry'!$F$48)&gt;0,IF((O37+P37*'Geometry'!$G$48+Q37*'Geometry'!$F$48)&lt;=C_eco,C_alpha*C_fck*(1-(1-(O37+P37*'Geometry'!$G$48+Q37*'Geometry'!$F$48)/C_eco)^C_n),C_alpha*C_fck),0)))*'Geometry'!$H$48+((MAX(MIN(S_1_Es*(O37+P37*'Geometry'!$G$49+Q37*'Geometry'!$F$49),S_1_fy),-S_1_fy))-(IF((O37+P37*'Geometry'!$G$49+Q37*'Geometry'!$F$49)&gt;0,IF((O37+P37*'Geometry'!$G$49+Q37*'Geometry'!$F$49)&lt;=C_eco,C_alpha*C_fck*(1-(1-(O37+P37*'Geometry'!$G$49+Q37*'Geometry'!$F$49)/C_eco)^C_n),C_alpha*C_fck),0)))*'Geometry'!$H$49+((MAX(MIN(S_1_Es*(O37+P37*'Geometry'!$G$50+Q37*'Geometry'!$F$50),S_1_fy),-S_1_fy))-(IF((O37+P37*'Geometry'!$G$50+Q37*'Geometry'!$F$50)&gt;0,IF((O37+P37*'Geometry'!$G$50+Q37*'Geometry'!$F$50)&lt;=C_eco,C_alpha*C_fck*(1-(1-(O37+P37*'Geometry'!$G$50+Q37*'Geometry'!$F$50)/C_eco)^C_n),C_alpha*C_fck),0)))*'Geometry'!$H$50+((MAX(MIN(S_1_Es*(O37+P37*'Geometry'!$G$51+Q37*'Geometry'!$F$51),S_1_fy),-S_1_fy))-(IF((O37+P37*'Geometry'!$G$51+Q37*'Geometry'!$F$51)&gt;0,IF((O37+P37*'Geometry'!$G$51+Q37*'Geometry'!$F$51)&lt;=C_eco,C_alpha*C_fck*(1-(1-(O37+P37*'Geometry'!$G$51+Q37*'Geometry'!$F$51)/C_eco)^C_n),C_alpha*C_fck),0)))*'Geometry'!$H$51+((MAX(MIN(S_1_Es*(O37+P37*'Geometry'!$G$52+Q37*'Geometry'!$F$52),S_1_fy),-S_1_fy))-(IF((O37+P37*'Geometry'!$G$52+Q37*'Geometry'!$F$52)&gt;0,IF((O37+P37*'Geometry'!$G$52+Q37*'Geometry'!$F$52)&lt;=C_eco,C_alpha*C_fck*(1-(1-(O37+P37*'Geometry'!$G$52+Q37*'Geometry'!$F$52)/C_eco)^C_n),C_alpha*C_fck),0)))*'Geometry'!$H$52+((MAX(MIN(S_1_Es*(O37+P37*'Geometry'!$G$53+Q37*'Geometry'!$F$53),S_1_fy),-S_1_fy))-(IF((O37+P37*'Geometry'!$G$53+Q37*'Geometry'!$F$53)&gt;0,IF((O37+P37*'Geometry'!$G$53+Q37*'Geometry'!$F$53)&lt;=C_eco,C_alpha*C_fck*(1-(1-(O37+P37*'Geometry'!$G$53+Q37*'Geometry'!$F$53)/C_eco)^C_n),C_alpha*C_fck),0)))*'Geometry'!$H$53+((MAX(MIN(S_1_Es*(O37+P37*'Geometry'!$G$54+Q37*'Geometry'!$F$54),S_1_fy),-S_1_fy))-(IF((O37+P37*'Geometry'!$G$54+Q37*'Geometry'!$F$54)&gt;0,IF((O37+P37*'Geometry'!$G$54+Q37*'Geometry'!$F$54)&lt;=C_eco,C_alpha*C_fck*(1-(1-(O37+P37*'Geometry'!$G$54+Q37*'Geometry'!$F$54)/C_eco)^C_n),C_alpha*C_fck),0)))*'Geometry'!$H$54+((MAX(MIN(S_1_Es*(O37+P37*'Geometry'!$G$55+Q37*'Geometry'!$F$55),S_1_fy),-S_1_fy))-(IF((O37+P37*'Geometry'!$G$55+Q37*'Geometry'!$F$55)&gt;0,IF((O37+P37*'Geometry'!$G$55+Q37*'Geometry'!$F$55)&lt;=C_eco,C_alpha*C_fck*(1-(1-(O37+P37*'Geometry'!$G$55+Q37*'Geometry'!$F$55)/C_eco)^C_n),C_alpha*C_fck),0)))*'Geometry'!$H$55+((MAX(MIN(S_1_Es*(O37+P37*'Geometry'!$G$56+Q37*'Geometry'!$F$56),S_1_fy),-S_1_fy))-(IF((O37+P37*'Geometry'!$G$56+Q37*'Geometry'!$F$56)&gt;0,IF((O37+P37*'Geometry'!$G$56+Q37*'Geometry'!$F$56)&lt;=C_eco,C_alpha*C_fck*(1-(1-(O37+P37*'Geometry'!$G$56+Q37*'Geometry'!$F$56)/C_eco)^C_n),C_alpha*C_fck),0)))*'Geometry'!$H$56+((MAX(MIN(S_1_Es*(O37+P37*'Geometry'!$G$57+Q37*'Geometry'!$F$57),S_1_fy),-S_1_fy))-(IF((O37+P37*'Geometry'!$G$57+Q37*'Geometry'!$F$57)&gt;0,IF((O37+P37*'Geometry'!$G$57+Q37*'Geometry'!$F$57)&lt;=C_eco,C_alpha*C_fck*(1-(1-(O37+P37*'Geometry'!$G$57+Q37*'Geometry'!$F$57)/C_eco)^C_n),C_alpha*C_fck),0)))*'Geometry'!$H$57)/1000</f>
        <v>-3635.812564656077</v>
      </c>
      <c r="V37" s="10">
        <f>(((MAX(MIN(S_1_Es*(O37+P37*'Geometry'!$G$40+Q37*'Geometry'!$F$40),S_1_fy),-S_1_fy))-(IF((O37+P37*'Geometry'!$G$40+Q37*'Geometry'!$F$40)&gt;0,IF((O37+P37*'Geometry'!$G$40+Q37*'Geometry'!$F$40)&lt;=C_eco,C_alpha*C_fck*(1-(1-(O37+P37*'Geometry'!$G$40+Q37*'Geometry'!$F$40)/C_eco)^C_n),C_alpha*C_fck),0)))*'Geometry'!$H$40*'Geometry'!$G$40+((MAX(MIN(S_1_Es*(O37+P37*'Geometry'!$G$41+Q37*'Geometry'!$F$41),S_1_fy),-S_1_fy))-(IF((O37+P37*'Geometry'!$G$41+Q37*'Geometry'!$F$41)&gt;0,IF((O37+P37*'Geometry'!$G$41+Q37*'Geometry'!$F$41)&lt;=C_eco,C_alpha*C_fck*(1-(1-(O37+P37*'Geometry'!$G$41+Q37*'Geometry'!$F$41)/C_eco)^C_n),C_alpha*C_fck),0)))*'Geometry'!$H$41*'Geometry'!$G$41+((MAX(MIN(S_1_Es*(O37+P37*'Geometry'!$G$42+Q37*'Geometry'!$F$42),S_1_fy),-S_1_fy))-(IF((O37+P37*'Geometry'!$G$42+Q37*'Geometry'!$F$42)&gt;0,IF((O37+P37*'Geometry'!$G$42+Q37*'Geometry'!$F$42)&lt;=C_eco,C_alpha*C_fck*(1-(1-(O37+P37*'Geometry'!$G$42+Q37*'Geometry'!$F$42)/C_eco)^C_n),C_alpha*C_fck),0)))*'Geometry'!$H$42*'Geometry'!$G$42+((MAX(MIN(S_1_Es*(O37+P37*'Geometry'!$G$43+Q37*'Geometry'!$F$43),S_1_fy),-S_1_fy))-(IF((O37+P37*'Geometry'!$G$43+Q37*'Geometry'!$F$43)&gt;0,IF((O37+P37*'Geometry'!$G$43+Q37*'Geometry'!$F$43)&lt;=C_eco,C_alpha*C_fck*(1-(1-(O37+P37*'Geometry'!$G$43+Q37*'Geometry'!$F$43)/C_eco)^C_n),C_alpha*C_fck),0)))*'Geometry'!$H$43*'Geometry'!$G$43+((MAX(MIN(S_1_Es*(O37+P37*'Geometry'!$G$44+Q37*'Geometry'!$F$44),S_1_fy),-S_1_fy))-(IF((O37+P37*'Geometry'!$G$44+Q37*'Geometry'!$F$44)&gt;0,IF((O37+P37*'Geometry'!$G$44+Q37*'Geometry'!$F$44)&lt;=C_eco,C_alpha*C_fck*(1-(1-(O37+P37*'Geometry'!$G$44+Q37*'Geometry'!$F$44)/C_eco)^C_n),C_alpha*C_fck),0)))*'Geometry'!$H$44*'Geometry'!$G$44+((MAX(MIN(S_1_Es*(O37+P37*'Geometry'!$G$45+Q37*'Geometry'!$F$45),S_1_fy),-S_1_fy))-(IF((O37+P37*'Geometry'!$G$45+Q37*'Geometry'!$F$45)&gt;0,IF((O37+P37*'Geometry'!$G$45+Q37*'Geometry'!$F$45)&lt;=C_eco,C_alpha*C_fck*(1-(1-(O37+P37*'Geometry'!$G$45+Q37*'Geometry'!$F$45)/C_eco)^C_n),C_alpha*C_fck),0)))*'Geometry'!$H$45*'Geometry'!$G$45+((MAX(MIN(S_1_Es*(O37+P37*'Geometry'!$G$46+Q37*'Geometry'!$F$46),S_1_fy),-S_1_fy))-(IF((O37+P37*'Geometry'!$G$46+Q37*'Geometry'!$F$46)&gt;0,IF((O37+P37*'Geometry'!$G$46+Q37*'Geometry'!$F$46)&lt;=C_eco,C_alpha*C_fck*(1-(1-(O37+P37*'Geometry'!$G$46+Q37*'Geometry'!$F$46)/C_eco)^C_n),C_alpha*C_fck),0)))*'Geometry'!$H$46*'Geometry'!$G$46+((MAX(MIN(S_1_Es*(O37+P37*'Geometry'!$G$47+Q37*'Geometry'!$F$47),S_1_fy),-S_1_fy))-(IF((O37+P37*'Geometry'!$G$47+Q37*'Geometry'!$F$47)&gt;0,IF((O37+P37*'Geometry'!$G$47+Q37*'Geometry'!$F$47)&lt;=C_eco,C_alpha*C_fck*(1-(1-(O37+P37*'Geometry'!$G$47+Q37*'Geometry'!$F$47)/C_eco)^C_n),C_alpha*C_fck),0)))*'Geometry'!$H$47*'Geometry'!$G$47+((MAX(MIN(S_1_Es*(O37+P37*'Geometry'!$G$48+Q37*'Geometry'!$F$48),S_1_fy),-S_1_fy))-(IF((O37+P37*'Geometry'!$G$48+Q37*'Geometry'!$F$48)&gt;0,IF((O37+P37*'Geometry'!$G$48+Q37*'Geometry'!$F$48)&lt;=C_eco,C_alpha*C_fck*(1-(1-(O37+P37*'Geometry'!$G$48+Q37*'Geometry'!$F$48)/C_eco)^C_n),C_alpha*C_fck),0)))*'Geometry'!$H$48*'Geometry'!$G$48+((MAX(MIN(S_1_Es*(O37+P37*'Geometry'!$G$49+Q37*'Geometry'!$F$49),S_1_fy),-S_1_fy))-(IF((O37+P37*'Geometry'!$G$49+Q37*'Geometry'!$F$49)&gt;0,IF((O37+P37*'Geometry'!$G$49+Q37*'Geometry'!$F$49)&lt;=C_eco,C_alpha*C_fck*(1-(1-(O37+P37*'Geometry'!$G$49+Q37*'Geometry'!$F$49)/C_eco)^C_n),C_alpha*C_fck),0)))*'Geometry'!$H$49*'Geometry'!$G$49+((MAX(MIN(S_1_Es*(O37+P37*'Geometry'!$G$50+Q37*'Geometry'!$F$50),S_1_fy),-S_1_fy))-(IF((O37+P37*'Geometry'!$G$50+Q37*'Geometry'!$F$50)&gt;0,IF((O37+P37*'Geometry'!$G$50+Q37*'Geometry'!$F$50)&lt;=C_eco,C_alpha*C_fck*(1-(1-(O37+P37*'Geometry'!$G$50+Q37*'Geometry'!$F$50)/C_eco)^C_n),C_alpha*C_fck),0)))*'Geometry'!$H$50*'Geometry'!$G$50+((MAX(MIN(S_1_Es*(O37+P37*'Geometry'!$G$51+Q37*'Geometry'!$F$51),S_1_fy),-S_1_fy))-(IF((O37+P37*'Geometry'!$G$51+Q37*'Geometry'!$F$51)&gt;0,IF((O37+P37*'Geometry'!$G$51+Q37*'Geometry'!$F$51)&lt;=C_eco,C_alpha*C_fck*(1-(1-(O37+P37*'Geometry'!$G$51+Q37*'Geometry'!$F$51)/C_eco)^C_n),C_alpha*C_fck),0)))*'Geometry'!$H$51*'Geometry'!$G$51+((MAX(MIN(S_1_Es*(O37+P37*'Geometry'!$G$52+Q37*'Geometry'!$F$52),S_1_fy),-S_1_fy))-(IF((O37+P37*'Geometry'!$G$52+Q37*'Geometry'!$F$52)&gt;0,IF((O37+P37*'Geometry'!$G$52+Q37*'Geometry'!$F$52)&lt;=C_eco,C_alpha*C_fck*(1-(1-(O37+P37*'Geometry'!$G$52+Q37*'Geometry'!$F$52)/C_eco)^C_n),C_alpha*C_fck),0)))*'Geometry'!$H$52*'Geometry'!$G$52+((MAX(MIN(S_1_Es*(O37+P37*'Geometry'!$G$53+Q37*'Geometry'!$F$53),S_1_fy),-S_1_fy))-(IF((O37+P37*'Geometry'!$G$53+Q37*'Geometry'!$F$53)&gt;0,IF((O37+P37*'Geometry'!$G$53+Q37*'Geometry'!$F$53)&lt;=C_eco,C_alpha*C_fck*(1-(1-(O37+P37*'Geometry'!$G$53+Q37*'Geometry'!$F$53)/C_eco)^C_n),C_alpha*C_fck),0)))*'Geometry'!$H$53*'Geometry'!$G$53+((MAX(MIN(S_1_Es*(O37+P37*'Geometry'!$G$54+Q37*'Geometry'!$F$54),S_1_fy),-S_1_fy))-(IF((O37+P37*'Geometry'!$G$54+Q37*'Geometry'!$F$54)&gt;0,IF((O37+P37*'Geometry'!$G$54+Q37*'Geometry'!$F$54)&lt;=C_eco,C_alpha*C_fck*(1-(1-(O37+P37*'Geometry'!$G$54+Q37*'Geometry'!$F$54)/C_eco)^C_n),C_alpha*C_fck),0)))*'Geometry'!$H$54*'Geometry'!$G$54+((MAX(MIN(S_1_Es*(O37+P37*'Geometry'!$G$55+Q37*'Geometry'!$F$55),S_1_fy),-S_1_fy))-(IF((O37+P37*'Geometry'!$G$55+Q37*'Geometry'!$F$55)&gt;0,IF((O37+P37*'Geometry'!$G$55+Q37*'Geometry'!$F$55)&lt;=C_eco,C_alpha*C_fck*(1-(1-(O37+P37*'Geometry'!$G$55+Q37*'Geometry'!$F$55)/C_eco)^C_n),C_alpha*C_fck),0)))*'Geometry'!$H$55*'Geometry'!$G$55+((MAX(MIN(S_1_Es*(O37+P37*'Geometry'!$G$56+Q37*'Geometry'!$F$56),S_1_fy),-S_1_fy))-(IF((O37+P37*'Geometry'!$G$56+Q37*'Geometry'!$F$56)&gt;0,IF((O37+P37*'Geometry'!$G$56+Q37*'Geometry'!$F$56)&lt;=C_eco,C_alpha*C_fck*(1-(1-(O37+P37*'Geometry'!$G$56+Q37*'Geometry'!$F$56)/C_eco)^C_n),C_alpha*C_fck),0)))*'Geometry'!$H$56*'Geometry'!$G$56+((MAX(MIN(S_1_Es*(O37+P37*'Geometry'!$G$57+Q37*'Geometry'!$F$57),S_1_fy),-S_1_fy))-(IF((O37+P37*'Geometry'!$G$57+Q37*'Geometry'!$F$57)&gt;0,IF((O37+P37*'Geometry'!$G$57+Q37*'Geometry'!$F$57)&lt;=C_eco,C_alpha*C_fck*(1-(1-(O37+P37*'Geometry'!$G$57+Q37*'Geometry'!$F$57)/C_eco)^C_n),C_alpha*C_fck),0)))*'Geometry'!$H$57*'Geometry'!$G$57)/1000000</f>
        <v>284.6331024035583</v>
      </c>
      <c r="W37" s="10">
        <f>(((MAX(MIN(S_1_Es*(O37+P37*'Geometry'!$G$40+Q37*'Geometry'!$F$40),S_1_fy),-S_1_fy))-(IF((O37+P37*'Geometry'!$G$40+Q37*'Geometry'!$F$40)&gt;0,IF((O37+P37*'Geometry'!$G$40+Q37*'Geometry'!$F$40)&lt;=C_eco,C_alpha*C_fck*(1-(1-(O37+P37*'Geometry'!$G$40+Q37*'Geometry'!$F$40)/C_eco)^C_n),C_alpha*C_fck),0)))*'Geometry'!$H$40*'Geometry'!$F$40+((MAX(MIN(S_1_Es*(O37+P37*'Geometry'!$G$41+Q37*'Geometry'!$F$41),S_1_fy),-S_1_fy))-(IF((O37+P37*'Geometry'!$G$41+Q37*'Geometry'!$F$41)&gt;0,IF((O37+P37*'Geometry'!$G$41+Q37*'Geometry'!$F$41)&lt;=C_eco,C_alpha*C_fck*(1-(1-(O37+P37*'Geometry'!$G$41+Q37*'Geometry'!$F$41)/C_eco)^C_n),C_alpha*C_fck),0)))*'Geometry'!$H$41*'Geometry'!$F$41+((MAX(MIN(S_1_Es*(O37+P37*'Geometry'!$G$42+Q37*'Geometry'!$F$42),S_1_fy),-S_1_fy))-(IF((O37+P37*'Geometry'!$G$42+Q37*'Geometry'!$F$42)&gt;0,IF((O37+P37*'Geometry'!$G$42+Q37*'Geometry'!$F$42)&lt;=C_eco,C_alpha*C_fck*(1-(1-(O37+P37*'Geometry'!$G$42+Q37*'Geometry'!$F$42)/C_eco)^C_n),C_alpha*C_fck),0)))*'Geometry'!$H$42*'Geometry'!$F$42+((MAX(MIN(S_1_Es*(O37+P37*'Geometry'!$G$43+Q37*'Geometry'!$F$43),S_1_fy),-S_1_fy))-(IF((O37+P37*'Geometry'!$G$43+Q37*'Geometry'!$F$43)&gt;0,IF((O37+P37*'Geometry'!$G$43+Q37*'Geometry'!$F$43)&lt;=C_eco,C_alpha*C_fck*(1-(1-(O37+P37*'Geometry'!$G$43+Q37*'Geometry'!$F$43)/C_eco)^C_n),C_alpha*C_fck),0)))*'Geometry'!$H$43*'Geometry'!$F$43+((MAX(MIN(S_1_Es*(O37+P37*'Geometry'!$G$44+Q37*'Geometry'!$F$44),S_1_fy),-S_1_fy))-(IF((O37+P37*'Geometry'!$G$44+Q37*'Geometry'!$F$44)&gt;0,IF((O37+P37*'Geometry'!$G$44+Q37*'Geometry'!$F$44)&lt;=C_eco,C_alpha*C_fck*(1-(1-(O37+P37*'Geometry'!$G$44+Q37*'Geometry'!$F$44)/C_eco)^C_n),C_alpha*C_fck),0)))*'Geometry'!$H$44*'Geometry'!$F$44+((MAX(MIN(S_1_Es*(O37+P37*'Geometry'!$G$45+Q37*'Geometry'!$F$45),S_1_fy),-S_1_fy))-(IF((O37+P37*'Geometry'!$G$45+Q37*'Geometry'!$F$45)&gt;0,IF((O37+P37*'Geometry'!$G$45+Q37*'Geometry'!$F$45)&lt;=C_eco,C_alpha*C_fck*(1-(1-(O37+P37*'Geometry'!$G$45+Q37*'Geometry'!$F$45)/C_eco)^C_n),C_alpha*C_fck),0)))*'Geometry'!$H$45*'Geometry'!$F$45+((MAX(MIN(S_1_Es*(O37+P37*'Geometry'!$G$46+Q37*'Geometry'!$F$46),S_1_fy),-S_1_fy))-(IF((O37+P37*'Geometry'!$G$46+Q37*'Geometry'!$F$46)&gt;0,IF((O37+P37*'Geometry'!$G$46+Q37*'Geometry'!$F$46)&lt;=C_eco,C_alpha*C_fck*(1-(1-(O37+P37*'Geometry'!$G$46+Q37*'Geometry'!$F$46)/C_eco)^C_n),C_alpha*C_fck),0)))*'Geometry'!$H$46*'Geometry'!$F$46+((MAX(MIN(S_1_Es*(O37+P37*'Geometry'!$G$47+Q37*'Geometry'!$F$47),S_1_fy),-S_1_fy))-(IF((O37+P37*'Geometry'!$G$47+Q37*'Geometry'!$F$47)&gt;0,IF((O37+P37*'Geometry'!$G$47+Q37*'Geometry'!$F$47)&lt;=C_eco,C_alpha*C_fck*(1-(1-(O37+P37*'Geometry'!$G$47+Q37*'Geometry'!$F$47)/C_eco)^C_n),C_alpha*C_fck),0)))*'Geometry'!$H$47*'Geometry'!$F$47+((MAX(MIN(S_1_Es*(O37+P37*'Geometry'!$G$48+Q37*'Geometry'!$F$48),S_1_fy),-S_1_fy))-(IF((O37+P37*'Geometry'!$G$48+Q37*'Geometry'!$F$48)&gt;0,IF((O37+P37*'Geometry'!$G$48+Q37*'Geometry'!$F$48)&lt;=C_eco,C_alpha*C_fck*(1-(1-(O37+P37*'Geometry'!$G$48+Q37*'Geometry'!$F$48)/C_eco)^C_n),C_alpha*C_fck),0)))*'Geometry'!$H$48*'Geometry'!$F$48+((MAX(MIN(S_1_Es*(O37+P37*'Geometry'!$G$49+Q37*'Geometry'!$F$49),S_1_fy),-S_1_fy))-(IF((O37+P37*'Geometry'!$G$49+Q37*'Geometry'!$F$49)&gt;0,IF((O37+P37*'Geometry'!$G$49+Q37*'Geometry'!$F$49)&lt;=C_eco,C_alpha*C_fck*(1-(1-(O37+P37*'Geometry'!$G$49+Q37*'Geometry'!$F$49)/C_eco)^C_n),C_alpha*C_fck),0)))*'Geometry'!$H$49*'Geometry'!$F$49+((MAX(MIN(S_1_Es*(O37+P37*'Geometry'!$G$50+Q37*'Geometry'!$F$50),S_1_fy),-S_1_fy))-(IF((O37+P37*'Geometry'!$G$50+Q37*'Geometry'!$F$50)&gt;0,IF((O37+P37*'Geometry'!$G$50+Q37*'Geometry'!$F$50)&lt;=C_eco,C_alpha*C_fck*(1-(1-(O37+P37*'Geometry'!$G$50+Q37*'Geometry'!$F$50)/C_eco)^C_n),C_alpha*C_fck),0)))*'Geometry'!$H$50*'Geometry'!$F$50+((MAX(MIN(S_1_Es*(O37+P37*'Geometry'!$G$51+Q37*'Geometry'!$F$51),S_1_fy),-S_1_fy))-(IF((O37+P37*'Geometry'!$G$51+Q37*'Geometry'!$F$51)&gt;0,IF((O37+P37*'Geometry'!$G$51+Q37*'Geometry'!$F$51)&lt;=C_eco,C_alpha*C_fck*(1-(1-(O37+P37*'Geometry'!$G$51+Q37*'Geometry'!$F$51)/C_eco)^C_n),C_alpha*C_fck),0)))*'Geometry'!$H$51*'Geometry'!$F$51+((MAX(MIN(S_1_Es*(O37+P37*'Geometry'!$G$52+Q37*'Geometry'!$F$52),S_1_fy),-S_1_fy))-(IF((O37+P37*'Geometry'!$G$52+Q37*'Geometry'!$F$52)&gt;0,IF((O37+P37*'Geometry'!$G$52+Q37*'Geometry'!$F$52)&lt;=C_eco,C_alpha*C_fck*(1-(1-(O37+P37*'Geometry'!$G$52+Q37*'Geometry'!$F$52)/C_eco)^C_n),C_alpha*C_fck),0)))*'Geometry'!$H$52*'Geometry'!$F$52+((MAX(MIN(S_1_Es*(O37+P37*'Geometry'!$G$53+Q37*'Geometry'!$F$53),S_1_fy),-S_1_fy))-(IF((O37+P37*'Geometry'!$G$53+Q37*'Geometry'!$F$53)&gt;0,IF((O37+P37*'Geometry'!$G$53+Q37*'Geometry'!$F$53)&lt;=C_eco,C_alpha*C_fck*(1-(1-(O37+P37*'Geometry'!$G$53+Q37*'Geometry'!$F$53)/C_eco)^C_n),C_alpha*C_fck),0)))*'Geometry'!$H$53*'Geometry'!$F$53+((MAX(MIN(S_1_Es*(O37+P37*'Geometry'!$G$54+Q37*'Geometry'!$F$54),S_1_fy),-S_1_fy))-(IF((O37+P37*'Geometry'!$G$54+Q37*'Geometry'!$F$54)&gt;0,IF((O37+P37*'Geometry'!$G$54+Q37*'Geometry'!$F$54)&lt;=C_eco,C_alpha*C_fck*(1-(1-(O37+P37*'Geometry'!$G$54+Q37*'Geometry'!$F$54)/C_eco)^C_n),C_alpha*C_fck),0)))*'Geometry'!$H$54*'Geometry'!$F$54+((MAX(MIN(S_1_Es*(O37+P37*'Geometry'!$G$55+Q37*'Geometry'!$F$55),S_1_fy),-S_1_fy))-(IF((O37+P37*'Geometry'!$G$55+Q37*'Geometry'!$F$55)&gt;0,IF((O37+P37*'Geometry'!$G$55+Q37*'Geometry'!$F$55)&lt;=C_eco,C_alpha*C_fck*(1-(1-(O37+P37*'Geometry'!$G$55+Q37*'Geometry'!$F$55)/C_eco)^C_n),C_alpha*C_fck),0)))*'Geometry'!$H$55*'Geometry'!$F$55+((MAX(MIN(S_1_Es*(O37+P37*'Geometry'!$G$56+Q37*'Geometry'!$F$56),S_1_fy),-S_1_fy))-(IF((O37+P37*'Geometry'!$G$56+Q37*'Geometry'!$F$56)&gt;0,IF((O37+P37*'Geometry'!$G$56+Q37*'Geometry'!$F$56)&lt;=C_eco,C_alpha*C_fck*(1-(1-(O37+P37*'Geometry'!$G$56+Q37*'Geometry'!$F$56)/C_eco)^C_n),C_alpha*C_fck),0)))*'Geometry'!$H$56*'Geometry'!$F$56+((MAX(MIN(S_1_Es*(O37+P37*'Geometry'!$G$57+Q37*'Geometry'!$F$57),S_1_fy),-S_1_fy))-(IF((O37+P37*'Geometry'!$G$57+Q37*'Geometry'!$F$57)&gt;0,IF((O37+P37*'Geometry'!$G$57+Q37*'Geometry'!$F$57)&lt;=C_eco,C_alpha*C_fck*(1-(1-(O37+P37*'Geometry'!$G$57+Q37*'Geometry'!$F$57)/C_eco)^C_n),C_alpha*C_fck),0)))*'Geometry'!$H$57*'Geometry'!$F$57)/1000000</f>
        <v>-1374.6865419294923</v>
      </c>
      <c r="X37" s="10">
        <f>R37+U37</f>
        <v>-649.2368827870106</v>
      </c>
      <c r="Y37" s="10">
        <f>S37+V37</f>
        <v>1066.7078796078993</v>
      </c>
      <c r="Z37" s="10">
        <f>T37+W37</f>
        <v>-3273.1465101058475</v>
      </c>
      <c r="AA37" s="7">
        <v>0.85</v>
      </c>
      <c r="AB37" s="7">
        <v>0.8499999999999998</v>
      </c>
      <c r="AC37" s="10">
        <f>X37*AA37</f>
        <v>-551.8513503689591</v>
      </c>
      <c r="AD37" s="10">
        <f>Y37*AB37</f>
        <v>906.7016976667143</v>
      </c>
      <c r="AE37" s="10">
        <f>Z37*AB37</f>
        <v>-2782.17453358997</v>
      </c>
      <c r="AF37" s="7">
        <v>-551.8513503689591</v>
      </c>
      <c r="AG37" s="7">
        <v>906.7016976667143</v>
      </c>
      <c r="AH37" s="7">
        <v>-2782.17453358997</v>
      </c>
      <c r="AI37" s="15">
        <f>AC37-AF37</f>
        <v>0</v>
      </c>
      <c r="AJ37" s="15">
        <f>SQRT((AD37-AG37)^2+(AE37-AH37)^2)</f>
        <v>0</v>
      </c>
      <c r="AK37" s="7" t="s">
        <v>189</v>
      </c>
      <c r="AL37" s="7">
        <v>-649.2368827870106</v>
      </c>
      <c r="AM37" s="7">
        <v>1066.7078796078993</v>
      </c>
      <c r="AN37" s="7">
        <v>-3273.1465101058475</v>
      </c>
      <c r="AO37" s="7">
        <v>2986.575681869066</v>
      </c>
      <c r="AP37" s="7">
        <v>782.074777204341</v>
      </c>
      <c r="AQ37" s="7">
        <v>-1898.4599681763552</v>
      </c>
      <c r="AR37" s="7">
        <v>-3635.812564656077</v>
      </c>
      <c r="AS37" s="7">
        <v>284.6331024035583</v>
      </c>
      <c r="AT37" s="7">
        <v>-1374.6865419294923</v>
      </c>
    </row>
    <row r="38" spans="1:46" x14ac:dyDescent="0.25">
      <c r="A38" s="7" t="s">
        <v>250</v>
      </c>
      <c r="B38" s="7">
        <v>1</v>
      </c>
      <c r="C38" s="18">
        <v>300</v>
      </c>
      <c r="D38" s="7" t="s">
        <v>251</v>
      </c>
      <c r="E38" s="7" t="s">
        <v>192</v>
      </c>
      <c r="F38" s="19">
        <v>299.99999999999994</v>
      </c>
      <c r="G38" s="7" t="s">
        <v>188</v>
      </c>
      <c r="H38" s="20">
        <v>7.500000000000001</v>
      </c>
      <c r="I38" s="10">
        <f>MAX(('Geometry'!$G$13*COS(RADIANS(F38))+'Geometry'!$F$13*SIN(RADIANS(F38))),('Geometry'!$G$14*COS(RADIANS(F38))+'Geometry'!$F$14*SIN(RADIANS(F38))),('Geometry'!$G$15*COS(RADIANS(F38))+'Geometry'!$F$15*SIN(RADIANS(F38))),('Geometry'!$G$16*COS(RADIANS(F38))+'Geometry'!$F$16*SIN(RADIANS(F38))),('Geometry'!$G$17*COS(RADIANS(F38))+'Geometry'!$F$17*SIN(RADIANS(F38))),('Geometry'!$G$18*COS(RADIANS(F38))+'Geometry'!$F$18*SIN(RADIANS(F38))),('Geometry'!$G$19*COS(RADIANS(F38))+'Geometry'!$F$19*SIN(RADIANS(F38))),('Geometry'!$G$20*COS(RADIANS(F38))+'Geometry'!$F$20*SIN(RADIANS(F38))))</f>
        <v>849.519052838329</v>
      </c>
      <c r="J38" s="10">
        <f>MIN(('Geometry'!$G$40*COS(RADIANS(F38))+'Geometry'!$F$40*SIN(RADIANS(F38))),('Geometry'!$G$41*COS(RADIANS(F38))+'Geometry'!$F$41*SIN(RADIANS(F38))),('Geometry'!$G$42*COS(RADIANS(F38))+'Geometry'!$F$42*SIN(RADIANS(F38))),('Geometry'!$G$43*COS(RADIANS(F38))+'Geometry'!$F$43*SIN(RADIANS(F38))),('Geometry'!$G$44*COS(RADIANS(F38))+'Geometry'!$F$44*SIN(RADIANS(F38))),('Geometry'!$G$45*COS(RADIANS(F38))+'Geometry'!$F$45*SIN(RADIANS(F38))),('Geometry'!$G$46*COS(RADIANS(F38))+'Geometry'!$F$46*SIN(RADIANS(F38))),('Geometry'!$G$47*COS(RADIANS(F38))+'Geometry'!$F$47*SIN(RADIANS(F38))),('Geometry'!$G$48*COS(RADIANS(F38))+'Geometry'!$F$48*SIN(RADIANS(F38))),('Geometry'!$G$49*COS(RADIANS(F38))+'Geometry'!$F$49*SIN(RADIANS(F38))),('Geometry'!$G$50*COS(RADIANS(F38))+'Geometry'!$F$50*SIN(RADIANS(F38))),('Geometry'!$G$51*COS(RADIANS(F38))+'Geometry'!$F$51*SIN(RADIANS(F38))),('Geometry'!$G$52*COS(RADIANS(F38))+'Geometry'!$F$52*SIN(RADIANS(F38))),('Geometry'!$G$53*COS(RADIANS(F38))+'Geometry'!$F$53*SIN(RADIANS(F38))),('Geometry'!$G$54*COS(RADIANS(F38))+'Geometry'!$F$54*SIN(RADIANS(F38))),('Geometry'!$G$55*COS(RADIANS(F38))+'Geometry'!$F$55*SIN(RADIANS(F38))),('Geometry'!$G$56*COS(RADIANS(F38))+'Geometry'!$F$56*SIN(RADIANS(F38))),('Geometry'!$G$57*COS(RADIANS(F38))+'Geometry'!$F$57*SIN(RADIANS(F38))))</f>
        <v>-738.8972745734184</v>
      </c>
      <c r="K38" s="10">
        <f>I38-MIN(('Geometry'!$G$13*COS(RADIANS(F38))+'Geometry'!$F$13*SIN(RADIANS(F38))),('Geometry'!$G$14*COS(RADIANS(F38))+'Geometry'!$F$14*SIN(RADIANS(F38))),('Geometry'!$G$15*COS(RADIANS(F38))+'Geometry'!$F$15*SIN(RADIANS(F38))),('Geometry'!$G$16*COS(RADIANS(F38))+'Geometry'!$F$16*SIN(RADIANS(F38))),('Geometry'!$G$17*COS(RADIANS(F38))+'Geometry'!$F$17*SIN(RADIANS(F38))),('Geometry'!$G$18*COS(RADIANS(F38))+'Geometry'!$F$18*SIN(RADIANS(F38))),('Geometry'!$G$19*COS(RADIANS(F38))+'Geometry'!$F$19*SIN(RADIANS(F38))),('Geometry'!$G$20*COS(RADIANS(F38))+'Geometry'!$F$20*SIN(RADIANS(F38))))</f>
        <v>1699.038105676658</v>
      </c>
      <c r="L38" s="15">
        <f>C_ecu</f>
        <v>0.0033</v>
      </c>
      <c r="M38" s="15">
        <f>-H38*S_1_fy/S_1_Es</f>
        <v>-0.015000000000000003</v>
      </c>
      <c r="N38" s="21">
        <f>IF(ABS(I38-J38)&lt;0.000000000001,0,(L38-M38)/(I38-J38))</f>
        <v>0.000011520909023781583</v>
      </c>
      <c r="O38" s="15">
        <f>L38-N38*I38</f>
        <v>-0.006487231721719488</v>
      </c>
      <c r="P38" s="21">
        <f>N38*COS(RADIANS(F38))</f>
        <v>0.000005760454511890784</v>
      </c>
      <c r="Q38" s="21">
        <f>N38*SIN(RADIANS(F38))</f>
        <v>-0.000009977399889284232</v>
      </c>
      <c r="R38" s="10">
        <f>SUMPRODUCT(C_alpha*C_fck*(1-(1-(((O38+P38*Mesh_Y+Q38*Mesh_X))*((O38+P38*Mesh_Y+Q38*Mesh_X)&gt;0)*((O38+P38*Mesh_Y+Q38*Mesh_X)&lt;C_eco)+C_eco*((O38+P38*Mesh_Y+Q38*Mesh_X)&gt;=C_eco))/C_eco)^C_n)*(((O38+P38*Mesh_Y+Q38*Mesh_X))&gt;0),Mesh_A)/1000</f>
        <v>2657.9721452538147</v>
      </c>
      <c r="S38" s="10">
        <f>SUMPRODUCT(C_alpha*C_fck*(1-(1-(((O38+P38*Mesh_Y+Q38*Mesh_X))*((O38+P38*Mesh_Y+Q38*Mesh_X)&gt;0)*((O38+P38*Mesh_Y+Q38*Mesh_X)&lt;C_eco)+C_eco*((O38+P38*Mesh_Y+Q38*Mesh_X)&gt;=C_eco))/C_eco)^C_n)*(((O38+P38*Mesh_Y+Q38*Mesh_X))&gt;0),Mesh_A,Mesh_Y)/1000000</f>
        <v>919.4642436918497</v>
      </c>
      <c r="T38" s="10">
        <f>SUMPRODUCT(C_alpha*C_fck*(1-(1-(((O38+P38*Mesh_Y+Q38*Mesh_X))*((O38+P38*Mesh_Y+Q38*Mesh_X)&gt;0)*((O38+P38*Mesh_Y+Q38*Mesh_X)&lt;C_eco)+C_eco*((O38+P38*Mesh_Y+Q38*Mesh_X)&gt;=C_eco))/C_eco)^C_n)*(((O38+P38*Mesh_Y+Q38*Mesh_X))&gt;0),Mesh_A,Mesh_X)/1000000</f>
        <v>-1621.0005695545076</v>
      </c>
      <c r="U38" s="10">
        <f>(((MAX(MIN(S_1_Es*(O38+P38*'Geometry'!$G$40+Q38*'Geometry'!$F$40),S_1_fy),-S_1_fy))-(IF((O38+P38*'Geometry'!$G$40+Q38*'Geometry'!$F$40)&gt;0,IF((O38+P38*'Geometry'!$G$40+Q38*'Geometry'!$F$40)&lt;=C_eco,C_alpha*C_fck*(1-(1-(O38+P38*'Geometry'!$G$40+Q38*'Geometry'!$F$40)/C_eco)^C_n),C_alpha*C_fck),0)))*'Geometry'!$H$40+((MAX(MIN(S_1_Es*(O38+P38*'Geometry'!$G$41+Q38*'Geometry'!$F$41),S_1_fy),-S_1_fy))-(IF((O38+P38*'Geometry'!$G$41+Q38*'Geometry'!$F$41)&gt;0,IF((O38+P38*'Geometry'!$G$41+Q38*'Geometry'!$F$41)&lt;=C_eco,C_alpha*C_fck*(1-(1-(O38+P38*'Geometry'!$G$41+Q38*'Geometry'!$F$41)/C_eco)^C_n),C_alpha*C_fck),0)))*'Geometry'!$H$41+((MAX(MIN(S_1_Es*(O38+P38*'Geometry'!$G$42+Q38*'Geometry'!$F$42),S_1_fy),-S_1_fy))-(IF((O38+P38*'Geometry'!$G$42+Q38*'Geometry'!$F$42)&gt;0,IF((O38+P38*'Geometry'!$G$42+Q38*'Geometry'!$F$42)&lt;=C_eco,C_alpha*C_fck*(1-(1-(O38+P38*'Geometry'!$G$42+Q38*'Geometry'!$F$42)/C_eco)^C_n),C_alpha*C_fck),0)))*'Geometry'!$H$42+((MAX(MIN(S_1_Es*(O38+P38*'Geometry'!$G$43+Q38*'Geometry'!$F$43),S_1_fy),-S_1_fy))-(IF((O38+P38*'Geometry'!$G$43+Q38*'Geometry'!$F$43)&gt;0,IF((O38+P38*'Geometry'!$G$43+Q38*'Geometry'!$F$43)&lt;=C_eco,C_alpha*C_fck*(1-(1-(O38+P38*'Geometry'!$G$43+Q38*'Geometry'!$F$43)/C_eco)^C_n),C_alpha*C_fck),0)))*'Geometry'!$H$43+((MAX(MIN(S_1_Es*(O38+P38*'Geometry'!$G$44+Q38*'Geometry'!$F$44),S_1_fy),-S_1_fy))-(IF((O38+P38*'Geometry'!$G$44+Q38*'Geometry'!$F$44)&gt;0,IF((O38+P38*'Geometry'!$G$44+Q38*'Geometry'!$F$44)&lt;=C_eco,C_alpha*C_fck*(1-(1-(O38+P38*'Geometry'!$G$44+Q38*'Geometry'!$F$44)/C_eco)^C_n),C_alpha*C_fck),0)))*'Geometry'!$H$44+((MAX(MIN(S_1_Es*(O38+P38*'Geometry'!$G$45+Q38*'Geometry'!$F$45),S_1_fy),-S_1_fy))-(IF((O38+P38*'Geometry'!$G$45+Q38*'Geometry'!$F$45)&gt;0,IF((O38+P38*'Geometry'!$G$45+Q38*'Geometry'!$F$45)&lt;=C_eco,C_alpha*C_fck*(1-(1-(O38+P38*'Geometry'!$G$45+Q38*'Geometry'!$F$45)/C_eco)^C_n),C_alpha*C_fck),0)))*'Geometry'!$H$45+((MAX(MIN(S_1_Es*(O38+P38*'Geometry'!$G$46+Q38*'Geometry'!$F$46),S_1_fy),-S_1_fy))-(IF((O38+P38*'Geometry'!$G$46+Q38*'Geometry'!$F$46)&gt;0,IF((O38+P38*'Geometry'!$G$46+Q38*'Geometry'!$F$46)&lt;=C_eco,C_alpha*C_fck*(1-(1-(O38+P38*'Geometry'!$G$46+Q38*'Geometry'!$F$46)/C_eco)^C_n),C_alpha*C_fck),0)))*'Geometry'!$H$46+((MAX(MIN(S_1_Es*(O38+P38*'Geometry'!$G$47+Q38*'Geometry'!$F$47),S_1_fy),-S_1_fy))-(IF((O38+P38*'Geometry'!$G$47+Q38*'Geometry'!$F$47)&gt;0,IF((O38+P38*'Geometry'!$G$47+Q38*'Geometry'!$F$47)&lt;=C_eco,C_alpha*C_fck*(1-(1-(O38+P38*'Geometry'!$G$47+Q38*'Geometry'!$F$47)/C_eco)^C_n),C_alpha*C_fck),0)))*'Geometry'!$H$47+((MAX(MIN(S_1_Es*(O38+P38*'Geometry'!$G$48+Q38*'Geometry'!$F$48),S_1_fy),-S_1_fy))-(IF((O38+P38*'Geometry'!$G$48+Q38*'Geometry'!$F$48)&gt;0,IF((O38+P38*'Geometry'!$G$48+Q38*'Geometry'!$F$48)&lt;=C_eco,C_alpha*C_fck*(1-(1-(O38+P38*'Geometry'!$G$48+Q38*'Geometry'!$F$48)/C_eco)^C_n),C_alpha*C_fck),0)))*'Geometry'!$H$48+((MAX(MIN(S_1_Es*(O38+P38*'Geometry'!$G$49+Q38*'Geometry'!$F$49),S_1_fy),-S_1_fy))-(IF((O38+P38*'Geometry'!$G$49+Q38*'Geometry'!$F$49)&gt;0,IF((O38+P38*'Geometry'!$G$49+Q38*'Geometry'!$F$49)&lt;=C_eco,C_alpha*C_fck*(1-(1-(O38+P38*'Geometry'!$G$49+Q38*'Geometry'!$F$49)/C_eco)^C_n),C_alpha*C_fck),0)))*'Geometry'!$H$49+((MAX(MIN(S_1_Es*(O38+P38*'Geometry'!$G$50+Q38*'Geometry'!$F$50),S_1_fy),-S_1_fy))-(IF((O38+P38*'Geometry'!$G$50+Q38*'Geometry'!$F$50)&gt;0,IF((O38+P38*'Geometry'!$G$50+Q38*'Geometry'!$F$50)&lt;=C_eco,C_alpha*C_fck*(1-(1-(O38+P38*'Geometry'!$G$50+Q38*'Geometry'!$F$50)/C_eco)^C_n),C_alpha*C_fck),0)))*'Geometry'!$H$50+((MAX(MIN(S_1_Es*(O38+P38*'Geometry'!$G$51+Q38*'Geometry'!$F$51),S_1_fy),-S_1_fy))-(IF((O38+P38*'Geometry'!$G$51+Q38*'Geometry'!$F$51)&gt;0,IF((O38+P38*'Geometry'!$G$51+Q38*'Geometry'!$F$51)&lt;=C_eco,C_alpha*C_fck*(1-(1-(O38+P38*'Geometry'!$G$51+Q38*'Geometry'!$F$51)/C_eco)^C_n),C_alpha*C_fck),0)))*'Geometry'!$H$51+((MAX(MIN(S_1_Es*(O38+P38*'Geometry'!$G$52+Q38*'Geometry'!$F$52),S_1_fy),-S_1_fy))-(IF((O38+P38*'Geometry'!$G$52+Q38*'Geometry'!$F$52)&gt;0,IF((O38+P38*'Geometry'!$G$52+Q38*'Geometry'!$F$52)&lt;=C_eco,C_alpha*C_fck*(1-(1-(O38+P38*'Geometry'!$G$52+Q38*'Geometry'!$F$52)/C_eco)^C_n),C_alpha*C_fck),0)))*'Geometry'!$H$52+((MAX(MIN(S_1_Es*(O38+P38*'Geometry'!$G$53+Q38*'Geometry'!$F$53),S_1_fy),-S_1_fy))-(IF((O38+P38*'Geometry'!$G$53+Q38*'Geometry'!$F$53)&gt;0,IF((O38+P38*'Geometry'!$G$53+Q38*'Geometry'!$F$53)&lt;=C_eco,C_alpha*C_fck*(1-(1-(O38+P38*'Geometry'!$G$53+Q38*'Geometry'!$F$53)/C_eco)^C_n),C_alpha*C_fck),0)))*'Geometry'!$H$53+((MAX(MIN(S_1_Es*(O38+P38*'Geometry'!$G$54+Q38*'Geometry'!$F$54),S_1_fy),-S_1_fy))-(IF((O38+P38*'Geometry'!$G$54+Q38*'Geometry'!$F$54)&gt;0,IF((O38+P38*'Geometry'!$G$54+Q38*'Geometry'!$F$54)&lt;=C_eco,C_alpha*C_fck*(1-(1-(O38+P38*'Geometry'!$G$54+Q38*'Geometry'!$F$54)/C_eco)^C_n),C_alpha*C_fck),0)))*'Geometry'!$H$54+((MAX(MIN(S_1_Es*(O38+P38*'Geometry'!$G$55+Q38*'Geometry'!$F$55),S_1_fy),-S_1_fy))-(IF((O38+P38*'Geometry'!$G$55+Q38*'Geometry'!$F$55)&gt;0,IF((O38+P38*'Geometry'!$G$55+Q38*'Geometry'!$F$55)&lt;=C_eco,C_alpha*C_fck*(1-(1-(O38+P38*'Geometry'!$G$55+Q38*'Geometry'!$F$55)/C_eco)^C_n),C_alpha*C_fck),0)))*'Geometry'!$H$55+((MAX(MIN(S_1_Es*(O38+P38*'Geometry'!$G$56+Q38*'Geometry'!$F$56),S_1_fy),-S_1_fy))-(IF((O38+P38*'Geometry'!$G$56+Q38*'Geometry'!$F$56)&gt;0,IF((O38+P38*'Geometry'!$G$56+Q38*'Geometry'!$F$56)&lt;=C_eco,C_alpha*C_fck*(1-(1-(O38+P38*'Geometry'!$G$56+Q38*'Geometry'!$F$56)/C_eco)^C_n),C_alpha*C_fck),0)))*'Geometry'!$H$56+((MAX(MIN(S_1_Es*(O38+P38*'Geometry'!$G$57+Q38*'Geometry'!$F$57),S_1_fy),-S_1_fy))-(IF((O38+P38*'Geometry'!$G$57+Q38*'Geometry'!$F$57)&gt;0,IF((O38+P38*'Geometry'!$G$57+Q38*'Geometry'!$F$57)&lt;=C_eco,C_alpha*C_fck*(1-(1-(O38+P38*'Geometry'!$G$57+Q38*'Geometry'!$F$57)/C_eco)^C_n),C_alpha*C_fck),0)))*'Geometry'!$H$57)/1000</f>
        <v>-3859.3485484296602</v>
      </c>
      <c r="V38" s="10">
        <f>(((MAX(MIN(S_1_Es*(O38+P38*'Geometry'!$G$40+Q38*'Geometry'!$F$40),S_1_fy),-S_1_fy))-(IF((O38+P38*'Geometry'!$G$40+Q38*'Geometry'!$F$40)&gt;0,IF((O38+P38*'Geometry'!$G$40+Q38*'Geometry'!$F$40)&lt;=C_eco,C_alpha*C_fck*(1-(1-(O38+P38*'Geometry'!$G$40+Q38*'Geometry'!$F$40)/C_eco)^C_n),C_alpha*C_fck),0)))*'Geometry'!$H$40*'Geometry'!$G$40+((MAX(MIN(S_1_Es*(O38+P38*'Geometry'!$G$41+Q38*'Geometry'!$F$41),S_1_fy),-S_1_fy))-(IF((O38+P38*'Geometry'!$G$41+Q38*'Geometry'!$F$41)&gt;0,IF((O38+P38*'Geometry'!$G$41+Q38*'Geometry'!$F$41)&lt;=C_eco,C_alpha*C_fck*(1-(1-(O38+P38*'Geometry'!$G$41+Q38*'Geometry'!$F$41)/C_eco)^C_n),C_alpha*C_fck),0)))*'Geometry'!$H$41*'Geometry'!$G$41+((MAX(MIN(S_1_Es*(O38+P38*'Geometry'!$G$42+Q38*'Geometry'!$F$42),S_1_fy),-S_1_fy))-(IF((O38+P38*'Geometry'!$G$42+Q38*'Geometry'!$F$42)&gt;0,IF((O38+P38*'Geometry'!$G$42+Q38*'Geometry'!$F$42)&lt;=C_eco,C_alpha*C_fck*(1-(1-(O38+P38*'Geometry'!$G$42+Q38*'Geometry'!$F$42)/C_eco)^C_n),C_alpha*C_fck),0)))*'Geometry'!$H$42*'Geometry'!$G$42+((MAX(MIN(S_1_Es*(O38+P38*'Geometry'!$G$43+Q38*'Geometry'!$F$43),S_1_fy),-S_1_fy))-(IF((O38+P38*'Geometry'!$G$43+Q38*'Geometry'!$F$43)&gt;0,IF((O38+P38*'Geometry'!$G$43+Q38*'Geometry'!$F$43)&lt;=C_eco,C_alpha*C_fck*(1-(1-(O38+P38*'Geometry'!$G$43+Q38*'Geometry'!$F$43)/C_eco)^C_n),C_alpha*C_fck),0)))*'Geometry'!$H$43*'Geometry'!$G$43+((MAX(MIN(S_1_Es*(O38+P38*'Geometry'!$G$44+Q38*'Geometry'!$F$44),S_1_fy),-S_1_fy))-(IF((O38+P38*'Geometry'!$G$44+Q38*'Geometry'!$F$44)&gt;0,IF((O38+P38*'Geometry'!$G$44+Q38*'Geometry'!$F$44)&lt;=C_eco,C_alpha*C_fck*(1-(1-(O38+P38*'Geometry'!$G$44+Q38*'Geometry'!$F$44)/C_eco)^C_n),C_alpha*C_fck),0)))*'Geometry'!$H$44*'Geometry'!$G$44+((MAX(MIN(S_1_Es*(O38+P38*'Geometry'!$G$45+Q38*'Geometry'!$F$45),S_1_fy),-S_1_fy))-(IF((O38+P38*'Geometry'!$G$45+Q38*'Geometry'!$F$45)&gt;0,IF((O38+P38*'Geometry'!$G$45+Q38*'Geometry'!$F$45)&lt;=C_eco,C_alpha*C_fck*(1-(1-(O38+P38*'Geometry'!$G$45+Q38*'Geometry'!$F$45)/C_eco)^C_n),C_alpha*C_fck),0)))*'Geometry'!$H$45*'Geometry'!$G$45+((MAX(MIN(S_1_Es*(O38+P38*'Geometry'!$G$46+Q38*'Geometry'!$F$46),S_1_fy),-S_1_fy))-(IF((O38+P38*'Geometry'!$G$46+Q38*'Geometry'!$F$46)&gt;0,IF((O38+P38*'Geometry'!$G$46+Q38*'Geometry'!$F$46)&lt;=C_eco,C_alpha*C_fck*(1-(1-(O38+P38*'Geometry'!$G$46+Q38*'Geometry'!$F$46)/C_eco)^C_n),C_alpha*C_fck),0)))*'Geometry'!$H$46*'Geometry'!$G$46+((MAX(MIN(S_1_Es*(O38+P38*'Geometry'!$G$47+Q38*'Geometry'!$F$47),S_1_fy),-S_1_fy))-(IF((O38+P38*'Geometry'!$G$47+Q38*'Geometry'!$F$47)&gt;0,IF((O38+P38*'Geometry'!$G$47+Q38*'Geometry'!$F$47)&lt;=C_eco,C_alpha*C_fck*(1-(1-(O38+P38*'Geometry'!$G$47+Q38*'Geometry'!$F$47)/C_eco)^C_n),C_alpha*C_fck),0)))*'Geometry'!$H$47*'Geometry'!$G$47+((MAX(MIN(S_1_Es*(O38+P38*'Geometry'!$G$48+Q38*'Geometry'!$F$48),S_1_fy),-S_1_fy))-(IF((O38+P38*'Geometry'!$G$48+Q38*'Geometry'!$F$48)&gt;0,IF((O38+P38*'Geometry'!$G$48+Q38*'Geometry'!$F$48)&lt;=C_eco,C_alpha*C_fck*(1-(1-(O38+P38*'Geometry'!$G$48+Q38*'Geometry'!$F$48)/C_eco)^C_n),C_alpha*C_fck),0)))*'Geometry'!$H$48*'Geometry'!$G$48+((MAX(MIN(S_1_Es*(O38+P38*'Geometry'!$G$49+Q38*'Geometry'!$F$49),S_1_fy),-S_1_fy))-(IF((O38+P38*'Geometry'!$G$49+Q38*'Geometry'!$F$49)&gt;0,IF((O38+P38*'Geometry'!$G$49+Q38*'Geometry'!$F$49)&lt;=C_eco,C_alpha*C_fck*(1-(1-(O38+P38*'Geometry'!$G$49+Q38*'Geometry'!$F$49)/C_eco)^C_n),C_alpha*C_fck),0)))*'Geometry'!$H$49*'Geometry'!$G$49+((MAX(MIN(S_1_Es*(O38+P38*'Geometry'!$G$50+Q38*'Geometry'!$F$50),S_1_fy),-S_1_fy))-(IF((O38+P38*'Geometry'!$G$50+Q38*'Geometry'!$F$50)&gt;0,IF((O38+P38*'Geometry'!$G$50+Q38*'Geometry'!$F$50)&lt;=C_eco,C_alpha*C_fck*(1-(1-(O38+P38*'Geometry'!$G$50+Q38*'Geometry'!$F$50)/C_eco)^C_n),C_alpha*C_fck),0)))*'Geometry'!$H$50*'Geometry'!$G$50+((MAX(MIN(S_1_Es*(O38+P38*'Geometry'!$G$51+Q38*'Geometry'!$F$51),S_1_fy),-S_1_fy))-(IF((O38+P38*'Geometry'!$G$51+Q38*'Geometry'!$F$51)&gt;0,IF((O38+P38*'Geometry'!$G$51+Q38*'Geometry'!$F$51)&lt;=C_eco,C_alpha*C_fck*(1-(1-(O38+P38*'Geometry'!$G$51+Q38*'Geometry'!$F$51)/C_eco)^C_n),C_alpha*C_fck),0)))*'Geometry'!$H$51*'Geometry'!$G$51+((MAX(MIN(S_1_Es*(O38+P38*'Geometry'!$G$52+Q38*'Geometry'!$F$52),S_1_fy),-S_1_fy))-(IF((O38+P38*'Geometry'!$G$52+Q38*'Geometry'!$F$52)&gt;0,IF((O38+P38*'Geometry'!$G$52+Q38*'Geometry'!$F$52)&lt;=C_eco,C_alpha*C_fck*(1-(1-(O38+P38*'Geometry'!$G$52+Q38*'Geometry'!$F$52)/C_eco)^C_n),C_alpha*C_fck),0)))*'Geometry'!$H$52*'Geometry'!$G$52+((MAX(MIN(S_1_Es*(O38+P38*'Geometry'!$G$53+Q38*'Geometry'!$F$53),S_1_fy),-S_1_fy))-(IF((O38+P38*'Geometry'!$G$53+Q38*'Geometry'!$F$53)&gt;0,IF((O38+P38*'Geometry'!$G$53+Q38*'Geometry'!$F$53)&lt;=C_eco,C_alpha*C_fck*(1-(1-(O38+P38*'Geometry'!$G$53+Q38*'Geometry'!$F$53)/C_eco)^C_n),C_alpha*C_fck),0)))*'Geometry'!$H$53*'Geometry'!$G$53+((MAX(MIN(S_1_Es*(O38+P38*'Geometry'!$G$54+Q38*'Geometry'!$F$54),S_1_fy),-S_1_fy))-(IF((O38+P38*'Geometry'!$G$54+Q38*'Geometry'!$F$54)&gt;0,IF((O38+P38*'Geometry'!$G$54+Q38*'Geometry'!$F$54)&lt;=C_eco,C_alpha*C_fck*(1-(1-(O38+P38*'Geometry'!$G$54+Q38*'Geometry'!$F$54)/C_eco)^C_n),C_alpha*C_fck),0)))*'Geometry'!$H$54*'Geometry'!$G$54+((MAX(MIN(S_1_Es*(O38+P38*'Geometry'!$G$55+Q38*'Geometry'!$F$55),S_1_fy),-S_1_fy))-(IF((O38+P38*'Geometry'!$G$55+Q38*'Geometry'!$F$55)&gt;0,IF((O38+P38*'Geometry'!$G$55+Q38*'Geometry'!$F$55)&lt;=C_eco,C_alpha*C_fck*(1-(1-(O38+P38*'Geometry'!$G$55+Q38*'Geometry'!$F$55)/C_eco)^C_n),C_alpha*C_fck),0)))*'Geometry'!$H$55*'Geometry'!$G$55+((MAX(MIN(S_1_Es*(O38+P38*'Geometry'!$G$56+Q38*'Geometry'!$F$56),S_1_fy),-S_1_fy))-(IF((O38+P38*'Geometry'!$G$56+Q38*'Geometry'!$F$56)&gt;0,IF((O38+P38*'Geometry'!$G$56+Q38*'Geometry'!$F$56)&lt;=C_eco,C_alpha*C_fck*(1-(1-(O38+P38*'Geometry'!$G$56+Q38*'Geometry'!$F$56)/C_eco)^C_n),C_alpha*C_fck),0)))*'Geometry'!$H$56*'Geometry'!$G$56+((MAX(MIN(S_1_Es*(O38+P38*'Geometry'!$G$57+Q38*'Geometry'!$F$57),S_1_fy),-S_1_fy))-(IF((O38+P38*'Geometry'!$G$57+Q38*'Geometry'!$F$57)&gt;0,IF((O38+P38*'Geometry'!$G$57+Q38*'Geometry'!$F$57)&lt;=C_eco,C_alpha*C_fck*(1-(1-(O38+P38*'Geometry'!$G$57+Q38*'Geometry'!$F$57)/C_eco)^C_n),C_alpha*C_fck),0)))*'Geometry'!$H$57*'Geometry'!$G$57)/1000000</f>
        <v>437.13427587187704</v>
      </c>
      <c r="W38" s="10">
        <f>(((MAX(MIN(S_1_Es*(O38+P38*'Geometry'!$G$40+Q38*'Geometry'!$F$40),S_1_fy),-S_1_fy))-(IF((O38+P38*'Geometry'!$G$40+Q38*'Geometry'!$F$40)&gt;0,IF((O38+P38*'Geometry'!$G$40+Q38*'Geometry'!$F$40)&lt;=C_eco,C_alpha*C_fck*(1-(1-(O38+P38*'Geometry'!$G$40+Q38*'Geometry'!$F$40)/C_eco)^C_n),C_alpha*C_fck),0)))*'Geometry'!$H$40*'Geometry'!$F$40+((MAX(MIN(S_1_Es*(O38+P38*'Geometry'!$G$41+Q38*'Geometry'!$F$41),S_1_fy),-S_1_fy))-(IF((O38+P38*'Geometry'!$G$41+Q38*'Geometry'!$F$41)&gt;0,IF((O38+P38*'Geometry'!$G$41+Q38*'Geometry'!$F$41)&lt;=C_eco,C_alpha*C_fck*(1-(1-(O38+P38*'Geometry'!$G$41+Q38*'Geometry'!$F$41)/C_eco)^C_n),C_alpha*C_fck),0)))*'Geometry'!$H$41*'Geometry'!$F$41+((MAX(MIN(S_1_Es*(O38+P38*'Geometry'!$G$42+Q38*'Geometry'!$F$42),S_1_fy),-S_1_fy))-(IF((O38+P38*'Geometry'!$G$42+Q38*'Geometry'!$F$42)&gt;0,IF((O38+P38*'Geometry'!$G$42+Q38*'Geometry'!$F$42)&lt;=C_eco,C_alpha*C_fck*(1-(1-(O38+P38*'Geometry'!$G$42+Q38*'Geometry'!$F$42)/C_eco)^C_n),C_alpha*C_fck),0)))*'Geometry'!$H$42*'Geometry'!$F$42+((MAX(MIN(S_1_Es*(O38+P38*'Geometry'!$G$43+Q38*'Geometry'!$F$43),S_1_fy),-S_1_fy))-(IF((O38+P38*'Geometry'!$G$43+Q38*'Geometry'!$F$43)&gt;0,IF((O38+P38*'Geometry'!$G$43+Q38*'Geometry'!$F$43)&lt;=C_eco,C_alpha*C_fck*(1-(1-(O38+P38*'Geometry'!$G$43+Q38*'Geometry'!$F$43)/C_eco)^C_n),C_alpha*C_fck),0)))*'Geometry'!$H$43*'Geometry'!$F$43+((MAX(MIN(S_1_Es*(O38+P38*'Geometry'!$G$44+Q38*'Geometry'!$F$44),S_1_fy),-S_1_fy))-(IF((O38+P38*'Geometry'!$G$44+Q38*'Geometry'!$F$44)&gt;0,IF((O38+P38*'Geometry'!$G$44+Q38*'Geometry'!$F$44)&lt;=C_eco,C_alpha*C_fck*(1-(1-(O38+P38*'Geometry'!$G$44+Q38*'Geometry'!$F$44)/C_eco)^C_n),C_alpha*C_fck),0)))*'Geometry'!$H$44*'Geometry'!$F$44+((MAX(MIN(S_1_Es*(O38+P38*'Geometry'!$G$45+Q38*'Geometry'!$F$45),S_1_fy),-S_1_fy))-(IF((O38+P38*'Geometry'!$G$45+Q38*'Geometry'!$F$45)&gt;0,IF((O38+P38*'Geometry'!$G$45+Q38*'Geometry'!$F$45)&lt;=C_eco,C_alpha*C_fck*(1-(1-(O38+P38*'Geometry'!$G$45+Q38*'Geometry'!$F$45)/C_eco)^C_n),C_alpha*C_fck),0)))*'Geometry'!$H$45*'Geometry'!$F$45+((MAX(MIN(S_1_Es*(O38+P38*'Geometry'!$G$46+Q38*'Geometry'!$F$46),S_1_fy),-S_1_fy))-(IF((O38+P38*'Geometry'!$G$46+Q38*'Geometry'!$F$46)&gt;0,IF((O38+P38*'Geometry'!$G$46+Q38*'Geometry'!$F$46)&lt;=C_eco,C_alpha*C_fck*(1-(1-(O38+P38*'Geometry'!$G$46+Q38*'Geometry'!$F$46)/C_eco)^C_n),C_alpha*C_fck),0)))*'Geometry'!$H$46*'Geometry'!$F$46+((MAX(MIN(S_1_Es*(O38+P38*'Geometry'!$G$47+Q38*'Geometry'!$F$47),S_1_fy),-S_1_fy))-(IF((O38+P38*'Geometry'!$G$47+Q38*'Geometry'!$F$47)&gt;0,IF((O38+P38*'Geometry'!$G$47+Q38*'Geometry'!$F$47)&lt;=C_eco,C_alpha*C_fck*(1-(1-(O38+P38*'Geometry'!$G$47+Q38*'Geometry'!$F$47)/C_eco)^C_n),C_alpha*C_fck),0)))*'Geometry'!$H$47*'Geometry'!$F$47+((MAX(MIN(S_1_Es*(O38+P38*'Geometry'!$G$48+Q38*'Geometry'!$F$48),S_1_fy),-S_1_fy))-(IF((O38+P38*'Geometry'!$G$48+Q38*'Geometry'!$F$48)&gt;0,IF((O38+P38*'Geometry'!$G$48+Q38*'Geometry'!$F$48)&lt;=C_eco,C_alpha*C_fck*(1-(1-(O38+P38*'Geometry'!$G$48+Q38*'Geometry'!$F$48)/C_eco)^C_n),C_alpha*C_fck),0)))*'Geometry'!$H$48*'Geometry'!$F$48+((MAX(MIN(S_1_Es*(O38+P38*'Geometry'!$G$49+Q38*'Geometry'!$F$49),S_1_fy),-S_1_fy))-(IF((O38+P38*'Geometry'!$G$49+Q38*'Geometry'!$F$49)&gt;0,IF((O38+P38*'Geometry'!$G$49+Q38*'Geometry'!$F$49)&lt;=C_eco,C_alpha*C_fck*(1-(1-(O38+P38*'Geometry'!$G$49+Q38*'Geometry'!$F$49)/C_eco)^C_n),C_alpha*C_fck),0)))*'Geometry'!$H$49*'Geometry'!$F$49+((MAX(MIN(S_1_Es*(O38+P38*'Geometry'!$G$50+Q38*'Geometry'!$F$50),S_1_fy),-S_1_fy))-(IF((O38+P38*'Geometry'!$G$50+Q38*'Geometry'!$F$50)&gt;0,IF((O38+P38*'Geometry'!$G$50+Q38*'Geometry'!$F$50)&lt;=C_eco,C_alpha*C_fck*(1-(1-(O38+P38*'Geometry'!$G$50+Q38*'Geometry'!$F$50)/C_eco)^C_n),C_alpha*C_fck),0)))*'Geometry'!$H$50*'Geometry'!$F$50+((MAX(MIN(S_1_Es*(O38+P38*'Geometry'!$G$51+Q38*'Geometry'!$F$51),S_1_fy),-S_1_fy))-(IF((O38+P38*'Geometry'!$G$51+Q38*'Geometry'!$F$51)&gt;0,IF((O38+P38*'Geometry'!$G$51+Q38*'Geometry'!$F$51)&lt;=C_eco,C_alpha*C_fck*(1-(1-(O38+P38*'Geometry'!$G$51+Q38*'Geometry'!$F$51)/C_eco)^C_n),C_alpha*C_fck),0)))*'Geometry'!$H$51*'Geometry'!$F$51+((MAX(MIN(S_1_Es*(O38+P38*'Geometry'!$G$52+Q38*'Geometry'!$F$52),S_1_fy),-S_1_fy))-(IF((O38+P38*'Geometry'!$G$52+Q38*'Geometry'!$F$52)&gt;0,IF((O38+P38*'Geometry'!$G$52+Q38*'Geometry'!$F$52)&lt;=C_eco,C_alpha*C_fck*(1-(1-(O38+P38*'Geometry'!$G$52+Q38*'Geometry'!$F$52)/C_eco)^C_n),C_alpha*C_fck),0)))*'Geometry'!$H$52*'Geometry'!$F$52+((MAX(MIN(S_1_Es*(O38+P38*'Geometry'!$G$53+Q38*'Geometry'!$F$53),S_1_fy),-S_1_fy))-(IF((O38+P38*'Geometry'!$G$53+Q38*'Geometry'!$F$53)&gt;0,IF((O38+P38*'Geometry'!$G$53+Q38*'Geometry'!$F$53)&lt;=C_eco,C_alpha*C_fck*(1-(1-(O38+P38*'Geometry'!$G$53+Q38*'Geometry'!$F$53)/C_eco)^C_n),C_alpha*C_fck),0)))*'Geometry'!$H$53*'Geometry'!$F$53+((MAX(MIN(S_1_Es*(O38+P38*'Geometry'!$G$54+Q38*'Geometry'!$F$54),S_1_fy),-S_1_fy))-(IF((O38+P38*'Geometry'!$G$54+Q38*'Geometry'!$F$54)&gt;0,IF((O38+P38*'Geometry'!$G$54+Q38*'Geometry'!$F$54)&lt;=C_eco,C_alpha*C_fck*(1-(1-(O38+P38*'Geometry'!$G$54+Q38*'Geometry'!$F$54)/C_eco)^C_n),C_alpha*C_fck),0)))*'Geometry'!$H$54*'Geometry'!$F$54+((MAX(MIN(S_1_Es*(O38+P38*'Geometry'!$G$55+Q38*'Geometry'!$F$55),S_1_fy),-S_1_fy))-(IF((O38+P38*'Geometry'!$G$55+Q38*'Geometry'!$F$55)&gt;0,IF((O38+P38*'Geometry'!$G$55+Q38*'Geometry'!$F$55)&lt;=C_eco,C_alpha*C_fck*(1-(1-(O38+P38*'Geometry'!$G$55+Q38*'Geometry'!$F$55)/C_eco)^C_n),C_alpha*C_fck),0)))*'Geometry'!$H$55*'Geometry'!$F$55+((MAX(MIN(S_1_Es*(O38+P38*'Geometry'!$G$56+Q38*'Geometry'!$F$56),S_1_fy),-S_1_fy))-(IF((O38+P38*'Geometry'!$G$56+Q38*'Geometry'!$F$56)&gt;0,IF((O38+P38*'Geometry'!$G$56+Q38*'Geometry'!$F$56)&lt;=C_eco,C_alpha*C_fck*(1-(1-(O38+P38*'Geometry'!$G$56+Q38*'Geometry'!$F$56)/C_eco)^C_n),C_alpha*C_fck),0)))*'Geometry'!$H$56*'Geometry'!$F$56+((MAX(MIN(S_1_Es*(O38+P38*'Geometry'!$G$57+Q38*'Geometry'!$F$57),S_1_fy),-S_1_fy))-(IF((O38+P38*'Geometry'!$G$57+Q38*'Geometry'!$F$57)&gt;0,IF((O38+P38*'Geometry'!$G$57+Q38*'Geometry'!$F$57)&lt;=C_eco,C_alpha*C_fck*(1-(1-(O38+P38*'Geometry'!$G$57+Q38*'Geometry'!$F$57)/C_eco)^C_n),C_alpha*C_fck),0)))*'Geometry'!$H$57*'Geometry'!$F$57)/1000000</f>
        <v>-1157.504622478535</v>
      </c>
      <c r="X38" s="10">
        <f>R38+U38</f>
        <v>-1201.3764031758453</v>
      </c>
      <c r="Y38" s="10">
        <f>S38+V38</f>
        <v>1356.5985195637268</v>
      </c>
      <c r="Z38" s="10">
        <f>T38+W38</f>
        <v>-2778.505192033043</v>
      </c>
      <c r="AA38" s="7">
        <v>0.85</v>
      </c>
      <c r="AB38" s="7">
        <v>0.85</v>
      </c>
      <c r="AC38" s="10">
        <f>X38*AA38</f>
        <v>-1021.1699426994685</v>
      </c>
      <c r="AD38" s="10">
        <f>Y38*AB38</f>
        <v>1153.1087416291675</v>
      </c>
      <c r="AE38" s="10">
        <f>Z38*AB38</f>
        <v>-2361.7294132280863</v>
      </c>
      <c r="AF38" s="7">
        <v>-1021.1699426994685</v>
      </c>
      <c r="AG38" s="7">
        <v>1153.1087416291675</v>
      </c>
      <c r="AH38" s="7">
        <v>-2361.7294132280863</v>
      </c>
      <c r="AI38" s="15">
        <f>AC38-AF38</f>
        <v>0</v>
      </c>
      <c r="AJ38" s="15">
        <f>SQRT((AD38-AG38)^2+(AE38-AH38)^2)</f>
        <v>0</v>
      </c>
      <c r="AK38" s="7" t="s">
        <v>189</v>
      </c>
      <c r="AL38" s="7">
        <v>-1201.3764031758453</v>
      </c>
      <c r="AM38" s="7">
        <v>1356.5985195637268</v>
      </c>
      <c r="AN38" s="7">
        <v>-2778.505192033043</v>
      </c>
      <c r="AO38" s="7">
        <v>2657.9721452538147</v>
      </c>
      <c r="AP38" s="7">
        <v>919.4642436918497</v>
      </c>
      <c r="AQ38" s="7">
        <v>-1621.0005695545076</v>
      </c>
      <c r="AR38" s="7">
        <v>-3859.3485484296602</v>
      </c>
      <c r="AS38" s="7">
        <v>437.13427587187704</v>
      </c>
      <c r="AT38" s="7">
        <v>-1157.504622478535</v>
      </c>
    </row>
    <row r="39" spans="1:46" x14ac:dyDescent="0.25">
      <c r="A39" s="7" t="s">
        <v>252</v>
      </c>
      <c r="B39" s="7">
        <v>1</v>
      </c>
      <c r="C39" s="18">
        <v>310</v>
      </c>
      <c r="D39" s="7" t="s">
        <v>253</v>
      </c>
      <c r="E39" s="7" t="s">
        <v>192</v>
      </c>
      <c r="F39" s="19">
        <v>310</v>
      </c>
      <c r="G39" s="7" t="s">
        <v>188</v>
      </c>
      <c r="H39" s="20">
        <v>7.500000000000001</v>
      </c>
      <c r="I39" s="10">
        <f>MAX(('Geometry'!$G$13*COS(RADIANS(F39))+'Geometry'!$F$13*SIN(RADIANS(F39))),('Geometry'!$G$14*COS(RADIANS(F39))+'Geometry'!$F$14*SIN(RADIANS(F39))),('Geometry'!$G$15*COS(RADIANS(F39))+'Geometry'!$F$15*SIN(RADIANS(F39))),('Geometry'!$G$16*COS(RADIANS(F39))+'Geometry'!$F$16*SIN(RADIANS(F39))),('Geometry'!$G$17*COS(RADIANS(F39))+'Geometry'!$F$17*SIN(RADIANS(F39))),('Geometry'!$G$18*COS(RADIANS(F39))+'Geometry'!$F$18*SIN(RADIANS(F39))),('Geometry'!$G$19*COS(RADIANS(F39))+'Geometry'!$F$19*SIN(RADIANS(F39))),('Geometry'!$G$20*COS(RADIANS(F39))+'Geometry'!$F$20*SIN(RADIANS(F39))))</f>
        <v>831.6483762138492</v>
      </c>
      <c r="J39" s="10">
        <f>MIN(('Geometry'!$G$40*COS(RADIANS(F39))+'Geometry'!$F$40*SIN(RADIANS(F39))),('Geometry'!$G$41*COS(RADIANS(F39))+'Geometry'!$F$41*SIN(RADIANS(F39))),('Geometry'!$G$42*COS(RADIANS(F39))+'Geometry'!$F$42*SIN(RADIANS(F39))),('Geometry'!$G$43*COS(RADIANS(F39))+'Geometry'!$F$43*SIN(RADIANS(F39))),('Geometry'!$G$44*COS(RADIANS(F39))+'Geometry'!$F$44*SIN(RADIANS(F39))),('Geometry'!$G$45*COS(RADIANS(F39))+'Geometry'!$F$45*SIN(RADIANS(F39))),('Geometry'!$G$46*COS(RADIANS(F39))+'Geometry'!$F$46*SIN(RADIANS(F39))),('Geometry'!$G$47*COS(RADIANS(F39))+'Geometry'!$F$47*SIN(RADIANS(F39))),('Geometry'!$G$48*COS(RADIANS(F39))+'Geometry'!$F$48*SIN(RADIANS(F39))),('Geometry'!$G$49*COS(RADIANS(F39))+'Geometry'!$F$49*SIN(RADIANS(F39))),('Geometry'!$G$50*COS(RADIANS(F39))+'Geometry'!$F$50*SIN(RADIANS(F39))),('Geometry'!$G$51*COS(RADIANS(F39))+'Geometry'!$F$51*SIN(RADIANS(F39))),('Geometry'!$G$52*COS(RADIANS(F39))+'Geometry'!$F$52*SIN(RADIANS(F39))),('Geometry'!$G$53*COS(RADIANS(F39))+'Geometry'!$F$53*SIN(RADIANS(F39))),('Geometry'!$G$54*COS(RADIANS(F39))+'Geometry'!$F$54*SIN(RADIANS(F39))),('Geometry'!$G$55*COS(RADIANS(F39))+'Geometry'!$F$55*SIN(RADIANS(F39))),('Geometry'!$G$56*COS(RADIANS(F39))+'Geometry'!$F$56*SIN(RADIANS(F39))),('Geometry'!$G$57*COS(RADIANS(F39))+'Geometry'!$F$57*SIN(RADIANS(F39))))</f>
        <v>-713.7465042268669</v>
      </c>
      <c r="K39" s="10">
        <f>I39-MIN(('Geometry'!$G$13*COS(RADIANS(F39))+'Geometry'!$F$13*SIN(RADIANS(F39))),('Geometry'!$G$14*COS(RADIANS(F39))+'Geometry'!$F$14*SIN(RADIANS(F39))),('Geometry'!$G$15*COS(RADIANS(F39))+'Geometry'!$F$15*SIN(RADIANS(F39))),('Geometry'!$G$16*COS(RADIANS(F39))+'Geometry'!$F$16*SIN(RADIANS(F39))),('Geometry'!$G$17*COS(RADIANS(F39))+'Geometry'!$F$17*SIN(RADIANS(F39))),('Geometry'!$G$18*COS(RADIANS(F39))+'Geometry'!$F$18*SIN(RADIANS(F39))),('Geometry'!$G$19*COS(RADIANS(F39))+'Geometry'!$F$19*SIN(RADIANS(F39))),('Geometry'!$G$20*COS(RADIANS(F39))+'Geometry'!$F$20*SIN(RADIANS(F39))))</f>
        <v>1663.2967524276985</v>
      </c>
      <c r="L39" s="15">
        <f>C_ecu</f>
        <v>0.0033000000000000017</v>
      </c>
      <c r="M39" s="15">
        <f>-H39*S_1_fy/S_1_Es</f>
        <v>-0.015000000000000003</v>
      </c>
      <c r="N39" s="21">
        <f>IF(ABS(I39-J39)&lt;0.000000000001,0,(L39-M39)/(I39-J39))</f>
        <v>0.00001184163363785779</v>
      </c>
      <c r="O39" s="15">
        <f>L39-N39*I39</f>
        <v>-0.006548075386643727</v>
      </c>
      <c r="P39" s="21">
        <f>N39*COS(RADIANS(F39))</f>
        <v>0.000007611655380862326</v>
      </c>
      <c r="Q39" s="21">
        <f>N39*SIN(RADIANS(F39))</f>
        <v>-0.000009071217645731729</v>
      </c>
      <c r="R39" s="10">
        <f>SUMPRODUCT(C_alpha*C_fck*(1-(1-(((O39+P39*Mesh_Y+Q39*Mesh_X))*((O39+P39*Mesh_Y+Q39*Mesh_X)&gt;0)*((O39+P39*Mesh_Y+Q39*Mesh_X)&lt;C_eco)+C_eco*((O39+P39*Mesh_Y+Q39*Mesh_X)&gt;=C_eco))/C_eco)^C_n)*(((O39+P39*Mesh_Y+Q39*Mesh_X))&gt;0),Mesh_A)/1000</f>
        <v>2648.463295284596</v>
      </c>
      <c r="S39" s="10">
        <f>SUMPRODUCT(C_alpha*C_fck*(1-(1-(((O39+P39*Mesh_Y+Q39*Mesh_X))*((O39+P39*Mesh_Y+Q39*Mesh_X)&gt;0)*((O39+P39*Mesh_Y+Q39*Mesh_X)&lt;C_eco)+C_eco*((O39+P39*Mesh_Y+Q39*Mesh_X)&gt;=C_eco))/C_eco)^C_n)*(((O39+P39*Mesh_Y+Q39*Mesh_X))&gt;0),Mesh_A,Mesh_Y)/1000000</f>
        <v>1038.0282680581813</v>
      </c>
      <c r="T39" s="10">
        <f>SUMPRODUCT(C_alpha*C_fck*(1-(1-(((O39+P39*Mesh_Y+Q39*Mesh_X))*((O39+P39*Mesh_Y+Q39*Mesh_X)&gt;0)*((O39+P39*Mesh_Y+Q39*Mesh_X)&lt;C_eco)+C_eco*((O39+P39*Mesh_Y+Q39*Mesh_X)&gt;=C_eco))/C_eco)^C_n)*(((O39+P39*Mesh_Y+Q39*Mesh_X))&gt;0),Mesh_A,Mesh_X)/1000000</f>
        <v>-1534.9158856149525</v>
      </c>
      <c r="U39" s="10">
        <f>(((MAX(MIN(S_1_Es*(O39+P39*'Geometry'!$G$40+Q39*'Geometry'!$F$40),S_1_fy),-S_1_fy))-(IF((O39+P39*'Geometry'!$G$40+Q39*'Geometry'!$F$40)&gt;0,IF((O39+P39*'Geometry'!$G$40+Q39*'Geometry'!$F$40)&lt;=C_eco,C_alpha*C_fck*(1-(1-(O39+P39*'Geometry'!$G$40+Q39*'Geometry'!$F$40)/C_eco)^C_n),C_alpha*C_fck),0)))*'Geometry'!$H$40+((MAX(MIN(S_1_Es*(O39+P39*'Geometry'!$G$41+Q39*'Geometry'!$F$41),S_1_fy),-S_1_fy))-(IF((O39+P39*'Geometry'!$G$41+Q39*'Geometry'!$F$41)&gt;0,IF((O39+P39*'Geometry'!$G$41+Q39*'Geometry'!$F$41)&lt;=C_eco,C_alpha*C_fck*(1-(1-(O39+P39*'Geometry'!$G$41+Q39*'Geometry'!$F$41)/C_eco)^C_n),C_alpha*C_fck),0)))*'Geometry'!$H$41+((MAX(MIN(S_1_Es*(O39+P39*'Geometry'!$G$42+Q39*'Geometry'!$F$42),S_1_fy),-S_1_fy))-(IF((O39+P39*'Geometry'!$G$42+Q39*'Geometry'!$F$42)&gt;0,IF((O39+P39*'Geometry'!$G$42+Q39*'Geometry'!$F$42)&lt;=C_eco,C_alpha*C_fck*(1-(1-(O39+P39*'Geometry'!$G$42+Q39*'Geometry'!$F$42)/C_eco)^C_n),C_alpha*C_fck),0)))*'Geometry'!$H$42+((MAX(MIN(S_1_Es*(O39+P39*'Geometry'!$G$43+Q39*'Geometry'!$F$43),S_1_fy),-S_1_fy))-(IF((O39+P39*'Geometry'!$G$43+Q39*'Geometry'!$F$43)&gt;0,IF((O39+P39*'Geometry'!$G$43+Q39*'Geometry'!$F$43)&lt;=C_eco,C_alpha*C_fck*(1-(1-(O39+P39*'Geometry'!$G$43+Q39*'Geometry'!$F$43)/C_eco)^C_n),C_alpha*C_fck),0)))*'Geometry'!$H$43+((MAX(MIN(S_1_Es*(O39+P39*'Geometry'!$G$44+Q39*'Geometry'!$F$44),S_1_fy),-S_1_fy))-(IF((O39+P39*'Geometry'!$G$44+Q39*'Geometry'!$F$44)&gt;0,IF((O39+P39*'Geometry'!$G$44+Q39*'Geometry'!$F$44)&lt;=C_eco,C_alpha*C_fck*(1-(1-(O39+P39*'Geometry'!$G$44+Q39*'Geometry'!$F$44)/C_eco)^C_n),C_alpha*C_fck),0)))*'Geometry'!$H$44+((MAX(MIN(S_1_Es*(O39+P39*'Geometry'!$G$45+Q39*'Geometry'!$F$45),S_1_fy),-S_1_fy))-(IF((O39+P39*'Geometry'!$G$45+Q39*'Geometry'!$F$45)&gt;0,IF((O39+P39*'Geometry'!$G$45+Q39*'Geometry'!$F$45)&lt;=C_eco,C_alpha*C_fck*(1-(1-(O39+P39*'Geometry'!$G$45+Q39*'Geometry'!$F$45)/C_eco)^C_n),C_alpha*C_fck),0)))*'Geometry'!$H$45+((MAX(MIN(S_1_Es*(O39+P39*'Geometry'!$G$46+Q39*'Geometry'!$F$46),S_1_fy),-S_1_fy))-(IF((O39+P39*'Geometry'!$G$46+Q39*'Geometry'!$F$46)&gt;0,IF((O39+P39*'Geometry'!$G$46+Q39*'Geometry'!$F$46)&lt;=C_eco,C_alpha*C_fck*(1-(1-(O39+P39*'Geometry'!$G$46+Q39*'Geometry'!$F$46)/C_eco)^C_n),C_alpha*C_fck),0)))*'Geometry'!$H$46+((MAX(MIN(S_1_Es*(O39+P39*'Geometry'!$G$47+Q39*'Geometry'!$F$47),S_1_fy),-S_1_fy))-(IF((O39+P39*'Geometry'!$G$47+Q39*'Geometry'!$F$47)&gt;0,IF((O39+P39*'Geometry'!$G$47+Q39*'Geometry'!$F$47)&lt;=C_eco,C_alpha*C_fck*(1-(1-(O39+P39*'Geometry'!$G$47+Q39*'Geometry'!$F$47)/C_eco)^C_n),C_alpha*C_fck),0)))*'Geometry'!$H$47+((MAX(MIN(S_1_Es*(O39+P39*'Geometry'!$G$48+Q39*'Geometry'!$F$48),S_1_fy),-S_1_fy))-(IF((O39+P39*'Geometry'!$G$48+Q39*'Geometry'!$F$48)&gt;0,IF((O39+P39*'Geometry'!$G$48+Q39*'Geometry'!$F$48)&lt;=C_eco,C_alpha*C_fck*(1-(1-(O39+P39*'Geometry'!$G$48+Q39*'Geometry'!$F$48)/C_eco)^C_n),C_alpha*C_fck),0)))*'Geometry'!$H$48+((MAX(MIN(S_1_Es*(O39+P39*'Geometry'!$G$49+Q39*'Geometry'!$F$49),S_1_fy),-S_1_fy))-(IF((O39+P39*'Geometry'!$G$49+Q39*'Geometry'!$F$49)&gt;0,IF((O39+P39*'Geometry'!$G$49+Q39*'Geometry'!$F$49)&lt;=C_eco,C_alpha*C_fck*(1-(1-(O39+P39*'Geometry'!$G$49+Q39*'Geometry'!$F$49)/C_eco)^C_n),C_alpha*C_fck),0)))*'Geometry'!$H$49+((MAX(MIN(S_1_Es*(O39+P39*'Geometry'!$G$50+Q39*'Geometry'!$F$50),S_1_fy),-S_1_fy))-(IF((O39+P39*'Geometry'!$G$50+Q39*'Geometry'!$F$50)&gt;0,IF((O39+P39*'Geometry'!$G$50+Q39*'Geometry'!$F$50)&lt;=C_eco,C_alpha*C_fck*(1-(1-(O39+P39*'Geometry'!$G$50+Q39*'Geometry'!$F$50)/C_eco)^C_n),C_alpha*C_fck),0)))*'Geometry'!$H$50+((MAX(MIN(S_1_Es*(O39+P39*'Geometry'!$G$51+Q39*'Geometry'!$F$51),S_1_fy),-S_1_fy))-(IF((O39+P39*'Geometry'!$G$51+Q39*'Geometry'!$F$51)&gt;0,IF((O39+P39*'Geometry'!$G$51+Q39*'Geometry'!$F$51)&lt;=C_eco,C_alpha*C_fck*(1-(1-(O39+P39*'Geometry'!$G$51+Q39*'Geometry'!$F$51)/C_eco)^C_n),C_alpha*C_fck),0)))*'Geometry'!$H$51+((MAX(MIN(S_1_Es*(O39+P39*'Geometry'!$G$52+Q39*'Geometry'!$F$52),S_1_fy),-S_1_fy))-(IF((O39+P39*'Geometry'!$G$52+Q39*'Geometry'!$F$52)&gt;0,IF((O39+P39*'Geometry'!$G$52+Q39*'Geometry'!$F$52)&lt;=C_eco,C_alpha*C_fck*(1-(1-(O39+P39*'Geometry'!$G$52+Q39*'Geometry'!$F$52)/C_eco)^C_n),C_alpha*C_fck),0)))*'Geometry'!$H$52+((MAX(MIN(S_1_Es*(O39+P39*'Geometry'!$G$53+Q39*'Geometry'!$F$53),S_1_fy),-S_1_fy))-(IF((O39+P39*'Geometry'!$G$53+Q39*'Geometry'!$F$53)&gt;0,IF((O39+P39*'Geometry'!$G$53+Q39*'Geometry'!$F$53)&lt;=C_eco,C_alpha*C_fck*(1-(1-(O39+P39*'Geometry'!$G$53+Q39*'Geometry'!$F$53)/C_eco)^C_n),C_alpha*C_fck),0)))*'Geometry'!$H$53+((MAX(MIN(S_1_Es*(O39+P39*'Geometry'!$G$54+Q39*'Geometry'!$F$54),S_1_fy),-S_1_fy))-(IF((O39+P39*'Geometry'!$G$54+Q39*'Geometry'!$F$54)&gt;0,IF((O39+P39*'Geometry'!$G$54+Q39*'Geometry'!$F$54)&lt;=C_eco,C_alpha*C_fck*(1-(1-(O39+P39*'Geometry'!$G$54+Q39*'Geometry'!$F$54)/C_eco)^C_n),C_alpha*C_fck),0)))*'Geometry'!$H$54+((MAX(MIN(S_1_Es*(O39+P39*'Geometry'!$G$55+Q39*'Geometry'!$F$55),S_1_fy),-S_1_fy))-(IF((O39+P39*'Geometry'!$G$55+Q39*'Geometry'!$F$55)&gt;0,IF((O39+P39*'Geometry'!$G$55+Q39*'Geometry'!$F$55)&lt;=C_eco,C_alpha*C_fck*(1-(1-(O39+P39*'Geometry'!$G$55+Q39*'Geometry'!$F$55)/C_eco)^C_n),C_alpha*C_fck),0)))*'Geometry'!$H$55+((MAX(MIN(S_1_Es*(O39+P39*'Geometry'!$G$56+Q39*'Geometry'!$F$56),S_1_fy),-S_1_fy))-(IF((O39+P39*'Geometry'!$G$56+Q39*'Geometry'!$F$56)&gt;0,IF((O39+P39*'Geometry'!$G$56+Q39*'Geometry'!$F$56)&lt;=C_eco,C_alpha*C_fck*(1-(1-(O39+P39*'Geometry'!$G$56+Q39*'Geometry'!$F$56)/C_eco)^C_n),C_alpha*C_fck),0)))*'Geometry'!$H$56+((MAX(MIN(S_1_Es*(O39+P39*'Geometry'!$G$57+Q39*'Geometry'!$F$57),S_1_fy),-S_1_fy))-(IF((O39+P39*'Geometry'!$G$57+Q39*'Geometry'!$F$57)&gt;0,IF((O39+P39*'Geometry'!$G$57+Q39*'Geometry'!$F$57)&lt;=C_eco,C_alpha*C_fck*(1-(1-(O39+P39*'Geometry'!$G$57+Q39*'Geometry'!$F$57)/C_eco)^C_n),C_alpha*C_fck),0)))*'Geometry'!$H$57)/1000</f>
        <v>-3975.272915440513</v>
      </c>
      <c r="V39" s="10">
        <f>(((MAX(MIN(S_1_Es*(O39+P39*'Geometry'!$G$40+Q39*'Geometry'!$F$40),S_1_fy),-S_1_fy))-(IF((O39+P39*'Geometry'!$G$40+Q39*'Geometry'!$F$40)&gt;0,IF((O39+P39*'Geometry'!$G$40+Q39*'Geometry'!$F$40)&lt;=C_eco,C_alpha*C_fck*(1-(1-(O39+P39*'Geometry'!$G$40+Q39*'Geometry'!$F$40)/C_eco)^C_n),C_alpha*C_fck),0)))*'Geometry'!$H$40*'Geometry'!$G$40+((MAX(MIN(S_1_Es*(O39+P39*'Geometry'!$G$41+Q39*'Geometry'!$F$41),S_1_fy),-S_1_fy))-(IF((O39+P39*'Geometry'!$G$41+Q39*'Geometry'!$F$41)&gt;0,IF((O39+P39*'Geometry'!$G$41+Q39*'Geometry'!$F$41)&lt;=C_eco,C_alpha*C_fck*(1-(1-(O39+P39*'Geometry'!$G$41+Q39*'Geometry'!$F$41)/C_eco)^C_n),C_alpha*C_fck),0)))*'Geometry'!$H$41*'Geometry'!$G$41+((MAX(MIN(S_1_Es*(O39+P39*'Geometry'!$G$42+Q39*'Geometry'!$F$42),S_1_fy),-S_1_fy))-(IF((O39+P39*'Geometry'!$G$42+Q39*'Geometry'!$F$42)&gt;0,IF((O39+P39*'Geometry'!$G$42+Q39*'Geometry'!$F$42)&lt;=C_eco,C_alpha*C_fck*(1-(1-(O39+P39*'Geometry'!$G$42+Q39*'Geometry'!$F$42)/C_eco)^C_n),C_alpha*C_fck),0)))*'Geometry'!$H$42*'Geometry'!$G$42+((MAX(MIN(S_1_Es*(O39+P39*'Geometry'!$G$43+Q39*'Geometry'!$F$43),S_1_fy),-S_1_fy))-(IF((O39+P39*'Geometry'!$G$43+Q39*'Geometry'!$F$43)&gt;0,IF((O39+P39*'Geometry'!$G$43+Q39*'Geometry'!$F$43)&lt;=C_eco,C_alpha*C_fck*(1-(1-(O39+P39*'Geometry'!$G$43+Q39*'Geometry'!$F$43)/C_eco)^C_n),C_alpha*C_fck),0)))*'Geometry'!$H$43*'Geometry'!$G$43+((MAX(MIN(S_1_Es*(O39+P39*'Geometry'!$G$44+Q39*'Geometry'!$F$44),S_1_fy),-S_1_fy))-(IF((O39+P39*'Geometry'!$G$44+Q39*'Geometry'!$F$44)&gt;0,IF((O39+P39*'Geometry'!$G$44+Q39*'Geometry'!$F$44)&lt;=C_eco,C_alpha*C_fck*(1-(1-(O39+P39*'Geometry'!$G$44+Q39*'Geometry'!$F$44)/C_eco)^C_n),C_alpha*C_fck),0)))*'Geometry'!$H$44*'Geometry'!$G$44+((MAX(MIN(S_1_Es*(O39+P39*'Geometry'!$G$45+Q39*'Geometry'!$F$45),S_1_fy),-S_1_fy))-(IF((O39+P39*'Geometry'!$G$45+Q39*'Geometry'!$F$45)&gt;0,IF((O39+P39*'Geometry'!$G$45+Q39*'Geometry'!$F$45)&lt;=C_eco,C_alpha*C_fck*(1-(1-(O39+P39*'Geometry'!$G$45+Q39*'Geometry'!$F$45)/C_eco)^C_n),C_alpha*C_fck),0)))*'Geometry'!$H$45*'Geometry'!$G$45+((MAX(MIN(S_1_Es*(O39+P39*'Geometry'!$G$46+Q39*'Geometry'!$F$46),S_1_fy),-S_1_fy))-(IF((O39+P39*'Geometry'!$G$46+Q39*'Geometry'!$F$46)&gt;0,IF((O39+P39*'Geometry'!$G$46+Q39*'Geometry'!$F$46)&lt;=C_eco,C_alpha*C_fck*(1-(1-(O39+P39*'Geometry'!$G$46+Q39*'Geometry'!$F$46)/C_eco)^C_n),C_alpha*C_fck),0)))*'Geometry'!$H$46*'Geometry'!$G$46+((MAX(MIN(S_1_Es*(O39+P39*'Geometry'!$G$47+Q39*'Geometry'!$F$47),S_1_fy),-S_1_fy))-(IF((O39+P39*'Geometry'!$G$47+Q39*'Geometry'!$F$47)&gt;0,IF((O39+P39*'Geometry'!$G$47+Q39*'Geometry'!$F$47)&lt;=C_eco,C_alpha*C_fck*(1-(1-(O39+P39*'Geometry'!$G$47+Q39*'Geometry'!$F$47)/C_eco)^C_n),C_alpha*C_fck),0)))*'Geometry'!$H$47*'Geometry'!$G$47+((MAX(MIN(S_1_Es*(O39+P39*'Geometry'!$G$48+Q39*'Geometry'!$F$48),S_1_fy),-S_1_fy))-(IF((O39+P39*'Geometry'!$G$48+Q39*'Geometry'!$F$48)&gt;0,IF((O39+P39*'Geometry'!$G$48+Q39*'Geometry'!$F$48)&lt;=C_eco,C_alpha*C_fck*(1-(1-(O39+P39*'Geometry'!$G$48+Q39*'Geometry'!$F$48)/C_eco)^C_n),C_alpha*C_fck),0)))*'Geometry'!$H$48*'Geometry'!$G$48+((MAX(MIN(S_1_Es*(O39+P39*'Geometry'!$G$49+Q39*'Geometry'!$F$49),S_1_fy),-S_1_fy))-(IF((O39+P39*'Geometry'!$G$49+Q39*'Geometry'!$F$49)&gt;0,IF((O39+P39*'Geometry'!$G$49+Q39*'Geometry'!$F$49)&lt;=C_eco,C_alpha*C_fck*(1-(1-(O39+P39*'Geometry'!$G$49+Q39*'Geometry'!$F$49)/C_eco)^C_n),C_alpha*C_fck),0)))*'Geometry'!$H$49*'Geometry'!$G$49+((MAX(MIN(S_1_Es*(O39+P39*'Geometry'!$G$50+Q39*'Geometry'!$F$50),S_1_fy),-S_1_fy))-(IF((O39+P39*'Geometry'!$G$50+Q39*'Geometry'!$F$50)&gt;0,IF((O39+P39*'Geometry'!$G$50+Q39*'Geometry'!$F$50)&lt;=C_eco,C_alpha*C_fck*(1-(1-(O39+P39*'Geometry'!$G$50+Q39*'Geometry'!$F$50)/C_eco)^C_n),C_alpha*C_fck),0)))*'Geometry'!$H$50*'Geometry'!$G$50+((MAX(MIN(S_1_Es*(O39+P39*'Geometry'!$G$51+Q39*'Geometry'!$F$51),S_1_fy),-S_1_fy))-(IF((O39+P39*'Geometry'!$G$51+Q39*'Geometry'!$F$51)&gt;0,IF((O39+P39*'Geometry'!$G$51+Q39*'Geometry'!$F$51)&lt;=C_eco,C_alpha*C_fck*(1-(1-(O39+P39*'Geometry'!$G$51+Q39*'Geometry'!$F$51)/C_eco)^C_n),C_alpha*C_fck),0)))*'Geometry'!$H$51*'Geometry'!$G$51+((MAX(MIN(S_1_Es*(O39+P39*'Geometry'!$G$52+Q39*'Geometry'!$F$52),S_1_fy),-S_1_fy))-(IF((O39+P39*'Geometry'!$G$52+Q39*'Geometry'!$F$52)&gt;0,IF((O39+P39*'Geometry'!$G$52+Q39*'Geometry'!$F$52)&lt;=C_eco,C_alpha*C_fck*(1-(1-(O39+P39*'Geometry'!$G$52+Q39*'Geometry'!$F$52)/C_eco)^C_n),C_alpha*C_fck),0)))*'Geometry'!$H$52*'Geometry'!$G$52+((MAX(MIN(S_1_Es*(O39+P39*'Geometry'!$G$53+Q39*'Geometry'!$F$53),S_1_fy),-S_1_fy))-(IF((O39+P39*'Geometry'!$G$53+Q39*'Geometry'!$F$53)&gt;0,IF((O39+P39*'Geometry'!$G$53+Q39*'Geometry'!$F$53)&lt;=C_eco,C_alpha*C_fck*(1-(1-(O39+P39*'Geometry'!$G$53+Q39*'Geometry'!$F$53)/C_eco)^C_n),C_alpha*C_fck),0)))*'Geometry'!$H$53*'Geometry'!$G$53+((MAX(MIN(S_1_Es*(O39+P39*'Geometry'!$G$54+Q39*'Geometry'!$F$54),S_1_fy),-S_1_fy))-(IF((O39+P39*'Geometry'!$G$54+Q39*'Geometry'!$F$54)&gt;0,IF((O39+P39*'Geometry'!$G$54+Q39*'Geometry'!$F$54)&lt;=C_eco,C_alpha*C_fck*(1-(1-(O39+P39*'Geometry'!$G$54+Q39*'Geometry'!$F$54)/C_eco)^C_n),C_alpha*C_fck),0)))*'Geometry'!$H$54*'Geometry'!$G$54+((MAX(MIN(S_1_Es*(O39+P39*'Geometry'!$G$55+Q39*'Geometry'!$F$55),S_1_fy),-S_1_fy))-(IF((O39+P39*'Geometry'!$G$55+Q39*'Geometry'!$F$55)&gt;0,IF((O39+P39*'Geometry'!$G$55+Q39*'Geometry'!$F$55)&lt;=C_eco,C_alpha*C_fck*(1-(1-(O39+P39*'Geometry'!$G$55+Q39*'Geometry'!$F$55)/C_eco)^C_n),C_alpha*C_fck),0)))*'Geometry'!$H$55*'Geometry'!$G$55+((MAX(MIN(S_1_Es*(O39+P39*'Geometry'!$G$56+Q39*'Geometry'!$F$56),S_1_fy),-S_1_fy))-(IF((O39+P39*'Geometry'!$G$56+Q39*'Geometry'!$F$56)&gt;0,IF((O39+P39*'Geometry'!$G$56+Q39*'Geometry'!$F$56)&lt;=C_eco,C_alpha*C_fck*(1-(1-(O39+P39*'Geometry'!$G$56+Q39*'Geometry'!$F$56)/C_eco)^C_n),C_alpha*C_fck),0)))*'Geometry'!$H$56*'Geometry'!$G$56+((MAX(MIN(S_1_Es*(O39+P39*'Geometry'!$G$57+Q39*'Geometry'!$F$57),S_1_fy),-S_1_fy))-(IF((O39+P39*'Geometry'!$G$57+Q39*'Geometry'!$F$57)&gt;0,IF((O39+P39*'Geometry'!$G$57+Q39*'Geometry'!$F$57)&lt;=C_eco,C_alpha*C_fck*(1-(1-(O39+P39*'Geometry'!$G$57+Q39*'Geometry'!$F$57)/C_eco)^C_n),C_alpha*C_fck),0)))*'Geometry'!$H$57*'Geometry'!$G$57)/1000000</f>
        <v>573.655434273416</v>
      </c>
      <c r="W39" s="10">
        <f>(((MAX(MIN(S_1_Es*(O39+P39*'Geometry'!$G$40+Q39*'Geometry'!$F$40),S_1_fy),-S_1_fy))-(IF((O39+P39*'Geometry'!$G$40+Q39*'Geometry'!$F$40)&gt;0,IF((O39+P39*'Geometry'!$G$40+Q39*'Geometry'!$F$40)&lt;=C_eco,C_alpha*C_fck*(1-(1-(O39+P39*'Geometry'!$G$40+Q39*'Geometry'!$F$40)/C_eco)^C_n),C_alpha*C_fck),0)))*'Geometry'!$H$40*'Geometry'!$F$40+((MAX(MIN(S_1_Es*(O39+P39*'Geometry'!$G$41+Q39*'Geometry'!$F$41),S_1_fy),-S_1_fy))-(IF((O39+P39*'Geometry'!$G$41+Q39*'Geometry'!$F$41)&gt;0,IF((O39+P39*'Geometry'!$G$41+Q39*'Geometry'!$F$41)&lt;=C_eco,C_alpha*C_fck*(1-(1-(O39+P39*'Geometry'!$G$41+Q39*'Geometry'!$F$41)/C_eco)^C_n),C_alpha*C_fck),0)))*'Geometry'!$H$41*'Geometry'!$F$41+((MAX(MIN(S_1_Es*(O39+P39*'Geometry'!$G$42+Q39*'Geometry'!$F$42),S_1_fy),-S_1_fy))-(IF((O39+P39*'Geometry'!$G$42+Q39*'Geometry'!$F$42)&gt;0,IF((O39+P39*'Geometry'!$G$42+Q39*'Geometry'!$F$42)&lt;=C_eco,C_alpha*C_fck*(1-(1-(O39+P39*'Geometry'!$G$42+Q39*'Geometry'!$F$42)/C_eco)^C_n),C_alpha*C_fck),0)))*'Geometry'!$H$42*'Geometry'!$F$42+((MAX(MIN(S_1_Es*(O39+P39*'Geometry'!$G$43+Q39*'Geometry'!$F$43),S_1_fy),-S_1_fy))-(IF((O39+P39*'Geometry'!$G$43+Q39*'Geometry'!$F$43)&gt;0,IF((O39+P39*'Geometry'!$G$43+Q39*'Geometry'!$F$43)&lt;=C_eco,C_alpha*C_fck*(1-(1-(O39+P39*'Geometry'!$G$43+Q39*'Geometry'!$F$43)/C_eco)^C_n),C_alpha*C_fck),0)))*'Geometry'!$H$43*'Geometry'!$F$43+((MAX(MIN(S_1_Es*(O39+P39*'Geometry'!$G$44+Q39*'Geometry'!$F$44),S_1_fy),-S_1_fy))-(IF((O39+P39*'Geometry'!$G$44+Q39*'Geometry'!$F$44)&gt;0,IF((O39+P39*'Geometry'!$G$44+Q39*'Geometry'!$F$44)&lt;=C_eco,C_alpha*C_fck*(1-(1-(O39+P39*'Geometry'!$G$44+Q39*'Geometry'!$F$44)/C_eco)^C_n),C_alpha*C_fck),0)))*'Geometry'!$H$44*'Geometry'!$F$44+((MAX(MIN(S_1_Es*(O39+P39*'Geometry'!$G$45+Q39*'Geometry'!$F$45),S_1_fy),-S_1_fy))-(IF((O39+P39*'Geometry'!$G$45+Q39*'Geometry'!$F$45)&gt;0,IF((O39+P39*'Geometry'!$G$45+Q39*'Geometry'!$F$45)&lt;=C_eco,C_alpha*C_fck*(1-(1-(O39+P39*'Geometry'!$G$45+Q39*'Geometry'!$F$45)/C_eco)^C_n),C_alpha*C_fck),0)))*'Geometry'!$H$45*'Geometry'!$F$45+((MAX(MIN(S_1_Es*(O39+P39*'Geometry'!$G$46+Q39*'Geometry'!$F$46),S_1_fy),-S_1_fy))-(IF((O39+P39*'Geometry'!$G$46+Q39*'Geometry'!$F$46)&gt;0,IF((O39+P39*'Geometry'!$G$46+Q39*'Geometry'!$F$46)&lt;=C_eco,C_alpha*C_fck*(1-(1-(O39+P39*'Geometry'!$G$46+Q39*'Geometry'!$F$46)/C_eco)^C_n),C_alpha*C_fck),0)))*'Geometry'!$H$46*'Geometry'!$F$46+((MAX(MIN(S_1_Es*(O39+P39*'Geometry'!$G$47+Q39*'Geometry'!$F$47),S_1_fy),-S_1_fy))-(IF((O39+P39*'Geometry'!$G$47+Q39*'Geometry'!$F$47)&gt;0,IF((O39+P39*'Geometry'!$G$47+Q39*'Geometry'!$F$47)&lt;=C_eco,C_alpha*C_fck*(1-(1-(O39+P39*'Geometry'!$G$47+Q39*'Geometry'!$F$47)/C_eco)^C_n),C_alpha*C_fck),0)))*'Geometry'!$H$47*'Geometry'!$F$47+((MAX(MIN(S_1_Es*(O39+P39*'Geometry'!$G$48+Q39*'Geometry'!$F$48),S_1_fy),-S_1_fy))-(IF((O39+P39*'Geometry'!$G$48+Q39*'Geometry'!$F$48)&gt;0,IF((O39+P39*'Geometry'!$G$48+Q39*'Geometry'!$F$48)&lt;=C_eco,C_alpha*C_fck*(1-(1-(O39+P39*'Geometry'!$G$48+Q39*'Geometry'!$F$48)/C_eco)^C_n),C_alpha*C_fck),0)))*'Geometry'!$H$48*'Geometry'!$F$48+((MAX(MIN(S_1_Es*(O39+P39*'Geometry'!$G$49+Q39*'Geometry'!$F$49),S_1_fy),-S_1_fy))-(IF((O39+P39*'Geometry'!$G$49+Q39*'Geometry'!$F$49)&gt;0,IF((O39+P39*'Geometry'!$G$49+Q39*'Geometry'!$F$49)&lt;=C_eco,C_alpha*C_fck*(1-(1-(O39+P39*'Geometry'!$G$49+Q39*'Geometry'!$F$49)/C_eco)^C_n),C_alpha*C_fck),0)))*'Geometry'!$H$49*'Geometry'!$F$49+((MAX(MIN(S_1_Es*(O39+P39*'Geometry'!$G$50+Q39*'Geometry'!$F$50),S_1_fy),-S_1_fy))-(IF((O39+P39*'Geometry'!$G$50+Q39*'Geometry'!$F$50)&gt;0,IF((O39+P39*'Geometry'!$G$50+Q39*'Geometry'!$F$50)&lt;=C_eco,C_alpha*C_fck*(1-(1-(O39+P39*'Geometry'!$G$50+Q39*'Geometry'!$F$50)/C_eco)^C_n),C_alpha*C_fck),0)))*'Geometry'!$H$50*'Geometry'!$F$50+((MAX(MIN(S_1_Es*(O39+P39*'Geometry'!$G$51+Q39*'Geometry'!$F$51),S_1_fy),-S_1_fy))-(IF((O39+P39*'Geometry'!$G$51+Q39*'Geometry'!$F$51)&gt;0,IF((O39+P39*'Geometry'!$G$51+Q39*'Geometry'!$F$51)&lt;=C_eco,C_alpha*C_fck*(1-(1-(O39+P39*'Geometry'!$G$51+Q39*'Geometry'!$F$51)/C_eco)^C_n),C_alpha*C_fck),0)))*'Geometry'!$H$51*'Geometry'!$F$51+((MAX(MIN(S_1_Es*(O39+P39*'Geometry'!$G$52+Q39*'Geometry'!$F$52),S_1_fy),-S_1_fy))-(IF((O39+P39*'Geometry'!$G$52+Q39*'Geometry'!$F$52)&gt;0,IF((O39+P39*'Geometry'!$G$52+Q39*'Geometry'!$F$52)&lt;=C_eco,C_alpha*C_fck*(1-(1-(O39+P39*'Geometry'!$G$52+Q39*'Geometry'!$F$52)/C_eco)^C_n),C_alpha*C_fck),0)))*'Geometry'!$H$52*'Geometry'!$F$52+((MAX(MIN(S_1_Es*(O39+P39*'Geometry'!$G$53+Q39*'Geometry'!$F$53),S_1_fy),-S_1_fy))-(IF((O39+P39*'Geometry'!$G$53+Q39*'Geometry'!$F$53)&gt;0,IF((O39+P39*'Geometry'!$G$53+Q39*'Geometry'!$F$53)&lt;=C_eco,C_alpha*C_fck*(1-(1-(O39+P39*'Geometry'!$G$53+Q39*'Geometry'!$F$53)/C_eco)^C_n),C_alpha*C_fck),0)))*'Geometry'!$H$53*'Geometry'!$F$53+((MAX(MIN(S_1_Es*(O39+P39*'Geometry'!$G$54+Q39*'Geometry'!$F$54),S_1_fy),-S_1_fy))-(IF((O39+P39*'Geometry'!$G$54+Q39*'Geometry'!$F$54)&gt;0,IF((O39+P39*'Geometry'!$G$54+Q39*'Geometry'!$F$54)&lt;=C_eco,C_alpha*C_fck*(1-(1-(O39+P39*'Geometry'!$G$54+Q39*'Geometry'!$F$54)/C_eco)^C_n),C_alpha*C_fck),0)))*'Geometry'!$H$54*'Geometry'!$F$54+((MAX(MIN(S_1_Es*(O39+P39*'Geometry'!$G$55+Q39*'Geometry'!$F$55),S_1_fy),-S_1_fy))-(IF((O39+P39*'Geometry'!$G$55+Q39*'Geometry'!$F$55)&gt;0,IF((O39+P39*'Geometry'!$G$55+Q39*'Geometry'!$F$55)&lt;=C_eco,C_alpha*C_fck*(1-(1-(O39+P39*'Geometry'!$G$55+Q39*'Geometry'!$F$55)/C_eco)^C_n),C_alpha*C_fck),0)))*'Geometry'!$H$55*'Geometry'!$F$55+((MAX(MIN(S_1_Es*(O39+P39*'Geometry'!$G$56+Q39*'Geometry'!$F$56),S_1_fy),-S_1_fy))-(IF((O39+P39*'Geometry'!$G$56+Q39*'Geometry'!$F$56)&gt;0,IF((O39+P39*'Geometry'!$G$56+Q39*'Geometry'!$F$56)&lt;=C_eco,C_alpha*C_fck*(1-(1-(O39+P39*'Geometry'!$G$56+Q39*'Geometry'!$F$56)/C_eco)^C_n),C_alpha*C_fck),0)))*'Geometry'!$H$56*'Geometry'!$F$56+((MAX(MIN(S_1_Es*(O39+P39*'Geometry'!$G$57+Q39*'Geometry'!$F$57),S_1_fy),-S_1_fy))-(IF((O39+P39*'Geometry'!$G$57+Q39*'Geometry'!$F$57)&gt;0,IF((O39+P39*'Geometry'!$G$57+Q39*'Geometry'!$F$57)&lt;=C_eco,C_alpha*C_fck*(1-(1-(O39+P39*'Geometry'!$G$57+Q39*'Geometry'!$F$57)/C_eco)^C_n),C_alpha*C_fck),0)))*'Geometry'!$H$57*'Geometry'!$F$57)/1000000</f>
        <v>-998.3568987492604</v>
      </c>
      <c r="X39" s="10">
        <f>R39+U39</f>
        <v>-1326.809620155917</v>
      </c>
      <c r="Y39" s="10">
        <f>S39+V39</f>
        <v>1611.6837023315973</v>
      </c>
      <c r="Z39" s="10">
        <f>T39+W39</f>
        <v>-2533.272784364213</v>
      </c>
      <c r="AA39" s="7">
        <v>0.85</v>
      </c>
      <c r="AB39" s="7">
        <v>0.85</v>
      </c>
      <c r="AC39" s="10">
        <f>X39*AA39</f>
        <v>-1127.7881771325294</v>
      </c>
      <c r="AD39" s="10">
        <f>Y39*AB39</f>
        <v>1369.9311469818579</v>
      </c>
      <c r="AE39" s="10">
        <f>Z39*AB39</f>
        <v>-2153.2818667095808</v>
      </c>
      <c r="AF39" s="7">
        <v>-1127.7881771325294</v>
      </c>
      <c r="AG39" s="7">
        <v>1369.9311469818579</v>
      </c>
      <c r="AH39" s="7">
        <v>-2153.2818667095808</v>
      </c>
      <c r="AI39" s="15">
        <f>AC39-AF39</f>
        <v>0</v>
      </c>
      <c r="AJ39" s="15">
        <f>SQRT((AD39-AG39)^2+(AE39-AH39)^2)</f>
        <v>0</v>
      </c>
      <c r="AK39" s="7" t="s">
        <v>189</v>
      </c>
      <c r="AL39" s="7">
        <v>-1326.809620155917</v>
      </c>
      <c r="AM39" s="7">
        <v>1611.6837023315973</v>
      </c>
      <c r="AN39" s="7">
        <v>-2533.272784364213</v>
      </c>
      <c r="AO39" s="7">
        <v>2648.463295284596</v>
      </c>
      <c r="AP39" s="7">
        <v>1038.0282680581813</v>
      </c>
      <c r="AQ39" s="7">
        <v>-1534.9158856149525</v>
      </c>
      <c r="AR39" s="7">
        <v>-3975.272915440513</v>
      </c>
      <c r="AS39" s="7">
        <v>573.655434273416</v>
      </c>
      <c r="AT39" s="7">
        <v>-998.3568987492604</v>
      </c>
    </row>
    <row r="40" spans="1:46" x14ac:dyDescent="0.25">
      <c r="A40" s="7" t="s">
        <v>254</v>
      </c>
      <c r="B40" s="7">
        <v>1</v>
      </c>
      <c r="C40" s="18">
        <v>320</v>
      </c>
      <c r="D40" s="7" t="s">
        <v>255</v>
      </c>
      <c r="E40" s="7" t="s">
        <v>192</v>
      </c>
      <c r="F40" s="19">
        <v>320</v>
      </c>
      <c r="G40" s="7" t="s">
        <v>188</v>
      </c>
      <c r="H40" s="20">
        <v>7.5</v>
      </c>
      <c r="I40" s="10">
        <f>MAX(('Geometry'!$G$13*COS(RADIANS(F40))+'Geometry'!$F$13*SIN(RADIANS(F40))),('Geometry'!$G$14*COS(RADIANS(F40))+'Geometry'!$F$14*SIN(RADIANS(F40))),('Geometry'!$G$15*COS(RADIANS(F40))+'Geometry'!$F$15*SIN(RADIANS(F40))),('Geometry'!$G$16*COS(RADIANS(F40))+'Geometry'!$F$16*SIN(RADIANS(F40))),('Geometry'!$G$17*COS(RADIANS(F40))+'Geometry'!$F$17*SIN(RADIANS(F40))),('Geometry'!$G$18*COS(RADIANS(F40))+'Geometry'!$F$18*SIN(RADIANS(F40))),('Geometry'!$G$19*COS(RADIANS(F40))+'Geometry'!$F$19*SIN(RADIANS(F40))),('Geometry'!$G$20*COS(RADIANS(F40))+'Geometry'!$F$20*SIN(RADIANS(F40))))</f>
        <v>813.1598511989835</v>
      </c>
      <c r="J40" s="10">
        <f>MIN(('Geometry'!$G$40*COS(RADIANS(F40))+'Geometry'!$F$40*SIN(RADIANS(F40))),('Geometry'!$G$41*COS(RADIANS(F40))+'Geometry'!$F$41*SIN(RADIANS(F40))),('Geometry'!$G$42*COS(RADIANS(F40))+'Geometry'!$F$42*SIN(RADIANS(F40))),('Geometry'!$G$43*COS(RADIANS(F40))+'Geometry'!$F$43*SIN(RADIANS(F40))),('Geometry'!$G$44*COS(RADIANS(F40))+'Geometry'!$F$44*SIN(RADIANS(F40))),('Geometry'!$G$45*COS(RADIANS(F40))+'Geometry'!$F$45*SIN(RADIANS(F40))),('Geometry'!$G$46*COS(RADIANS(F40))+'Geometry'!$F$46*SIN(RADIANS(F40))),('Geometry'!$G$47*COS(RADIANS(F40))+'Geometry'!$F$47*SIN(RADIANS(F40))),('Geometry'!$G$48*COS(RADIANS(F40))+'Geometry'!$F$48*SIN(RADIANS(F40))),('Geometry'!$G$49*COS(RADIANS(F40))+'Geometry'!$F$49*SIN(RADIANS(F40))),('Geometry'!$G$50*COS(RADIANS(F40))+'Geometry'!$F$50*SIN(RADIANS(F40))),('Geometry'!$G$51*COS(RADIANS(F40))+'Geometry'!$F$51*SIN(RADIANS(F40))),('Geometry'!$G$52*COS(RADIANS(F40))+'Geometry'!$F$52*SIN(RADIANS(F40))),('Geometry'!$G$53*COS(RADIANS(F40))+'Geometry'!$F$53*SIN(RADIANS(F40))),('Geometry'!$G$54*COS(RADIANS(F40))+'Geometry'!$F$54*SIN(RADIANS(F40))),('Geometry'!$G$55*COS(RADIANS(F40))+'Geometry'!$F$55*SIN(RADIANS(F40))),('Geometry'!$G$56*COS(RADIANS(F40))+'Geometry'!$F$56*SIN(RADIANS(F40))),('Geometry'!$G$57*COS(RADIANS(F40))+'Geometry'!$F$57*SIN(RADIANS(F40))))</f>
        <v>-666.9089075225402</v>
      </c>
      <c r="K40" s="10">
        <f>I40-MIN(('Geometry'!$G$13*COS(RADIANS(F40))+'Geometry'!$F$13*SIN(RADIANS(F40))),('Geometry'!$G$14*COS(RADIANS(F40))+'Geometry'!$F$14*SIN(RADIANS(F40))),('Geometry'!$G$15*COS(RADIANS(F40))+'Geometry'!$F$15*SIN(RADIANS(F40))),('Geometry'!$G$16*COS(RADIANS(F40))+'Geometry'!$F$16*SIN(RADIANS(F40))),('Geometry'!$G$17*COS(RADIANS(F40))+'Geometry'!$F$17*SIN(RADIANS(F40))),('Geometry'!$G$18*COS(RADIANS(F40))+'Geometry'!$F$18*SIN(RADIANS(F40))),('Geometry'!$G$19*COS(RADIANS(F40))+'Geometry'!$F$19*SIN(RADIANS(F40))),('Geometry'!$G$20*COS(RADIANS(F40))+'Geometry'!$F$20*SIN(RADIANS(F40))))</f>
        <v>1626.319702397967</v>
      </c>
      <c r="L40" s="15">
        <f>C_ecu</f>
        <v>0.0033</v>
      </c>
      <c r="M40" s="15">
        <f>-H40*S_1_fy/S_1_Es</f>
        <v>-0.015</v>
      </c>
      <c r="N40" s="21">
        <f>IF(ABS(I40-J40)&lt;0.000000000001,0,(L40-M40)/(I40-J40))</f>
        <v>0.000012364290437295259</v>
      </c>
      <c r="O40" s="15">
        <f>L40-N40*I40</f>
        <v>-0.006754144572172028</v>
      </c>
      <c r="P40" s="21">
        <f>N40*COS(RADIANS(F40))</f>
        <v>0.00000947159598259915</v>
      </c>
      <c r="Q40" s="21">
        <f>N40*SIN(RADIANS(F40))</f>
        <v>-0.00000794761269565916</v>
      </c>
      <c r="R40" s="10">
        <f>SUMPRODUCT(C_alpha*C_fck*(1-(1-(((O40+P40*Mesh_Y+Q40*Mesh_X))*((O40+P40*Mesh_Y+Q40*Mesh_X)&gt;0)*((O40+P40*Mesh_Y+Q40*Mesh_X)&lt;C_eco)+C_eco*((O40+P40*Mesh_Y+Q40*Mesh_X)&gt;=C_eco))/C_eco)^C_n)*(((O40+P40*Mesh_Y+Q40*Mesh_X))&gt;0),Mesh_A)/1000</f>
        <v>2486.695081018626</v>
      </c>
      <c r="S40" s="10">
        <f>SUMPRODUCT(C_alpha*C_fck*(1-(1-(((O40+P40*Mesh_Y+Q40*Mesh_X))*((O40+P40*Mesh_Y+Q40*Mesh_X)&gt;0)*((O40+P40*Mesh_Y+Q40*Mesh_X)&lt;C_eco)+C_eco*((O40+P40*Mesh_Y+Q40*Mesh_X)&gt;=C_eco))/C_eco)^C_n)*(((O40+P40*Mesh_Y+Q40*Mesh_X))&gt;0),Mesh_A,Mesh_Y)/1000000</f>
        <v>1081.3891860806684</v>
      </c>
      <c r="T40" s="10">
        <f>SUMPRODUCT(C_alpha*C_fck*(1-(1-(((O40+P40*Mesh_Y+Q40*Mesh_X))*((O40+P40*Mesh_Y+Q40*Mesh_X)&gt;0)*((O40+P40*Mesh_Y+Q40*Mesh_X)&lt;C_eco)+C_eco*((O40+P40*Mesh_Y+Q40*Mesh_X)&gt;=C_eco))/C_eco)^C_n)*(((O40+P40*Mesh_Y+Q40*Mesh_X))&gt;0),Mesh_A,Mesh_X)/1000000</f>
        <v>-1355.3817858463308</v>
      </c>
      <c r="U40" s="10">
        <f>(((MAX(MIN(S_1_Es*(O40+P40*'Geometry'!$G$40+Q40*'Geometry'!$F$40),S_1_fy),-S_1_fy))-(IF((O40+P40*'Geometry'!$G$40+Q40*'Geometry'!$F$40)&gt;0,IF((O40+P40*'Geometry'!$G$40+Q40*'Geometry'!$F$40)&lt;=C_eco,C_alpha*C_fck*(1-(1-(O40+P40*'Geometry'!$G$40+Q40*'Geometry'!$F$40)/C_eco)^C_n),C_alpha*C_fck),0)))*'Geometry'!$H$40+((MAX(MIN(S_1_Es*(O40+P40*'Geometry'!$G$41+Q40*'Geometry'!$F$41),S_1_fy),-S_1_fy))-(IF((O40+P40*'Geometry'!$G$41+Q40*'Geometry'!$F$41)&gt;0,IF((O40+P40*'Geometry'!$G$41+Q40*'Geometry'!$F$41)&lt;=C_eco,C_alpha*C_fck*(1-(1-(O40+P40*'Geometry'!$G$41+Q40*'Geometry'!$F$41)/C_eco)^C_n),C_alpha*C_fck),0)))*'Geometry'!$H$41+((MAX(MIN(S_1_Es*(O40+P40*'Geometry'!$G$42+Q40*'Geometry'!$F$42),S_1_fy),-S_1_fy))-(IF((O40+P40*'Geometry'!$G$42+Q40*'Geometry'!$F$42)&gt;0,IF((O40+P40*'Geometry'!$G$42+Q40*'Geometry'!$F$42)&lt;=C_eco,C_alpha*C_fck*(1-(1-(O40+P40*'Geometry'!$G$42+Q40*'Geometry'!$F$42)/C_eco)^C_n),C_alpha*C_fck),0)))*'Geometry'!$H$42+((MAX(MIN(S_1_Es*(O40+P40*'Geometry'!$G$43+Q40*'Geometry'!$F$43),S_1_fy),-S_1_fy))-(IF((O40+P40*'Geometry'!$G$43+Q40*'Geometry'!$F$43)&gt;0,IF((O40+P40*'Geometry'!$G$43+Q40*'Geometry'!$F$43)&lt;=C_eco,C_alpha*C_fck*(1-(1-(O40+P40*'Geometry'!$G$43+Q40*'Geometry'!$F$43)/C_eco)^C_n),C_alpha*C_fck),0)))*'Geometry'!$H$43+((MAX(MIN(S_1_Es*(O40+P40*'Geometry'!$G$44+Q40*'Geometry'!$F$44),S_1_fy),-S_1_fy))-(IF((O40+P40*'Geometry'!$G$44+Q40*'Geometry'!$F$44)&gt;0,IF((O40+P40*'Geometry'!$G$44+Q40*'Geometry'!$F$44)&lt;=C_eco,C_alpha*C_fck*(1-(1-(O40+P40*'Geometry'!$G$44+Q40*'Geometry'!$F$44)/C_eco)^C_n),C_alpha*C_fck),0)))*'Geometry'!$H$44+((MAX(MIN(S_1_Es*(O40+P40*'Geometry'!$G$45+Q40*'Geometry'!$F$45),S_1_fy),-S_1_fy))-(IF((O40+P40*'Geometry'!$G$45+Q40*'Geometry'!$F$45)&gt;0,IF((O40+P40*'Geometry'!$G$45+Q40*'Geometry'!$F$45)&lt;=C_eco,C_alpha*C_fck*(1-(1-(O40+P40*'Geometry'!$G$45+Q40*'Geometry'!$F$45)/C_eco)^C_n),C_alpha*C_fck),0)))*'Geometry'!$H$45+((MAX(MIN(S_1_Es*(O40+P40*'Geometry'!$G$46+Q40*'Geometry'!$F$46),S_1_fy),-S_1_fy))-(IF((O40+P40*'Geometry'!$G$46+Q40*'Geometry'!$F$46)&gt;0,IF((O40+P40*'Geometry'!$G$46+Q40*'Geometry'!$F$46)&lt;=C_eco,C_alpha*C_fck*(1-(1-(O40+P40*'Geometry'!$G$46+Q40*'Geometry'!$F$46)/C_eco)^C_n),C_alpha*C_fck),0)))*'Geometry'!$H$46+((MAX(MIN(S_1_Es*(O40+P40*'Geometry'!$G$47+Q40*'Geometry'!$F$47),S_1_fy),-S_1_fy))-(IF((O40+P40*'Geometry'!$G$47+Q40*'Geometry'!$F$47)&gt;0,IF((O40+P40*'Geometry'!$G$47+Q40*'Geometry'!$F$47)&lt;=C_eco,C_alpha*C_fck*(1-(1-(O40+P40*'Geometry'!$G$47+Q40*'Geometry'!$F$47)/C_eco)^C_n),C_alpha*C_fck),0)))*'Geometry'!$H$47+((MAX(MIN(S_1_Es*(O40+P40*'Geometry'!$G$48+Q40*'Geometry'!$F$48),S_1_fy),-S_1_fy))-(IF((O40+P40*'Geometry'!$G$48+Q40*'Geometry'!$F$48)&gt;0,IF((O40+P40*'Geometry'!$G$48+Q40*'Geometry'!$F$48)&lt;=C_eco,C_alpha*C_fck*(1-(1-(O40+P40*'Geometry'!$G$48+Q40*'Geometry'!$F$48)/C_eco)^C_n),C_alpha*C_fck),0)))*'Geometry'!$H$48+((MAX(MIN(S_1_Es*(O40+P40*'Geometry'!$G$49+Q40*'Geometry'!$F$49),S_1_fy),-S_1_fy))-(IF((O40+P40*'Geometry'!$G$49+Q40*'Geometry'!$F$49)&gt;0,IF((O40+P40*'Geometry'!$G$49+Q40*'Geometry'!$F$49)&lt;=C_eco,C_alpha*C_fck*(1-(1-(O40+P40*'Geometry'!$G$49+Q40*'Geometry'!$F$49)/C_eco)^C_n),C_alpha*C_fck),0)))*'Geometry'!$H$49+((MAX(MIN(S_1_Es*(O40+P40*'Geometry'!$G$50+Q40*'Geometry'!$F$50),S_1_fy),-S_1_fy))-(IF((O40+P40*'Geometry'!$G$50+Q40*'Geometry'!$F$50)&gt;0,IF((O40+P40*'Geometry'!$G$50+Q40*'Geometry'!$F$50)&lt;=C_eco,C_alpha*C_fck*(1-(1-(O40+P40*'Geometry'!$G$50+Q40*'Geometry'!$F$50)/C_eco)^C_n),C_alpha*C_fck),0)))*'Geometry'!$H$50+((MAX(MIN(S_1_Es*(O40+P40*'Geometry'!$G$51+Q40*'Geometry'!$F$51),S_1_fy),-S_1_fy))-(IF((O40+P40*'Geometry'!$G$51+Q40*'Geometry'!$F$51)&gt;0,IF((O40+P40*'Geometry'!$G$51+Q40*'Geometry'!$F$51)&lt;=C_eco,C_alpha*C_fck*(1-(1-(O40+P40*'Geometry'!$G$51+Q40*'Geometry'!$F$51)/C_eco)^C_n),C_alpha*C_fck),0)))*'Geometry'!$H$51+((MAX(MIN(S_1_Es*(O40+P40*'Geometry'!$G$52+Q40*'Geometry'!$F$52),S_1_fy),-S_1_fy))-(IF((O40+P40*'Geometry'!$G$52+Q40*'Geometry'!$F$52)&gt;0,IF((O40+P40*'Geometry'!$G$52+Q40*'Geometry'!$F$52)&lt;=C_eco,C_alpha*C_fck*(1-(1-(O40+P40*'Geometry'!$G$52+Q40*'Geometry'!$F$52)/C_eco)^C_n),C_alpha*C_fck),0)))*'Geometry'!$H$52+((MAX(MIN(S_1_Es*(O40+P40*'Geometry'!$G$53+Q40*'Geometry'!$F$53),S_1_fy),-S_1_fy))-(IF((O40+P40*'Geometry'!$G$53+Q40*'Geometry'!$F$53)&gt;0,IF((O40+P40*'Geometry'!$G$53+Q40*'Geometry'!$F$53)&lt;=C_eco,C_alpha*C_fck*(1-(1-(O40+P40*'Geometry'!$G$53+Q40*'Geometry'!$F$53)/C_eco)^C_n),C_alpha*C_fck),0)))*'Geometry'!$H$53+((MAX(MIN(S_1_Es*(O40+P40*'Geometry'!$G$54+Q40*'Geometry'!$F$54),S_1_fy),-S_1_fy))-(IF((O40+P40*'Geometry'!$G$54+Q40*'Geometry'!$F$54)&gt;0,IF((O40+P40*'Geometry'!$G$54+Q40*'Geometry'!$F$54)&lt;=C_eco,C_alpha*C_fck*(1-(1-(O40+P40*'Geometry'!$G$54+Q40*'Geometry'!$F$54)/C_eco)^C_n),C_alpha*C_fck),0)))*'Geometry'!$H$54+((MAX(MIN(S_1_Es*(O40+P40*'Geometry'!$G$55+Q40*'Geometry'!$F$55),S_1_fy),-S_1_fy))-(IF((O40+P40*'Geometry'!$G$55+Q40*'Geometry'!$F$55)&gt;0,IF((O40+P40*'Geometry'!$G$55+Q40*'Geometry'!$F$55)&lt;=C_eco,C_alpha*C_fck*(1-(1-(O40+P40*'Geometry'!$G$55+Q40*'Geometry'!$F$55)/C_eco)^C_n),C_alpha*C_fck),0)))*'Geometry'!$H$55+((MAX(MIN(S_1_Es*(O40+P40*'Geometry'!$G$56+Q40*'Geometry'!$F$56),S_1_fy),-S_1_fy))-(IF((O40+P40*'Geometry'!$G$56+Q40*'Geometry'!$F$56)&gt;0,IF((O40+P40*'Geometry'!$G$56+Q40*'Geometry'!$F$56)&lt;=C_eco,C_alpha*C_fck*(1-(1-(O40+P40*'Geometry'!$G$56+Q40*'Geometry'!$F$56)/C_eco)^C_n),C_alpha*C_fck),0)))*'Geometry'!$H$56+((MAX(MIN(S_1_Es*(O40+P40*'Geometry'!$G$57+Q40*'Geometry'!$F$57),S_1_fy),-S_1_fy))-(IF((O40+P40*'Geometry'!$G$57+Q40*'Geometry'!$F$57)&gt;0,IF((O40+P40*'Geometry'!$G$57+Q40*'Geometry'!$F$57)&lt;=C_eco,C_alpha*C_fck*(1-(1-(O40+P40*'Geometry'!$G$57+Q40*'Geometry'!$F$57)/C_eco)^C_n),C_alpha*C_fck),0)))*'Geometry'!$H$57)/1000</f>
        <v>-4114.831651386042</v>
      </c>
      <c r="V40" s="10">
        <f>(((MAX(MIN(S_1_Es*(O40+P40*'Geometry'!$G$40+Q40*'Geometry'!$F$40),S_1_fy),-S_1_fy))-(IF((O40+P40*'Geometry'!$G$40+Q40*'Geometry'!$F$40)&gt;0,IF((O40+P40*'Geometry'!$G$40+Q40*'Geometry'!$F$40)&lt;=C_eco,C_alpha*C_fck*(1-(1-(O40+P40*'Geometry'!$G$40+Q40*'Geometry'!$F$40)/C_eco)^C_n),C_alpha*C_fck),0)))*'Geometry'!$H$40*'Geometry'!$G$40+((MAX(MIN(S_1_Es*(O40+P40*'Geometry'!$G$41+Q40*'Geometry'!$F$41),S_1_fy),-S_1_fy))-(IF((O40+P40*'Geometry'!$G$41+Q40*'Geometry'!$F$41)&gt;0,IF((O40+P40*'Geometry'!$G$41+Q40*'Geometry'!$F$41)&lt;=C_eco,C_alpha*C_fck*(1-(1-(O40+P40*'Geometry'!$G$41+Q40*'Geometry'!$F$41)/C_eco)^C_n),C_alpha*C_fck),0)))*'Geometry'!$H$41*'Geometry'!$G$41+((MAX(MIN(S_1_Es*(O40+P40*'Geometry'!$G$42+Q40*'Geometry'!$F$42),S_1_fy),-S_1_fy))-(IF((O40+P40*'Geometry'!$G$42+Q40*'Geometry'!$F$42)&gt;0,IF((O40+P40*'Geometry'!$G$42+Q40*'Geometry'!$F$42)&lt;=C_eco,C_alpha*C_fck*(1-(1-(O40+P40*'Geometry'!$G$42+Q40*'Geometry'!$F$42)/C_eco)^C_n),C_alpha*C_fck),0)))*'Geometry'!$H$42*'Geometry'!$G$42+((MAX(MIN(S_1_Es*(O40+P40*'Geometry'!$G$43+Q40*'Geometry'!$F$43),S_1_fy),-S_1_fy))-(IF((O40+P40*'Geometry'!$G$43+Q40*'Geometry'!$F$43)&gt;0,IF((O40+P40*'Geometry'!$G$43+Q40*'Geometry'!$F$43)&lt;=C_eco,C_alpha*C_fck*(1-(1-(O40+P40*'Geometry'!$G$43+Q40*'Geometry'!$F$43)/C_eco)^C_n),C_alpha*C_fck),0)))*'Geometry'!$H$43*'Geometry'!$G$43+((MAX(MIN(S_1_Es*(O40+P40*'Geometry'!$G$44+Q40*'Geometry'!$F$44),S_1_fy),-S_1_fy))-(IF((O40+P40*'Geometry'!$G$44+Q40*'Geometry'!$F$44)&gt;0,IF((O40+P40*'Geometry'!$G$44+Q40*'Geometry'!$F$44)&lt;=C_eco,C_alpha*C_fck*(1-(1-(O40+P40*'Geometry'!$G$44+Q40*'Geometry'!$F$44)/C_eco)^C_n),C_alpha*C_fck),0)))*'Geometry'!$H$44*'Geometry'!$G$44+((MAX(MIN(S_1_Es*(O40+P40*'Geometry'!$G$45+Q40*'Geometry'!$F$45),S_1_fy),-S_1_fy))-(IF((O40+P40*'Geometry'!$G$45+Q40*'Geometry'!$F$45)&gt;0,IF((O40+P40*'Geometry'!$G$45+Q40*'Geometry'!$F$45)&lt;=C_eco,C_alpha*C_fck*(1-(1-(O40+P40*'Geometry'!$G$45+Q40*'Geometry'!$F$45)/C_eco)^C_n),C_alpha*C_fck),0)))*'Geometry'!$H$45*'Geometry'!$G$45+((MAX(MIN(S_1_Es*(O40+P40*'Geometry'!$G$46+Q40*'Geometry'!$F$46),S_1_fy),-S_1_fy))-(IF((O40+P40*'Geometry'!$G$46+Q40*'Geometry'!$F$46)&gt;0,IF((O40+P40*'Geometry'!$G$46+Q40*'Geometry'!$F$46)&lt;=C_eco,C_alpha*C_fck*(1-(1-(O40+P40*'Geometry'!$G$46+Q40*'Geometry'!$F$46)/C_eco)^C_n),C_alpha*C_fck),0)))*'Geometry'!$H$46*'Geometry'!$G$46+((MAX(MIN(S_1_Es*(O40+P40*'Geometry'!$G$47+Q40*'Geometry'!$F$47),S_1_fy),-S_1_fy))-(IF((O40+P40*'Geometry'!$G$47+Q40*'Geometry'!$F$47)&gt;0,IF((O40+P40*'Geometry'!$G$47+Q40*'Geometry'!$F$47)&lt;=C_eco,C_alpha*C_fck*(1-(1-(O40+P40*'Geometry'!$G$47+Q40*'Geometry'!$F$47)/C_eco)^C_n),C_alpha*C_fck),0)))*'Geometry'!$H$47*'Geometry'!$G$47+((MAX(MIN(S_1_Es*(O40+P40*'Geometry'!$G$48+Q40*'Geometry'!$F$48),S_1_fy),-S_1_fy))-(IF((O40+P40*'Geometry'!$G$48+Q40*'Geometry'!$F$48)&gt;0,IF((O40+P40*'Geometry'!$G$48+Q40*'Geometry'!$F$48)&lt;=C_eco,C_alpha*C_fck*(1-(1-(O40+P40*'Geometry'!$G$48+Q40*'Geometry'!$F$48)/C_eco)^C_n),C_alpha*C_fck),0)))*'Geometry'!$H$48*'Geometry'!$G$48+((MAX(MIN(S_1_Es*(O40+P40*'Geometry'!$G$49+Q40*'Geometry'!$F$49),S_1_fy),-S_1_fy))-(IF((O40+P40*'Geometry'!$G$49+Q40*'Geometry'!$F$49)&gt;0,IF((O40+P40*'Geometry'!$G$49+Q40*'Geometry'!$F$49)&lt;=C_eco,C_alpha*C_fck*(1-(1-(O40+P40*'Geometry'!$G$49+Q40*'Geometry'!$F$49)/C_eco)^C_n),C_alpha*C_fck),0)))*'Geometry'!$H$49*'Geometry'!$G$49+((MAX(MIN(S_1_Es*(O40+P40*'Geometry'!$G$50+Q40*'Geometry'!$F$50),S_1_fy),-S_1_fy))-(IF((O40+P40*'Geometry'!$G$50+Q40*'Geometry'!$F$50)&gt;0,IF((O40+P40*'Geometry'!$G$50+Q40*'Geometry'!$F$50)&lt;=C_eco,C_alpha*C_fck*(1-(1-(O40+P40*'Geometry'!$G$50+Q40*'Geometry'!$F$50)/C_eco)^C_n),C_alpha*C_fck),0)))*'Geometry'!$H$50*'Geometry'!$G$50+((MAX(MIN(S_1_Es*(O40+P40*'Geometry'!$G$51+Q40*'Geometry'!$F$51),S_1_fy),-S_1_fy))-(IF((O40+P40*'Geometry'!$G$51+Q40*'Geometry'!$F$51)&gt;0,IF((O40+P40*'Geometry'!$G$51+Q40*'Geometry'!$F$51)&lt;=C_eco,C_alpha*C_fck*(1-(1-(O40+P40*'Geometry'!$G$51+Q40*'Geometry'!$F$51)/C_eco)^C_n),C_alpha*C_fck),0)))*'Geometry'!$H$51*'Geometry'!$G$51+((MAX(MIN(S_1_Es*(O40+P40*'Geometry'!$G$52+Q40*'Geometry'!$F$52),S_1_fy),-S_1_fy))-(IF((O40+P40*'Geometry'!$G$52+Q40*'Geometry'!$F$52)&gt;0,IF((O40+P40*'Geometry'!$G$52+Q40*'Geometry'!$F$52)&lt;=C_eco,C_alpha*C_fck*(1-(1-(O40+P40*'Geometry'!$G$52+Q40*'Geometry'!$F$52)/C_eco)^C_n),C_alpha*C_fck),0)))*'Geometry'!$H$52*'Geometry'!$G$52+((MAX(MIN(S_1_Es*(O40+P40*'Geometry'!$G$53+Q40*'Geometry'!$F$53),S_1_fy),-S_1_fy))-(IF((O40+P40*'Geometry'!$G$53+Q40*'Geometry'!$F$53)&gt;0,IF((O40+P40*'Geometry'!$G$53+Q40*'Geometry'!$F$53)&lt;=C_eco,C_alpha*C_fck*(1-(1-(O40+P40*'Geometry'!$G$53+Q40*'Geometry'!$F$53)/C_eco)^C_n),C_alpha*C_fck),0)))*'Geometry'!$H$53*'Geometry'!$G$53+((MAX(MIN(S_1_Es*(O40+P40*'Geometry'!$G$54+Q40*'Geometry'!$F$54),S_1_fy),-S_1_fy))-(IF((O40+P40*'Geometry'!$G$54+Q40*'Geometry'!$F$54)&gt;0,IF((O40+P40*'Geometry'!$G$54+Q40*'Geometry'!$F$54)&lt;=C_eco,C_alpha*C_fck*(1-(1-(O40+P40*'Geometry'!$G$54+Q40*'Geometry'!$F$54)/C_eco)^C_n),C_alpha*C_fck),0)))*'Geometry'!$H$54*'Geometry'!$G$54+((MAX(MIN(S_1_Es*(O40+P40*'Geometry'!$G$55+Q40*'Geometry'!$F$55),S_1_fy),-S_1_fy))-(IF((O40+P40*'Geometry'!$G$55+Q40*'Geometry'!$F$55)&gt;0,IF((O40+P40*'Geometry'!$G$55+Q40*'Geometry'!$F$55)&lt;=C_eco,C_alpha*C_fck*(1-(1-(O40+P40*'Geometry'!$G$55+Q40*'Geometry'!$F$55)/C_eco)^C_n),C_alpha*C_fck),0)))*'Geometry'!$H$55*'Geometry'!$G$55+((MAX(MIN(S_1_Es*(O40+P40*'Geometry'!$G$56+Q40*'Geometry'!$F$56),S_1_fy),-S_1_fy))-(IF((O40+P40*'Geometry'!$G$56+Q40*'Geometry'!$F$56)&gt;0,IF((O40+P40*'Geometry'!$G$56+Q40*'Geometry'!$F$56)&lt;=C_eco,C_alpha*C_fck*(1-(1-(O40+P40*'Geometry'!$G$56+Q40*'Geometry'!$F$56)/C_eco)^C_n),C_alpha*C_fck),0)))*'Geometry'!$H$56*'Geometry'!$G$56+((MAX(MIN(S_1_Es*(O40+P40*'Geometry'!$G$57+Q40*'Geometry'!$F$57),S_1_fy),-S_1_fy))-(IF((O40+P40*'Geometry'!$G$57+Q40*'Geometry'!$F$57)&gt;0,IF((O40+P40*'Geometry'!$G$57+Q40*'Geometry'!$F$57)&lt;=C_eco,C_alpha*C_fck*(1-(1-(O40+P40*'Geometry'!$G$57+Q40*'Geometry'!$F$57)/C_eco)^C_n),C_alpha*C_fck),0)))*'Geometry'!$H$57*'Geometry'!$G$57)/1000000</f>
        <v>652.8994695579889</v>
      </c>
      <c r="W40" s="10">
        <f>(((MAX(MIN(S_1_Es*(O40+P40*'Geometry'!$G$40+Q40*'Geometry'!$F$40),S_1_fy),-S_1_fy))-(IF((O40+P40*'Geometry'!$G$40+Q40*'Geometry'!$F$40)&gt;0,IF((O40+P40*'Geometry'!$G$40+Q40*'Geometry'!$F$40)&lt;=C_eco,C_alpha*C_fck*(1-(1-(O40+P40*'Geometry'!$G$40+Q40*'Geometry'!$F$40)/C_eco)^C_n),C_alpha*C_fck),0)))*'Geometry'!$H$40*'Geometry'!$F$40+((MAX(MIN(S_1_Es*(O40+P40*'Geometry'!$G$41+Q40*'Geometry'!$F$41),S_1_fy),-S_1_fy))-(IF((O40+P40*'Geometry'!$G$41+Q40*'Geometry'!$F$41)&gt;0,IF((O40+P40*'Geometry'!$G$41+Q40*'Geometry'!$F$41)&lt;=C_eco,C_alpha*C_fck*(1-(1-(O40+P40*'Geometry'!$G$41+Q40*'Geometry'!$F$41)/C_eco)^C_n),C_alpha*C_fck),0)))*'Geometry'!$H$41*'Geometry'!$F$41+((MAX(MIN(S_1_Es*(O40+P40*'Geometry'!$G$42+Q40*'Geometry'!$F$42),S_1_fy),-S_1_fy))-(IF((O40+P40*'Geometry'!$G$42+Q40*'Geometry'!$F$42)&gt;0,IF((O40+P40*'Geometry'!$G$42+Q40*'Geometry'!$F$42)&lt;=C_eco,C_alpha*C_fck*(1-(1-(O40+P40*'Geometry'!$G$42+Q40*'Geometry'!$F$42)/C_eco)^C_n),C_alpha*C_fck),0)))*'Geometry'!$H$42*'Geometry'!$F$42+((MAX(MIN(S_1_Es*(O40+P40*'Geometry'!$G$43+Q40*'Geometry'!$F$43),S_1_fy),-S_1_fy))-(IF((O40+P40*'Geometry'!$G$43+Q40*'Geometry'!$F$43)&gt;0,IF((O40+P40*'Geometry'!$G$43+Q40*'Geometry'!$F$43)&lt;=C_eco,C_alpha*C_fck*(1-(1-(O40+P40*'Geometry'!$G$43+Q40*'Geometry'!$F$43)/C_eco)^C_n),C_alpha*C_fck),0)))*'Geometry'!$H$43*'Geometry'!$F$43+((MAX(MIN(S_1_Es*(O40+P40*'Geometry'!$G$44+Q40*'Geometry'!$F$44),S_1_fy),-S_1_fy))-(IF((O40+P40*'Geometry'!$G$44+Q40*'Geometry'!$F$44)&gt;0,IF((O40+P40*'Geometry'!$G$44+Q40*'Geometry'!$F$44)&lt;=C_eco,C_alpha*C_fck*(1-(1-(O40+P40*'Geometry'!$G$44+Q40*'Geometry'!$F$44)/C_eco)^C_n),C_alpha*C_fck),0)))*'Geometry'!$H$44*'Geometry'!$F$44+((MAX(MIN(S_1_Es*(O40+P40*'Geometry'!$G$45+Q40*'Geometry'!$F$45),S_1_fy),-S_1_fy))-(IF((O40+P40*'Geometry'!$G$45+Q40*'Geometry'!$F$45)&gt;0,IF((O40+P40*'Geometry'!$G$45+Q40*'Geometry'!$F$45)&lt;=C_eco,C_alpha*C_fck*(1-(1-(O40+P40*'Geometry'!$G$45+Q40*'Geometry'!$F$45)/C_eco)^C_n),C_alpha*C_fck),0)))*'Geometry'!$H$45*'Geometry'!$F$45+((MAX(MIN(S_1_Es*(O40+P40*'Geometry'!$G$46+Q40*'Geometry'!$F$46),S_1_fy),-S_1_fy))-(IF((O40+P40*'Geometry'!$G$46+Q40*'Geometry'!$F$46)&gt;0,IF((O40+P40*'Geometry'!$G$46+Q40*'Geometry'!$F$46)&lt;=C_eco,C_alpha*C_fck*(1-(1-(O40+P40*'Geometry'!$G$46+Q40*'Geometry'!$F$46)/C_eco)^C_n),C_alpha*C_fck),0)))*'Geometry'!$H$46*'Geometry'!$F$46+((MAX(MIN(S_1_Es*(O40+P40*'Geometry'!$G$47+Q40*'Geometry'!$F$47),S_1_fy),-S_1_fy))-(IF((O40+P40*'Geometry'!$G$47+Q40*'Geometry'!$F$47)&gt;0,IF((O40+P40*'Geometry'!$G$47+Q40*'Geometry'!$F$47)&lt;=C_eco,C_alpha*C_fck*(1-(1-(O40+P40*'Geometry'!$G$47+Q40*'Geometry'!$F$47)/C_eco)^C_n),C_alpha*C_fck),0)))*'Geometry'!$H$47*'Geometry'!$F$47+((MAX(MIN(S_1_Es*(O40+P40*'Geometry'!$G$48+Q40*'Geometry'!$F$48),S_1_fy),-S_1_fy))-(IF((O40+P40*'Geometry'!$G$48+Q40*'Geometry'!$F$48)&gt;0,IF((O40+P40*'Geometry'!$G$48+Q40*'Geometry'!$F$48)&lt;=C_eco,C_alpha*C_fck*(1-(1-(O40+P40*'Geometry'!$G$48+Q40*'Geometry'!$F$48)/C_eco)^C_n),C_alpha*C_fck),0)))*'Geometry'!$H$48*'Geometry'!$F$48+((MAX(MIN(S_1_Es*(O40+P40*'Geometry'!$G$49+Q40*'Geometry'!$F$49),S_1_fy),-S_1_fy))-(IF((O40+P40*'Geometry'!$G$49+Q40*'Geometry'!$F$49)&gt;0,IF((O40+P40*'Geometry'!$G$49+Q40*'Geometry'!$F$49)&lt;=C_eco,C_alpha*C_fck*(1-(1-(O40+P40*'Geometry'!$G$49+Q40*'Geometry'!$F$49)/C_eco)^C_n),C_alpha*C_fck),0)))*'Geometry'!$H$49*'Geometry'!$F$49+((MAX(MIN(S_1_Es*(O40+P40*'Geometry'!$G$50+Q40*'Geometry'!$F$50),S_1_fy),-S_1_fy))-(IF((O40+P40*'Geometry'!$G$50+Q40*'Geometry'!$F$50)&gt;0,IF((O40+P40*'Geometry'!$G$50+Q40*'Geometry'!$F$50)&lt;=C_eco,C_alpha*C_fck*(1-(1-(O40+P40*'Geometry'!$G$50+Q40*'Geometry'!$F$50)/C_eco)^C_n),C_alpha*C_fck),0)))*'Geometry'!$H$50*'Geometry'!$F$50+((MAX(MIN(S_1_Es*(O40+P40*'Geometry'!$G$51+Q40*'Geometry'!$F$51),S_1_fy),-S_1_fy))-(IF((O40+P40*'Geometry'!$G$51+Q40*'Geometry'!$F$51)&gt;0,IF((O40+P40*'Geometry'!$G$51+Q40*'Geometry'!$F$51)&lt;=C_eco,C_alpha*C_fck*(1-(1-(O40+P40*'Geometry'!$G$51+Q40*'Geometry'!$F$51)/C_eco)^C_n),C_alpha*C_fck),0)))*'Geometry'!$H$51*'Geometry'!$F$51+((MAX(MIN(S_1_Es*(O40+P40*'Geometry'!$G$52+Q40*'Geometry'!$F$52),S_1_fy),-S_1_fy))-(IF((O40+P40*'Geometry'!$G$52+Q40*'Geometry'!$F$52)&gt;0,IF((O40+P40*'Geometry'!$G$52+Q40*'Geometry'!$F$52)&lt;=C_eco,C_alpha*C_fck*(1-(1-(O40+P40*'Geometry'!$G$52+Q40*'Geometry'!$F$52)/C_eco)^C_n),C_alpha*C_fck),0)))*'Geometry'!$H$52*'Geometry'!$F$52+((MAX(MIN(S_1_Es*(O40+P40*'Geometry'!$G$53+Q40*'Geometry'!$F$53),S_1_fy),-S_1_fy))-(IF((O40+P40*'Geometry'!$G$53+Q40*'Geometry'!$F$53)&gt;0,IF((O40+P40*'Geometry'!$G$53+Q40*'Geometry'!$F$53)&lt;=C_eco,C_alpha*C_fck*(1-(1-(O40+P40*'Geometry'!$G$53+Q40*'Geometry'!$F$53)/C_eco)^C_n),C_alpha*C_fck),0)))*'Geometry'!$H$53*'Geometry'!$F$53+((MAX(MIN(S_1_Es*(O40+P40*'Geometry'!$G$54+Q40*'Geometry'!$F$54),S_1_fy),-S_1_fy))-(IF((O40+P40*'Geometry'!$G$54+Q40*'Geometry'!$F$54)&gt;0,IF((O40+P40*'Geometry'!$G$54+Q40*'Geometry'!$F$54)&lt;=C_eco,C_alpha*C_fck*(1-(1-(O40+P40*'Geometry'!$G$54+Q40*'Geometry'!$F$54)/C_eco)^C_n),C_alpha*C_fck),0)))*'Geometry'!$H$54*'Geometry'!$F$54+((MAX(MIN(S_1_Es*(O40+P40*'Geometry'!$G$55+Q40*'Geometry'!$F$55),S_1_fy),-S_1_fy))-(IF((O40+P40*'Geometry'!$G$55+Q40*'Geometry'!$F$55)&gt;0,IF((O40+P40*'Geometry'!$G$55+Q40*'Geometry'!$F$55)&lt;=C_eco,C_alpha*C_fck*(1-(1-(O40+P40*'Geometry'!$G$55+Q40*'Geometry'!$F$55)/C_eco)^C_n),C_alpha*C_fck),0)))*'Geometry'!$H$55*'Geometry'!$F$55+((MAX(MIN(S_1_Es*(O40+P40*'Geometry'!$G$56+Q40*'Geometry'!$F$56),S_1_fy),-S_1_fy))-(IF((O40+P40*'Geometry'!$G$56+Q40*'Geometry'!$F$56)&gt;0,IF((O40+P40*'Geometry'!$G$56+Q40*'Geometry'!$F$56)&lt;=C_eco,C_alpha*C_fck*(1-(1-(O40+P40*'Geometry'!$G$56+Q40*'Geometry'!$F$56)/C_eco)^C_n),C_alpha*C_fck),0)))*'Geometry'!$H$56*'Geometry'!$F$56+((MAX(MIN(S_1_Es*(O40+P40*'Geometry'!$G$57+Q40*'Geometry'!$F$57),S_1_fy),-S_1_fy))-(IF((O40+P40*'Geometry'!$G$57+Q40*'Geometry'!$F$57)&gt;0,IF((O40+P40*'Geometry'!$G$57+Q40*'Geometry'!$F$57)&lt;=C_eco,C_alpha*C_fck*(1-(1-(O40+P40*'Geometry'!$G$57+Q40*'Geometry'!$F$57)/C_eco)^C_n),C_alpha*C_fck),0)))*'Geometry'!$H$57*'Geometry'!$F$57)/1000000</f>
        <v>-817.3444797306378</v>
      </c>
      <c r="X40" s="10">
        <f>R40+U40</f>
        <v>-1628.136570367416</v>
      </c>
      <c r="Y40" s="10">
        <f>S40+V40</f>
        <v>1734.2886556386572</v>
      </c>
      <c r="Z40" s="10">
        <f>T40+W40</f>
        <v>-2172.7262655769687</v>
      </c>
      <c r="AA40" s="7">
        <v>0.85</v>
      </c>
      <c r="AB40" s="7">
        <v>0.8499999999999999</v>
      </c>
      <c r="AC40" s="10">
        <f>X40*AA40</f>
        <v>-1383.9160848123036</v>
      </c>
      <c r="AD40" s="10">
        <f>Y40*AB40</f>
        <v>1474.1453572928585</v>
      </c>
      <c r="AE40" s="10">
        <f>Z40*AB40</f>
        <v>-1846.8173257404233</v>
      </c>
      <c r="AF40" s="7">
        <v>-1383.9160848123036</v>
      </c>
      <c r="AG40" s="7">
        <v>1474.1453572928585</v>
      </c>
      <c r="AH40" s="7">
        <v>-1846.8173257404233</v>
      </c>
      <c r="AI40" s="15">
        <f>AC40-AF40</f>
        <v>0</v>
      </c>
      <c r="AJ40" s="15">
        <f>SQRT((AD40-AG40)^2+(AE40-AH40)^2)</f>
        <v>0</v>
      </c>
      <c r="AK40" s="7" t="s">
        <v>189</v>
      </c>
      <c r="AL40" s="7">
        <v>-1628.136570367416</v>
      </c>
      <c r="AM40" s="7">
        <v>1734.2886556386572</v>
      </c>
      <c r="AN40" s="7">
        <v>-2172.7262655769687</v>
      </c>
      <c r="AO40" s="7">
        <v>2486.695081018626</v>
      </c>
      <c r="AP40" s="7">
        <v>1081.3891860806684</v>
      </c>
      <c r="AQ40" s="7">
        <v>-1355.3817858463308</v>
      </c>
      <c r="AR40" s="7">
        <v>-4114.831651386042</v>
      </c>
      <c r="AS40" s="7">
        <v>652.8994695579889</v>
      </c>
      <c r="AT40" s="7">
        <v>-817.3444797306378</v>
      </c>
    </row>
    <row r="41" spans="1:46" x14ac:dyDescent="0.25">
      <c r="A41" s="7" t="s">
        <v>256</v>
      </c>
      <c r="B41" s="7">
        <v>1</v>
      </c>
      <c r="C41" s="18">
        <v>330</v>
      </c>
      <c r="D41" s="7" t="s">
        <v>257</v>
      </c>
      <c r="E41" s="7" t="s">
        <v>192</v>
      </c>
      <c r="F41" s="19">
        <v>330</v>
      </c>
      <c r="G41" s="7" t="s">
        <v>188</v>
      </c>
      <c r="H41" s="20">
        <v>7.5</v>
      </c>
      <c r="I41" s="10">
        <f>MAX(('Geometry'!$G$13*COS(RADIANS(F41))+'Geometry'!$F$13*SIN(RADIANS(F41))),('Geometry'!$G$14*COS(RADIANS(F41))+'Geometry'!$F$14*SIN(RADIANS(F41))),('Geometry'!$G$15*COS(RADIANS(F41))+'Geometry'!$F$15*SIN(RADIANS(F41))),('Geometry'!$G$16*COS(RADIANS(F41))+'Geometry'!$F$16*SIN(RADIANS(F41))),('Geometry'!$G$17*COS(RADIANS(F41))+'Geometry'!$F$17*SIN(RADIANS(F41))),('Geometry'!$G$18*COS(RADIANS(F41))+'Geometry'!$F$18*SIN(RADIANS(F41))),('Geometry'!$G$19*COS(RADIANS(F41))+'Geometry'!$F$19*SIN(RADIANS(F41))),('Geometry'!$G$20*COS(RADIANS(F41))+'Geometry'!$F$20*SIN(RADIANS(F41))))</f>
        <v>794.6152422706632</v>
      </c>
      <c r="J41" s="10">
        <f>MIN(('Geometry'!$G$40*COS(RADIANS(F41))+'Geometry'!$F$40*SIN(RADIANS(F41))),('Geometry'!$G$41*COS(RADIANS(F41))+'Geometry'!$F$41*SIN(RADIANS(F41))),('Geometry'!$G$42*COS(RADIANS(F41))+'Geometry'!$F$42*SIN(RADIANS(F41))),('Geometry'!$G$43*COS(RADIANS(F41))+'Geometry'!$F$43*SIN(RADIANS(F41))),('Geometry'!$G$44*COS(RADIANS(F41))+'Geometry'!$F$44*SIN(RADIANS(F41))),('Geometry'!$G$45*COS(RADIANS(F41))+'Geometry'!$F$45*SIN(RADIANS(F41))),('Geometry'!$G$46*COS(RADIANS(F41))+'Geometry'!$F$46*SIN(RADIANS(F41))),('Geometry'!$G$47*COS(RADIANS(F41))+'Geometry'!$F$47*SIN(RADIANS(F41))),('Geometry'!$G$48*COS(RADIANS(F41))+'Geometry'!$F$48*SIN(RADIANS(F41))),('Geometry'!$G$49*COS(RADIANS(F41))+'Geometry'!$F$49*SIN(RADIANS(F41))),('Geometry'!$G$50*COS(RADIANS(F41))+'Geometry'!$F$50*SIN(RADIANS(F41))),('Geometry'!$G$51*COS(RADIANS(F41))+'Geometry'!$F$51*SIN(RADIANS(F41))),('Geometry'!$G$52*COS(RADIANS(F41))+'Geometry'!$F$52*SIN(RADIANS(F41))),('Geometry'!$G$53*COS(RADIANS(F41))+'Geometry'!$F$53*SIN(RADIANS(F41))),('Geometry'!$G$54*COS(RADIANS(F41))+'Geometry'!$F$54*SIN(RADIANS(F41))),('Geometry'!$G$55*COS(RADIANS(F41))+'Geometry'!$F$55*SIN(RADIANS(F41))),('Geometry'!$G$56*COS(RADIANS(F41))+'Geometry'!$F$56*SIN(RADIANS(F41))),('Geometry'!$G$57*COS(RADIANS(F41))+'Geometry'!$F$57*SIN(RADIANS(F41))))</f>
        <v>-658.9934640057525</v>
      </c>
      <c r="K41" s="10">
        <f>I41-MIN(('Geometry'!$G$13*COS(RADIANS(F41))+'Geometry'!$F$13*SIN(RADIANS(F41))),('Geometry'!$G$14*COS(RADIANS(F41))+'Geometry'!$F$14*SIN(RADIANS(F41))),('Geometry'!$G$15*COS(RADIANS(F41))+'Geometry'!$F$15*SIN(RADIANS(F41))),('Geometry'!$G$16*COS(RADIANS(F41))+'Geometry'!$F$16*SIN(RADIANS(F41))),('Geometry'!$G$17*COS(RADIANS(F41))+'Geometry'!$F$17*SIN(RADIANS(F41))),('Geometry'!$G$18*COS(RADIANS(F41))+'Geometry'!$F$18*SIN(RADIANS(F41))),('Geometry'!$G$19*COS(RADIANS(F41))+'Geometry'!$F$19*SIN(RADIANS(F41))),('Geometry'!$G$20*COS(RADIANS(F41))+'Geometry'!$F$20*SIN(RADIANS(F41))))</f>
        <v>1589.2304845413264</v>
      </c>
      <c r="L41" s="15">
        <f>C_ecu</f>
        <v>0.0033</v>
      </c>
      <c r="M41" s="15">
        <f>-H41*S_1_fy/S_1_Es</f>
        <v>-0.015</v>
      </c>
      <c r="N41" s="21">
        <f>IF(ABS(I41-J41)&lt;0.000000000001,0,(L41-M41)/(I41-J41))</f>
        <v>0.000012589357728103827</v>
      </c>
      <c r="O41" s="15">
        <f>L41-N41*I41</f>
        <v>-0.006703695541149268</v>
      </c>
      <c r="P41" s="21">
        <f>N41*COS(RADIANS(F41))</f>
        <v>0.000010902703609867862</v>
      </c>
      <c r="Q41" s="21">
        <f>N41*SIN(RADIANS(F41))</f>
        <v>-0.000006294678864051909</v>
      </c>
      <c r="R41" s="10">
        <f>SUMPRODUCT(C_alpha*C_fck*(1-(1-(((O41+P41*Mesh_Y+Q41*Mesh_X))*((O41+P41*Mesh_Y+Q41*Mesh_X)&gt;0)*((O41+P41*Mesh_Y+Q41*Mesh_X)&lt;C_eco)+C_eco*((O41+P41*Mesh_Y+Q41*Mesh_X)&gt;=C_eco))/C_eco)^C_n)*(((O41+P41*Mesh_Y+Q41*Mesh_X))&gt;0),Mesh_A)/1000</f>
        <v>2337.884948326735</v>
      </c>
      <c r="S41" s="10">
        <f>SUMPRODUCT(C_alpha*C_fck*(1-(1-(((O41+P41*Mesh_Y+Q41*Mesh_X))*((O41+P41*Mesh_Y+Q41*Mesh_X)&gt;0)*((O41+P41*Mesh_Y+Q41*Mesh_X)&lt;C_eco)+C_eco*((O41+P41*Mesh_Y+Q41*Mesh_X)&gt;=C_eco))/C_eco)^C_n)*(((O41+P41*Mesh_Y+Q41*Mesh_X))&gt;0),Mesh_A,Mesh_Y)/1000000</f>
        <v>1086.9235683917143</v>
      </c>
      <c r="T41" s="10">
        <f>SUMPRODUCT(C_alpha*C_fck*(1-(1-(((O41+P41*Mesh_Y+Q41*Mesh_X))*((O41+P41*Mesh_Y+Q41*Mesh_X)&gt;0)*((O41+P41*Mesh_Y+Q41*Mesh_X)&lt;C_eco)+C_eco*((O41+P41*Mesh_Y+Q41*Mesh_X)&gt;=C_eco))/C_eco)^C_n)*(((O41+P41*Mesh_Y+Q41*Mesh_X))&gt;0),Mesh_A,Mesh_X)/1000000</f>
        <v>-1188.5162572104518</v>
      </c>
      <c r="U41" s="10">
        <f>(((MAX(MIN(S_1_Es*(O41+P41*'Geometry'!$G$40+Q41*'Geometry'!$F$40),S_1_fy),-S_1_fy))-(IF((O41+P41*'Geometry'!$G$40+Q41*'Geometry'!$F$40)&gt;0,IF((O41+P41*'Geometry'!$G$40+Q41*'Geometry'!$F$40)&lt;=C_eco,C_alpha*C_fck*(1-(1-(O41+P41*'Geometry'!$G$40+Q41*'Geometry'!$F$40)/C_eco)^C_n),C_alpha*C_fck),0)))*'Geometry'!$H$40+((MAX(MIN(S_1_Es*(O41+P41*'Geometry'!$G$41+Q41*'Geometry'!$F$41),S_1_fy),-S_1_fy))-(IF((O41+P41*'Geometry'!$G$41+Q41*'Geometry'!$F$41)&gt;0,IF((O41+P41*'Geometry'!$G$41+Q41*'Geometry'!$F$41)&lt;=C_eco,C_alpha*C_fck*(1-(1-(O41+P41*'Geometry'!$G$41+Q41*'Geometry'!$F$41)/C_eco)^C_n),C_alpha*C_fck),0)))*'Geometry'!$H$41+((MAX(MIN(S_1_Es*(O41+P41*'Geometry'!$G$42+Q41*'Geometry'!$F$42),S_1_fy),-S_1_fy))-(IF((O41+P41*'Geometry'!$G$42+Q41*'Geometry'!$F$42)&gt;0,IF((O41+P41*'Geometry'!$G$42+Q41*'Geometry'!$F$42)&lt;=C_eco,C_alpha*C_fck*(1-(1-(O41+P41*'Geometry'!$G$42+Q41*'Geometry'!$F$42)/C_eco)^C_n),C_alpha*C_fck),0)))*'Geometry'!$H$42+((MAX(MIN(S_1_Es*(O41+P41*'Geometry'!$G$43+Q41*'Geometry'!$F$43),S_1_fy),-S_1_fy))-(IF((O41+P41*'Geometry'!$G$43+Q41*'Geometry'!$F$43)&gt;0,IF((O41+P41*'Geometry'!$G$43+Q41*'Geometry'!$F$43)&lt;=C_eco,C_alpha*C_fck*(1-(1-(O41+P41*'Geometry'!$G$43+Q41*'Geometry'!$F$43)/C_eco)^C_n),C_alpha*C_fck),0)))*'Geometry'!$H$43+((MAX(MIN(S_1_Es*(O41+P41*'Geometry'!$G$44+Q41*'Geometry'!$F$44),S_1_fy),-S_1_fy))-(IF((O41+P41*'Geometry'!$G$44+Q41*'Geometry'!$F$44)&gt;0,IF((O41+P41*'Geometry'!$G$44+Q41*'Geometry'!$F$44)&lt;=C_eco,C_alpha*C_fck*(1-(1-(O41+P41*'Geometry'!$G$44+Q41*'Geometry'!$F$44)/C_eco)^C_n),C_alpha*C_fck),0)))*'Geometry'!$H$44+((MAX(MIN(S_1_Es*(O41+P41*'Geometry'!$G$45+Q41*'Geometry'!$F$45),S_1_fy),-S_1_fy))-(IF((O41+P41*'Geometry'!$G$45+Q41*'Geometry'!$F$45)&gt;0,IF((O41+P41*'Geometry'!$G$45+Q41*'Geometry'!$F$45)&lt;=C_eco,C_alpha*C_fck*(1-(1-(O41+P41*'Geometry'!$G$45+Q41*'Geometry'!$F$45)/C_eco)^C_n),C_alpha*C_fck),0)))*'Geometry'!$H$45+((MAX(MIN(S_1_Es*(O41+P41*'Geometry'!$G$46+Q41*'Geometry'!$F$46),S_1_fy),-S_1_fy))-(IF((O41+P41*'Geometry'!$G$46+Q41*'Geometry'!$F$46)&gt;0,IF((O41+P41*'Geometry'!$G$46+Q41*'Geometry'!$F$46)&lt;=C_eco,C_alpha*C_fck*(1-(1-(O41+P41*'Geometry'!$G$46+Q41*'Geometry'!$F$46)/C_eco)^C_n),C_alpha*C_fck),0)))*'Geometry'!$H$46+((MAX(MIN(S_1_Es*(O41+P41*'Geometry'!$G$47+Q41*'Geometry'!$F$47),S_1_fy),-S_1_fy))-(IF((O41+P41*'Geometry'!$G$47+Q41*'Geometry'!$F$47)&gt;0,IF((O41+P41*'Geometry'!$G$47+Q41*'Geometry'!$F$47)&lt;=C_eco,C_alpha*C_fck*(1-(1-(O41+P41*'Geometry'!$G$47+Q41*'Geometry'!$F$47)/C_eco)^C_n),C_alpha*C_fck),0)))*'Geometry'!$H$47+((MAX(MIN(S_1_Es*(O41+P41*'Geometry'!$G$48+Q41*'Geometry'!$F$48),S_1_fy),-S_1_fy))-(IF((O41+P41*'Geometry'!$G$48+Q41*'Geometry'!$F$48)&gt;0,IF((O41+P41*'Geometry'!$G$48+Q41*'Geometry'!$F$48)&lt;=C_eco,C_alpha*C_fck*(1-(1-(O41+P41*'Geometry'!$G$48+Q41*'Geometry'!$F$48)/C_eco)^C_n),C_alpha*C_fck),0)))*'Geometry'!$H$48+((MAX(MIN(S_1_Es*(O41+P41*'Geometry'!$G$49+Q41*'Geometry'!$F$49),S_1_fy),-S_1_fy))-(IF((O41+P41*'Geometry'!$G$49+Q41*'Geometry'!$F$49)&gt;0,IF((O41+P41*'Geometry'!$G$49+Q41*'Geometry'!$F$49)&lt;=C_eco,C_alpha*C_fck*(1-(1-(O41+P41*'Geometry'!$G$49+Q41*'Geometry'!$F$49)/C_eco)^C_n),C_alpha*C_fck),0)))*'Geometry'!$H$49+((MAX(MIN(S_1_Es*(O41+P41*'Geometry'!$G$50+Q41*'Geometry'!$F$50),S_1_fy),-S_1_fy))-(IF((O41+P41*'Geometry'!$G$50+Q41*'Geometry'!$F$50)&gt;0,IF((O41+P41*'Geometry'!$G$50+Q41*'Geometry'!$F$50)&lt;=C_eco,C_alpha*C_fck*(1-(1-(O41+P41*'Geometry'!$G$50+Q41*'Geometry'!$F$50)/C_eco)^C_n),C_alpha*C_fck),0)))*'Geometry'!$H$50+((MAX(MIN(S_1_Es*(O41+P41*'Geometry'!$G$51+Q41*'Geometry'!$F$51),S_1_fy),-S_1_fy))-(IF((O41+P41*'Geometry'!$G$51+Q41*'Geometry'!$F$51)&gt;0,IF((O41+P41*'Geometry'!$G$51+Q41*'Geometry'!$F$51)&lt;=C_eco,C_alpha*C_fck*(1-(1-(O41+P41*'Geometry'!$G$51+Q41*'Geometry'!$F$51)/C_eco)^C_n),C_alpha*C_fck),0)))*'Geometry'!$H$51+((MAX(MIN(S_1_Es*(O41+P41*'Geometry'!$G$52+Q41*'Geometry'!$F$52),S_1_fy),-S_1_fy))-(IF((O41+P41*'Geometry'!$G$52+Q41*'Geometry'!$F$52)&gt;0,IF((O41+P41*'Geometry'!$G$52+Q41*'Geometry'!$F$52)&lt;=C_eco,C_alpha*C_fck*(1-(1-(O41+P41*'Geometry'!$G$52+Q41*'Geometry'!$F$52)/C_eco)^C_n),C_alpha*C_fck),0)))*'Geometry'!$H$52+((MAX(MIN(S_1_Es*(O41+P41*'Geometry'!$G$53+Q41*'Geometry'!$F$53),S_1_fy),-S_1_fy))-(IF((O41+P41*'Geometry'!$G$53+Q41*'Geometry'!$F$53)&gt;0,IF((O41+P41*'Geometry'!$G$53+Q41*'Geometry'!$F$53)&lt;=C_eco,C_alpha*C_fck*(1-(1-(O41+P41*'Geometry'!$G$53+Q41*'Geometry'!$F$53)/C_eco)^C_n),C_alpha*C_fck),0)))*'Geometry'!$H$53+((MAX(MIN(S_1_Es*(O41+P41*'Geometry'!$G$54+Q41*'Geometry'!$F$54),S_1_fy),-S_1_fy))-(IF((O41+P41*'Geometry'!$G$54+Q41*'Geometry'!$F$54)&gt;0,IF((O41+P41*'Geometry'!$G$54+Q41*'Geometry'!$F$54)&lt;=C_eco,C_alpha*C_fck*(1-(1-(O41+P41*'Geometry'!$G$54+Q41*'Geometry'!$F$54)/C_eco)^C_n),C_alpha*C_fck),0)))*'Geometry'!$H$54+((MAX(MIN(S_1_Es*(O41+P41*'Geometry'!$G$55+Q41*'Geometry'!$F$55),S_1_fy),-S_1_fy))-(IF((O41+P41*'Geometry'!$G$55+Q41*'Geometry'!$F$55)&gt;0,IF((O41+P41*'Geometry'!$G$55+Q41*'Geometry'!$F$55)&lt;=C_eco,C_alpha*C_fck*(1-(1-(O41+P41*'Geometry'!$G$55+Q41*'Geometry'!$F$55)/C_eco)^C_n),C_alpha*C_fck),0)))*'Geometry'!$H$55+((MAX(MIN(S_1_Es*(O41+P41*'Geometry'!$G$56+Q41*'Geometry'!$F$56),S_1_fy),-S_1_fy))-(IF((O41+P41*'Geometry'!$G$56+Q41*'Geometry'!$F$56)&gt;0,IF((O41+P41*'Geometry'!$G$56+Q41*'Geometry'!$F$56)&lt;=C_eco,C_alpha*C_fck*(1-(1-(O41+P41*'Geometry'!$G$56+Q41*'Geometry'!$F$56)/C_eco)^C_n),C_alpha*C_fck),0)))*'Geometry'!$H$56+((MAX(MIN(S_1_Es*(O41+P41*'Geometry'!$G$57+Q41*'Geometry'!$F$57),S_1_fy),-S_1_fy))-(IF((O41+P41*'Geometry'!$G$57+Q41*'Geometry'!$F$57)&gt;0,IF((O41+P41*'Geometry'!$G$57+Q41*'Geometry'!$F$57)&lt;=C_eco,C_alpha*C_fck*(1-(1-(O41+P41*'Geometry'!$G$57+Q41*'Geometry'!$F$57)/C_eco)^C_n),C_alpha*C_fck),0)))*'Geometry'!$H$57)/1000</f>
        <v>-4138.802369024737</v>
      </c>
      <c r="V41" s="10">
        <f>(((MAX(MIN(S_1_Es*(O41+P41*'Geometry'!$G$40+Q41*'Geometry'!$F$40),S_1_fy),-S_1_fy))-(IF((O41+P41*'Geometry'!$G$40+Q41*'Geometry'!$F$40)&gt;0,IF((O41+P41*'Geometry'!$G$40+Q41*'Geometry'!$F$40)&lt;=C_eco,C_alpha*C_fck*(1-(1-(O41+P41*'Geometry'!$G$40+Q41*'Geometry'!$F$40)/C_eco)^C_n),C_alpha*C_fck),0)))*'Geometry'!$H$40*'Geometry'!$G$40+((MAX(MIN(S_1_Es*(O41+P41*'Geometry'!$G$41+Q41*'Geometry'!$F$41),S_1_fy),-S_1_fy))-(IF((O41+P41*'Geometry'!$G$41+Q41*'Geometry'!$F$41)&gt;0,IF((O41+P41*'Geometry'!$G$41+Q41*'Geometry'!$F$41)&lt;=C_eco,C_alpha*C_fck*(1-(1-(O41+P41*'Geometry'!$G$41+Q41*'Geometry'!$F$41)/C_eco)^C_n),C_alpha*C_fck),0)))*'Geometry'!$H$41*'Geometry'!$G$41+((MAX(MIN(S_1_Es*(O41+P41*'Geometry'!$G$42+Q41*'Geometry'!$F$42),S_1_fy),-S_1_fy))-(IF((O41+P41*'Geometry'!$G$42+Q41*'Geometry'!$F$42)&gt;0,IF((O41+P41*'Geometry'!$G$42+Q41*'Geometry'!$F$42)&lt;=C_eco,C_alpha*C_fck*(1-(1-(O41+P41*'Geometry'!$G$42+Q41*'Geometry'!$F$42)/C_eco)^C_n),C_alpha*C_fck),0)))*'Geometry'!$H$42*'Geometry'!$G$42+((MAX(MIN(S_1_Es*(O41+P41*'Geometry'!$G$43+Q41*'Geometry'!$F$43),S_1_fy),-S_1_fy))-(IF((O41+P41*'Geometry'!$G$43+Q41*'Geometry'!$F$43)&gt;0,IF((O41+P41*'Geometry'!$G$43+Q41*'Geometry'!$F$43)&lt;=C_eco,C_alpha*C_fck*(1-(1-(O41+P41*'Geometry'!$G$43+Q41*'Geometry'!$F$43)/C_eco)^C_n),C_alpha*C_fck),0)))*'Geometry'!$H$43*'Geometry'!$G$43+((MAX(MIN(S_1_Es*(O41+P41*'Geometry'!$G$44+Q41*'Geometry'!$F$44),S_1_fy),-S_1_fy))-(IF((O41+P41*'Geometry'!$G$44+Q41*'Geometry'!$F$44)&gt;0,IF((O41+P41*'Geometry'!$G$44+Q41*'Geometry'!$F$44)&lt;=C_eco,C_alpha*C_fck*(1-(1-(O41+P41*'Geometry'!$G$44+Q41*'Geometry'!$F$44)/C_eco)^C_n),C_alpha*C_fck),0)))*'Geometry'!$H$44*'Geometry'!$G$44+((MAX(MIN(S_1_Es*(O41+P41*'Geometry'!$G$45+Q41*'Geometry'!$F$45),S_1_fy),-S_1_fy))-(IF((O41+P41*'Geometry'!$G$45+Q41*'Geometry'!$F$45)&gt;0,IF((O41+P41*'Geometry'!$G$45+Q41*'Geometry'!$F$45)&lt;=C_eco,C_alpha*C_fck*(1-(1-(O41+P41*'Geometry'!$G$45+Q41*'Geometry'!$F$45)/C_eco)^C_n),C_alpha*C_fck),0)))*'Geometry'!$H$45*'Geometry'!$G$45+((MAX(MIN(S_1_Es*(O41+P41*'Geometry'!$G$46+Q41*'Geometry'!$F$46),S_1_fy),-S_1_fy))-(IF((O41+P41*'Geometry'!$G$46+Q41*'Geometry'!$F$46)&gt;0,IF((O41+P41*'Geometry'!$G$46+Q41*'Geometry'!$F$46)&lt;=C_eco,C_alpha*C_fck*(1-(1-(O41+P41*'Geometry'!$G$46+Q41*'Geometry'!$F$46)/C_eco)^C_n),C_alpha*C_fck),0)))*'Geometry'!$H$46*'Geometry'!$G$46+((MAX(MIN(S_1_Es*(O41+P41*'Geometry'!$G$47+Q41*'Geometry'!$F$47),S_1_fy),-S_1_fy))-(IF((O41+P41*'Geometry'!$G$47+Q41*'Geometry'!$F$47)&gt;0,IF((O41+P41*'Geometry'!$G$47+Q41*'Geometry'!$F$47)&lt;=C_eco,C_alpha*C_fck*(1-(1-(O41+P41*'Geometry'!$G$47+Q41*'Geometry'!$F$47)/C_eco)^C_n),C_alpha*C_fck),0)))*'Geometry'!$H$47*'Geometry'!$G$47+((MAX(MIN(S_1_Es*(O41+P41*'Geometry'!$G$48+Q41*'Geometry'!$F$48),S_1_fy),-S_1_fy))-(IF((O41+P41*'Geometry'!$G$48+Q41*'Geometry'!$F$48)&gt;0,IF((O41+P41*'Geometry'!$G$48+Q41*'Geometry'!$F$48)&lt;=C_eco,C_alpha*C_fck*(1-(1-(O41+P41*'Geometry'!$G$48+Q41*'Geometry'!$F$48)/C_eco)^C_n),C_alpha*C_fck),0)))*'Geometry'!$H$48*'Geometry'!$G$48+((MAX(MIN(S_1_Es*(O41+P41*'Geometry'!$G$49+Q41*'Geometry'!$F$49),S_1_fy),-S_1_fy))-(IF((O41+P41*'Geometry'!$G$49+Q41*'Geometry'!$F$49)&gt;0,IF((O41+P41*'Geometry'!$G$49+Q41*'Geometry'!$F$49)&lt;=C_eco,C_alpha*C_fck*(1-(1-(O41+P41*'Geometry'!$G$49+Q41*'Geometry'!$F$49)/C_eco)^C_n),C_alpha*C_fck),0)))*'Geometry'!$H$49*'Geometry'!$G$49+((MAX(MIN(S_1_Es*(O41+P41*'Geometry'!$G$50+Q41*'Geometry'!$F$50),S_1_fy),-S_1_fy))-(IF((O41+P41*'Geometry'!$G$50+Q41*'Geometry'!$F$50)&gt;0,IF((O41+P41*'Geometry'!$G$50+Q41*'Geometry'!$F$50)&lt;=C_eco,C_alpha*C_fck*(1-(1-(O41+P41*'Geometry'!$G$50+Q41*'Geometry'!$F$50)/C_eco)^C_n),C_alpha*C_fck),0)))*'Geometry'!$H$50*'Geometry'!$G$50+((MAX(MIN(S_1_Es*(O41+P41*'Geometry'!$G$51+Q41*'Geometry'!$F$51),S_1_fy),-S_1_fy))-(IF((O41+P41*'Geometry'!$G$51+Q41*'Geometry'!$F$51)&gt;0,IF((O41+P41*'Geometry'!$G$51+Q41*'Geometry'!$F$51)&lt;=C_eco,C_alpha*C_fck*(1-(1-(O41+P41*'Geometry'!$G$51+Q41*'Geometry'!$F$51)/C_eco)^C_n),C_alpha*C_fck),0)))*'Geometry'!$H$51*'Geometry'!$G$51+((MAX(MIN(S_1_Es*(O41+P41*'Geometry'!$G$52+Q41*'Geometry'!$F$52),S_1_fy),-S_1_fy))-(IF((O41+P41*'Geometry'!$G$52+Q41*'Geometry'!$F$52)&gt;0,IF((O41+P41*'Geometry'!$G$52+Q41*'Geometry'!$F$52)&lt;=C_eco,C_alpha*C_fck*(1-(1-(O41+P41*'Geometry'!$G$52+Q41*'Geometry'!$F$52)/C_eco)^C_n),C_alpha*C_fck),0)))*'Geometry'!$H$52*'Geometry'!$G$52+((MAX(MIN(S_1_Es*(O41+P41*'Geometry'!$G$53+Q41*'Geometry'!$F$53),S_1_fy),-S_1_fy))-(IF((O41+P41*'Geometry'!$G$53+Q41*'Geometry'!$F$53)&gt;0,IF((O41+P41*'Geometry'!$G$53+Q41*'Geometry'!$F$53)&lt;=C_eco,C_alpha*C_fck*(1-(1-(O41+P41*'Geometry'!$G$53+Q41*'Geometry'!$F$53)/C_eco)^C_n),C_alpha*C_fck),0)))*'Geometry'!$H$53*'Geometry'!$G$53+((MAX(MIN(S_1_Es*(O41+P41*'Geometry'!$G$54+Q41*'Geometry'!$F$54),S_1_fy),-S_1_fy))-(IF((O41+P41*'Geometry'!$G$54+Q41*'Geometry'!$F$54)&gt;0,IF((O41+P41*'Geometry'!$G$54+Q41*'Geometry'!$F$54)&lt;=C_eco,C_alpha*C_fck*(1-(1-(O41+P41*'Geometry'!$G$54+Q41*'Geometry'!$F$54)/C_eco)^C_n),C_alpha*C_fck),0)))*'Geometry'!$H$54*'Geometry'!$G$54+((MAX(MIN(S_1_Es*(O41+P41*'Geometry'!$G$55+Q41*'Geometry'!$F$55),S_1_fy),-S_1_fy))-(IF((O41+P41*'Geometry'!$G$55+Q41*'Geometry'!$F$55)&gt;0,IF((O41+P41*'Geometry'!$G$55+Q41*'Geometry'!$F$55)&lt;=C_eco,C_alpha*C_fck*(1-(1-(O41+P41*'Geometry'!$G$55+Q41*'Geometry'!$F$55)/C_eco)^C_n),C_alpha*C_fck),0)))*'Geometry'!$H$55*'Geometry'!$G$55+((MAX(MIN(S_1_Es*(O41+P41*'Geometry'!$G$56+Q41*'Geometry'!$F$56),S_1_fy),-S_1_fy))-(IF((O41+P41*'Geometry'!$G$56+Q41*'Geometry'!$F$56)&gt;0,IF((O41+P41*'Geometry'!$G$56+Q41*'Geometry'!$F$56)&lt;=C_eco,C_alpha*C_fck*(1-(1-(O41+P41*'Geometry'!$G$56+Q41*'Geometry'!$F$56)/C_eco)^C_n),C_alpha*C_fck),0)))*'Geometry'!$H$56*'Geometry'!$G$56+((MAX(MIN(S_1_Es*(O41+P41*'Geometry'!$G$57+Q41*'Geometry'!$F$57),S_1_fy),-S_1_fy))-(IF((O41+P41*'Geometry'!$G$57+Q41*'Geometry'!$F$57)&gt;0,IF((O41+P41*'Geometry'!$G$57+Q41*'Geometry'!$F$57)&lt;=C_eco,C_alpha*C_fck*(1-(1-(O41+P41*'Geometry'!$G$57+Q41*'Geometry'!$F$57)/C_eco)^C_n),C_alpha*C_fck),0)))*'Geometry'!$H$57*'Geometry'!$G$57)/1000000</f>
        <v>727.1201011257454</v>
      </c>
      <c r="W41" s="10">
        <f>(((MAX(MIN(S_1_Es*(O41+P41*'Geometry'!$G$40+Q41*'Geometry'!$F$40),S_1_fy),-S_1_fy))-(IF((O41+P41*'Geometry'!$G$40+Q41*'Geometry'!$F$40)&gt;0,IF((O41+P41*'Geometry'!$G$40+Q41*'Geometry'!$F$40)&lt;=C_eco,C_alpha*C_fck*(1-(1-(O41+P41*'Geometry'!$G$40+Q41*'Geometry'!$F$40)/C_eco)^C_n),C_alpha*C_fck),0)))*'Geometry'!$H$40*'Geometry'!$F$40+((MAX(MIN(S_1_Es*(O41+P41*'Geometry'!$G$41+Q41*'Geometry'!$F$41),S_1_fy),-S_1_fy))-(IF((O41+P41*'Geometry'!$G$41+Q41*'Geometry'!$F$41)&gt;0,IF((O41+P41*'Geometry'!$G$41+Q41*'Geometry'!$F$41)&lt;=C_eco,C_alpha*C_fck*(1-(1-(O41+P41*'Geometry'!$G$41+Q41*'Geometry'!$F$41)/C_eco)^C_n),C_alpha*C_fck),0)))*'Geometry'!$H$41*'Geometry'!$F$41+((MAX(MIN(S_1_Es*(O41+P41*'Geometry'!$G$42+Q41*'Geometry'!$F$42),S_1_fy),-S_1_fy))-(IF((O41+P41*'Geometry'!$G$42+Q41*'Geometry'!$F$42)&gt;0,IF((O41+P41*'Geometry'!$G$42+Q41*'Geometry'!$F$42)&lt;=C_eco,C_alpha*C_fck*(1-(1-(O41+P41*'Geometry'!$G$42+Q41*'Geometry'!$F$42)/C_eco)^C_n),C_alpha*C_fck),0)))*'Geometry'!$H$42*'Geometry'!$F$42+((MAX(MIN(S_1_Es*(O41+P41*'Geometry'!$G$43+Q41*'Geometry'!$F$43),S_1_fy),-S_1_fy))-(IF((O41+P41*'Geometry'!$G$43+Q41*'Geometry'!$F$43)&gt;0,IF((O41+P41*'Geometry'!$G$43+Q41*'Geometry'!$F$43)&lt;=C_eco,C_alpha*C_fck*(1-(1-(O41+P41*'Geometry'!$G$43+Q41*'Geometry'!$F$43)/C_eco)^C_n),C_alpha*C_fck),0)))*'Geometry'!$H$43*'Geometry'!$F$43+((MAX(MIN(S_1_Es*(O41+P41*'Geometry'!$G$44+Q41*'Geometry'!$F$44),S_1_fy),-S_1_fy))-(IF((O41+P41*'Geometry'!$G$44+Q41*'Geometry'!$F$44)&gt;0,IF((O41+P41*'Geometry'!$G$44+Q41*'Geometry'!$F$44)&lt;=C_eco,C_alpha*C_fck*(1-(1-(O41+P41*'Geometry'!$G$44+Q41*'Geometry'!$F$44)/C_eco)^C_n),C_alpha*C_fck),0)))*'Geometry'!$H$44*'Geometry'!$F$44+((MAX(MIN(S_1_Es*(O41+P41*'Geometry'!$G$45+Q41*'Geometry'!$F$45),S_1_fy),-S_1_fy))-(IF((O41+P41*'Geometry'!$G$45+Q41*'Geometry'!$F$45)&gt;0,IF((O41+P41*'Geometry'!$G$45+Q41*'Geometry'!$F$45)&lt;=C_eco,C_alpha*C_fck*(1-(1-(O41+P41*'Geometry'!$G$45+Q41*'Geometry'!$F$45)/C_eco)^C_n),C_alpha*C_fck),0)))*'Geometry'!$H$45*'Geometry'!$F$45+((MAX(MIN(S_1_Es*(O41+P41*'Geometry'!$G$46+Q41*'Geometry'!$F$46),S_1_fy),-S_1_fy))-(IF((O41+P41*'Geometry'!$G$46+Q41*'Geometry'!$F$46)&gt;0,IF((O41+P41*'Geometry'!$G$46+Q41*'Geometry'!$F$46)&lt;=C_eco,C_alpha*C_fck*(1-(1-(O41+P41*'Geometry'!$G$46+Q41*'Geometry'!$F$46)/C_eco)^C_n),C_alpha*C_fck),0)))*'Geometry'!$H$46*'Geometry'!$F$46+((MAX(MIN(S_1_Es*(O41+P41*'Geometry'!$G$47+Q41*'Geometry'!$F$47),S_1_fy),-S_1_fy))-(IF((O41+P41*'Geometry'!$G$47+Q41*'Geometry'!$F$47)&gt;0,IF((O41+P41*'Geometry'!$G$47+Q41*'Geometry'!$F$47)&lt;=C_eco,C_alpha*C_fck*(1-(1-(O41+P41*'Geometry'!$G$47+Q41*'Geometry'!$F$47)/C_eco)^C_n),C_alpha*C_fck),0)))*'Geometry'!$H$47*'Geometry'!$F$47+((MAX(MIN(S_1_Es*(O41+P41*'Geometry'!$G$48+Q41*'Geometry'!$F$48),S_1_fy),-S_1_fy))-(IF((O41+P41*'Geometry'!$G$48+Q41*'Geometry'!$F$48)&gt;0,IF((O41+P41*'Geometry'!$G$48+Q41*'Geometry'!$F$48)&lt;=C_eco,C_alpha*C_fck*(1-(1-(O41+P41*'Geometry'!$G$48+Q41*'Geometry'!$F$48)/C_eco)^C_n),C_alpha*C_fck),0)))*'Geometry'!$H$48*'Geometry'!$F$48+((MAX(MIN(S_1_Es*(O41+P41*'Geometry'!$G$49+Q41*'Geometry'!$F$49),S_1_fy),-S_1_fy))-(IF((O41+P41*'Geometry'!$G$49+Q41*'Geometry'!$F$49)&gt;0,IF((O41+P41*'Geometry'!$G$49+Q41*'Geometry'!$F$49)&lt;=C_eco,C_alpha*C_fck*(1-(1-(O41+P41*'Geometry'!$G$49+Q41*'Geometry'!$F$49)/C_eco)^C_n),C_alpha*C_fck),0)))*'Geometry'!$H$49*'Geometry'!$F$49+((MAX(MIN(S_1_Es*(O41+P41*'Geometry'!$G$50+Q41*'Geometry'!$F$50),S_1_fy),-S_1_fy))-(IF((O41+P41*'Geometry'!$G$50+Q41*'Geometry'!$F$50)&gt;0,IF((O41+P41*'Geometry'!$G$50+Q41*'Geometry'!$F$50)&lt;=C_eco,C_alpha*C_fck*(1-(1-(O41+P41*'Geometry'!$G$50+Q41*'Geometry'!$F$50)/C_eco)^C_n),C_alpha*C_fck),0)))*'Geometry'!$H$50*'Geometry'!$F$50+((MAX(MIN(S_1_Es*(O41+P41*'Geometry'!$G$51+Q41*'Geometry'!$F$51),S_1_fy),-S_1_fy))-(IF((O41+P41*'Geometry'!$G$51+Q41*'Geometry'!$F$51)&gt;0,IF((O41+P41*'Geometry'!$G$51+Q41*'Geometry'!$F$51)&lt;=C_eco,C_alpha*C_fck*(1-(1-(O41+P41*'Geometry'!$G$51+Q41*'Geometry'!$F$51)/C_eco)^C_n),C_alpha*C_fck),0)))*'Geometry'!$H$51*'Geometry'!$F$51+((MAX(MIN(S_1_Es*(O41+P41*'Geometry'!$G$52+Q41*'Geometry'!$F$52),S_1_fy),-S_1_fy))-(IF((O41+P41*'Geometry'!$G$52+Q41*'Geometry'!$F$52)&gt;0,IF((O41+P41*'Geometry'!$G$52+Q41*'Geometry'!$F$52)&lt;=C_eco,C_alpha*C_fck*(1-(1-(O41+P41*'Geometry'!$G$52+Q41*'Geometry'!$F$52)/C_eco)^C_n),C_alpha*C_fck),0)))*'Geometry'!$H$52*'Geometry'!$F$52+((MAX(MIN(S_1_Es*(O41+P41*'Geometry'!$G$53+Q41*'Geometry'!$F$53),S_1_fy),-S_1_fy))-(IF((O41+P41*'Geometry'!$G$53+Q41*'Geometry'!$F$53)&gt;0,IF((O41+P41*'Geometry'!$G$53+Q41*'Geometry'!$F$53)&lt;=C_eco,C_alpha*C_fck*(1-(1-(O41+P41*'Geometry'!$G$53+Q41*'Geometry'!$F$53)/C_eco)^C_n),C_alpha*C_fck),0)))*'Geometry'!$H$53*'Geometry'!$F$53+((MAX(MIN(S_1_Es*(O41+P41*'Geometry'!$G$54+Q41*'Geometry'!$F$54),S_1_fy),-S_1_fy))-(IF((O41+P41*'Geometry'!$G$54+Q41*'Geometry'!$F$54)&gt;0,IF((O41+P41*'Geometry'!$G$54+Q41*'Geometry'!$F$54)&lt;=C_eco,C_alpha*C_fck*(1-(1-(O41+P41*'Geometry'!$G$54+Q41*'Geometry'!$F$54)/C_eco)^C_n),C_alpha*C_fck),0)))*'Geometry'!$H$54*'Geometry'!$F$54+((MAX(MIN(S_1_Es*(O41+P41*'Geometry'!$G$55+Q41*'Geometry'!$F$55),S_1_fy),-S_1_fy))-(IF((O41+P41*'Geometry'!$G$55+Q41*'Geometry'!$F$55)&gt;0,IF((O41+P41*'Geometry'!$G$55+Q41*'Geometry'!$F$55)&lt;=C_eco,C_alpha*C_fck*(1-(1-(O41+P41*'Geometry'!$G$55+Q41*'Geometry'!$F$55)/C_eco)^C_n),C_alpha*C_fck),0)))*'Geometry'!$H$55*'Geometry'!$F$55+((MAX(MIN(S_1_Es*(O41+P41*'Geometry'!$G$56+Q41*'Geometry'!$F$56),S_1_fy),-S_1_fy))-(IF((O41+P41*'Geometry'!$G$56+Q41*'Geometry'!$F$56)&gt;0,IF((O41+P41*'Geometry'!$G$56+Q41*'Geometry'!$F$56)&lt;=C_eco,C_alpha*C_fck*(1-(1-(O41+P41*'Geometry'!$G$56+Q41*'Geometry'!$F$56)/C_eco)^C_n),C_alpha*C_fck),0)))*'Geometry'!$H$56*'Geometry'!$F$56+((MAX(MIN(S_1_Es*(O41+P41*'Geometry'!$G$57+Q41*'Geometry'!$F$57),S_1_fy),-S_1_fy))-(IF((O41+P41*'Geometry'!$G$57+Q41*'Geometry'!$F$57)&gt;0,IF((O41+P41*'Geometry'!$G$57+Q41*'Geometry'!$F$57)&lt;=C_eco,C_alpha*C_fck*(1-(1-(O41+P41*'Geometry'!$G$57+Q41*'Geometry'!$F$57)/C_eco)^C_n),C_alpha*C_fck),0)))*'Geometry'!$H$57*'Geometry'!$F$57)/1000000</f>
        <v>-672.1924876123405</v>
      </c>
      <c r="X41" s="10">
        <f>R41+U41</f>
        <v>-1800.9174206980028</v>
      </c>
      <c r="Y41" s="10">
        <f>S41+V41</f>
        <v>1814.0436695174596</v>
      </c>
      <c r="Z41" s="10">
        <f>T41+W41</f>
        <v>-1860.7087448227926</v>
      </c>
      <c r="AA41" s="7">
        <v>0.85</v>
      </c>
      <c r="AB41" s="7">
        <v>0.8499999999999999</v>
      </c>
      <c r="AC41" s="10">
        <f>X41*AA41</f>
        <v>-1530.7798075933024</v>
      </c>
      <c r="AD41" s="10">
        <f>Y41*AB41</f>
        <v>1541.9371190898407</v>
      </c>
      <c r="AE41" s="10">
        <f>Z41*AB41</f>
        <v>-1581.6024330993737</v>
      </c>
      <c r="AF41" s="7">
        <v>-1530.7798075933024</v>
      </c>
      <c r="AG41" s="7">
        <v>1541.9371190898407</v>
      </c>
      <c r="AH41" s="7">
        <v>-1581.6024330993737</v>
      </c>
      <c r="AI41" s="15">
        <f>AC41-AF41</f>
        <v>0</v>
      </c>
      <c r="AJ41" s="15">
        <f>SQRT((AD41-AG41)^2+(AE41-AH41)^2)</f>
        <v>0</v>
      </c>
      <c r="AK41" s="7" t="s">
        <v>189</v>
      </c>
      <c r="AL41" s="7">
        <v>-1800.9174206980028</v>
      </c>
      <c r="AM41" s="7">
        <v>1814.0436695174596</v>
      </c>
      <c r="AN41" s="7">
        <v>-1860.7087448227926</v>
      </c>
      <c r="AO41" s="7">
        <v>2337.884948326735</v>
      </c>
      <c r="AP41" s="7">
        <v>1086.9235683917143</v>
      </c>
      <c r="AQ41" s="7">
        <v>-1188.5162572104518</v>
      </c>
      <c r="AR41" s="7">
        <v>-4138.802369024737</v>
      </c>
      <c r="AS41" s="7">
        <v>727.1201011257454</v>
      </c>
      <c r="AT41" s="7">
        <v>-672.1924876123405</v>
      </c>
    </row>
    <row r="42" spans="1:46" x14ac:dyDescent="0.25">
      <c r="A42" s="7" t="s">
        <v>258</v>
      </c>
      <c r="B42" s="7">
        <v>1</v>
      </c>
      <c r="C42" s="18">
        <v>340</v>
      </c>
      <c r="D42" s="7" t="s">
        <v>259</v>
      </c>
      <c r="E42" s="7" t="s">
        <v>192</v>
      </c>
      <c r="F42" s="19">
        <v>340</v>
      </c>
      <c r="G42" s="7" t="s">
        <v>188</v>
      </c>
      <c r="H42" s="20">
        <v>7.5</v>
      </c>
      <c r="I42" s="10">
        <f>MAX(('Geometry'!$G$13*COS(RADIANS(F42))+'Geometry'!$F$13*SIN(RADIANS(F42))),('Geometry'!$G$14*COS(RADIANS(F42))+'Geometry'!$F$14*SIN(RADIANS(F42))),('Geometry'!$G$15*COS(RADIANS(F42))+'Geometry'!$F$15*SIN(RADIANS(F42))),('Geometry'!$G$16*COS(RADIANS(F42))+'Geometry'!$F$16*SIN(RADIANS(F42))),('Geometry'!$G$17*COS(RADIANS(F42))+'Geometry'!$F$17*SIN(RADIANS(F42))),('Geometry'!$G$18*COS(RADIANS(F42))+'Geometry'!$F$18*SIN(RADIANS(F42))),('Geometry'!$G$19*COS(RADIANS(F42))+'Geometry'!$F$19*SIN(RADIANS(F42))),('Geometry'!$G$20*COS(RADIANS(F42))+'Geometry'!$F$20*SIN(RADIANS(F42))))</f>
        <v>751.9266513006628</v>
      </c>
      <c r="J42" s="10">
        <f>MIN(('Geometry'!$G$40*COS(RADIANS(F42))+'Geometry'!$F$40*SIN(RADIANS(F42))),('Geometry'!$G$41*COS(RADIANS(F42))+'Geometry'!$F$41*SIN(RADIANS(F42))),('Geometry'!$G$42*COS(RADIANS(F42))+'Geometry'!$F$42*SIN(RADIANS(F42))),('Geometry'!$G$43*COS(RADIANS(F42))+'Geometry'!$F$43*SIN(RADIANS(F42))),('Geometry'!$G$44*COS(RADIANS(F42))+'Geometry'!$F$44*SIN(RADIANS(F42))),('Geometry'!$G$45*COS(RADIANS(F42))+'Geometry'!$F$45*SIN(RADIANS(F42))),('Geometry'!$G$46*COS(RADIANS(F42))+'Geometry'!$F$46*SIN(RADIANS(F42))),('Geometry'!$G$47*COS(RADIANS(F42))+'Geometry'!$F$47*SIN(RADIANS(F42))),('Geometry'!$G$48*COS(RADIANS(F42))+'Geometry'!$F$48*SIN(RADIANS(F42))),('Geometry'!$G$49*COS(RADIANS(F42))+'Geometry'!$F$49*SIN(RADIANS(F42))),('Geometry'!$G$50*COS(RADIANS(F42))+'Geometry'!$F$50*SIN(RADIANS(F42))),('Geometry'!$G$51*COS(RADIANS(F42))+'Geometry'!$F$51*SIN(RADIANS(F42))),('Geometry'!$G$52*COS(RADIANS(F42))+'Geometry'!$F$52*SIN(RADIANS(F42))),('Geometry'!$G$53*COS(RADIANS(F42))+'Geometry'!$F$53*SIN(RADIANS(F42))),('Geometry'!$G$54*COS(RADIANS(F42))+'Geometry'!$F$54*SIN(RADIANS(F42))),('Geometry'!$G$55*COS(RADIANS(F42))+'Geometry'!$F$55*SIN(RADIANS(F42))),('Geometry'!$G$56*COS(RADIANS(F42))+'Geometry'!$F$56*SIN(RADIANS(F42))),('Geometry'!$G$57*COS(RADIANS(F42))+'Geometry'!$F$57*SIN(RADIANS(F42))))</f>
        <v>-634.8451463467989</v>
      </c>
      <c r="K42" s="10">
        <f>I42-MIN(('Geometry'!$G$13*COS(RADIANS(F42))+'Geometry'!$F$13*SIN(RADIANS(F42))),('Geometry'!$G$14*COS(RADIANS(F42))+'Geometry'!$F$14*SIN(RADIANS(F42))),('Geometry'!$G$15*COS(RADIANS(F42))+'Geometry'!$F$15*SIN(RADIANS(F42))),('Geometry'!$G$16*COS(RADIANS(F42))+'Geometry'!$F$16*SIN(RADIANS(F42))),('Geometry'!$G$17*COS(RADIANS(F42))+'Geometry'!$F$17*SIN(RADIANS(F42))),('Geometry'!$G$18*COS(RADIANS(F42))+'Geometry'!$F$18*SIN(RADIANS(F42))),('Geometry'!$G$19*COS(RADIANS(F42))+'Geometry'!$F$19*SIN(RADIANS(F42))),('Geometry'!$G$20*COS(RADIANS(F42))+'Geometry'!$F$20*SIN(RADIANS(F42))))</f>
        <v>1503.8533026013256</v>
      </c>
      <c r="L42" s="15">
        <f>C_ecu</f>
        <v>0.0032999999999999982</v>
      </c>
      <c r="M42" s="15">
        <f>-H42*S_1_fy/S_1_Es</f>
        <v>-0.015</v>
      </c>
      <c r="N42" s="21">
        <f>IF(ABS(I42-J42)&lt;0.000000000001,0,(L42-M42)/(I42-J42))</f>
        <v>0.000013196114913098438</v>
      </c>
      <c r="O42" s="15">
        <f>L42-N42*I42</f>
        <v>-0.006622510496784847</v>
      </c>
      <c r="P42" s="21">
        <f>N42*COS(RADIANS(F42))</f>
        <v>0.000012400291806881482</v>
      </c>
      <c r="Q42" s="21">
        <f>N42*SIN(RADIANS(F42))</f>
        <v>-0.000004513337113919921</v>
      </c>
      <c r="R42" s="10">
        <f>SUMPRODUCT(C_alpha*C_fck*(1-(1-(((O42+P42*Mesh_Y+Q42*Mesh_X))*((O42+P42*Mesh_Y+Q42*Mesh_X)&gt;0)*((O42+P42*Mesh_Y+Q42*Mesh_X)&lt;C_eco)+C_eco*((O42+P42*Mesh_Y+Q42*Mesh_X)&gt;=C_eco))/C_eco)^C_n)*(((O42+P42*Mesh_Y+Q42*Mesh_X))&gt;0),Mesh_A)/1000</f>
        <v>2364.8125057712323</v>
      </c>
      <c r="S42" s="10">
        <f>SUMPRODUCT(C_alpha*C_fck*(1-(1-(((O42+P42*Mesh_Y+Q42*Mesh_X))*((O42+P42*Mesh_Y+Q42*Mesh_X)&gt;0)*((O42+P42*Mesh_Y+Q42*Mesh_X)&lt;C_eco)+C_eco*((O42+P42*Mesh_Y+Q42*Mesh_X)&gt;=C_eco))/C_eco)^C_n)*(((O42+P42*Mesh_Y+Q42*Mesh_X))&gt;0),Mesh_A,Mesh_Y)/1000000</f>
        <v>1174.4838771309173</v>
      </c>
      <c r="T42" s="10">
        <f>SUMPRODUCT(C_alpha*C_fck*(1-(1-(((O42+P42*Mesh_Y+Q42*Mesh_X))*((O42+P42*Mesh_Y+Q42*Mesh_X)&gt;0)*((O42+P42*Mesh_Y+Q42*Mesh_X)&lt;C_eco)+C_eco*((O42+P42*Mesh_Y+Q42*Mesh_X)&gt;=C_eco))/C_eco)^C_n)*(((O42+P42*Mesh_Y+Q42*Mesh_X))&gt;0),Mesh_A,Mesh_X)/1000000</f>
        <v>-1029.1855372161328</v>
      </c>
      <c r="U42" s="10">
        <f>(((MAX(MIN(S_1_Es*(O42+P42*'Geometry'!$G$40+Q42*'Geometry'!$F$40),S_1_fy),-S_1_fy))-(IF((O42+P42*'Geometry'!$G$40+Q42*'Geometry'!$F$40)&gt;0,IF((O42+P42*'Geometry'!$G$40+Q42*'Geometry'!$F$40)&lt;=C_eco,C_alpha*C_fck*(1-(1-(O42+P42*'Geometry'!$G$40+Q42*'Geometry'!$F$40)/C_eco)^C_n),C_alpha*C_fck),0)))*'Geometry'!$H$40+((MAX(MIN(S_1_Es*(O42+P42*'Geometry'!$G$41+Q42*'Geometry'!$F$41),S_1_fy),-S_1_fy))-(IF((O42+P42*'Geometry'!$G$41+Q42*'Geometry'!$F$41)&gt;0,IF((O42+P42*'Geometry'!$G$41+Q42*'Geometry'!$F$41)&lt;=C_eco,C_alpha*C_fck*(1-(1-(O42+P42*'Geometry'!$G$41+Q42*'Geometry'!$F$41)/C_eco)^C_n),C_alpha*C_fck),0)))*'Geometry'!$H$41+((MAX(MIN(S_1_Es*(O42+P42*'Geometry'!$G$42+Q42*'Geometry'!$F$42),S_1_fy),-S_1_fy))-(IF((O42+P42*'Geometry'!$G$42+Q42*'Geometry'!$F$42)&gt;0,IF((O42+P42*'Geometry'!$G$42+Q42*'Geometry'!$F$42)&lt;=C_eco,C_alpha*C_fck*(1-(1-(O42+P42*'Geometry'!$G$42+Q42*'Geometry'!$F$42)/C_eco)^C_n),C_alpha*C_fck),0)))*'Geometry'!$H$42+((MAX(MIN(S_1_Es*(O42+P42*'Geometry'!$G$43+Q42*'Geometry'!$F$43),S_1_fy),-S_1_fy))-(IF((O42+P42*'Geometry'!$G$43+Q42*'Geometry'!$F$43)&gt;0,IF((O42+P42*'Geometry'!$G$43+Q42*'Geometry'!$F$43)&lt;=C_eco,C_alpha*C_fck*(1-(1-(O42+P42*'Geometry'!$G$43+Q42*'Geometry'!$F$43)/C_eco)^C_n),C_alpha*C_fck),0)))*'Geometry'!$H$43+((MAX(MIN(S_1_Es*(O42+P42*'Geometry'!$G$44+Q42*'Geometry'!$F$44),S_1_fy),-S_1_fy))-(IF((O42+P42*'Geometry'!$G$44+Q42*'Geometry'!$F$44)&gt;0,IF((O42+P42*'Geometry'!$G$44+Q42*'Geometry'!$F$44)&lt;=C_eco,C_alpha*C_fck*(1-(1-(O42+P42*'Geometry'!$G$44+Q42*'Geometry'!$F$44)/C_eco)^C_n),C_alpha*C_fck),0)))*'Geometry'!$H$44+((MAX(MIN(S_1_Es*(O42+P42*'Geometry'!$G$45+Q42*'Geometry'!$F$45),S_1_fy),-S_1_fy))-(IF((O42+P42*'Geometry'!$G$45+Q42*'Geometry'!$F$45)&gt;0,IF((O42+P42*'Geometry'!$G$45+Q42*'Geometry'!$F$45)&lt;=C_eco,C_alpha*C_fck*(1-(1-(O42+P42*'Geometry'!$G$45+Q42*'Geometry'!$F$45)/C_eco)^C_n),C_alpha*C_fck),0)))*'Geometry'!$H$45+((MAX(MIN(S_1_Es*(O42+P42*'Geometry'!$G$46+Q42*'Geometry'!$F$46),S_1_fy),-S_1_fy))-(IF((O42+P42*'Geometry'!$G$46+Q42*'Geometry'!$F$46)&gt;0,IF((O42+P42*'Geometry'!$G$46+Q42*'Geometry'!$F$46)&lt;=C_eco,C_alpha*C_fck*(1-(1-(O42+P42*'Geometry'!$G$46+Q42*'Geometry'!$F$46)/C_eco)^C_n),C_alpha*C_fck),0)))*'Geometry'!$H$46+((MAX(MIN(S_1_Es*(O42+P42*'Geometry'!$G$47+Q42*'Geometry'!$F$47),S_1_fy),-S_1_fy))-(IF((O42+P42*'Geometry'!$G$47+Q42*'Geometry'!$F$47)&gt;0,IF((O42+P42*'Geometry'!$G$47+Q42*'Geometry'!$F$47)&lt;=C_eco,C_alpha*C_fck*(1-(1-(O42+P42*'Geometry'!$G$47+Q42*'Geometry'!$F$47)/C_eco)^C_n),C_alpha*C_fck),0)))*'Geometry'!$H$47+((MAX(MIN(S_1_Es*(O42+P42*'Geometry'!$G$48+Q42*'Geometry'!$F$48),S_1_fy),-S_1_fy))-(IF((O42+P42*'Geometry'!$G$48+Q42*'Geometry'!$F$48)&gt;0,IF((O42+P42*'Geometry'!$G$48+Q42*'Geometry'!$F$48)&lt;=C_eco,C_alpha*C_fck*(1-(1-(O42+P42*'Geometry'!$G$48+Q42*'Geometry'!$F$48)/C_eco)^C_n),C_alpha*C_fck),0)))*'Geometry'!$H$48+((MAX(MIN(S_1_Es*(O42+P42*'Geometry'!$G$49+Q42*'Geometry'!$F$49),S_1_fy),-S_1_fy))-(IF((O42+P42*'Geometry'!$G$49+Q42*'Geometry'!$F$49)&gt;0,IF((O42+P42*'Geometry'!$G$49+Q42*'Geometry'!$F$49)&lt;=C_eco,C_alpha*C_fck*(1-(1-(O42+P42*'Geometry'!$G$49+Q42*'Geometry'!$F$49)/C_eco)^C_n),C_alpha*C_fck),0)))*'Geometry'!$H$49+((MAX(MIN(S_1_Es*(O42+P42*'Geometry'!$G$50+Q42*'Geometry'!$F$50),S_1_fy),-S_1_fy))-(IF((O42+P42*'Geometry'!$G$50+Q42*'Geometry'!$F$50)&gt;0,IF((O42+P42*'Geometry'!$G$50+Q42*'Geometry'!$F$50)&lt;=C_eco,C_alpha*C_fck*(1-(1-(O42+P42*'Geometry'!$G$50+Q42*'Geometry'!$F$50)/C_eco)^C_n),C_alpha*C_fck),0)))*'Geometry'!$H$50+((MAX(MIN(S_1_Es*(O42+P42*'Geometry'!$G$51+Q42*'Geometry'!$F$51),S_1_fy),-S_1_fy))-(IF((O42+P42*'Geometry'!$G$51+Q42*'Geometry'!$F$51)&gt;0,IF((O42+P42*'Geometry'!$G$51+Q42*'Geometry'!$F$51)&lt;=C_eco,C_alpha*C_fck*(1-(1-(O42+P42*'Geometry'!$G$51+Q42*'Geometry'!$F$51)/C_eco)^C_n),C_alpha*C_fck),0)))*'Geometry'!$H$51+((MAX(MIN(S_1_Es*(O42+P42*'Geometry'!$G$52+Q42*'Geometry'!$F$52),S_1_fy),-S_1_fy))-(IF((O42+P42*'Geometry'!$G$52+Q42*'Geometry'!$F$52)&gt;0,IF((O42+P42*'Geometry'!$G$52+Q42*'Geometry'!$F$52)&lt;=C_eco,C_alpha*C_fck*(1-(1-(O42+P42*'Geometry'!$G$52+Q42*'Geometry'!$F$52)/C_eco)^C_n),C_alpha*C_fck),0)))*'Geometry'!$H$52+((MAX(MIN(S_1_Es*(O42+P42*'Geometry'!$G$53+Q42*'Geometry'!$F$53),S_1_fy),-S_1_fy))-(IF((O42+P42*'Geometry'!$G$53+Q42*'Geometry'!$F$53)&gt;0,IF((O42+P42*'Geometry'!$G$53+Q42*'Geometry'!$F$53)&lt;=C_eco,C_alpha*C_fck*(1-(1-(O42+P42*'Geometry'!$G$53+Q42*'Geometry'!$F$53)/C_eco)^C_n),C_alpha*C_fck),0)))*'Geometry'!$H$53+((MAX(MIN(S_1_Es*(O42+P42*'Geometry'!$G$54+Q42*'Geometry'!$F$54),S_1_fy),-S_1_fy))-(IF((O42+P42*'Geometry'!$G$54+Q42*'Geometry'!$F$54)&gt;0,IF((O42+P42*'Geometry'!$G$54+Q42*'Geometry'!$F$54)&lt;=C_eco,C_alpha*C_fck*(1-(1-(O42+P42*'Geometry'!$G$54+Q42*'Geometry'!$F$54)/C_eco)^C_n),C_alpha*C_fck),0)))*'Geometry'!$H$54+((MAX(MIN(S_1_Es*(O42+P42*'Geometry'!$G$55+Q42*'Geometry'!$F$55),S_1_fy),-S_1_fy))-(IF((O42+P42*'Geometry'!$G$55+Q42*'Geometry'!$F$55)&gt;0,IF((O42+P42*'Geometry'!$G$55+Q42*'Geometry'!$F$55)&lt;=C_eco,C_alpha*C_fck*(1-(1-(O42+P42*'Geometry'!$G$55+Q42*'Geometry'!$F$55)/C_eco)^C_n),C_alpha*C_fck),0)))*'Geometry'!$H$55+((MAX(MIN(S_1_Es*(O42+P42*'Geometry'!$G$56+Q42*'Geometry'!$F$56),S_1_fy),-S_1_fy))-(IF((O42+P42*'Geometry'!$G$56+Q42*'Geometry'!$F$56)&gt;0,IF((O42+P42*'Geometry'!$G$56+Q42*'Geometry'!$F$56)&lt;=C_eco,C_alpha*C_fck*(1-(1-(O42+P42*'Geometry'!$G$56+Q42*'Geometry'!$F$56)/C_eco)^C_n),C_alpha*C_fck),0)))*'Geometry'!$H$56+((MAX(MIN(S_1_Es*(O42+P42*'Geometry'!$G$57+Q42*'Geometry'!$F$57),S_1_fy),-S_1_fy))-(IF((O42+P42*'Geometry'!$G$57+Q42*'Geometry'!$F$57)&gt;0,IF((O42+P42*'Geometry'!$G$57+Q42*'Geometry'!$F$57)&lt;=C_eco,C_alpha*C_fck*(1-(1-(O42+P42*'Geometry'!$G$57+Q42*'Geometry'!$F$57)/C_eco)^C_n),C_alpha*C_fck),0)))*'Geometry'!$H$57)/1000</f>
        <v>-3911.313390886913</v>
      </c>
      <c r="V42" s="10">
        <f>(((MAX(MIN(S_1_Es*(O42+P42*'Geometry'!$G$40+Q42*'Geometry'!$F$40),S_1_fy),-S_1_fy))-(IF((O42+P42*'Geometry'!$G$40+Q42*'Geometry'!$F$40)&gt;0,IF((O42+P42*'Geometry'!$G$40+Q42*'Geometry'!$F$40)&lt;=C_eco,C_alpha*C_fck*(1-(1-(O42+P42*'Geometry'!$G$40+Q42*'Geometry'!$F$40)/C_eco)^C_n),C_alpha*C_fck),0)))*'Geometry'!$H$40*'Geometry'!$G$40+((MAX(MIN(S_1_Es*(O42+P42*'Geometry'!$G$41+Q42*'Geometry'!$F$41),S_1_fy),-S_1_fy))-(IF((O42+P42*'Geometry'!$G$41+Q42*'Geometry'!$F$41)&gt;0,IF((O42+P42*'Geometry'!$G$41+Q42*'Geometry'!$F$41)&lt;=C_eco,C_alpha*C_fck*(1-(1-(O42+P42*'Geometry'!$G$41+Q42*'Geometry'!$F$41)/C_eco)^C_n),C_alpha*C_fck),0)))*'Geometry'!$H$41*'Geometry'!$G$41+((MAX(MIN(S_1_Es*(O42+P42*'Geometry'!$G$42+Q42*'Geometry'!$F$42),S_1_fy),-S_1_fy))-(IF((O42+P42*'Geometry'!$G$42+Q42*'Geometry'!$F$42)&gt;0,IF((O42+P42*'Geometry'!$G$42+Q42*'Geometry'!$F$42)&lt;=C_eco,C_alpha*C_fck*(1-(1-(O42+P42*'Geometry'!$G$42+Q42*'Geometry'!$F$42)/C_eco)^C_n),C_alpha*C_fck),0)))*'Geometry'!$H$42*'Geometry'!$G$42+((MAX(MIN(S_1_Es*(O42+P42*'Geometry'!$G$43+Q42*'Geometry'!$F$43),S_1_fy),-S_1_fy))-(IF((O42+P42*'Geometry'!$G$43+Q42*'Geometry'!$F$43)&gt;0,IF((O42+P42*'Geometry'!$G$43+Q42*'Geometry'!$F$43)&lt;=C_eco,C_alpha*C_fck*(1-(1-(O42+P42*'Geometry'!$G$43+Q42*'Geometry'!$F$43)/C_eco)^C_n),C_alpha*C_fck),0)))*'Geometry'!$H$43*'Geometry'!$G$43+((MAX(MIN(S_1_Es*(O42+P42*'Geometry'!$G$44+Q42*'Geometry'!$F$44),S_1_fy),-S_1_fy))-(IF((O42+P42*'Geometry'!$G$44+Q42*'Geometry'!$F$44)&gt;0,IF((O42+P42*'Geometry'!$G$44+Q42*'Geometry'!$F$44)&lt;=C_eco,C_alpha*C_fck*(1-(1-(O42+P42*'Geometry'!$G$44+Q42*'Geometry'!$F$44)/C_eco)^C_n),C_alpha*C_fck),0)))*'Geometry'!$H$44*'Geometry'!$G$44+((MAX(MIN(S_1_Es*(O42+P42*'Geometry'!$G$45+Q42*'Geometry'!$F$45),S_1_fy),-S_1_fy))-(IF((O42+P42*'Geometry'!$G$45+Q42*'Geometry'!$F$45)&gt;0,IF((O42+P42*'Geometry'!$G$45+Q42*'Geometry'!$F$45)&lt;=C_eco,C_alpha*C_fck*(1-(1-(O42+P42*'Geometry'!$G$45+Q42*'Geometry'!$F$45)/C_eco)^C_n),C_alpha*C_fck),0)))*'Geometry'!$H$45*'Geometry'!$G$45+((MAX(MIN(S_1_Es*(O42+P42*'Geometry'!$G$46+Q42*'Geometry'!$F$46),S_1_fy),-S_1_fy))-(IF((O42+P42*'Geometry'!$G$46+Q42*'Geometry'!$F$46)&gt;0,IF((O42+P42*'Geometry'!$G$46+Q42*'Geometry'!$F$46)&lt;=C_eco,C_alpha*C_fck*(1-(1-(O42+P42*'Geometry'!$G$46+Q42*'Geometry'!$F$46)/C_eco)^C_n),C_alpha*C_fck),0)))*'Geometry'!$H$46*'Geometry'!$G$46+((MAX(MIN(S_1_Es*(O42+P42*'Geometry'!$G$47+Q42*'Geometry'!$F$47),S_1_fy),-S_1_fy))-(IF((O42+P42*'Geometry'!$G$47+Q42*'Geometry'!$F$47)&gt;0,IF((O42+P42*'Geometry'!$G$47+Q42*'Geometry'!$F$47)&lt;=C_eco,C_alpha*C_fck*(1-(1-(O42+P42*'Geometry'!$G$47+Q42*'Geometry'!$F$47)/C_eco)^C_n),C_alpha*C_fck),0)))*'Geometry'!$H$47*'Geometry'!$G$47+((MAX(MIN(S_1_Es*(O42+P42*'Geometry'!$G$48+Q42*'Geometry'!$F$48),S_1_fy),-S_1_fy))-(IF((O42+P42*'Geometry'!$G$48+Q42*'Geometry'!$F$48)&gt;0,IF((O42+P42*'Geometry'!$G$48+Q42*'Geometry'!$F$48)&lt;=C_eco,C_alpha*C_fck*(1-(1-(O42+P42*'Geometry'!$G$48+Q42*'Geometry'!$F$48)/C_eco)^C_n),C_alpha*C_fck),0)))*'Geometry'!$H$48*'Geometry'!$G$48+((MAX(MIN(S_1_Es*(O42+P42*'Geometry'!$G$49+Q42*'Geometry'!$F$49),S_1_fy),-S_1_fy))-(IF((O42+P42*'Geometry'!$G$49+Q42*'Geometry'!$F$49)&gt;0,IF((O42+P42*'Geometry'!$G$49+Q42*'Geometry'!$F$49)&lt;=C_eco,C_alpha*C_fck*(1-(1-(O42+P42*'Geometry'!$G$49+Q42*'Geometry'!$F$49)/C_eco)^C_n),C_alpha*C_fck),0)))*'Geometry'!$H$49*'Geometry'!$G$49+((MAX(MIN(S_1_Es*(O42+P42*'Geometry'!$G$50+Q42*'Geometry'!$F$50),S_1_fy),-S_1_fy))-(IF((O42+P42*'Geometry'!$G$50+Q42*'Geometry'!$F$50)&gt;0,IF((O42+P42*'Geometry'!$G$50+Q42*'Geometry'!$F$50)&lt;=C_eco,C_alpha*C_fck*(1-(1-(O42+P42*'Geometry'!$G$50+Q42*'Geometry'!$F$50)/C_eco)^C_n),C_alpha*C_fck),0)))*'Geometry'!$H$50*'Geometry'!$G$50+((MAX(MIN(S_1_Es*(O42+P42*'Geometry'!$G$51+Q42*'Geometry'!$F$51),S_1_fy),-S_1_fy))-(IF((O42+P42*'Geometry'!$G$51+Q42*'Geometry'!$F$51)&gt;0,IF((O42+P42*'Geometry'!$G$51+Q42*'Geometry'!$F$51)&lt;=C_eco,C_alpha*C_fck*(1-(1-(O42+P42*'Geometry'!$G$51+Q42*'Geometry'!$F$51)/C_eco)^C_n),C_alpha*C_fck),0)))*'Geometry'!$H$51*'Geometry'!$G$51+((MAX(MIN(S_1_Es*(O42+P42*'Geometry'!$G$52+Q42*'Geometry'!$F$52),S_1_fy),-S_1_fy))-(IF((O42+P42*'Geometry'!$G$52+Q42*'Geometry'!$F$52)&gt;0,IF((O42+P42*'Geometry'!$G$52+Q42*'Geometry'!$F$52)&lt;=C_eco,C_alpha*C_fck*(1-(1-(O42+P42*'Geometry'!$G$52+Q42*'Geometry'!$F$52)/C_eco)^C_n),C_alpha*C_fck),0)))*'Geometry'!$H$52*'Geometry'!$G$52+((MAX(MIN(S_1_Es*(O42+P42*'Geometry'!$G$53+Q42*'Geometry'!$F$53),S_1_fy),-S_1_fy))-(IF((O42+P42*'Geometry'!$G$53+Q42*'Geometry'!$F$53)&gt;0,IF((O42+P42*'Geometry'!$G$53+Q42*'Geometry'!$F$53)&lt;=C_eco,C_alpha*C_fck*(1-(1-(O42+P42*'Geometry'!$G$53+Q42*'Geometry'!$F$53)/C_eco)^C_n),C_alpha*C_fck),0)))*'Geometry'!$H$53*'Geometry'!$G$53+((MAX(MIN(S_1_Es*(O42+P42*'Geometry'!$G$54+Q42*'Geometry'!$F$54),S_1_fy),-S_1_fy))-(IF((O42+P42*'Geometry'!$G$54+Q42*'Geometry'!$F$54)&gt;0,IF((O42+P42*'Geometry'!$G$54+Q42*'Geometry'!$F$54)&lt;=C_eco,C_alpha*C_fck*(1-(1-(O42+P42*'Geometry'!$G$54+Q42*'Geometry'!$F$54)/C_eco)^C_n),C_alpha*C_fck),0)))*'Geometry'!$H$54*'Geometry'!$G$54+((MAX(MIN(S_1_Es*(O42+P42*'Geometry'!$G$55+Q42*'Geometry'!$F$55),S_1_fy),-S_1_fy))-(IF((O42+P42*'Geometry'!$G$55+Q42*'Geometry'!$F$55)&gt;0,IF((O42+P42*'Geometry'!$G$55+Q42*'Geometry'!$F$55)&lt;=C_eco,C_alpha*C_fck*(1-(1-(O42+P42*'Geometry'!$G$55+Q42*'Geometry'!$F$55)/C_eco)^C_n),C_alpha*C_fck),0)))*'Geometry'!$H$55*'Geometry'!$G$55+((MAX(MIN(S_1_Es*(O42+P42*'Geometry'!$G$56+Q42*'Geometry'!$F$56),S_1_fy),-S_1_fy))-(IF((O42+P42*'Geometry'!$G$56+Q42*'Geometry'!$F$56)&gt;0,IF((O42+P42*'Geometry'!$G$56+Q42*'Geometry'!$F$56)&lt;=C_eco,C_alpha*C_fck*(1-(1-(O42+P42*'Geometry'!$G$56+Q42*'Geometry'!$F$56)/C_eco)^C_n),C_alpha*C_fck),0)))*'Geometry'!$H$56*'Geometry'!$G$56+((MAX(MIN(S_1_Es*(O42+P42*'Geometry'!$G$57+Q42*'Geometry'!$F$57),S_1_fy),-S_1_fy))-(IF((O42+P42*'Geometry'!$G$57+Q42*'Geometry'!$F$57)&gt;0,IF((O42+P42*'Geometry'!$G$57+Q42*'Geometry'!$F$57)&lt;=C_eco,C_alpha*C_fck*(1-(1-(O42+P42*'Geometry'!$G$57+Q42*'Geometry'!$F$57)/C_eco)^C_n),C_alpha*C_fck),0)))*'Geometry'!$H$57*'Geometry'!$G$57)/1000000</f>
        <v>916.6105721726209</v>
      </c>
      <c r="W42" s="10">
        <f>(((MAX(MIN(S_1_Es*(O42+P42*'Geometry'!$G$40+Q42*'Geometry'!$F$40),S_1_fy),-S_1_fy))-(IF((O42+P42*'Geometry'!$G$40+Q42*'Geometry'!$F$40)&gt;0,IF((O42+P42*'Geometry'!$G$40+Q42*'Geometry'!$F$40)&lt;=C_eco,C_alpha*C_fck*(1-(1-(O42+P42*'Geometry'!$G$40+Q42*'Geometry'!$F$40)/C_eco)^C_n),C_alpha*C_fck),0)))*'Geometry'!$H$40*'Geometry'!$F$40+((MAX(MIN(S_1_Es*(O42+P42*'Geometry'!$G$41+Q42*'Geometry'!$F$41),S_1_fy),-S_1_fy))-(IF((O42+P42*'Geometry'!$G$41+Q42*'Geometry'!$F$41)&gt;0,IF((O42+P42*'Geometry'!$G$41+Q42*'Geometry'!$F$41)&lt;=C_eco,C_alpha*C_fck*(1-(1-(O42+P42*'Geometry'!$G$41+Q42*'Geometry'!$F$41)/C_eco)^C_n),C_alpha*C_fck),0)))*'Geometry'!$H$41*'Geometry'!$F$41+((MAX(MIN(S_1_Es*(O42+P42*'Geometry'!$G$42+Q42*'Geometry'!$F$42),S_1_fy),-S_1_fy))-(IF((O42+P42*'Geometry'!$G$42+Q42*'Geometry'!$F$42)&gt;0,IF((O42+P42*'Geometry'!$G$42+Q42*'Geometry'!$F$42)&lt;=C_eco,C_alpha*C_fck*(1-(1-(O42+P42*'Geometry'!$G$42+Q42*'Geometry'!$F$42)/C_eco)^C_n),C_alpha*C_fck),0)))*'Geometry'!$H$42*'Geometry'!$F$42+((MAX(MIN(S_1_Es*(O42+P42*'Geometry'!$G$43+Q42*'Geometry'!$F$43),S_1_fy),-S_1_fy))-(IF((O42+P42*'Geometry'!$G$43+Q42*'Geometry'!$F$43)&gt;0,IF((O42+P42*'Geometry'!$G$43+Q42*'Geometry'!$F$43)&lt;=C_eco,C_alpha*C_fck*(1-(1-(O42+P42*'Geometry'!$G$43+Q42*'Geometry'!$F$43)/C_eco)^C_n),C_alpha*C_fck),0)))*'Geometry'!$H$43*'Geometry'!$F$43+((MAX(MIN(S_1_Es*(O42+P42*'Geometry'!$G$44+Q42*'Geometry'!$F$44),S_1_fy),-S_1_fy))-(IF((O42+P42*'Geometry'!$G$44+Q42*'Geometry'!$F$44)&gt;0,IF((O42+P42*'Geometry'!$G$44+Q42*'Geometry'!$F$44)&lt;=C_eco,C_alpha*C_fck*(1-(1-(O42+P42*'Geometry'!$G$44+Q42*'Geometry'!$F$44)/C_eco)^C_n),C_alpha*C_fck),0)))*'Geometry'!$H$44*'Geometry'!$F$44+((MAX(MIN(S_1_Es*(O42+P42*'Geometry'!$G$45+Q42*'Geometry'!$F$45),S_1_fy),-S_1_fy))-(IF((O42+P42*'Geometry'!$G$45+Q42*'Geometry'!$F$45)&gt;0,IF((O42+P42*'Geometry'!$G$45+Q42*'Geometry'!$F$45)&lt;=C_eco,C_alpha*C_fck*(1-(1-(O42+P42*'Geometry'!$G$45+Q42*'Geometry'!$F$45)/C_eco)^C_n),C_alpha*C_fck),0)))*'Geometry'!$H$45*'Geometry'!$F$45+((MAX(MIN(S_1_Es*(O42+P42*'Geometry'!$G$46+Q42*'Geometry'!$F$46),S_1_fy),-S_1_fy))-(IF((O42+P42*'Geometry'!$G$46+Q42*'Geometry'!$F$46)&gt;0,IF((O42+P42*'Geometry'!$G$46+Q42*'Geometry'!$F$46)&lt;=C_eco,C_alpha*C_fck*(1-(1-(O42+P42*'Geometry'!$G$46+Q42*'Geometry'!$F$46)/C_eco)^C_n),C_alpha*C_fck),0)))*'Geometry'!$H$46*'Geometry'!$F$46+((MAX(MIN(S_1_Es*(O42+P42*'Geometry'!$G$47+Q42*'Geometry'!$F$47),S_1_fy),-S_1_fy))-(IF((O42+P42*'Geometry'!$G$47+Q42*'Geometry'!$F$47)&gt;0,IF((O42+P42*'Geometry'!$G$47+Q42*'Geometry'!$F$47)&lt;=C_eco,C_alpha*C_fck*(1-(1-(O42+P42*'Geometry'!$G$47+Q42*'Geometry'!$F$47)/C_eco)^C_n),C_alpha*C_fck),0)))*'Geometry'!$H$47*'Geometry'!$F$47+((MAX(MIN(S_1_Es*(O42+P42*'Geometry'!$G$48+Q42*'Geometry'!$F$48),S_1_fy),-S_1_fy))-(IF((O42+P42*'Geometry'!$G$48+Q42*'Geometry'!$F$48)&gt;0,IF((O42+P42*'Geometry'!$G$48+Q42*'Geometry'!$F$48)&lt;=C_eco,C_alpha*C_fck*(1-(1-(O42+P42*'Geometry'!$G$48+Q42*'Geometry'!$F$48)/C_eco)^C_n),C_alpha*C_fck),0)))*'Geometry'!$H$48*'Geometry'!$F$48+((MAX(MIN(S_1_Es*(O42+P42*'Geometry'!$G$49+Q42*'Geometry'!$F$49),S_1_fy),-S_1_fy))-(IF((O42+P42*'Geometry'!$G$49+Q42*'Geometry'!$F$49)&gt;0,IF((O42+P42*'Geometry'!$G$49+Q42*'Geometry'!$F$49)&lt;=C_eco,C_alpha*C_fck*(1-(1-(O42+P42*'Geometry'!$G$49+Q42*'Geometry'!$F$49)/C_eco)^C_n),C_alpha*C_fck),0)))*'Geometry'!$H$49*'Geometry'!$F$49+((MAX(MIN(S_1_Es*(O42+P42*'Geometry'!$G$50+Q42*'Geometry'!$F$50),S_1_fy),-S_1_fy))-(IF((O42+P42*'Geometry'!$G$50+Q42*'Geometry'!$F$50)&gt;0,IF((O42+P42*'Geometry'!$G$50+Q42*'Geometry'!$F$50)&lt;=C_eco,C_alpha*C_fck*(1-(1-(O42+P42*'Geometry'!$G$50+Q42*'Geometry'!$F$50)/C_eco)^C_n),C_alpha*C_fck),0)))*'Geometry'!$H$50*'Geometry'!$F$50+((MAX(MIN(S_1_Es*(O42+P42*'Geometry'!$G$51+Q42*'Geometry'!$F$51),S_1_fy),-S_1_fy))-(IF((O42+P42*'Geometry'!$G$51+Q42*'Geometry'!$F$51)&gt;0,IF((O42+P42*'Geometry'!$G$51+Q42*'Geometry'!$F$51)&lt;=C_eco,C_alpha*C_fck*(1-(1-(O42+P42*'Geometry'!$G$51+Q42*'Geometry'!$F$51)/C_eco)^C_n),C_alpha*C_fck),0)))*'Geometry'!$H$51*'Geometry'!$F$51+((MAX(MIN(S_1_Es*(O42+P42*'Geometry'!$G$52+Q42*'Geometry'!$F$52),S_1_fy),-S_1_fy))-(IF((O42+P42*'Geometry'!$G$52+Q42*'Geometry'!$F$52)&gt;0,IF((O42+P42*'Geometry'!$G$52+Q42*'Geometry'!$F$52)&lt;=C_eco,C_alpha*C_fck*(1-(1-(O42+P42*'Geometry'!$G$52+Q42*'Geometry'!$F$52)/C_eco)^C_n),C_alpha*C_fck),0)))*'Geometry'!$H$52*'Geometry'!$F$52+((MAX(MIN(S_1_Es*(O42+P42*'Geometry'!$G$53+Q42*'Geometry'!$F$53),S_1_fy),-S_1_fy))-(IF((O42+P42*'Geometry'!$G$53+Q42*'Geometry'!$F$53)&gt;0,IF((O42+P42*'Geometry'!$G$53+Q42*'Geometry'!$F$53)&lt;=C_eco,C_alpha*C_fck*(1-(1-(O42+P42*'Geometry'!$G$53+Q42*'Geometry'!$F$53)/C_eco)^C_n),C_alpha*C_fck),0)))*'Geometry'!$H$53*'Geometry'!$F$53+((MAX(MIN(S_1_Es*(O42+P42*'Geometry'!$G$54+Q42*'Geometry'!$F$54),S_1_fy),-S_1_fy))-(IF((O42+P42*'Geometry'!$G$54+Q42*'Geometry'!$F$54)&gt;0,IF((O42+P42*'Geometry'!$G$54+Q42*'Geometry'!$F$54)&lt;=C_eco,C_alpha*C_fck*(1-(1-(O42+P42*'Geometry'!$G$54+Q42*'Geometry'!$F$54)/C_eco)^C_n),C_alpha*C_fck),0)))*'Geometry'!$H$54*'Geometry'!$F$54+((MAX(MIN(S_1_Es*(O42+P42*'Geometry'!$G$55+Q42*'Geometry'!$F$55),S_1_fy),-S_1_fy))-(IF((O42+P42*'Geometry'!$G$55+Q42*'Geometry'!$F$55)&gt;0,IF((O42+P42*'Geometry'!$G$55+Q42*'Geometry'!$F$55)&lt;=C_eco,C_alpha*C_fck*(1-(1-(O42+P42*'Geometry'!$G$55+Q42*'Geometry'!$F$55)/C_eco)^C_n),C_alpha*C_fck),0)))*'Geometry'!$H$55*'Geometry'!$F$55+((MAX(MIN(S_1_Es*(O42+P42*'Geometry'!$G$56+Q42*'Geometry'!$F$56),S_1_fy),-S_1_fy))-(IF((O42+P42*'Geometry'!$G$56+Q42*'Geometry'!$F$56)&gt;0,IF((O42+P42*'Geometry'!$G$56+Q42*'Geometry'!$F$56)&lt;=C_eco,C_alpha*C_fck*(1-(1-(O42+P42*'Geometry'!$G$56+Q42*'Geometry'!$F$56)/C_eco)^C_n),C_alpha*C_fck),0)))*'Geometry'!$H$56*'Geometry'!$F$56+((MAX(MIN(S_1_Es*(O42+P42*'Geometry'!$G$57+Q42*'Geometry'!$F$57),S_1_fy),-S_1_fy))-(IF((O42+P42*'Geometry'!$G$57+Q42*'Geometry'!$F$57)&gt;0,IF((O42+P42*'Geometry'!$G$57+Q42*'Geometry'!$F$57)&lt;=C_eco,C_alpha*C_fck*(1-(1-(O42+P42*'Geometry'!$G$57+Q42*'Geometry'!$F$57)/C_eco)^C_n),C_alpha*C_fck),0)))*'Geometry'!$H$57*'Geometry'!$F$57)/1000000</f>
        <v>-514.3116793360277</v>
      </c>
      <c r="X42" s="10">
        <f>R42+U42</f>
        <v>-1546.5008851156808</v>
      </c>
      <c r="Y42" s="10">
        <f>S42+V42</f>
        <v>2091.094449303538</v>
      </c>
      <c r="Z42" s="10">
        <f>T42+W42</f>
        <v>-1543.4972165521608</v>
      </c>
      <c r="AA42" s="7">
        <v>0.8500000000000001</v>
      </c>
      <c r="AB42" s="7">
        <v>0.8500000000000001</v>
      </c>
      <c r="AC42" s="10">
        <f>X42*AA42</f>
        <v>-1314.5257523483288</v>
      </c>
      <c r="AD42" s="10">
        <f>Y42*AB42</f>
        <v>1777.4302819080076</v>
      </c>
      <c r="AE42" s="10">
        <f>Z42*AB42</f>
        <v>-1311.9726340693367</v>
      </c>
      <c r="AF42" s="7">
        <v>-1314.5257523483288</v>
      </c>
      <c r="AG42" s="7">
        <v>1777.4302819080076</v>
      </c>
      <c r="AH42" s="7">
        <v>-1311.9726340693367</v>
      </c>
      <c r="AI42" s="15">
        <f>AC42-AF42</f>
        <v>0</v>
      </c>
      <c r="AJ42" s="15">
        <f>SQRT((AD42-AG42)^2+(AE42-AH42)^2)</f>
        <v>0</v>
      </c>
      <c r="AK42" s="7" t="s">
        <v>189</v>
      </c>
      <c r="AL42" s="7">
        <v>-1546.5008851156808</v>
      </c>
      <c r="AM42" s="7">
        <v>2091.094449303538</v>
      </c>
      <c r="AN42" s="7">
        <v>-1543.4972165521608</v>
      </c>
      <c r="AO42" s="7">
        <v>2364.8125057712323</v>
      </c>
      <c r="AP42" s="7">
        <v>1174.4838771309173</v>
      </c>
      <c r="AQ42" s="7">
        <v>-1029.1855372161328</v>
      </c>
      <c r="AR42" s="7">
        <v>-3911.313390886913</v>
      </c>
      <c r="AS42" s="7">
        <v>916.6105721726209</v>
      </c>
      <c r="AT42" s="7">
        <v>-514.3116793360277</v>
      </c>
    </row>
    <row r="43" spans="1:46" x14ac:dyDescent="0.25">
      <c r="A43" s="7" t="s">
        <v>260</v>
      </c>
      <c r="B43" s="7">
        <v>1</v>
      </c>
      <c r="C43" s="18">
        <v>350</v>
      </c>
      <c r="D43" s="7" t="s">
        <v>261</v>
      </c>
      <c r="E43" s="7" t="s">
        <v>192</v>
      </c>
      <c r="F43" s="19">
        <v>350</v>
      </c>
      <c r="G43" s="7" t="s">
        <v>188</v>
      </c>
      <c r="H43" s="20">
        <v>7.500000000000001</v>
      </c>
      <c r="I43" s="10">
        <f>MAX(('Geometry'!$G$13*COS(RADIANS(F43))+'Geometry'!$F$13*SIN(RADIANS(F43))),('Geometry'!$G$14*COS(RADIANS(F43))+'Geometry'!$F$14*SIN(RADIANS(F43))),('Geometry'!$G$15*COS(RADIANS(F43))+'Geometry'!$F$15*SIN(RADIANS(F43))),('Geometry'!$G$16*COS(RADIANS(F43))+'Geometry'!$F$16*SIN(RADIANS(F43))),('Geometry'!$G$17*COS(RADIANS(F43))+'Geometry'!$F$17*SIN(RADIANS(F43))),('Geometry'!$G$18*COS(RADIANS(F43))+'Geometry'!$F$18*SIN(RADIANS(F43))),('Geometry'!$G$19*COS(RADIANS(F43))+'Geometry'!$F$19*SIN(RADIANS(F43))),('Geometry'!$G$20*COS(RADIANS(F43))+'Geometry'!$F$20*SIN(RADIANS(F43))))</f>
        <v>686.391149524137</v>
      </c>
      <c r="J43" s="10">
        <f>MIN(('Geometry'!$G$40*COS(RADIANS(F43))+'Geometry'!$F$40*SIN(RADIANS(F43))),('Geometry'!$G$41*COS(RADIANS(F43))+'Geometry'!$F$41*SIN(RADIANS(F43))),('Geometry'!$G$42*COS(RADIANS(F43))+'Geometry'!$F$42*SIN(RADIANS(F43))),('Geometry'!$G$43*COS(RADIANS(F43))+'Geometry'!$F$43*SIN(RADIANS(F43))),('Geometry'!$G$44*COS(RADIANS(F43))+'Geometry'!$F$44*SIN(RADIANS(F43))),('Geometry'!$G$45*COS(RADIANS(F43))+'Geometry'!$F$45*SIN(RADIANS(F43))),('Geometry'!$G$46*COS(RADIANS(F43))+'Geometry'!$F$46*SIN(RADIANS(F43))),('Geometry'!$G$47*COS(RADIANS(F43))+'Geometry'!$F$47*SIN(RADIANS(F43))),('Geometry'!$G$48*COS(RADIANS(F43))+'Geometry'!$F$48*SIN(RADIANS(F43))),('Geometry'!$G$49*COS(RADIANS(F43))+'Geometry'!$F$49*SIN(RADIANS(F43))),('Geometry'!$G$50*COS(RADIANS(F43))+'Geometry'!$F$50*SIN(RADIANS(F43))),('Geometry'!$G$51*COS(RADIANS(F43))+'Geometry'!$F$51*SIN(RADIANS(F43))),('Geometry'!$G$52*COS(RADIANS(F43))+'Geometry'!$F$52*SIN(RADIANS(F43))),('Geometry'!$G$53*COS(RADIANS(F43))+'Geometry'!$F$53*SIN(RADIANS(F43))),('Geometry'!$G$54*COS(RADIANS(F43))+'Geometry'!$F$54*SIN(RADIANS(F43))),('Geometry'!$G$55*COS(RADIANS(F43))+'Geometry'!$F$55*SIN(RADIANS(F43))),('Geometry'!$G$56*COS(RADIANS(F43))+'Geometry'!$F$56*SIN(RADIANS(F43))),('Geometry'!$G$57*COS(RADIANS(F43))+'Geometry'!$F$57*SIN(RADIANS(F43))))</f>
        <v>-591.4073801632427</v>
      </c>
      <c r="K43" s="10">
        <f>I43-MIN(('Geometry'!$G$13*COS(RADIANS(F43))+'Geometry'!$F$13*SIN(RADIANS(F43))),('Geometry'!$G$14*COS(RADIANS(F43))+'Geometry'!$F$14*SIN(RADIANS(F43))),('Geometry'!$G$15*COS(RADIANS(F43))+'Geometry'!$F$15*SIN(RADIANS(F43))),('Geometry'!$G$16*COS(RADIANS(F43))+'Geometry'!$F$16*SIN(RADIANS(F43))),('Geometry'!$G$17*COS(RADIANS(F43))+'Geometry'!$F$17*SIN(RADIANS(F43))),('Geometry'!$G$18*COS(RADIANS(F43))+'Geometry'!$F$18*SIN(RADIANS(F43))),('Geometry'!$G$19*COS(RADIANS(F43))+'Geometry'!$F$19*SIN(RADIANS(F43))),('Geometry'!$G$20*COS(RADIANS(F43))+'Geometry'!$F$20*SIN(RADIANS(F43))))</f>
        <v>1372.782299048274</v>
      </c>
      <c r="L43" s="15">
        <f>C_ecu</f>
        <v>0.003300000000000005</v>
      </c>
      <c r="M43" s="15">
        <f>-H43*S_1_fy/S_1_Es</f>
        <v>-0.015000000000000003</v>
      </c>
      <c r="N43" s="21">
        <f>IF(ABS(I43-J43)&lt;0.000000000001,0,(L43-M43)/(I43-J43))</f>
        <v>0.000014321506540218984</v>
      </c>
      <c r="O43" s="15">
        <f>L43-N43*I43</f>
        <v>-0.006530155337058348</v>
      </c>
      <c r="P43" s="21">
        <f>N43*COS(RADIANS(F43))</f>
        <v>0.0000141039306756227</v>
      </c>
      <c r="Q43" s="21">
        <f>N43*SIN(RADIANS(F43))</f>
        <v>-0.000002486903512154052</v>
      </c>
      <c r="R43" s="10">
        <f>SUMPRODUCT(C_alpha*C_fck*(1-(1-(((O43+P43*Mesh_Y+Q43*Mesh_X))*((O43+P43*Mesh_Y+Q43*Mesh_X)&gt;0)*((O43+P43*Mesh_Y+Q43*Mesh_X)&lt;C_eco)+C_eco*((O43+P43*Mesh_Y+Q43*Mesh_X)&gt;=C_eco))/C_eco)^C_n)*(((O43+P43*Mesh_Y+Q43*Mesh_X))&gt;0),Mesh_A)/1000</f>
        <v>3133.999796298738</v>
      </c>
      <c r="S43" s="10">
        <f>SUMPRODUCT(C_alpha*C_fck*(1-(1-(((O43+P43*Mesh_Y+Q43*Mesh_X))*((O43+P43*Mesh_Y+Q43*Mesh_X)&gt;0)*((O43+P43*Mesh_Y+Q43*Mesh_X)&lt;C_eco)+C_eco*((O43+P43*Mesh_Y+Q43*Mesh_X)&gt;=C_eco))/C_eco)^C_n)*(((O43+P43*Mesh_Y+Q43*Mesh_X))&gt;0),Mesh_A,Mesh_Y)/1000000</f>
        <v>1631.7217482820329</v>
      </c>
      <c r="T43" s="10">
        <f>SUMPRODUCT(C_alpha*C_fck*(1-(1-(((O43+P43*Mesh_Y+Q43*Mesh_X))*((O43+P43*Mesh_Y+Q43*Mesh_X)&gt;0)*((O43+P43*Mesh_Y+Q43*Mesh_X)&lt;C_eco)+C_eco*((O43+P43*Mesh_Y+Q43*Mesh_X)&gt;=C_eco))/C_eco)^C_n)*(((O43+P43*Mesh_Y+Q43*Mesh_X))&gt;0),Mesh_A,Mesh_X)/1000000</f>
        <v>-803.2844773806522</v>
      </c>
      <c r="U43" s="10">
        <f>(((MAX(MIN(S_1_Es*(O43+P43*'Geometry'!$G$40+Q43*'Geometry'!$F$40),S_1_fy),-S_1_fy))-(IF((O43+P43*'Geometry'!$G$40+Q43*'Geometry'!$F$40)&gt;0,IF((O43+P43*'Geometry'!$G$40+Q43*'Geometry'!$F$40)&lt;=C_eco,C_alpha*C_fck*(1-(1-(O43+P43*'Geometry'!$G$40+Q43*'Geometry'!$F$40)/C_eco)^C_n),C_alpha*C_fck),0)))*'Geometry'!$H$40+((MAX(MIN(S_1_Es*(O43+P43*'Geometry'!$G$41+Q43*'Geometry'!$F$41),S_1_fy),-S_1_fy))-(IF((O43+P43*'Geometry'!$G$41+Q43*'Geometry'!$F$41)&gt;0,IF((O43+P43*'Geometry'!$G$41+Q43*'Geometry'!$F$41)&lt;=C_eco,C_alpha*C_fck*(1-(1-(O43+P43*'Geometry'!$G$41+Q43*'Geometry'!$F$41)/C_eco)^C_n),C_alpha*C_fck),0)))*'Geometry'!$H$41+((MAX(MIN(S_1_Es*(O43+P43*'Geometry'!$G$42+Q43*'Geometry'!$F$42),S_1_fy),-S_1_fy))-(IF((O43+P43*'Geometry'!$G$42+Q43*'Geometry'!$F$42)&gt;0,IF((O43+P43*'Geometry'!$G$42+Q43*'Geometry'!$F$42)&lt;=C_eco,C_alpha*C_fck*(1-(1-(O43+P43*'Geometry'!$G$42+Q43*'Geometry'!$F$42)/C_eco)^C_n),C_alpha*C_fck),0)))*'Geometry'!$H$42+((MAX(MIN(S_1_Es*(O43+P43*'Geometry'!$G$43+Q43*'Geometry'!$F$43),S_1_fy),-S_1_fy))-(IF((O43+P43*'Geometry'!$G$43+Q43*'Geometry'!$F$43)&gt;0,IF((O43+P43*'Geometry'!$G$43+Q43*'Geometry'!$F$43)&lt;=C_eco,C_alpha*C_fck*(1-(1-(O43+P43*'Geometry'!$G$43+Q43*'Geometry'!$F$43)/C_eco)^C_n),C_alpha*C_fck),0)))*'Geometry'!$H$43+((MAX(MIN(S_1_Es*(O43+P43*'Geometry'!$G$44+Q43*'Geometry'!$F$44),S_1_fy),-S_1_fy))-(IF((O43+P43*'Geometry'!$G$44+Q43*'Geometry'!$F$44)&gt;0,IF((O43+P43*'Geometry'!$G$44+Q43*'Geometry'!$F$44)&lt;=C_eco,C_alpha*C_fck*(1-(1-(O43+P43*'Geometry'!$G$44+Q43*'Geometry'!$F$44)/C_eco)^C_n),C_alpha*C_fck),0)))*'Geometry'!$H$44+((MAX(MIN(S_1_Es*(O43+P43*'Geometry'!$G$45+Q43*'Geometry'!$F$45),S_1_fy),-S_1_fy))-(IF((O43+P43*'Geometry'!$G$45+Q43*'Geometry'!$F$45)&gt;0,IF((O43+P43*'Geometry'!$G$45+Q43*'Geometry'!$F$45)&lt;=C_eco,C_alpha*C_fck*(1-(1-(O43+P43*'Geometry'!$G$45+Q43*'Geometry'!$F$45)/C_eco)^C_n),C_alpha*C_fck),0)))*'Geometry'!$H$45+((MAX(MIN(S_1_Es*(O43+P43*'Geometry'!$G$46+Q43*'Geometry'!$F$46),S_1_fy),-S_1_fy))-(IF((O43+P43*'Geometry'!$G$46+Q43*'Geometry'!$F$46)&gt;0,IF((O43+P43*'Geometry'!$G$46+Q43*'Geometry'!$F$46)&lt;=C_eco,C_alpha*C_fck*(1-(1-(O43+P43*'Geometry'!$G$46+Q43*'Geometry'!$F$46)/C_eco)^C_n),C_alpha*C_fck),0)))*'Geometry'!$H$46+((MAX(MIN(S_1_Es*(O43+P43*'Geometry'!$G$47+Q43*'Geometry'!$F$47),S_1_fy),-S_1_fy))-(IF((O43+P43*'Geometry'!$G$47+Q43*'Geometry'!$F$47)&gt;0,IF((O43+P43*'Geometry'!$G$47+Q43*'Geometry'!$F$47)&lt;=C_eco,C_alpha*C_fck*(1-(1-(O43+P43*'Geometry'!$G$47+Q43*'Geometry'!$F$47)/C_eco)^C_n),C_alpha*C_fck),0)))*'Geometry'!$H$47+((MAX(MIN(S_1_Es*(O43+P43*'Geometry'!$G$48+Q43*'Geometry'!$F$48),S_1_fy),-S_1_fy))-(IF((O43+P43*'Geometry'!$G$48+Q43*'Geometry'!$F$48)&gt;0,IF((O43+P43*'Geometry'!$G$48+Q43*'Geometry'!$F$48)&lt;=C_eco,C_alpha*C_fck*(1-(1-(O43+P43*'Geometry'!$G$48+Q43*'Geometry'!$F$48)/C_eco)^C_n),C_alpha*C_fck),0)))*'Geometry'!$H$48+((MAX(MIN(S_1_Es*(O43+P43*'Geometry'!$G$49+Q43*'Geometry'!$F$49),S_1_fy),-S_1_fy))-(IF((O43+P43*'Geometry'!$G$49+Q43*'Geometry'!$F$49)&gt;0,IF((O43+P43*'Geometry'!$G$49+Q43*'Geometry'!$F$49)&lt;=C_eco,C_alpha*C_fck*(1-(1-(O43+P43*'Geometry'!$G$49+Q43*'Geometry'!$F$49)/C_eco)^C_n),C_alpha*C_fck),0)))*'Geometry'!$H$49+((MAX(MIN(S_1_Es*(O43+P43*'Geometry'!$G$50+Q43*'Geometry'!$F$50),S_1_fy),-S_1_fy))-(IF((O43+P43*'Geometry'!$G$50+Q43*'Geometry'!$F$50)&gt;0,IF((O43+P43*'Geometry'!$G$50+Q43*'Geometry'!$F$50)&lt;=C_eco,C_alpha*C_fck*(1-(1-(O43+P43*'Geometry'!$G$50+Q43*'Geometry'!$F$50)/C_eco)^C_n),C_alpha*C_fck),0)))*'Geometry'!$H$50+((MAX(MIN(S_1_Es*(O43+P43*'Geometry'!$G$51+Q43*'Geometry'!$F$51),S_1_fy),-S_1_fy))-(IF((O43+P43*'Geometry'!$G$51+Q43*'Geometry'!$F$51)&gt;0,IF((O43+P43*'Geometry'!$G$51+Q43*'Geometry'!$F$51)&lt;=C_eco,C_alpha*C_fck*(1-(1-(O43+P43*'Geometry'!$G$51+Q43*'Geometry'!$F$51)/C_eco)^C_n),C_alpha*C_fck),0)))*'Geometry'!$H$51+((MAX(MIN(S_1_Es*(O43+P43*'Geometry'!$G$52+Q43*'Geometry'!$F$52),S_1_fy),-S_1_fy))-(IF((O43+P43*'Geometry'!$G$52+Q43*'Geometry'!$F$52)&gt;0,IF((O43+P43*'Geometry'!$G$52+Q43*'Geometry'!$F$52)&lt;=C_eco,C_alpha*C_fck*(1-(1-(O43+P43*'Geometry'!$G$52+Q43*'Geometry'!$F$52)/C_eco)^C_n),C_alpha*C_fck),0)))*'Geometry'!$H$52+((MAX(MIN(S_1_Es*(O43+P43*'Geometry'!$G$53+Q43*'Geometry'!$F$53),S_1_fy),-S_1_fy))-(IF((O43+P43*'Geometry'!$G$53+Q43*'Geometry'!$F$53)&gt;0,IF((O43+P43*'Geometry'!$G$53+Q43*'Geometry'!$F$53)&lt;=C_eco,C_alpha*C_fck*(1-(1-(O43+P43*'Geometry'!$G$53+Q43*'Geometry'!$F$53)/C_eco)^C_n),C_alpha*C_fck),0)))*'Geometry'!$H$53+((MAX(MIN(S_1_Es*(O43+P43*'Geometry'!$G$54+Q43*'Geometry'!$F$54),S_1_fy),-S_1_fy))-(IF((O43+P43*'Geometry'!$G$54+Q43*'Geometry'!$F$54)&gt;0,IF((O43+P43*'Geometry'!$G$54+Q43*'Geometry'!$F$54)&lt;=C_eco,C_alpha*C_fck*(1-(1-(O43+P43*'Geometry'!$G$54+Q43*'Geometry'!$F$54)/C_eco)^C_n),C_alpha*C_fck),0)))*'Geometry'!$H$54+((MAX(MIN(S_1_Es*(O43+P43*'Geometry'!$G$55+Q43*'Geometry'!$F$55),S_1_fy),-S_1_fy))-(IF((O43+P43*'Geometry'!$G$55+Q43*'Geometry'!$F$55)&gt;0,IF((O43+P43*'Geometry'!$G$55+Q43*'Geometry'!$F$55)&lt;=C_eco,C_alpha*C_fck*(1-(1-(O43+P43*'Geometry'!$G$55+Q43*'Geometry'!$F$55)/C_eco)^C_n),C_alpha*C_fck),0)))*'Geometry'!$H$55+((MAX(MIN(S_1_Es*(O43+P43*'Geometry'!$G$56+Q43*'Geometry'!$F$56),S_1_fy),-S_1_fy))-(IF((O43+P43*'Geometry'!$G$56+Q43*'Geometry'!$F$56)&gt;0,IF((O43+P43*'Geometry'!$G$56+Q43*'Geometry'!$F$56)&lt;=C_eco,C_alpha*C_fck*(1-(1-(O43+P43*'Geometry'!$G$56+Q43*'Geometry'!$F$56)/C_eco)^C_n),C_alpha*C_fck),0)))*'Geometry'!$H$56+((MAX(MIN(S_1_Es*(O43+P43*'Geometry'!$G$57+Q43*'Geometry'!$F$57),S_1_fy),-S_1_fy))-(IF((O43+P43*'Geometry'!$G$57+Q43*'Geometry'!$F$57)&gt;0,IF((O43+P43*'Geometry'!$G$57+Q43*'Geometry'!$F$57)&lt;=C_eco,C_alpha*C_fck*(1-(1-(O43+P43*'Geometry'!$G$57+Q43*'Geometry'!$F$57)/C_eco)^C_n),C_alpha*C_fck),0)))*'Geometry'!$H$57)/1000</f>
        <v>-3260.566254521379</v>
      </c>
      <c r="V43" s="10">
        <f>(((MAX(MIN(S_1_Es*(O43+P43*'Geometry'!$G$40+Q43*'Geometry'!$F$40),S_1_fy),-S_1_fy))-(IF((O43+P43*'Geometry'!$G$40+Q43*'Geometry'!$F$40)&gt;0,IF((O43+P43*'Geometry'!$G$40+Q43*'Geometry'!$F$40)&lt;=C_eco,C_alpha*C_fck*(1-(1-(O43+P43*'Geometry'!$G$40+Q43*'Geometry'!$F$40)/C_eco)^C_n),C_alpha*C_fck),0)))*'Geometry'!$H$40*'Geometry'!$G$40+((MAX(MIN(S_1_Es*(O43+P43*'Geometry'!$G$41+Q43*'Geometry'!$F$41),S_1_fy),-S_1_fy))-(IF((O43+P43*'Geometry'!$G$41+Q43*'Geometry'!$F$41)&gt;0,IF((O43+P43*'Geometry'!$G$41+Q43*'Geometry'!$F$41)&lt;=C_eco,C_alpha*C_fck*(1-(1-(O43+P43*'Geometry'!$G$41+Q43*'Geometry'!$F$41)/C_eco)^C_n),C_alpha*C_fck),0)))*'Geometry'!$H$41*'Geometry'!$G$41+((MAX(MIN(S_1_Es*(O43+P43*'Geometry'!$G$42+Q43*'Geometry'!$F$42),S_1_fy),-S_1_fy))-(IF((O43+P43*'Geometry'!$G$42+Q43*'Geometry'!$F$42)&gt;0,IF((O43+P43*'Geometry'!$G$42+Q43*'Geometry'!$F$42)&lt;=C_eco,C_alpha*C_fck*(1-(1-(O43+P43*'Geometry'!$G$42+Q43*'Geometry'!$F$42)/C_eco)^C_n),C_alpha*C_fck),0)))*'Geometry'!$H$42*'Geometry'!$G$42+((MAX(MIN(S_1_Es*(O43+P43*'Geometry'!$G$43+Q43*'Geometry'!$F$43),S_1_fy),-S_1_fy))-(IF((O43+P43*'Geometry'!$G$43+Q43*'Geometry'!$F$43)&gt;0,IF((O43+P43*'Geometry'!$G$43+Q43*'Geometry'!$F$43)&lt;=C_eco,C_alpha*C_fck*(1-(1-(O43+P43*'Geometry'!$G$43+Q43*'Geometry'!$F$43)/C_eco)^C_n),C_alpha*C_fck),0)))*'Geometry'!$H$43*'Geometry'!$G$43+((MAX(MIN(S_1_Es*(O43+P43*'Geometry'!$G$44+Q43*'Geometry'!$F$44),S_1_fy),-S_1_fy))-(IF((O43+P43*'Geometry'!$G$44+Q43*'Geometry'!$F$44)&gt;0,IF((O43+P43*'Geometry'!$G$44+Q43*'Geometry'!$F$44)&lt;=C_eco,C_alpha*C_fck*(1-(1-(O43+P43*'Geometry'!$G$44+Q43*'Geometry'!$F$44)/C_eco)^C_n),C_alpha*C_fck),0)))*'Geometry'!$H$44*'Geometry'!$G$44+((MAX(MIN(S_1_Es*(O43+P43*'Geometry'!$G$45+Q43*'Geometry'!$F$45),S_1_fy),-S_1_fy))-(IF((O43+P43*'Geometry'!$G$45+Q43*'Geometry'!$F$45)&gt;0,IF((O43+P43*'Geometry'!$G$45+Q43*'Geometry'!$F$45)&lt;=C_eco,C_alpha*C_fck*(1-(1-(O43+P43*'Geometry'!$G$45+Q43*'Geometry'!$F$45)/C_eco)^C_n),C_alpha*C_fck),0)))*'Geometry'!$H$45*'Geometry'!$G$45+((MAX(MIN(S_1_Es*(O43+P43*'Geometry'!$G$46+Q43*'Geometry'!$F$46),S_1_fy),-S_1_fy))-(IF((O43+P43*'Geometry'!$G$46+Q43*'Geometry'!$F$46)&gt;0,IF((O43+P43*'Geometry'!$G$46+Q43*'Geometry'!$F$46)&lt;=C_eco,C_alpha*C_fck*(1-(1-(O43+P43*'Geometry'!$G$46+Q43*'Geometry'!$F$46)/C_eco)^C_n),C_alpha*C_fck),0)))*'Geometry'!$H$46*'Geometry'!$G$46+((MAX(MIN(S_1_Es*(O43+P43*'Geometry'!$G$47+Q43*'Geometry'!$F$47),S_1_fy),-S_1_fy))-(IF((O43+P43*'Geometry'!$G$47+Q43*'Geometry'!$F$47)&gt;0,IF((O43+P43*'Geometry'!$G$47+Q43*'Geometry'!$F$47)&lt;=C_eco,C_alpha*C_fck*(1-(1-(O43+P43*'Geometry'!$G$47+Q43*'Geometry'!$F$47)/C_eco)^C_n),C_alpha*C_fck),0)))*'Geometry'!$H$47*'Geometry'!$G$47+((MAX(MIN(S_1_Es*(O43+P43*'Geometry'!$G$48+Q43*'Geometry'!$F$48),S_1_fy),-S_1_fy))-(IF((O43+P43*'Geometry'!$G$48+Q43*'Geometry'!$F$48)&gt;0,IF((O43+P43*'Geometry'!$G$48+Q43*'Geometry'!$F$48)&lt;=C_eco,C_alpha*C_fck*(1-(1-(O43+P43*'Geometry'!$G$48+Q43*'Geometry'!$F$48)/C_eco)^C_n),C_alpha*C_fck),0)))*'Geometry'!$H$48*'Geometry'!$G$48+((MAX(MIN(S_1_Es*(O43+P43*'Geometry'!$G$49+Q43*'Geometry'!$F$49),S_1_fy),-S_1_fy))-(IF((O43+P43*'Geometry'!$G$49+Q43*'Geometry'!$F$49)&gt;0,IF((O43+P43*'Geometry'!$G$49+Q43*'Geometry'!$F$49)&lt;=C_eco,C_alpha*C_fck*(1-(1-(O43+P43*'Geometry'!$G$49+Q43*'Geometry'!$F$49)/C_eco)^C_n),C_alpha*C_fck),0)))*'Geometry'!$H$49*'Geometry'!$G$49+((MAX(MIN(S_1_Es*(O43+P43*'Geometry'!$G$50+Q43*'Geometry'!$F$50),S_1_fy),-S_1_fy))-(IF((O43+P43*'Geometry'!$G$50+Q43*'Geometry'!$F$50)&gt;0,IF((O43+P43*'Geometry'!$G$50+Q43*'Geometry'!$F$50)&lt;=C_eco,C_alpha*C_fck*(1-(1-(O43+P43*'Geometry'!$G$50+Q43*'Geometry'!$F$50)/C_eco)^C_n),C_alpha*C_fck),0)))*'Geometry'!$H$50*'Geometry'!$G$50+((MAX(MIN(S_1_Es*(O43+P43*'Geometry'!$G$51+Q43*'Geometry'!$F$51),S_1_fy),-S_1_fy))-(IF((O43+P43*'Geometry'!$G$51+Q43*'Geometry'!$F$51)&gt;0,IF((O43+P43*'Geometry'!$G$51+Q43*'Geometry'!$F$51)&lt;=C_eco,C_alpha*C_fck*(1-(1-(O43+P43*'Geometry'!$G$51+Q43*'Geometry'!$F$51)/C_eco)^C_n),C_alpha*C_fck),0)))*'Geometry'!$H$51*'Geometry'!$G$51+((MAX(MIN(S_1_Es*(O43+P43*'Geometry'!$G$52+Q43*'Geometry'!$F$52),S_1_fy),-S_1_fy))-(IF((O43+P43*'Geometry'!$G$52+Q43*'Geometry'!$F$52)&gt;0,IF((O43+P43*'Geometry'!$G$52+Q43*'Geometry'!$F$52)&lt;=C_eco,C_alpha*C_fck*(1-(1-(O43+P43*'Geometry'!$G$52+Q43*'Geometry'!$F$52)/C_eco)^C_n),C_alpha*C_fck),0)))*'Geometry'!$H$52*'Geometry'!$G$52+((MAX(MIN(S_1_Es*(O43+P43*'Geometry'!$G$53+Q43*'Geometry'!$F$53),S_1_fy),-S_1_fy))-(IF((O43+P43*'Geometry'!$G$53+Q43*'Geometry'!$F$53)&gt;0,IF((O43+P43*'Geometry'!$G$53+Q43*'Geometry'!$F$53)&lt;=C_eco,C_alpha*C_fck*(1-(1-(O43+P43*'Geometry'!$G$53+Q43*'Geometry'!$F$53)/C_eco)^C_n),C_alpha*C_fck),0)))*'Geometry'!$H$53*'Geometry'!$G$53+((MAX(MIN(S_1_Es*(O43+P43*'Geometry'!$G$54+Q43*'Geometry'!$F$54),S_1_fy),-S_1_fy))-(IF((O43+P43*'Geometry'!$G$54+Q43*'Geometry'!$F$54)&gt;0,IF((O43+P43*'Geometry'!$G$54+Q43*'Geometry'!$F$54)&lt;=C_eco,C_alpha*C_fck*(1-(1-(O43+P43*'Geometry'!$G$54+Q43*'Geometry'!$F$54)/C_eco)^C_n),C_alpha*C_fck),0)))*'Geometry'!$H$54*'Geometry'!$G$54+((MAX(MIN(S_1_Es*(O43+P43*'Geometry'!$G$55+Q43*'Geometry'!$F$55),S_1_fy),-S_1_fy))-(IF((O43+P43*'Geometry'!$G$55+Q43*'Geometry'!$F$55)&gt;0,IF((O43+P43*'Geometry'!$G$55+Q43*'Geometry'!$F$55)&lt;=C_eco,C_alpha*C_fck*(1-(1-(O43+P43*'Geometry'!$G$55+Q43*'Geometry'!$F$55)/C_eco)^C_n),C_alpha*C_fck),0)))*'Geometry'!$H$55*'Geometry'!$G$55+((MAX(MIN(S_1_Es*(O43+P43*'Geometry'!$G$56+Q43*'Geometry'!$F$56),S_1_fy),-S_1_fy))-(IF((O43+P43*'Geometry'!$G$56+Q43*'Geometry'!$F$56)&gt;0,IF((O43+P43*'Geometry'!$G$56+Q43*'Geometry'!$F$56)&lt;=C_eco,C_alpha*C_fck*(1-(1-(O43+P43*'Geometry'!$G$56+Q43*'Geometry'!$F$56)/C_eco)^C_n),C_alpha*C_fck),0)))*'Geometry'!$H$56*'Geometry'!$G$56+((MAX(MIN(S_1_Es*(O43+P43*'Geometry'!$G$57+Q43*'Geometry'!$F$57),S_1_fy),-S_1_fy))-(IF((O43+P43*'Geometry'!$G$57+Q43*'Geometry'!$F$57)&gt;0,IF((O43+P43*'Geometry'!$G$57+Q43*'Geometry'!$F$57)&lt;=C_eco,C_alpha*C_fck*(1-(1-(O43+P43*'Geometry'!$G$57+Q43*'Geometry'!$F$57)/C_eco)^C_n),C_alpha*C_fck),0)))*'Geometry'!$H$57*'Geometry'!$G$57)/1000000</f>
        <v>1289.4072172119897</v>
      </c>
      <c r="W43" s="10">
        <f>(((MAX(MIN(S_1_Es*(O43+P43*'Geometry'!$G$40+Q43*'Geometry'!$F$40),S_1_fy),-S_1_fy))-(IF((O43+P43*'Geometry'!$G$40+Q43*'Geometry'!$F$40)&gt;0,IF((O43+P43*'Geometry'!$G$40+Q43*'Geometry'!$F$40)&lt;=C_eco,C_alpha*C_fck*(1-(1-(O43+P43*'Geometry'!$G$40+Q43*'Geometry'!$F$40)/C_eco)^C_n),C_alpha*C_fck),0)))*'Geometry'!$H$40*'Geometry'!$F$40+((MAX(MIN(S_1_Es*(O43+P43*'Geometry'!$G$41+Q43*'Geometry'!$F$41),S_1_fy),-S_1_fy))-(IF((O43+P43*'Geometry'!$G$41+Q43*'Geometry'!$F$41)&gt;0,IF((O43+P43*'Geometry'!$G$41+Q43*'Geometry'!$F$41)&lt;=C_eco,C_alpha*C_fck*(1-(1-(O43+P43*'Geometry'!$G$41+Q43*'Geometry'!$F$41)/C_eco)^C_n),C_alpha*C_fck),0)))*'Geometry'!$H$41*'Geometry'!$F$41+((MAX(MIN(S_1_Es*(O43+P43*'Geometry'!$G$42+Q43*'Geometry'!$F$42),S_1_fy),-S_1_fy))-(IF((O43+P43*'Geometry'!$G$42+Q43*'Geometry'!$F$42)&gt;0,IF((O43+P43*'Geometry'!$G$42+Q43*'Geometry'!$F$42)&lt;=C_eco,C_alpha*C_fck*(1-(1-(O43+P43*'Geometry'!$G$42+Q43*'Geometry'!$F$42)/C_eco)^C_n),C_alpha*C_fck),0)))*'Geometry'!$H$42*'Geometry'!$F$42+((MAX(MIN(S_1_Es*(O43+P43*'Geometry'!$G$43+Q43*'Geometry'!$F$43),S_1_fy),-S_1_fy))-(IF((O43+P43*'Geometry'!$G$43+Q43*'Geometry'!$F$43)&gt;0,IF((O43+P43*'Geometry'!$G$43+Q43*'Geometry'!$F$43)&lt;=C_eco,C_alpha*C_fck*(1-(1-(O43+P43*'Geometry'!$G$43+Q43*'Geometry'!$F$43)/C_eco)^C_n),C_alpha*C_fck),0)))*'Geometry'!$H$43*'Geometry'!$F$43+((MAX(MIN(S_1_Es*(O43+P43*'Geometry'!$G$44+Q43*'Geometry'!$F$44),S_1_fy),-S_1_fy))-(IF((O43+P43*'Geometry'!$G$44+Q43*'Geometry'!$F$44)&gt;0,IF((O43+P43*'Geometry'!$G$44+Q43*'Geometry'!$F$44)&lt;=C_eco,C_alpha*C_fck*(1-(1-(O43+P43*'Geometry'!$G$44+Q43*'Geometry'!$F$44)/C_eco)^C_n),C_alpha*C_fck),0)))*'Geometry'!$H$44*'Geometry'!$F$44+((MAX(MIN(S_1_Es*(O43+P43*'Geometry'!$G$45+Q43*'Geometry'!$F$45),S_1_fy),-S_1_fy))-(IF((O43+P43*'Geometry'!$G$45+Q43*'Geometry'!$F$45)&gt;0,IF((O43+P43*'Geometry'!$G$45+Q43*'Geometry'!$F$45)&lt;=C_eco,C_alpha*C_fck*(1-(1-(O43+P43*'Geometry'!$G$45+Q43*'Geometry'!$F$45)/C_eco)^C_n),C_alpha*C_fck),0)))*'Geometry'!$H$45*'Geometry'!$F$45+((MAX(MIN(S_1_Es*(O43+P43*'Geometry'!$G$46+Q43*'Geometry'!$F$46),S_1_fy),-S_1_fy))-(IF((O43+P43*'Geometry'!$G$46+Q43*'Geometry'!$F$46)&gt;0,IF((O43+P43*'Geometry'!$G$46+Q43*'Geometry'!$F$46)&lt;=C_eco,C_alpha*C_fck*(1-(1-(O43+P43*'Geometry'!$G$46+Q43*'Geometry'!$F$46)/C_eco)^C_n),C_alpha*C_fck),0)))*'Geometry'!$H$46*'Geometry'!$F$46+((MAX(MIN(S_1_Es*(O43+P43*'Geometry'!$G$47+Q43*'Geometry'!$F$47),S_1_fy),-S_1_fy))-(IF((O43+P43*'Geometry'!$G$47+Q43*'Geometry'!$F$47)&gt;0,IF((O43+P43*'Geometry'!$G$47+Q43*'Geometry'!$F$47)&lt;=C_eco,C_alpha*C_fck*(1-(1-(O43+P43*'Geometry'!$G$47+Q43*'Geometry'!$F$47)/C_eco)^C_n),C_alpha*C_fck),0)))*'Geometry'!$H$47*'Geometry'!$F$47+((MAX(MIN(S_1_Es*(O43+P43*'Geometry'!$G$48+Q43*'Geometry'!$F$48),S_1_fy),-S_1_fy))-(IF((O43+P43*'Geometry'!$G$48+Q43*'Geometry'!$F$48)&gt;0,IF((O43+P43*'Geometry'!$G$48+Q43*'Geometry'!$F$48)&lt;=C_eco,C_alpha*C_fck*(1-(1-(O43+P43*'Geometry'!$G$48+Q43*'Geometry'!$F$48)/C_eco)^C_n),C_alpha*C_fck),0)))*'Geometry'!$H$48*'Geometry'!$F$48+((MAX(MIN(S_1_Es*(O43+P43*'Geometry'!$G$49+Q43*'Geometry'!$F$49),S_1_fy),-S_1_fy))-(IF((O43+P43*'Geometry'!$G$49+Q43*'Geometry'!$F$49)&gt;0,IF((O43+P43*'Geometry'!$G$49+Q43*'Geometry'!$F$49)&lt;=C_eco,C_alpha*C_fck*(1-(1-(O43+P43*'Geometry'!$G$49+Q43*'Geometry'!$F$49)/C_eco)^C_n),C_alpha*C_fck),0)))*'Geometry'!$H$49*'Geometry'!$F$49+((MAX(MIN(S_1_Es*(O43+P43*'Geometry'!$G$50+Q43*'Geometry'!$F$50),S_1_fy),-S_1_fy))-(IF((O43+P43*'Geometry'!$G$50+Q43*'Geometry'!$F$50)&gt;0,IF((O43+P43*'Geometry'!$G$50+Q43*'Geometry'!$F$50)&lt;=C_eco,C_alpha*C_fck*(1-(1-(O43+P43*'Geometry'!$G$50+Q43*'Geometry'!$F$50)/C_eco)^C_n),C_alpha*C_fck),0)))*'Geometry'!$H$50*'Geometry'!$F$50+((MAX(MIN(S_1_Es*(O43+P43*'Geometry'!$G$51+Q43*'Geometry'!$F$51),S_1_fy),-S_1_fy))-(IF((O43+P43*'Geometry'!$G$51+Q43*'Geometry'!$F$51)&gt;0,IF((O43+P43*'Geometry'!$G$51+Q43*'Geometry'!$F$51)&lt;=C_eco,C_alpha*C_fck*(1-(1-(O43+P43*'Geometry'!$G$51+Q43*'Geometry'!$F$51)/C_eco)^C_n),C_alpha*C_fck),0)))*'Geometry'!$H$51*'Geometry'!$F$51+((MAX(MIN(S_1_Es*(O43+P43*'Geometry'!$G$52+Q43*'Geometry'!$F$52),S_1_fy),-S_1_fy))-(IF((O43+P43*'Geometry'!$G$52+Q43*'Geometry'!$F$52)&gt;0,IF((O43+P43*'Geometry'!$G$52+Q43*'Geometry'!$F$52)&lt;=C_eco,C_alpha*C_fck*(1-(1-(O43+P43*'Geometry'!$G$52+Q43*'Geometry'!$F$52)/C_eco)^C_n),C_alpha*C_fck),0)))*'Geometry'!$H$52*'Geometry'!$F$52+((MAX(MIN(S_1_Es*(O43+P43*'Geometry'!$G$53+Q43*'Geometry'!$F$53),S_1_fy),-S_1_fy))-(IF((O43+P43*'Geometry'!$G$53+Q43*'Geometry'!$F$53)&gt;0,IF((O43+P43*'Geometry'!$G$53+Q43*'Geometry'!$F$53)&lt;=C_eco,C_alpha*C_fck*(1-(1-(O43+P43*'Geometry'!$G$53+Q43*'Geometry'!$F$53)/C_eco)^C_n),C_alpha*C_fck),0)))*'Geometry'!$H$53*'Geometry'!$F$53+((MAX(MIN(S_1_Es*(O43+P43*'Geometry'!$G$54+Q43*'Geometry'!$F$54),S_1_fy),-S_1_fy))-(IF((O43+P43*'Geometry'!$G$54+Q43*'Geometry'!$F$54)&gt;0,IF((O43+P43*'Geometry'!$G$54+Q43*'Geometry'!$F$54)&lt;=C_eco,C_alpha*C_fck*(1-(1-(O43+P43*'Geometry'!$G$54+Q43*'Geometry'!$F$54)/C_eco)^C_n),C_alpha*C_fck),0)))*'Geometry'!$H$54*'Geometry'!$F$54+((MAX(MIN(S_1_Es*(O43+P43*'Geometry'!$G$55+Q43*'Geometry'!$F$55),S_1_fy),-S_1_fy))-(IF((O43+P43*'Geometry'!$G$55+Q43*'Geometry'!$F$55)&gt;0,IF((O43+P43*'Geometry'!$G$55+Q43*'Geometry'!$F$55)&lt;=C_eco,C_alpha*C_fck*(1-(1-(O43+P43*'Geometry'!$G$55+Q43*'Geometry'!$F$55)/C_eco)^C_n),C_alpha*C_fck),0)))*'Geometry'!$H$55*'Geometry'!$F$55+((MAX(MIN(S_1_Es*(O43+P43*'Geometry'!$G$56+Q43*'Geometry'!$F$56),S_1_fy),-S_1_fy))-(IF((O43+P43*'Geometry'!$G$56+Q43*'Geometry'!$F$56)&gt;0,IF((O43+P43*'Geometry'!$G$56+Q43*'Geometry'!$F$56)&lt;=C_eco,C_alpha*C_fck*(1-(1-(O43+P43*'Geometry'!$G$56+Q43*'Geometry'!$F$56)/C_eco)^C_n),C_alpha*C_fck),0)))*'Geometry'!$H$56*'Geometry'!$F$56+((MAX(MIN(S_1_Es*(O43+P43*'Geometry'!$G$57+Q43*'Geometry'!$F$57),S_1_fy),-S_1_fy))-(IF((O43+P43*'Geometry'!$G$57+Q43*'Geometry'!$F$57)&gt;0,IF((O43+P43*'Geometry'!$G$57+Q43*'Geometry'!$F$57)&lt;=C_eco,C_alpha*C_fck*(1-(1-(O43+P43*'Geometry'!$G$57+Q43*'Geometry'!$F$57)/C_eco)^C_n),C_alpha*C_fck),0)))*'Geometry'!$H$57*'Geometry'!$F$57)/1000000</f>
        <v>-301.92528960821073</v>
      </c>
      <c r="X43" s="10">
        <f>R43+U43</f>
        <v>-126.56645822264115</v>
      </c>
      <c r="Y43" s="10">
        <f>S43+V43</f>
        <v>2921.1289654940224</v>
      </c>
      <c r="Z43" s="10">
        <f>T43+W43</f>
        <v>-1105.209766988863</v>
      </c>
      <c r="AA43" s="7">
        <v>0.85</v>
      </c>
      <c r="AB43" s="7">
        <v>0.8499999999999999</v>
      </c>
      <c r="AC43" s="10">
        <f>X43*AA43</f>
        <v>-107.58148948924497</v>
      </c>
      <c r="AD43" s="10">
        <f>Y43*AB43</f>
        <v>2482.959620669919</v>
      </c>
      <c r="AE43" s="10">
        <f>Z43*AB43</f>
        <v>-939.4283019405335</v>
      </c>
      <c r="AF43" s="7">
        <v>-107.58148948924497</v>
      </c>
      <c r="AG43" s="7">
        <v>2482.959620669919</v>
      </c>
      <c r="AH43" s="7">
        <v>-939.4283019405335</v>
      </c>
      <c r="AI43" s="15">
        <f>AC43-AF43</f>
        <v>0</v>
      </c>
      <c r="AJ43" s="15">
        <f>SQRT((AD43-AG43)^2+(AE43-AH43)^2)</f>
        <v>0</v>
      </c>
      <c r="AK43" s="7" t="s">
        <v>189</v>
      </c>
      <c r="AL43" s="7">
        <v>-126.56645822264115</v>
      </c>
      <c r="AM43" s="7">
        <v>2921.1289654940224</v>
      </c>
      <c r="AN43" s="7">
        <v>-1105.209766988863</v>
      </c>
      <c r="AO43" s="7">
        <v>3133.999796298738</v>
      </c>
      <c r="AP43" s="7">
        <v>1631.7217482820329</v>
      </c>
      <c r="AQ43" s="7">
        <v>-803.2844773806522</v>
      </c>
      <c r="AR43" s="7">
        <v>-3260.566254521379</v>
      </c>
      <c r="AS43" s="7">
        <v>1289.4072172119897</v>
      </c>
      <c r="AT43" s="7">
        <v>-301.92528960821073</v>
      </c>
    </row>
  </sheetData>
  <autoFilter ref="A7:AE43"/>
  <mergeCells count="2">
    <mergeCell ref="A1:AT1"/>
    <mergeCell ref="B2:AT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</sheetPr>
  <dimension ref="A1:AT43"/>
  <sheetViews>
    <sheetView workbookViewId="0" showGridLines="0">
      <pane xSplit="3" ySplit="7" topLeftCell="D8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10" customWidth="1"/>
    <col min="3" max="3" width="14" customWidth="1"/>
    <col min="4" max="4" width="24" customWidth="1"/>
    <col min="5" max="5" width="30" customWidth="1"/>
    <col min="6" max="6" width="12" customWidth="1"/>
    <col min="7" max="7" width="18" customWidth="1"/>
    <col min="8" max="8" width="16" customWidth="1"/>
    <col min="9" max="9" width="14" customWidth="1"/>
    <col min="10" max="10" width="15" customWidth="1"/>
    <col min="11" max="15" width="14" customWidth="1"/>
    <col min="16" max="17" width="15" customWidth="1"/>
    <col min="18" max="31" width="14" customWidth="1"/>
    <col min="32" max="46" width="16" hidden="1" customWidth="1"/>
  </cols>
  <sheetData>
    <row r="1" ht="22" customHeight="1" spans="1:46" x14ac:dyDescent="0.25">
      <c r="A1" s="1" t="s">
        <v>262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2:46" x14ac:dyDescent="0.25">
      <c r="B2" s="16" t="s">
        <v>135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</row>
    <row r="3" spans="2:5" x14ac:dyDescent="0.25">
      <c r="B3" t="s">
        <v>136</v>
      </c>
      <c r="C3" s="17">
        <f>Selected_P</f>
        <v>0</v>
      </c>
      <c r="D3" t="s">
        <v>137</v>
      </c>
      <c r="E3" s="7" t="s">
        <v>263</v>
      </c>
    </row>
    <row r="6" ht="24" customHeight="1" spans="1:5" x14ac:dyDescent="0.25">
      <c r="A6" s="2" t="s">
        <v>1</v>
      </c>
      <c r="B6" s="3" t="s">
        <v>2</v>
      </c>
      <c r="C6" s="4" t="s">
        <v>3</v>
      </c>
      <c r="D6" s="5" t="s">
        <v>4</v>
      </c>
      <c r="E6" s="6" t="s">
        <v>5</v>
      </c>
    </row>
    <row r="7" ht="28" customHeight="1" spans="1:46" x14ac:dyDescent="0.25">
      <c r="A7" s="8" t="s">
        <v>139</v>
      </c>
      <c r="B7" s="8" t="s">
        <v>140</v>
      </c>
      <c r="C7" s="8" t="s">
        <v>141</v>
      </c>
      <c r="D7" s="8" t="s">
        <v>142</v>
      </c>
      <c r="E7" s="8" t="s">
        <v>143</v>
      </c>
      <c r="F7" s="8" t="s">
        <v>144</v>
      </c>
      <c r="G7" s="8" t="s">
        <v>145</v>
      </c>
      <c r="H7" s="8" t="s">
        <v>146</v>
      </c>
      <c r="I7" s="8" t="s">
        <v>147</v>
      </c>
      <c r="J7" s="8" t="s">
        <v>148</v>
      </c>
      <c r="K7" s="8" t="s">
        <v>149</v>
      </c>
      <c r="L7" s="8" t="s">
        <v>150</v>
      </c>
      <c r="M7" s="8" t="s">
        <v>151</v>
      </c>
      <c r="N7" s="8" t="s">
        <v>152</v>
      </c>
      <c r="O7" s="8" t="s">
        <v>153</v>
      </c>
      <c r="P7" s="8" t="s">
        <v>154</v>
      </c>
      <c r="Q7" s="8" t="s">
        <v>155</v>
      </c>
      <c r="R7" s="8" t="s">
        <v>156</v>
      </c>
      <c r="S7" s="8" t="s">
        <v>157</v>
      </c>
      <c r="T7" s="8" t="s">
        <v>158</v>
      </c>
      <c r="U7" s="8" t="s">
        <v>159</v>
      </c>
      <c r="V7" s="8" t="s">
        <v>160</v>
      </c>
      <c r="W7" s="8" t="s">
        <v>161</v>
      </c>
      <c r="X7" s="8" t="s">
        <v>162</v>
      </c>
      <c r="Y7" s="8" t="s">
        <v>163</v>
      </c>
      <c r="Z7" s="8" t="s">
        <v>164</v>
      </c>
      <c r="AA7" s="8" t="s">
        <v>165</v>
      </c>
      <c r="AB7" s="8" t="s">
        <v>166</v>
      </c>
      <c r="AC7" s="8" t="s">
        <v>167</v>
      </c>
      <c r="AD7" s="8" t="s">
        <v>168</v>
      </c>
      <c r="AE7" s="8" t="s">
        <v>169</v>
      </c>
      <c r="AF7" s="8" t="s">
        <v>170</v>
      </c>
      <c r="AG7" s="8" t="s">
        <v>171</v>
      </c>
      <c r="AH7" s="8" t="s">
        <v>172</v>
      </c>
      <c r="AI7" s="8" t="s">
        <v>173</v>
      </c>
      <c r="AJ7" s="8" t="s">
        <v>174</v>
      </c>
      <c r="AK7" s="8" t="s">
        <v>175</v>
      </c>
      <c r="AL7" s="8" t="s">
        <v>176</v>
      </c>
      <c r="AM7" s="8" t="s">
        <v>177</v>
      </c>
      <c r="AN7" s="8" t="s">
        <v>178</v>
      </c>
      <c r="AO7" s="8" t="s">
        <v>179</v>
      </c>
      <c r="AP7" s="8" t="s">
        <v>180</v>
      </c>
      <c r="AQ7" s="8" t="s">
        <v>181</v>
      </c>
      <c r="AR7" s="8" t="s">
        <v>182</v>
      </c>
      <c r="AS7" s="8" t="s">
        <v>183</v>
      </c>
      <c r="AT7" s="8" t="s">
        <v>184</v>
      </c>
    </row>
    <row r="8" spans="1:46" x14ac:dyDescent="0.25">
      <c r="A8" s="7" t="s">
        <v>185</v>
      </c>
      <c r="B8" s="7">
        <v>1</v>
      </c>
      <c r="C8" s="18">
        <v>0</v>
      </c>
      <c r="D8" s="7" t="s">
        <v>264</v>
      </c>
      <c r="E8" s="7" t="s">
        <v>265</v>
      </c>
      <c r="F8" s="19">
        <v>0</v>
      </c>
      <c r="G8" s="7" t="s">
        <v>188</v>
      </c>
      <c r="H8" s="20">
        <v>9.999999999999998</v>
      </c>
      <c r="I8" s="10">
        <f>MAX(('Geometry'!$G$13*COS(RADIANS(F8))+'Geometry'!$F$13*SIN(RADIANS(F8))),('Geometry'!$G$14*COS(RADIANS(F8))+'Geometry'!$F$14*SIN(RADIANS(F8))),('Geometry'!$G$15*COS(RADIANS(F8))+'Geometry'!$F$15*SIN(RADIANS(F8))),('Geometry'!$G$16*COS(RADIANS(F8))+'Geometry'!$F$16*SIN(RADIANS(F8))),('Geometry'!$G$17*COS(RADIANS(F8))+'Geometry'!$F$17*SIN(RADIANS(F8))),('Geometry'!$G$18*COS(RADIANS(F8))+'Geometry'!$F$18*SIN(RADIANS(F8))),('Geometry'!$G$19*COS(RADIANS(F8))+'Geometry'!$F$19*SIN(RADIANS(F8))),('Geometry'!$G$20*COS(RADIANS(F8))+'Geometry'!$F$20*SIN(RADIANS(F8))))</f>
        <v>600</v>
      </c>
      <c r="J8" s="10">
        <f>MIN(('Geometry'!$G$40*COS(RADIANS(F8))+'Geometry'!$F$40*SIN(RADIANS(F8))),('Geometry'!$G$41*COS(RADIANS(F8))+'Geometry'!$F$41*SIN(RADIANS(F8))),('Geometry'!$G$42*COS(RADIANS(F8))+'Geometry'!$F$42*SIN(RADIANS(F8))),('Geometry'!$G$43*COS(RADIANS(F8))+'Geometry'!$F$43*SIN(RADIANS(F8))),('Geometry'!$G$44*COS(RADIANS(F8))+'Geometry'!$F$44*SIN(RADIANS(F8))),('Geometry'!$G$45*COS(RADIANS(F8))+'Geometry'!$F$45*SIN(RADIANS(F8))),('Geometry'!$G$46*COS(RADIANS(F8))+'Geometry'!$F$46*SIN(RADIANS(F8))),('Geometry'!$G$47*COS(RADIANS(F8))+'Geometry'!$F$47*SIN(RADIANS(F8))),('Geometry'!$G$48*COS(RADIANS(F8))+'Geometry'!$F$48*SIN(RADIANS(F8))),('Geometry'!$G$49*COS(RADIANS(F8))+'Geometry'!$F$49*SIN(RADIANS(F8))),('Geometry'!$G$50*COS(RADIANS(F8))+'Geometry'!$F$50*SIN(RADIANS(F8))),('Geometry'!$G$51*COS(RADIANS(F8))+'Geometry'!$F$51*SIN(RADIANS(F8))),('Geometry'!$G$52*COS(RADIANS(F8))+'Geometry'!$F$52*SIN(RADIANS(F8))),('Geometry'!$G$53*COS(RADIANS(F8))+'Geometry'!$F$53*SIN(RADIANS(F8))),('Geometry'!$G$54*COS(RADIANS(F8))+'Geometry'!$F$54*SIN(RADIANS(F8))),('Geometry'!$G$55*COS(RADIANS(F8))+'Geometry'!$F$55*SIN(RADIANS(F8))),('Geometry'!$G$56*COS(RADIANS(F8))+'Geometry'!$F$56*SIN(RADIANS(F8))),('Geometry'!$G$57*COS(RADIANS(F8))+'Geometry'!$F$57*SIN(RADIANS(F8))))</f>
        <v>-530</v>
      </c>
      <c r="K8" s="10">
        <f>I8-MIN(('Geometry'!$G$13*COS(RADIANS(F8))+'Geometry'!$F$13*SIN(RADIANS(F8))),('Geometry'!$G$14*COS(RADIANS(F8))+'Geometry'!$F$14*SIN(RADIANS(F8))),('Geometry'!$G$15*COS(RADIANS(F8))+'Geometry'!$F$15*SIN(RADIANS(F8))),('Geometry'!$G$16*COS(RADIANS(F8))+'Geometry'!$F$16*SIN(RADIANS(F8))),('Geometry'!$G$17*COS(RADIANS(F8))+'Geometry'!$F$17*SIN(RADIANS(F8))),('Geometry'!$G$18*COS(RADIANS(F8))+'Geometry'!$F$18*SIN(RADIANS(F8))),('Geometry'!$G$19*COS(RADIANS(F8))+'Geometry'!$F$19*SIN(RADIANS(F8))),('Geometry'!$G$20*COS(RADIANS(F8))+'Geometry'!$F$20*SIN(RADIANS(F8))))</f>
        <v>1200</v>
      </c>
      <c r="L8" s="15">
        <f>C_ecu</f>
        <v>0.003300000000000001</v>
      </c>
      <c r="M8" s="15">
        <f>-H8*S_1_fy/S_1_Es</f>
        <v>-0.019999999999999997</v>
      </c>
      <c r="N8" s="21">
        <f>IF(ABS(I8-J8)&lt;0.000000000001,0,(L8-M8)/(I8-J8))</f>
        <v>0.000020619469026548672</v>
      </c>
      <c r="O8" s="15">
        <f>L8-N8*I8</f>
        <v>-0.009071681415929202</v>
      </c>
      <c r="P8" s="21">
        <f>N8*COS(RADIANS(F8))</f>
        <v>0.000020619469026548672</v>
      </c>
      <c r="Q8" s="21">
        <f>N8*SIN(RADIANS(F8))</f>
        <v>0</v>
      </c>
      <c r="R8" s="10">
        <f>SUMPRODUCT(C_alpha*C_fck*(1-(1-(((O8+P8*Mesh_Y+Q8*Mesh_X))*((O8+P8*Mesh_Y+Q8*Mesh_X)&gt;0)*((O8+P8*Mesh_Y+Q8*Mesh_X)&lt;C_eco)+C_eco*((O8+P8*Mesh_Y+Q8*Mesh_X)&gt;=C_eco))/C_eco)^C_n)*(((O8+P8*Mesh_Y+Q8*Mesh_X))&gt;0),Mesh_A)/1000</f>
        <v>3968.4649986628033</v>
      </c>
      <c r="S8" s="10">
        <f>SUMPRODUCT(C_alpha*C_fck*(1-(1-(((O8+P8*Mesh_Y+Q8*Mesh_X))*((O8+P8*Mesh_Y+Q8*Mesh_X)&gt;0)*((O8+P8*Mesh_Y+Q8*Mesh_X)&lt;C_eco)+C_eco*((O8+P8*Mesh_Y+Q8*Mesh_X)&gt;=C_eco))/C_eco)^C_n)*(((O8+P8*Mesh_Y+Q8*Mesh_X))&gt;0),Mesh_A,Mesh_Y)/1000000</f>
        <v>2107.639186305356</v>
      </c>
      <c r="T8" s="10">
        <f>SUMPRODUCT(C_alpha*C_fck*(1-(1-(((O8+P8*Mesh_Y+Q8*Mesh_X))*((O8+P8*Mesh_Y+Q8*Mesh_X)&gt;0)*((O8+P8*Mesh_Y+Q8*Mesh_X)&lt;C_eco)+C_eco*((O8+P8*Mesh_Y+Q8*Mesh_X)&gt;=C_eco))/C_eco)^C_n)*(((O8+P8*Mesh_Y+Q8*Mesh_X))&gt;0),Mesh_A,Mesh_X)/1000000</f>
        <v>0.13352775502107292</v>
      </c>
      <c r="U8" s="10">
        <f>(((MAX(MIN(S_1_Es*(O8+P8*'Geometry'!$G$40+Q8*'Geometry'!$F$40),S_1_fy),-S_1_fy))-(IF((O8+P8*'Geometry'!$G$40+Q8*'Geometry'!$F$40)&gt;0,IF((O8+P8*'Geometry'!$G$40+Q8*'Geometry'!$F$40)&lt;=C_eco,C_alpha*C_fck*(1-(1-(O8+P8*'Geometry'!$G$40+Q8*'Geometry'!$F$40)/C_eco)^C_n),C_alpha*C_fck),0)))*'Geometry'!$H$40+((MAX(MIN(S_1_Es*(O8+P8*'Geometry'!$G$41+Q8*'Geometry'!$F$41),S_1_fy),-S_1_fy))-(IF((O8+P8*'Geometry'!$G$41+Q8*'Geometry'!$F$41)&gt;0,IF((O8+P8*'Geometry'!$G$41+Q8*'Geometry'!$F$41)&lt;=C_eco,C_alpha*C_fck*(1-(1-(O8+P8*'Geometry'!$G$41+Q8*'Geometry'!$F$41)/C_eco)^C_n),C_alpha*C_fck),0)))*'Geometry'!$H$41+((MAX(MIN(S_1_Es*(O8+P8*'Geometry'!$G$42+Q8*'Geometry'!$F$42),S_1_fy),-S_1_fy))-(IF((O8+P8*'Geometry'!$G$42+Q8*'Geometry'!$F$42)&gt;0,IF((O8+P8*'Geometry'!$G$42+Q8*'Geometry'!$F$42)&lt;=C_eco,C_alpha*C_fck*(1-(1-(O8+P8*'Geometry'!$G$42+Q8*'Geometry'!$F$42)/C_eco)^C_n),C_alpha*C_fck),0)))*'Geometry'!$H$42+((MAX(MIN(S_1_Es*(O8+P8*'Geometry'!$G$43+Q8*'Geometry'!$F$43),S_1_fy),-S_1_fy))-(IF((O8+P8*'Geometry'!$G$43+Q8*'Geometry'!$F$43)&gt;0,IF((O8+P8*'Geometry'!$G$43+Q8*'Geometry'!$F$43)&lt;=C_eco,C_alpha*C_fck*(1-(1-(O8+P8*'Geometry'!$G$43+Q8*'Geometry'!$F$43)/C_eco)^C_n),C_alpha*C_fck),0)))*'Geometry'!$H$43+((MAX(MIN(S_1_Es*(O8+P8*'Geometry'!$G$44+Q8*'Geometry'!$F$44),S_1_fy),-S_1_fy))-(IF((O8+P8*'Geometry'!$G$44+Q8*'Geometry'!$F$44)&gt;0,IF((O8+P8*'Geometry'!$G$44+Q8*'Geometry'!$F$44)&lt;=C_eco,C_alpha*C_fck*(1-(1-(O8+P8*'Geometry'!$G$44+Q8*'Geometry'!$F$44)/C_eco)^C_n),C_alpha*C_fck),0)))*'Geometry'!$H$44+((MAX(MIN(S_1_Es*(O8+P8*'Geometry'!$G$45+Q8*'Geometry'!$F$45),S_1_fy),-S_1_fy))-(IF((O8+P8*'Geometry'!$G$45+Q8*'Geometry'!$F$45)&gt;0,IF((O8+P8*'Geometry'!$G$45+Q8*'Geometry'!$F$45)&lt;=C_eco,C_alpha*C_fck*(1-(1-(O8+P8*'Geometry'!$G$45+Q8*'Geometry'!$F$45)/C_eco)^C_n),C_alpha*C_fck),0)))*'Geometry'!$H$45+((MAX(MIN(S_1_Es*(O8+P8*'Geometry'!$G$46+Q8*'Geometry'!$F$46),S_1_fy),-S_1_fy))-(IF((O8+P8*'Geometry'!$G$46+Q8*'Geometry'!$F$46)&gt;0,IF((O8+P8*'Geometry'!$G$46+Q8*'Geometry'!$F$46)&lt;=C_eco,C_alpha*C_fck*(1-(1-(O8+P8*'Geometry'!$G$46+Q8*'Geometry'!$F$46)/C_eco)^C_n),C_alpha*C_fck),0)))*'Geometry'!$H$46+((MAX(MIN(S_1_Es*(O8+P8*'Geometry'!$G$47+Q8*'Geometry'!$F$47),S_1_fy),-S_1_fy))-(IF((O8+P8*'Geometry'!$G$47+Q8*'Geometry'!$F$47)&gt;0,IF((O8+P8*'Geometry'!$G$47+Q8*'Geometry'!$F$47)&lt;=C_eco,C_alpha*C_fck*(1-(1-(O8+P8*'Geometry'!$G$47+Q8*'Geometry'!$F$47)/C_eco)^C_n),C_alpha*C_fck),0)))*'Geometry'!$H$47+((MAX(MIN(S_1_Es*(O8+P8*'Geometry'!$G$48+Q8*'Geometry'!$F$48),S_1_fy),-S_1_fy))-(IF((O8+P8*'Geometry'!$G$48+Q8*'Geometry'!$F$48)&gt;0,IF((O8+P8*'Geometry'!$G$48+Q8*'Geometry'!$F$48)&lt;=C_eco,C_alpha*C_fck*(1-(1-(O8+P8*'Geometry'!$G$48+Q8*'Geometry'!$F$48)/C_eco)^C_n),C_alpha*C_fck),0)))*'Geometry'!$H$48+((MAX(MIN(S_1_Es*(O8+P8*'Geometry'!$G$49+Q8*'Geometry'!$F$49),S_1_fy),-S_1_fy))-(IF((O8+P8*'Geometry'!$G$49+Q8*'Geometry'!$F$49)&gt;0,IF((O8+P8*'Geometry'!$G$49+Q8*'Geometry'!$F$49)&lt;=C_eco,C_alpha*C_fck*(1-(1-(O8+P8*'Geometry'!$G$49+Q8*'Geometry'!$F$49)/C_eco)^C_n),C_alpha*C_fck),0)))*'Geometry'!$H$49+((MAX(MIN(S_1_Es*(O8+P8*'Geometry'!$G$50+Q8*'Geometry'!$F$50),S_1_fy),-S_1_fy))-(IF((O8+P8*'Geometry'!$G$50+Q8*'Geometry'!$F$50)&gt;0,IF((O8+P8*'Geometry'!$G$50+Q8*'Geometry'!$F$50)&lt;=C_eco,C_alpha*C_fck*(1-(1-(O8+P8*'Geometry'!$G$50+Q8*'Geometry'!$F$50)/C_eco)^C_n),C_alpha*C_fck),0)))*'Geometry'!$H$50+((MAX(MIN(S_1_Es*(O8+P8*'Geometry'!$G$51+Q8*'Geometry'!$F$51),S_1_fy),-S_1_fy))-(IF((O8+P8*'Geometry'!$G$51+Q8*'Geometry'!$F$51)&gt;0,IF((O8+P8*'Geometry'!$G$51+Q8*'Geometry'!$F$51)&lt;=C_eco,C_alpha*C_fck*(1-(1-(O8+P8*'Geometry'!$G$51+Q8*'Geometry'!$F$51)/C_eco)^C_n),C_alpha*C_fck),0)))*'Geometry'!$H$51+((MAX(MIN(S_1_Es*(O8+P8*'Geometry'!$G$52+Q8*'Geometry'!$F$52),S_1_fy),-S_1_fy))-(IF((O8+P8*'Geometry'!$G$52+Q8*'Geometry'!$F$52)&gt;0,IF((O8+P8*'Geometry'!$G$52+Q8*'Geometry'!$F$52)&lt;=C_eco,C_alpha*C_fck*(1-(1-(O8+P8*'Geometry'!$G$52+Q8*'Geometry'!$F$52)/C_eco)^C_n),C_alpha*C_fck),0)))*'Geometry'!$H$52+((MAX(MIN(S_1_Es*(O8+P8*'Geometry'!$G$53+Q8*'Geometry'!$F$53),S_1_fy),-S_1_fy))-(IF((O8+P8*'Geometry'!$G$53+Q8*'Geometry'!$F$53)&gt;0,IF((O8+P8*'Geometry'!$G$53+Q8*'Geometry'!$F$53)&lt;=C_eco,C_alpha*C_fck*(1-(1-(O8+P8*'Geometry'!$G$53+Q8*'Geometry'!$F$53)/C_eco)^C_n),C_alpha*C_fck),0)))*'Geometry'!$H$53+((MAX(MIN(S_1_Es*(O8+P8*'Geometry'!$G$54+Q8*'Geometry'!$F$54),S_1_fy),-S_1_fy))-(IF((O8+P8*'Geometry'!$G$54+Q8*'Geometry'!$F$54)&gt;0,IF((O8+P8*'Geometry'!$G$54+Q8*'Geometry'!$F$54)&lt;=C_eco,C_alpha*C_fck*(1-(1-(O8+P8*'Geometry'!$G$54+Q8*'Geometry'!$F$54)/C_eco)^C_n),C_alpha*C_fck),0)))*'Geometry'!$H$54+((MAX(MIN(S_1_Es*(O8+P8*'Geometry'!$G$55+Q8*'Geometry'!$F$55),S_1_fy),-S_1_fy))-(IF((O8+P8*'Geometry'!$G$55+Q8*'Geometry'!$F$55)&gt;0,IF((O8+P8*'Geometry'!$G$55+Q8*'Geometry'!$F$55)&lt;=C_eco,C_alpha*C_fck*(1-(1-(O8+P8*'Geometry'!$G$55+Q8*'Geometry'!$F$55)/C_eco)^C_n),C_alpha*C_fck),0)))*'Geometry'!$H$55+((MAX(MIN(S_1_Es*(O8+P8*'Geometry'!$G$56+Q8*'Geometry'!$F$56),S_1_fy),-S_1_fy))-(IF((O8+P8*'Geometry'!$G$56+Q8*'Geometry'!$F$56)&gt;0,IF((O8+P8*'Geometry'!$G$56+Q8*'Geometry'!$F$56)&lt;=C_eco,C_alpha*C_fck*(1-(1-(O8+P8*'Geometry'!$G$56+Q8*'Geometry'!$F$56)/C_eco)^C_n),C_alpha*C_fck),0)))*'Geometry'!$H$56+((MAX(MIN(S_1_Es*(O8+P8*'Geometry'!$G$57+Q8*'Geometry'!$F$57),S_1_fy),-S_1_fy))-(IF((O8+P8*'Geometry'!$G$57+Q8*'Geometry'!$F$57)&gt;0,IF((O8+P8*'Geometry'!$G$57+Q8*'Geometry'!$F$57)&lt;=C_eco,C_alpha*C_fck*(1-(1-(O8+P8*'Geometry'!$G$57+Q8*'Geometry'!$F$57)/C_eco)^C_n),C_alpha*C_fck),0)))*'Geometry'!$H$57)/1000</f>
        <v>-2790.9066348196684</v>
      </c>
      <c r="V8" s="10">
        <f>(((MAX(MIN(S_1_Es*(O8+P8*'Geometry'!$G$40+Q8*'Geometry'!$F$40),S_1_fy),-S_1_fy))-(IF((O8+P8*'Geometry'!$G$40+Q8*'Geometry'!$F$40)&gt;0,IF((O8+P8*'Geometry'!$G$40+Q8*'Geometry'!$F$40)&lt;=C_eco,C_alpha*C_fck*(1-(1-(O8+P8*'Geometry'!$G$40+Q8*'Geometry'!$F$40)/C_eco)^C_n),C_alpha*C_fck),0)))*'Geometry'!$H$40*'Geometry'!$G$40+((MAX(MIN(S_1_Es*(O8+P8*'Geometry'!$G$41+Q8*'Geometry'!$F$41),S_1_fy),-S_1_fy))-(IF((O8+P8*'Geometry'!$G$41+Q8*'Geometry'!$F$41)&gt;0,IF((O8+P8*'Geometry'!$G$41+Q8*'Geometry'!$F$41)&lt;=C_eco,C_alpha*C_fck*(1-(1-(O8+P8*'Geometry'!$G$41+Q8*'Geometry'!$F$41)/C_eco)^C_n),C_alpha*C_fck),0)))*'Geometry'!$H$41*'Geometry'!$G$41+((MAX(MIN(S_1_Es*(O8+P8*'Geometry'!$G$42+Q8*'Geometry'!$F$42),S_1_fy),-S_1_fy))-(IF((O8+P8*'Geometry'!$G$42+Q8*'Geometry'!$F$42)&gt;0,IF((O8+P8*'Geometry'!$G$42+Q8*'Geometry'!$F$42)&lt;=C_eco,C_alpha*C_fck*(1-(1-(O8+P8*'Geometry'!$G$42+Q8*'Geometry'!$F$42)/C_eco)^C_n),C_alpha*C_fck),0)))*'Geometry'!$H$42*'Geometry'!$G$42+((MAX(MIN(S_1_Es*(O8+P8*'Geometry'!$G$43+Q8*'Geometry'!$F$43),S_1_fy),-S_1_fy))-(IF((O8+P8*'Geometry'!$G$43+Q8*'Geometry'!$F$43)&gt;0,IF((O8+P8*'Geometry'!$G$43+Q8*'Geometry'!$F$43)&lt;=C_eco,C_alpha*C_fck*(1-(1-(O8+P8*'Geometry'!$G$43+Q8*'Geometry'!$F$43)/C_eco)^C_n),C_alpha*C_fck),0)))*'Geometry'!$H$43*'Geometry'!$G$43+((MAX(MIN(S_1_Es*(O8+P8*'Geometry'!$G$44+Q8*'Geometry'!$F$44),S_1_fy),-S_1_fy))-(IF((O8+P8*'Geometry'!$G$44+Q8*'Geometry'!$F$44)&gt;0,IF((O8+P8*'Geometry'!$G$44+Q8*'Geometry'!$F$44)&lt;=C_eco,C_alpha*C_fck*(1-(1-(O8+P8*'Geometry'!$G$44+Q8*'Geometry'!$F$44)/C_eco)^C_n),C_alpha*C_fck),0)))*'Geometry'!$H$44*'Geometry'!$G$44+((MAX(MIN(S_1_Es*(O8+P8*'Geometry'!$G$45+Q8*'Geometry'!$F$45),S_1_fy),-S_1_fy))-(IF((O8+P8*'Geometry'!$G$45+Q8*'Geometry'!$F$45)&gt;0,IF((O8+P8*'Geometry'!$G$45+Q8*'Geometry'!$F$45)&lt;=C_eco,C_alpha*C_fck*(1-(1-(O8+P8*'Geometry'!$G$45+Q8*'Geometry'!$F$45)/C_eco)^C_n),C_alpha*C_fck),0)))*'Geometry'!$H$45*'Geometry'!$G$45+((MAX(MIN(S_1_Es*(O8+P8*'Geometry'!$G$46+Q8*'Geometry'!$F$46),S_1_fy),-S_1_fy))-(IF((O8+P8*'Geometry'!$G$46+Q8*'Geometry'!$F$46)&gt;0,IF((O8+P8*'Geometry'!$G$46+Q8*'Geometry'!$F$46)&lt;=C_eco,C_alpha*C_fck*(1-(1-(O8+P8*'Geometry'!$G$46+Q8*'Geometry'!$F$46)/C_eco)^C_n),C_alpha*C_fck),0)))*'Geometry'!$H$46*'Geometry'!$G$46+((MAX(MIN(S_1_Es*(O8+P8*'Geometry'!$G$47+Q8*'Geometry'!$F$47),S_1_fy),-S_1_fy))-(IF((O8+P8*'Geometry'!$G$47+Q8*'Geometry'!$F$47)&gt;0,IF((O8+P8*'Geometry'!$G$47+Q8*'Geometry'!$F$47)&lt;=C_eco,C_alpha*C_fck*(1-(1-(O8+P8*'Geometry'!$G$47+Q8*'Geometry'!$F$47)/C_eco)^C_n),C_alpha*C_fck),0)))*'Geometry'!$H$47*'Geometry'!$G$47+((MAX(MIN(S_1_Es*(O8+P8*'Geometry'!$G$48+Q8*'Geometry'!$F$48),S_1_fy),-S_1_fy))-(IF((O8+P8*'Geometry'!$G$48+Q8*'Geometry'!$F$48)&gt;0,IF((O8+P8*'Geometry'!$G$48+Q8*'Geometry'!$F$48)&lt;=C_eco,C_alpha*C_fck*(1-(1-(O8+P8*'Geometry'!$G$48+Q8*'Geometry'!$F$48)/C_eco)^C_n),C_alpha*C_fck),0)))*'Geometry'!$H$48*'Geometry'!$G$48+((MAX(MIN(S_1_Es*(O8+P8*'Geometry'!$G$49+Q8*'Geometry'!$F$49),S_1_fy),-S_1_fy))-(IF((O8+P8*'Geometry'!$G$49+Q8*'Geometry'!$F$49)&gt;0,IF((O8+P8*'Geometry'!$G$49+Q8*'Geometry'!$F$49)&lt;=C_eco,C_alpha*C_fck*(1-(1-(O8+P8*'Geometry'!$G$49+Q8*'Geometry'!$F$49)/C_eco)^C_n),C_alpha*C_fck),0)))*'Geometry'!$H$49*'Geometry'!$G$49+((MAX(MIN(S_1_Es*(O8+P8*'Geometry'!$G$50+Q8*'Geometry'!$F$50),S_1_fy),-S_1_fy))-(IF((O8+P8*'Geometry'!$G$50+Q8*'Geometry'!$F$50)&gt;0,IF((O8+P8*'Geometry'!$G$50+Q8*'Geometry'!$F$50)&lt;=C_eco,C_alpha*C_fck*(1-(1-(O8+P8*'Geometry'!$G$50+Q8*'Geometry'!$F$50)/C_eco)^C_n),C_alpha*C_fck),0)))*'Geometry'!$H$50*'Geometry'!$G$50+((MAX(MIN(S_1_Es*(O8+P8*'Geometry'!$G$51+Q8*'Geometry'!$F$51),S_1_fy),-S_1_fy))-(IF((O8+P8*'Geometry'!$G$51+Q8*'Geometry'!$F$51)&gt;0,IF((O8+P8*'Geometry'!$G$51+Q8*'Geometry'!$F$51)&lt;=C_eco,C_alpha*C_fck*(1-(1-(O8+P8*'Geometry'!$G$51+Q8*'Geometry'!$F$51)/C_eco)^C_n),C_alpha*C_fck),0)))*'Geometry'!$H$51*'Geometry'!$G$51+((MAX(MIN(S_1_Es*(O8+P8*'Geometry'!$G$52+Q8*'Geometry'!$F$52),S_1_fy),-S_1_fy))-(IF((O8+P8*'Geometry'!$G$52+Q8*'Geometry'!$F$52)&gt;0,IF((O8+P8*'Geometry'!$G$52+Q8*'Geometry'!$F$52)&lt;=C_eco,C_alpha*C_fck*(1-(1-(O8+P8*'Geometry'!$G$52+Q8*'Geometry'!$F$52)/C_eco)^C_n),C_alpha*C_fck),0)))*'Geometry'!$H$52*'Geometry'!$G$52+((MAX(MIN(S_1_Es*(O8+P8*'Geometry'!$G$53+Q8*'Geometry'!$F$53),S_1_fy),-S_1_fy))-(IF((O8+P8*'Geometry'!$G$53+Q8*'Geometry'!$F$53)&gt;0,IF((O8+P8*'Geometry'!$G$53+Q8*'Geometry'!$F$53)&lt;=C_eco,C_alpha*C_fck*(1-(1-(O8+P8*'Geometry'!$G$53+Q8*'Geometry'!$F$53)/C_eco)^C_n),C_alpha*C_fck),0)))*'Geometry'!$H$53*'Geometry'!$G$53+((MAX(MIN(S_1_Es*(O8+P8*'Geometry'!$G$54+Q8*'Geometry'!$F$54),S_1_fy),-S_1_fy))-(IF((O8+P8*'Geometry'!$G$54+Q8*'Geometry'!$F$54)&gt;0,IF((O8+P8*'Geometry'!$G$54+Q8*'Geometry'!$F$54)&lt;=C_eco,C_alpha*C_fck*(1-(1-(O8+P8*'Geometry'!$G$54+Q8*'Geometry'!$F$54)/C_eco)^C_n),C_alpha*C_fck),0)))*'Geometry'!$H$54*'Geometry'!$G$54+((MAX(MIN(S_1_Es*(O8+P8*'Geometry'!$G$55+Q8*'Geometry'!$F$55),S_1_fy),-S_1_fy))-(IF((O8+P8*'Geometry'!$G$55+Q8*'Geometry'!$F$55)&gt;0,IF((O8+P8*'Geometry'!$G$55+Q8*'Geometry'!$F$55)&lt;=C_eco,C_alpha*C_fck*(1-(1-(O8+P8*'Geometry'!$G$55+Q8*'Geometry'!$F$55)/C_eco)^C_n),C_alpha*C_fck),0)))*'Geometry'!$H$55*'Geometry'!$G$55+((MAX(MIN(S_1_Es*(O8+P8*'Geometry'!$G$56+Q8*'Geometry'!$F$56),S_1_fy),-S_1_fy))-(IF((O8+P8*'Geometry'!$G$56+Q8*'Geometry'!$F$56)&gt;0,IF((O8+P8*'Geometry'!$G$56+Q8*'Geometry'!$F$56)&lt;=C_eco,C_alpha*C_fck*(1-(1-(O8+P8*'Geometry'!$G$56+Q8*'Geometry'!$F$56)/C_eco)^C_n),C_alpha*C_fck),0)))*'Geometry'!$H$56*'Geometry'!$G$56+((MAX(MIN(S_1_Es*(O8+P8*'Geometry'!$G$57+Q8*'Geometry'!$F$57),S_1_fy),-S_1_fy))-(IF((O8+P8*'Geometry'!$G$57+Q8*'Geometry'!$F$57)&gt;0,IF((O8+P8*'Geometry'!$G$57+Q8*'Geometry'!$F$57)&lt;=C_eco,C_alpha*C_fck*(1-(1-(O8+P8*'Geometry'!$G$57+Q8*'Geometry'!$F$57)/C_eco)^C_n),C_alpha*C_fck),0)))*'Geometry'!$H$57*'Geometry'!$G$57)/1000000</f>
        <v>1589.8287804668305</v>
      </c>
      <c r="W8" s="10">
        <f>(((MAX(MIN(S_1_Es*(O8+P8*'Geometry'!$G$40+Q8*'Geometry'!$F$40),S_1_fy),-S_1_fy))-(IF((O8+P8*'Geometry'!$G$40+Q8*'Geometry'!$F$40)&gt;0,IF((O8+P8*'Geometry'!$G$40+Q8*'Geometry'!$F$40)&lt;=C_eco,C_alpha*C_fck*(1-(1-(O8+P8*'Geometry'!$G$40+Q8*'Geometry'!$F$40)/C_eco)^C_n),C_alpha*C_fck),0)))*'Geometry'!$H$40*'Geometry'!$F$40+((MAX(MIN(S_1_Es*(O8+P8*'Geometry'!$G$41+Q8*'Geometry'!$F$41),S_1_fy),-S_1_fy))-(IF((O8+P8*'Geometry'!$G$41+Q8*'Geometry'!$F$41)&gt;0,IF((O8+P8*'Geometry'!$G$41+Q8*'Geometry'!$F$41)&lt;=C_eco,C_alpha*C_fck*(1-(1-(O8+P8*'Geometry'!$G$41+Q8*'Geometry'!$F$41)/C_eco)^C_n),C_alpha*C_fck),0)))*'Geometry'!$H$41*'Geometry'!$F$41+((MAX(MIN(S_1_Es*(O8+P8*'Geometry'!$G$42+Q8*'Geometry'!$F$42),S_1_fy),-S_1_fy))-(IF((O8+P8*'Geometry'!$G$42+Q8*'Geometry'!$F$42)&gt;0,IF((O8+P8*'Geometry'!$G$42+Q8*'Geometry'!$F$42)&lt;=C_eco,C_alpha*C_fck*(1-(1-(O8+P8*'Geometry'!$G$42+Q8*'Geometry'!$F$42)/C_eco)^C_n),C_alpha*C_fck),0)))*'Geometry'!$H$42*'Geometry'!$F$42+((MAX(MIN(S_1_Es*(O8+P8*'Geometry'!$G$43+Q8*'Geometry'!$F$43),S_1_fy),-S_1_fy))-(IF((O8+P8*'Geometry'!$G$43+Q8*'Geometry'!$F$43)&gt;0,IF((O8+P8*'Geometry'!$G$43+Q8*'Geometry'!$F$43)&lt;=C_eco,C_alpha*C_fck*(1-(1-(O8+P8*'Geometry'!$G$43+Q8*'Geometry'!$F$43)/C_eco)^C_n),C_alpha*C_fck),0)))*'Geometry'!$H$43*'Geometry'!$F$43+((MAX(MIN(S_1_Es*(O8+P8*'Geometry'!$G$44+Q8*'Geometry'!$F$44),S_1_fy),-S_1_fy))-(IF((O8+P8*'Geometry'!$G$44+Q8*'Geometry'!$F$44)&gt;0,IF((O8+P8*'Geometry'!$G$44+Q8*'Geometry'!$F$44)&lt;=C_eco,C_alpha*C_fck*(1-(1-(O8+P8*'Geometry'!$G$44+Q8*'Geometry'!$F$44)/C_eco)^C_n),C_alpha*C_fck),0)))*'Geometry'!$H$44*'Geometry'!$F$44+((MAX(MIN(S_1_Es*(O8+P8*'Geometry'!$G$45+Q8*'Geometry'!$F$45),S_1_fy),-S_1_fy))-(IF((O8+P8*'Geometry'!$G$45+Q8*'Geometry'!$F$45)&gt;0,IF((O8+P8*'Geometry'!$G$45+Q8*'Geometry'!$F$45)&lt;=C_eco,C_alpha*C_fck*(1-(1-(O8+P8*'Geometry'!$G$45+Q8*'Geometry'!$F$45)/C_eco)^C_n),C_alpha*C_fck),0)))*'Geometry'!$H$45*'Geometry'!$F$45+((MAX(MIN(S_1_Es*(O8+P8*'Geometry'!$G$46+Q8*'Geometry'!$F$46),S_1_fy),-S_1_fy))-(IF((O8+P8*'Geometry'!$G$46+Q8*'Geometry'!$F$46)&gt;0,IF((O8+P8*'Geometry'!$G$46+Q8*'Geometry'!$F$46)&lt;=C_eco,C_alpha*C_fck*(1-(1-(O8+P8*'Geometry'!$G$46+Q8*'Geometry'!$F$46)/C_eco)^C_n),C_alpha*C_fck),0)))*'Geometry'!$H$46*'Geometry'!$F$46+((MAX(MIN(S_1_Es*(O8+P8*'Geometry'!$G$47+Q8*'Geometry'!$F$47),S_1_fy),-S_1_fy))-(IF((O8+P8*'Geometry'!$G$47+Q8*'Geometry'!$F$47)&gt;0,IF((O8+P8*'Geometry'!$G$47+Q8*'Geometry'!$F$47)&lt;=C_eco,C_alpha*C_fck*(1-(1-(O8+P8*'Geometry'!$G$47+Q8*'Geometry'!$F$47)/C_eco)^C_n),C_alpha*C_fck),0)))*'Geometry'!$H$47*'Geometry'!$F$47+((MAX(MIN(S_1_Es*(O8+P8*'Geometry'!$G$48+Q8*'Geometry'!$F$48),S_1_fy),-S_1_fy))-(IF((O8+P8*'Geometry'!$G$48+Q8*'Geometry'!$F$48)&gt;0,IF((O8+P8*'Geometry'!$G$48+Q8*'Geometry'!$F$48)&lt;=C_eco,C_alpha*C_fck*(1-(1-(O8+P8*'Geometry'!$G$48+Q8*'Geometry'!$F$48)/C_eco)^C_n),C_alpha*C_fck),0)))*'Geometry'!$H$48*'Geometry'!$F$48+((MAX(MIN(S_1_Es*(O8+P8*'Geometry'!$G$49+Q8*'Geometry'!$F$49),S_1_fy),-S_1_fy))-(IF((O8+P8*'Geometry'!$G$49+Q8*'Geometry'!$F$49)&gt;0,IF((O8+P8*'Geometry'!$G$49+Q8*'Geometry'!$F$49)&lt;=C_eco,C_alpha*C_fck*(1-(1-(O8+P8*'Geometry'!$G$49+Q8*'Geometry'!$F$49)/C_eco)^C_n),C_alpha*C_fck),0)))*'Geometry'!$H$49*'Geometry'!$F$49+((MAX(MIN(S_1_Es*(O8+P8*'Geometry'!$G$50+Q8*'Geometry'!$F$50),S_1_fy),-S_1_fy))-(IF((O8+P8*'Geometry'!$G$50+Q8*'Geometry'!$F$50)&gt;0,IF((O8+P8*'Geometry'!$G$50+Q8*'Geometry'!$F$50)&lt;=C_eco,C_alpha*C_fck*(1-(1-(O8+P8*'Geometry'!$G$50+Q8*'Geometry'!$F$50)/C_eco)^C_n),C_alpha*C_fck),0)))*'Geometry'!$H$50*'Geometry'!$F$50+((MAX(MIN(S_1_Es*(O8+P8*'Geometry'!$G$51+Q8*'Geometry'!$F$51),S_1_fy),-S_1_fy))-(IF((O8+P8*'Geometry'!$G$51+Q8*'Geometry'!$F$51)&gt;0,IF((O8+P8*'Geometry'!$G$51+Q8*'Geometry'!$F$51)&lt;=C_eco,C_alpha*C_fck*(1-(1-(O8+P8*'Geometry'!$G$51+Q8*'Geometry'!$F$51)/C_eco)^C_n),C_alpha*C_fck),0)))*'Geometry'!$H$51*'Geometry'!$F$51+((MAX(MIN(S_1_Es*(O8+P8*'Geometry'!$G$52+Q8*'Geometry'!$F$52),S_1_fy),-S_1_fy))-(IF((O8+P8*'Geometry'!$G$52+Q8*'Geometry'!$F$52)&gt;0,IF((O8+P8*'Geometry'!$G$52+Q8*'Geometry'!$F$52)&lt;=C_eco,C_alpha*C_fck*(1-(1-(O8+P8*'Geometry'!$G$52+Q8*'Geometry'!$F$52)/C_eco)^C_n),C_alpha*C_fck),0)))*'Geometry'!$H$52*'Geometry'!$F$52+((MAX(MIN(S_1_Es*(O8+P8*'Geometry'!$G$53+Q8*'Geometry'!$F$53),S_1_fy),-S_1_fy))-(IF((O8+P8*'Geometry'!$G$53+Q8*'Geometry'!$F$53)&gt;0,IF((O8+P8*'Geometry'!$G$53+Q8*'Geometry'!$F$53)&lt;=C_eco,C_alpha*C_fck*(1-(1-(O8+P8*'Geometry'!$G$53+Q8*'Geometry'!$F$53)/C_eco)^C_n),C_alpha*C_fck),0)))*'Geometry'!$H$53*'Geometry'!$F$53+((MAX(MIN(S_1_Es*(O8+P8*'Geometry'!$G$54+Q8*'Geometry'!$F$54),S_1_fy),-S_1_fy))-(IF((O8+P8*'Geometry'!$G$54+Q8*'Geometry'!$F$54)&gt;0,IF((O8+P8*'Geometry'!$G$54+Q8*'Geometry'!$F$54)&lt;=C_eco,C_alpha*C_fck*(1-(1-(O8+P8*'Geometry'!$G$54+Q8*'Geometry'!$F$54)/C_eco)^C_n),C_alpha*C_fck),0)))*'Geometry'!$H$54*'Geometry'!$F$54+((MAX(MIN(S_1_Es*(O8+P8*'Geometry'!$G$55+Q8*'Geometry'!$F$55),S_1_fy),-S_1_fy))-(IF((O8+P8*'Geometry'!$G$55+Q8*'Geometry'!$F$55)&gt;0,IF((O8+P8*'Geometry'!$G$55+Q8*'Geometry'!$F$55)&lt;=C_eco,C_alpha*C_fck*(1-(1-(O8+P8*'Geometry'!$G$55+Q8*'Geometry'!$F$55)/C_eco)^C_n),C_alpha*C_fck),0)))*'Geometry'!$H$55*'Geometry'!$F$55+((MAX(MIN(S_1_Es*(O8+P8*'Geometry'!$G$56+Q8*'Geometry'!$F$56),S_1_fy),-S_1_fy))-(IF((O8+P8*'Geometry'!$G$56+Q8*'Geometry'!$F$56)&gt;0,IF((O8+P8*'Geometry'!$G$56+Q8*'Geometry'!$F$56)&lt;=C_eco,C_alpha*C_fck*(1-(1-(O8+P8*'Geometry'!$G$56+Q8*'Geometry'!$F$56)/C_eco)^C_n),C_alpha*C_fck),0)))*'Geometry'!$H$56*'Geometry'!$F$56+((MAX(MIN(S_1_Es*(O8+P8*'Geometry'!$G$57+Q8*'Geometry'!$F$57),S_1_fy),-S_1_fy))-(IF((O8+P8*'Geometry'!$G$57+Q8*'Geometry'!$F$57)&gt;0,IF((O8+P8*'Geometry'!$G$57+Q8*'Geometry'!$F$57)&lt;=C_eco,C_alpha*C_fck*(1-(1-(O8+P8*'Geometry'!$G$57+Q8*'Geometry'!$F$57)/C_eco)^C_n),C_alpha*C_fck),0)))*'Geometry'!$H$57*'Geometry'!$F$57)/1000000</f>
        <v>5.867332220077515e-14</v>
      </c>
      <c r="X8" s="10">
        <f>R8+U8</f>
        <v>1177.558363843135</v>
      </c>
      <c r="Y8" s="10">
        <f>S8+V8</f>
        <v>3697.467966772186</v>
      </c>
      <c r="Z8" s="10">
        <f>T8+W8</f>
        <v>0.1335277550211316</v>
      </c>
      <c r="AA8" s="7">
        <v>0.85</v>
      </c>
      <c r="AB8" s="7">
        <v>0.85</v>
      </c>
      <c r="AC8" s="10">
        <f>X8*AA8</f>
        <v>1000.9246092666648</v>
      </c>
      <c r="AD8" s="10">
        <f>Y8*AB8</f>
        <v>3142.8477717563583</v>
      </c>
      <c r="AE8" s="10">
        <f>Z8*AB8</f>
        <v>0.11349859176796186</v>
      </c>
      <c r="AF8" s="7">
        <v>1000.9246092666648</v>
      </c>
      <c r="AG8" s="7">
        <v>3142.8477717563583</v>
      </c>
      <c r="AH8" s="7">
        <v>0.11349859176796186</v>
      </c>
      <c r="AI8" s="15">
        <f>AC8-AF8</f>
        <v>0</v>
      </c>
      <c r="AJ8" s="15">
        <f>SQRT((AD8-AG8)^2+(AE8-AH8)^2)</f>
        <v>0</v>
      </c>
      <c r="AK8" s="7" t="s">
        <v>189</v>
      </c>
      <c r="AL8" s="7">
        <v>1177.558363843135</v>
      </c>
      <c r="AM8" s="7">
        <v>3697.467966772186</v>
      </c>
      <c r="AN8" s="7">
        <v>0.1335277550211316</v>
      </c>
      <c r="AO8" s="7">
        <v>3968.4649986628033</v>
      </c>
      <c r="AP8" s="7">
        <v>2107.639186305356</v>
      </c>
      <c r="AQ8" s="7">
        <v>0.13352775502107292</v>
      </c>
      <c r="AR8" s="7">
        <v>-2790.9066348196684</v>
      </c>
      <c r="AS8" s="7">
        <v>1589.8287804668305</v>
      </c>
      <c r="AT8" s="7">
        <v>5.867332220077515e-14</v>
      </c>
    </row>
    <row r="9" spans="1:46" x14ac:dyDescent="0.25">
      <c r="A9" s="7" t="s">
        <v>190</v>
      </c>
      <c r="B9" s="7">
        <v>1</v>
      </c>
      <c r="C9" s="18">
        <v>10</v>
      </c>
      <c r="D9" s="7" t="s">
        <v>266</v>
      </c>
      <c r="E9" s="7" t="s">
        <v>267</v>
      </c>
      <c r="F9" s="19">
        <v>10</v>
      </c>
      <c r="G9" s="7" t="s">
        <v>188</v>
      </c>
      <c r="H9" s="20">
        <v>4.999999999999999</v>
      </c>
      <c r="I9" s="10">
        <f>MAX(('Geometry'!$G$13*COS(RADIANS(F9))+'Geometry'!$F$13*SIN(RADIANS(F9))),('Geometry'!$G$14*COS(RADIANS(F9))+'Geometry'!$F$14*SIN(RADIANS(F9))),('Geometry'!$G$15*COS(RADIANS(F9))+'Geometry'!$F$15*SIN(RADIANS(F9))),('Geometry'!$G$16*COS(RADIANS(F9))+'Geometry'!$F$16*SIN(RADIANS(F9))),('Geometry'!$G$17*COS(RADIANS(F9))+'Geometry'!$F$17*SIN(RADIANS(F9))),('Geometry'!$G$18*COS(RADIANS(F9))+'Geometry'!$F$18*SIN(RADIANS(F9))),('Geometry'!$G$19*COS(RADIANS(F9))+'Geometry'!$F$19*SIN(RADIANS(F9))),('Geometry'!$G$20*COS(RADIANS(F9))+'Geometry'!$F$20*SIN(RADIANS(F9))))</f>
        <v>686.3911495241364</v>
      </c>
      <c r="J9" s="10">
        <f>MIN(('Geometry'!$G$40*COS(RADIANS(F9))+'Geometry'!$F$40*SIN(RADIANS(F9))),('Geometry'!$G$41*COS(RADIANS(F9))+'Geometry'!$F$41*SIN(RADIANS(F9))),('Geometry'!$G$42*COS(RADIANS(F9))+'Geometry'!$F$42*SIN(RADIANS(F9))),('Geometry'!$G$43*COS(RADIANS(F9))+'Geometry'!$F$43*SIN(RADIANS(F9))),('Geometry'!$G$44*COS(RADIANS(F9))+'Geometry'!$F$44*SIN(RADIANS(F9))),('Geometry'!$G$45*COS(RADIANS(F9))+'Geometry'!$F$45*SIN(RADIANS(F9))),('Geometry'!$G$46*COS(RADIANS(F9))+'Geometry'!$F$46*SIN(RADIANS(F9))),('Geometry'!$G$47*COS(RADIANS(F9))+'Geometry'!$F$47*SIN(RADIANS(F9))),('Geometry'!$G$48*COS(RADIANS(F9))+'Geometry'!$F$48*SIN(RADIANS(F9))),('Geometry'!$G$49*COS(RADIANS(F9))+'Geometry'!$F$49*SIN(RADIANS(F9))),('Geometry'!$G$50*COS(RADIANS(F9))+'Geometry'!$F$50*SIN(RADIANS(F9))),('Geometry'!$G$51*COS(RADIANS(F9))+'Geometry'!$F$51*SIN(RADIANS(F9))),('Geometry'!$G$52*COS(RADIANS(F9))+'Geometry'!$F$52*SIN(RADIANS(F9))),('Geometry'!$G$53*COS(RADIANS(F9))+'Geometry'!$F$53*SIN(RADIANS(F9))),('Geometry'!$G$54*COS(RADIANS(F9))+'Geometry'!$F$54*SIN(RADIANS(F9))),('Geometry'!$G$55*COS(RADIANS(F9))+'Geometry'!$F$55*SIN(RADIANS(F9))),('Geometry'!$G$56*COS(RADIANS(F9))+'Geometry'!$F$56*SIN(RADIANS(F9))),('Geometry'!$G$57*COS(RADIANS(F9))+'Geometry'!$F$57*SIN(RADIANS(F9))))</f>
        <v>-591.4073801632424</v>
      </c>
      <c r="K9" s="10">
        <f>I9-MIN(('Geometry'!$G$13*COS(RADIANS(F9))+'Geometry'!$F$13*SIN(RADIANS(F9))),('Geometry'!$G$14*COS(RADIANS(F9))+'Geometry'!$F$14*SIN(RADIANS(F9))),('Geometry'!$G$15*COS(RADIANS(F9))+'Geometry'!$F$15*SIN(RADIANS(F9))),('Geometry'!$G$16*COS(RADIANS(F9))+'Geometry'!$F$16*SIN(RADIANS(F9))),('Geometry'!$G$17*COS(RADIANS(F9))+'Geometry'!$F$17*SIN(RADIANS(F9))),('Geometry'!$G$18*COS(RADIANS(F9))+'Geometry'!$F$18*SIN(RADIANS(F9))),('Geometry'!$G$19*COS(RADIANS(F9))+'Geometry'!$F$19*SIN(RADIANS(F9))),('Geometry'!$G$20*COS(RADIANS(F9))+'Geometry'!$F$20*SIN(RADIANS(F9))))</f>
        <v>1372.7822990482728</v>
      </c>
      <c r="L9" s="15">
        <f>C_ecu</f>
        <v>0.0032999999999999982</v>
      </c>
      <c r="M9" s="15">
        <f>-H9*S_1_fy/S_1_Es</f>
        <v>-0.009999999999999998</v>
      </c>
      <c r="N9" s="21">
        <f>IF(ABS(I9-J9)&lt;0.000000000001,0,(L9-M9)/(I9-J9))</f>
        <v>0.000010408526611197404</v>
      </c>
      <c r="O9" s="15">
        <f>L9-N9*I9</f>
        <v>-0.0038443205455123515</v>
      </c>
      <c r="P9" s="21">
        <f>N9*COS(RADIANS(F9))</f>
        <v>0.000010250397704141089</v>
      </c>
      <c r="Q9" s="21">
        <f>N9*SIN(RADIANS(F9))</f>
        <v>0.0000018074216782321795</v>
      </c>
      <c r="R9" s="10">
        <f>SUMPRODUCT(C_alpha*C_fck*(1-(1-(((O9+P9*Mesh_Y+Q9*Mesh_X))*((O9+P9*Mesh_Y+Q9*Mesh_X)&gt;0)*((O9+P9*Mesh_Y+Q9*Mesh_X)&lt;C_eco)+C_eco*((O9+P9*Mesh_Y+Q9*Mesh_X)&gt;=C_eco))/C_eco)^C_n)*(((O9+P9*Mesh_Y+Q9*Mesh_X))&gt;0),Mesh_A)/1000</f>
        <v>5222.789801544822</v>
      </c>
      <c r="S9" s="10">
        <f>SUMPRODUCT(C_alpha*C_fck*(1-(1-(((O9+P9*Mesh_Y+Q9*Mesh_X))*((O9+P9*Mesh_Y+Q9*Mesh_X)&gt;0)*((O9+P9*Mesh_Y+Q9*Mesh_X)&lt;C_eco)+C_eco*((O9+P9*Mesh_Y+Q9*Mesh_X)&gt;=C_eco))/C_eco)^C_n)*(((O9+P9*Mesh_Y+Q9*Mesh_X))&gt;0),Mesh_A,Mesh_Y)/1000000</f>
        <v>2586.78088179627</v>
      </c>
      <c r="T9" s="10">
        <f>SUMPRODUCT(C_alpha*C_fck*(1-(1-(((O9+P9*Mesh_Y+Q9*Mesh_X))*((O9+P9*Mesh_Y+Q9*Mesh_X)&gt;0)*((O9+P9*Mesh_Y+Q9*Mesh_X)&lt;C_eco)+C_eco*((O9+P9*Mesh_Y+Q9*Mesh_X)&gt;=C_eco))/C_eco)^C_n)*(((O9+P9*Mesh_Y+Q9*Mesh_X))&gt;0),Mesh_A,Mesh_X)/1000000</f>
        <v>934.1628878958867</v>
      </c>
      <c r="U9" s="10">
        <f>(((MAX(MIN(S_1_Es*(O9+P9*'Geometry'!$G$40+Q9*'Geometry'!$F$40),S_1_fy),-S_1_fy))-(IF((O9+P9*'Geometry'!$G$40+Q9*'Geometry'!$F$40)&gt;0,IF((O9+P9*'Geometry'!$G$40+Q9*'Geometry'!$F$40)&lt;=C_eco,C_alpha*C_fck*(1-(1-(O9+P9*'Geometry'!$G$40+Q9*'Geometry'!$F$40)/C_eco)^C_n),C_alpha*C_fck),0)))*'Geometry'!$H$40+((MAX(MIN(S_1_Es*(O9+P9*'Geometry'!$G$41+Q9*'Geometry'!$F$41),S_1_fy),-S_1_fy))-(IF((O9+P9*'Geometry'!$G$41+Q9*'Geometry'!$F$41)&gt;0,IF((O9+P9*'Geometry'!$G$41+Q9*'Geometry'!$F$41)&lt;=C_eco,C_alpha*C_fck*(1-(1-(O9+P9*'Geometry'!$G$41+Q9*'Geometry'!$F$41)/C_eco)^C_n),C_alpha*C_fck),0)))*'Geometry'!$H$41+((MAX(MIN(S_1_Es*(O9+P9*'Geometry'!$G$42+Q9*'Geometry'!$F$42),S_1_fy),-S_1_fy))-(IF((O9+P9*'Geometry'!$G$42+Q9*'Geometry'!$F$42)&gt;0,IF((O9+P9*'Geometry'!$G$42+Q9*'Geometry'!$F$42)&lt;=C_eco,C_alpha*C_fck*(1-(1-(O9+P9*'Geometry'!$G$42+Q9*'Geometry'!$F$42)/C_eco)^C_n),C_alpha*C_fck),0)))*'Geometry'!$H$42+((MAX(MIN(S_1_Es*(O9+P9*'Geometry'!$G$43+Q9*'Geometry'!$F$43),S_1_fy),-S_1_fy))-(IF((O9+P9*'Geometry'!$G$43+Q9*'Geometry'!$F$43)&gt;0,IF((O9+P9*'Geometry'!$G$43+Q9*'Geometry'!$F$43)&lt;=C_eco,C_alpha*C_fck*(1-(1-(O9+P9*'Geometry'!$G$43+Q9*'Geometry'!$F$43)/C_eco)^C_n),C_alpha*C_fck),0)))*'Geometry'!$H$43+((MAX(MIN(S_1_Es*(O9+P9*'Geometry'!$G$44+Q9*'Geometry'!$F$44),S_1_fy),-S_1_fy))-(IF((O9+P9*'Geometry'!$G$44+Q9*'Geometry'!$F$44)&gt;0,IF((O9+P9*'Geometry'!$G$44+Q9*'Geometry'!$F$44)&lt;=C_eco,C_alpha*C_fck*(1-(1-(O9+P9*'Geometry'!$G$44+Q9*'Geometry'!$F$44)/C_eco)^C_n),C_alpha*C_fck),0)))*'Geometry'!$H$44+((MAX(MIN(S_1_Es*(O9+P9*'Geometry'!$G$45+Q9*'Geometry'!$F$45),S_1_fy),-S_1_fy))-(IF((O9+P9*'Geometry'!$G$45+Q9*'Geometry'!$F$45)&gt;0,IF((O9+P9*'Geometry'!$G$45+Q9*'Geometry'!$F$45)&lt;=C_eco,C_alpha*C_fck*(1-(1-(O9+P9*'Geometry'!$G$45+Q9*'Geometry'!$F$45)/C_eco)^C_n),C_alpha*C_fck),0)))*'Geometry'!$H$45+((MAX(MIN(S_1_Es*(O9+P9*'Geometry'!$G$46+Q9*'Geometry'!$F$46),S_1_fy),-S_1_fy))-(IF((O9+P9*'Geometry'!$G$46+Q9*'Geometry'!$F$46)&gt;0,IF((O9+P9*'Geometry'!$G$46+Q9*'Geometry'!$F$46)&lt;=C_eco,C_alpha*C_fck*(1-(1-(O9+P9*'Geometry'!$G$46+Q9*'Geometry'!$F$46)/C_eco)^C_n),C_alpha*C_fck),0)))*'Geometry'!$H$46+((MAX(MIN(S_1_Es*(O9+P9*'Geometry'!$G$47+Q9*'Geometry'!$F$47),S_1_fy),-S_1_fy))-(IF((O9+P9*'Geometry'!$G$47+Q9*'Geometry'!$F$47)&gt;0,IF((O9+P9*'Geometry'!$G$47+Q9*'Geometry'!$F$47)&lt;=C_eco,C_alpha*C_fck*(1-(1-(O9+P9*'Geometry'!$G$47+Q9*'Geometry'!$F$47)/C_eco)^C_n),C_alpha*C_fck),0)))*'Geometry'!$H$47+((MAX(MIN(S_1_Es*(O9+P9*'Geometry'!$G$48+Q9*'Geometry'!$F$48),S_1_fy),-S_1_fy))-(IF((O9+P9*'Geometry'!$G$48+Q9*'Geometry'!$F$48)&gt;0,IF((O9+P9*'Geometry'!$G$48+Q9*'Geometry'!$F$48)&lt;=C_eco,C_alpha*C_fck*(1-(1-(O9+P9*'Geometry'!$G$48+Q9*'Geometry'!$F$48)/C_eco)^C_n),C_alpha*C_fck),0)))*'Geometry'!$H$48+((MAX(MIN(S_1_Es*(O9+P9*'Geometry'!$G$49+Q9*'Geometry'!$F$49),S_1_fy),-S_1_fy))-(IF((O9+P9*'Geometry'!$G$49+Q9*'Geometry'!$F$49)&gt;0,IF((O9+P9*'Geometry'!$G$49+Q9*'Geometry'!$F$49)&lt;=C_eco,C_alpha*C_fck*(1-(1-(O9+P9*'Geometry'!$G$49+Q9*'Geometry'!$F$49)/C_eco)^C_n),C_alpha*C_fck),0)))*'Geometry'!$H$49+((MAX(MIN(S_1_Es*(O9+P9*'Geometry'!$G$50+Q9*'Geometry'!$F$50),S_1_fy),-S_1_fy))-(IF((O9+P9*'Geometry'!$G$50+Q9*'Geometry'!$F$50)&gt;0,IF((O9+P9*'Geometry'!$G$50+Q9*'Geometry'!$F$50)&lt;=C_eco,C_alpha*C_fck*(1-(1-(O9+P9*'Geometry'!$G$50+Q9*'Geometry'!$F$50)/C_eco)^C_n),C_alpha*C_fck),0)))*'Geometry'!$H$50+((MAX(MIN(S_1_Es*(O9+P9*'Geometry'!$G$51+Q9*'Geometry'!$F$51),S_1_fy),-S_1_fy))-(IF((O9+P9*'Geometry'!$G$51+Q9*'Geometry'!$F$51)&gt;0,IF((O9+P9*'Geometry'!$G$51+Q9*'Geometry'!$F$51)&lt;=C_eco,C_alpha*C_fck*(1-(1-(O9+P9*'Geometry'!$G$51+Q9*'Geometry'!$F$51)/C_eco)^C_n),C_alpha*C_fck),0)))*'Geometry'!$H$51+((MAX(MIN(S_1_Es*(O9+P9*'Geometry'!$G$52+Q9*'Geometry'!$F$52),S_1_fy),-S_1_fy))-(IF((O9+P9*'Geometry'!$G$52+Q9*'Geometry'!$F$52)&gt;0,IF((O9+P9*'Geometry'!$G$52+Q9*'Geometry'!$F$52)&lt;=C_eco,C_alpha*C_fck*(1-(1-(O9+P9*'Geometry'!$G$52+Q9*'Geometry'!$F$52)/C_eco)^C_n),C_alpha*C_fck),0)))*'Geometry'!$H$52+((MAX(MIN(S_1_Es*(O9+P9*'Geometry'!$G$53+Q9*'Geometry'!$F$53),S_1_fy),-S_1_fy))-(IF((O9+P9*'Geometry'!$G$53+Q9*'Geometry'!$F$53)&gt;0,IF((O9+P9*'Geometry'!$G$53+Q9*'Geometry'!$F$53)&lt;=C_eco,C_alpha*C_fck*(1-(1-(O9+P9*'Geometry'!$G$53+Q9*'Geometry'!$F$53)/C_eco)^C_n),C_alpha*C_fck),0)))*'Geometry'!$H$53+((MAX(MIN(S_1_Es*(O9+P9*'Geometry'!$G$54+Q9*'Geometry'!$F$54),S_1_fy),-S_1_fy))-(IF((O9+P9*'Geometry'!$G$54+Q9*'Geometry'!$F$54)&gt;0,IF((O9+P9*'Geometry'!$G$54+Q9*'Geometry'!$F$54)&lt;=C_eco,C_alpha*C_fck*(1-(1-(O9+P9*'Geometry'!$G$54+Q9*'Geometry'!$F$54)/C_eco)^C_n),C_alpha*C_fck),0)))*'Geometry'!$H$54+((MAX(MIN(S_1_Es*(O9+P9*'Geometry'!$G$55+Q9*'Geometry'!$F$55),S_1_fy),-S_1_fy))-(IF((O9+P9*'Geometry'!$G$55+Q9*'Geometry'!$F$55)&gt;0,IF((O9+P9*'Geometry'!$G$55+Q9*'Geometry'!$F$55)&lt;=C_eco,C_alpha*C_fck*(1-(1-(O9+P9*'Geometry'!$G$55+Q9*'Geometry'!$F$55)/C_eco)^C_n),C_alpha*C_fck),0)))*'Geometry'!$H$55+((MAX(MIN(S_1_Es*(O9+P9*'Geometry'!$G$56+Q9*'Geometry'!$F$56),S_1_fy),-S_1_fy))-(IF((O9+P9*'Geometry'!$G$56+Q9*'Geometry'!$F$56)&gt;0,IF((O9+P9*'Geometry'!$G$56+Q9*'Geometry'!$F$56)&lt;=C_eco,C_alpha*C_fck*(1-(1-(O9+P9*'Geometry'!$G$56+Q9*'Geometry'!$F$56)/C_eco)^C_n),C_alpha*C_fck),0)))*'Geometry'!$H$56+((MAX(MIN(S_1_Es*(O9+P9*'Geometry'!$G$57+Q9*'Geometry'!$F$57),S_1_fy),-S_1_fy))-(IF((O9+P9*'Geometry'!$G$57+Q9*'Geometry'!$F$57)&gt;0,IF((O9+P9*'Geometry'!$G$57+Q9*'Geometry'!$F$57)&lt;=C_eco,C_alpha*C_fck*(1-(1-(O9+P9*'Geometry'!$G$57+Q9*'Geometry'!$F$57)/C_eco)^C_n),C_alpha*C_fck),0)))*'Geometry'!$H$57)/1000</f>
        <v>-2593.1956485452174</v>
      </c>
      <c r="V9" s="10">
        <f>(((MAX(MIN(S_1_Es*(O9+P9*'Geometry'!$G$40+Q9*'Geometry'!$F$40),S_1_fy),-S_1_fy))-(IF((O9+P9*'Geometry'!$G$40+Q9*'Geometry'!$F$40)&gt;0,IF((O9+P9*'Geometry'!$G$40+Q9*'Geometry'!$F$40)&lt;=C_eco,C_alpha*C_fck*(1-(1-(O9+P9*'Geometry'!$G$40+Q9*'Geometry'!$F$40)/C_eco)^C_n),C_alpha*C_fck),0)))*'Geometry'!$H$40*'Geometry'!$G$40+((MAX(MIN(S_1_Es*(O9+P9*'Geometry'!$G$41+Q9*'Geometry'!$F$41),S_1_fy),-S_1_fy))-(IF((O9+P9*'Geometry'!$G$41+Q9*'Geometry'!$F$41)&gt;0,IF((O9+P9*'Geometry'!$G$41+Q9*'Geometry'!$F$41)&lt;=C_eco,C_alpha*C_fck*(1-(1-(O9+P9*'Geometry'!$G$41+Q9*'Geometry'!$F$41)/C_eco)^C_n),C_alpha*C_fck),0)))*'Geometry'!$H$41*'Geometry'!$G$41+((MAX(MIN(S_1_Es*(O9+P9*'Geometry'!$G$42+Q9*'Geometry'!$F$42),S_1_fy),-S_1_fy))-(IF((O9+P9*'Geometry'!$G$42+Q9*'Geometry'!$F$42)&gt;0,IF((O9+P9*'Geometry'!$G$42+Q9*'Geometry'!$F$42)&lt;=C_eco,C_alpha*C_fck*(1-(1-(O9+P9*'Geometry'!$G$42+Q9*'Geometry'!$F$42)/C_eco)^C_n),C_alpha*C_fck),0)))*'Geometry'!$H$42*'Geometry'!$G$42+((MAX(MIN(S_1_Es*(O9+P9*'Geometry'!$G$43+Q9*'Geometry'!$F$43),S_1_fy),-S_1_fy))-(IF((O9+P9*'Geometry'!$G$43+Q9*'Geometry'!$F$43)&gt;0,IF((O9+P9*'Geometry'!$G$43+Q9*'Geometry'!$F$43)&lt;=C_eco,C_alpha*C_fck*(1-(1-(O9+P9*'Geometry'!$G$43+Q9*'Geometry'!$F$43)/C_eco)^C_n),C_alpha*C_fck),0)))*'Geometry'!$H$43*'Geometry'!$G$43+((MAX(MIN(S_1_Es*(O9+P9*'Geometry'!$G$44+Q9*'Geometry'!$F$44),S_1_fy),-S_1_fy))-(IF((O9+P9*'Geometry'!$G$44+Q9*'Geometry'!$F$44)&gt;0,IF((O9+P9*'Geometry'!$G$44+Q9*'Geometry'!$F$44)&lt;=C_eco,C_alpha*C_fck*(1-(1-(O9+P9*'Geometry'!$G$44+Q9*'Geometry'!$F$44)/C_eco)^C_n),C_alpha*C_fck),0)))*'Geometry'!$H$44*'Geometry'!$G$44+((MAX(MIN(S_1_Es*(O9+P9*'Geometry'!$G$45+Q9*'Geometry'!$F$45),S_1_fy),-S_1_fy))-(IF((O9+P9*'Geometry'!$G$45+Q9*'Geometry'!$F$45)&gt;0,IF((O9+P9*'Geometry'!$G$45+Q9*'Geometry'!$F$45)&lt;=C_eco,C_alpha*C_fck*(1-(1-(O9+P9*'Geometry'!$G$45+Q9*'Geometry'!$F$45)/C_eco)^C_n),C_alpha*C_fck),0)))*'Geometry'!$H$45*'Geometry'!$G$45+((MAX(MIN(S_1_Es*(O9+P9*'Geometry'!$G$46+Q9*'Geometry'!$F$46),S_1_fy),-S_1_fy))-(IF((O9+P9*'Geometry'!$G$46+Q9*'Geometry'!$F$46)&gt;0,IF((O9+P9*'Geometry'!$G$46+Q9*'Geometry'!$F$46)&lt;=C_eco,C_alpha*C_fck*(1-(1-(O9+P9*'Geometry'!$G$46+Q9*'Geometry'!$F$46)/C_eco)^C_n),C_alpha*C_fck),0)))*'Geometry'!$H$46*'Geometry'!$G$46+((MAX(MIN(S_1_Es*(O9+P9*'Geometry'!$G$47+Q9*'Geometry'!$F$47),S_1_fy),-S_1_fy))-(IF((O9+P9*'Geometry'!$G$47+Q9*'Geometry'!$F$47)&gt;0,IF((O9+P9*'Geometry'!$G$47+Q9*'Geometry'!$F$47)&lt;=C_eco,C_alpha*C_fck*(1-(1-(O9+P9*'Geometry'!$G$47+Q9*'Geometry'!$F$47)/C_eco)^C_n),C_alpha*C_fck),0)))*'Geometry'!$H$47*'Geometry'!$G$47+((MAX(MIN(S_1_Es*(O9+P9*'Geometry'!$G$48+Q9*'Geometry'!$F$48),S_1_fy),-S_1_fy))-(IF((O9+P9*'Geometry'!$G$48+Q9*'Geometry'!$F$48)&gt;0,IF((O9+P9*'Geometry'!$G$48+Q9*'Geometry'!$F$48)&lt;=C_eco,C_alpha*C_fck*(1-(1-(O9+P9*'Geometry'!$G$48+Q9*'Geometry'!$F$48)/C_eco)^C_n),C_alpha*C_fck),0)))*'Geometry'!$H$48*'Geometry'!$G$48+((MAX(MIN(S_1_Es*(O9+P9*'Geometry'!$G$49+Q9*'Geometry'!$F$49),S_1_fy),-S_1_fy))-(IF((O9+P9*'Geometry'!$G$49+Q9*'Geometry'!$F$49)&gt;0,IF((O9+P9*'Geometry'!$G$49+Q9*'Geometry'!$F$49)&lt;=C_eco,C_alpha*C_fck*(1-(1-(O9+P9*'Geometry'!$G$49+Q9*'Geometry'!$F$49)/C_eco)^C_n),C_alpha*C_fck),0)))*'Geometry'!$H$49*'Geometry'!$G$49+((MAX(MIN(S_1_Es*(O9+P9*'Geometry'!$G$50+Q9*'Geometry'!$F$50),S_1_fy),-S_1_fy))-(IF((O9+P9*'Geometry'!$G$50+Q9*'Geometry'!$F$50)&gt;0,IF((O9+P9*'Geometry'!$G$50+Q9*'Geometry'!$F$50)&lt;=C_eco,C_alpha*C_fck*(1-(1-(O9+P9*'Geometry'!$G$50+Q9*'Geometry'!$F$50)/C_eco)^C_n),C_alpha*C_fck),0)))*'Geometry'!$H$50*'Geometry'!$G$50+((MAX(MIN(S_1_Es*(O9+P9*'Geometry'!$G$51+Q9*'Geometry'!$F$51),S_1_fy),-S_1_fy))-(IF((O9+P9*'Geometry'!$G$51+Q9*'Geometry'!$F$51)&gt;0,IF((O9+P9*'Geometry'!$G$51+Q9*'Geometry'!$F$51)&lt;=C_eco,C_alpha*C_fck*(1-(1-(O9+P9*'Geometry'!$G$51+Q9*'Geometry'!$F$51)/C_eco)^C_n),C_alpha*C_fck),0)))*'Geometry'!$H$51*'Geometry'!$G$51+((MAX(MIN(S_1_Es*(O9+P9*'Geometry'!$G$52+Q9*'Geometry'!$F$52),S_1_fy),-S_1_fy))-(IF((O9+P9*'Geometry'!$G$52+Q9*'Geometry'!$F$52)&gt;0,IF((O9+P9*'Geometry'!$G$52+Q9*'Geometry'!$F$52)&lt;=C_eco,C_alpha*C_fck*(1-(1-(O9+P9*'Geometry'!$G$52+Q9*'Geometry'!$F$52)/C_eco)^C_n),C_alpha*C_fck),0)))*'Geometry'!$H$52*'Geometry'!$G$52+((MAX(MIN(S_1_Es*(O9+P9*'Geometry'!$G$53+Q9*'Geometry'!$F$53),S_1_fy),-S_1_fy))-(IF((O9+P9*'Geometry'!$G$53+Q9*'Geometry'!$F$53)&gt;0,IF((O9+P9*'Geometry'!$G$53+Q9*'Geometry'!$F$53)&lt;=C_eco,C_alpha*C_fck*(1-(1-(O9+P9*'Geometry'!$G$53+Q9*'Geometry'!$F$53)/C_eco)^C_n),C_alpha*C_fck),0)))*'Geometry'!$H$53*'Geometry'!$G$53+((MAX(MIN(S_1_Es*(O9+P9*'Geometry'!$G$54+Q9*'Geometry'!$F$54),S_1_fy),-S_1_fy))-(IF((O9+P9*'Geometry'!$G$54+Q9*'Geometry'!$F$54)&gt;0,IF((O9+P9*'Geometry'!$G$54+Q9*'Geometry'!$F$54)&lt;=C_eco,C_alpha*C_fck*(1-(1-(O9+P9*'Geometry'!$G$54+Q9*'Geometry'!$F$54)/C_eco)^C_n),C_alpha*C_fck),0)))*'Geometry'!$H$54*'Geometry'!$G$54+((MAX(MIN(S_1_Es*(O9+P9*'Geometry'!$G$55+Q9*'Geometry'!$F$55),S_1_fy),-S_1_fy))-(IF((O9+P9*'Geometry'!$G$55+Q9*'Geometry'!$F$55)&gt;0,IF((O9+P9*'Geometry'!$G$55+Q9*'Geometry'!$F$55)&lt;=C_eco,C_alpha*C_fck*(1-(1-(O9+P9*'Geometry'!$G$55+Q9*'Geometry'!$F$55)/C_eco)^C_n),C_alpha*C_fck),0)))*'Geometry'!$H$55*'Geometry'!$G$55+((MAX(MIN(S_1_Es*(O9+P9*'Geometry'!$G$56+Q9*'Geometry'!$F$56),S_1_fy),-S_1_fy))-(IF((O9+P9*'Geometry'!$G$56+Q9*'Geometry'!$F$56)&gt;0,IF((O9+P9*'Geometry'!$G$56+Q9*'Geometry'!$F$56)&lt;=C_eco,C_alpha*C_fck*(1-(1-(O9+P9*'Geometry'!$G$56+Q9*'Geometry'!$F$56)/C_eco)^C_n),C_alpha*C_fck),0)))*'Geometry'!$H$56*'Geometry'!$G$56+((MAX(MIN(S_1_Es*(O9+P9*'Geometry'!$G$57+Q9*'Geometry'!$F$57),S_1_fy),-S_1_fy))-(IF((O9+P9*'Geometry'!$G$57+Q9*'Geometry'!$F$57)&gt;0,IF((O9+P9*'Geometry'!$G$57+Q9*'Geometry'!$F$57)&lt;=C_eco,C_alpha*C_fck*(1-(1-(O9+P9*'Geometry'!$G$57+Q9*'Geometry'!$F$57)/C_eco)^C_n),C_alpha*C_fck),0)))*'Geometry'!$H$57*'Geometry'!$G$57)/1000000</f>
        <v>1577.125936489673</v>
      </c>
      <c r="W9" s="10">
        <f>(((MAX(MIN(S_1_Es*(O9+P9*'Geometry'!$G$40+Q9*'Geometry'!$F$40),S_1_fy),-S_1_fy))-(IF((O9+P9*'Geometry'!$G$40+Q9*'Geometry'!$F$40)&gt;0,IF((O9+P9*'Geometry'!$G$40+Q9*'Geometry'!$F$40)&lt;=C_eco,C_alpha*C_fck*(1-(1-(O9+P9*'Geometry'!$G$40+Q9*'Geometry'!$F$40)/C_eco)^C_n),C_alpha*C_fck),0)))*'Geometry'!$H$40*'Geometry'!$F$40+((MAX(MIN(S_1_Es*(O9+P9*'Geometry'!$G$41+Q9*'Geometry'!$F$41),S_1_fy),-S_1_fy))-(IF((O9+P9*'Geometry'!$G$41+Q9*'Geometry'!$F$41)&gt;0,IF((O9+P9*'Geometry'!$G$41+Q9*'Geometry'!$F$41)&lt;=C_eco,C_alpha*C_fck*(1-(1-(O9+P9*'Geometry'!$G$41+Q9*'Geometry'!$F$41)/C_eco)^C_n),C_alpha*C_fck),0)))*'Geometry'!$H$41*'Geometry'!$F$41+((MAX(MIN(S_1_Es*(O9+P9*'Geometry'!$G$42+Q9*'Geometry'!$F$42),S_1_fy),-S_1_fy))-(IF((O9+P9*'Geometry'!$G$42+Q9*'Geometry'!$F$42)&gt;0,IF((O9+P9*'Geometry'!$G$42+Q9*'Geometry'!$F$42)&lt;=C_eco,C_alpha*C_fck*(1-(1-(O9+P9*'Geometry'!$G$42+Q9*'Geometry'!$F$42)/C_eco)^C_n),C_alpha*C_fck),0)))*'Geometry'!$H$42*'Geometry'!$F$42+((MAX(MIN(S_1_Es*(O9+P9*'Geometry'!$G$43+Q9*'Geometry'!$F$43),S_1_fy),-S_1_fy))-(IF((O9+P9*'Geometry'!$G$43+Q9*'Geometry'!$F$43)&gt;0,IF((O9+P9*'Geometry'!$G$43+Q9*'Geometry'!$F$43)&lt;=C_eco,C_alpha*C_fck*(1-(1-(O9+P9*'Geometry'!$G$43+Q9*'Geometry'!$F$43)/C_eco)^C_n),C_alpha*C_fck),0)))*'Geometry'!$H$43*'Geometry'!$F$43+((MAX(MIN(S_1_Es*(O9+P9*'Geometry'!$G$44+Q9*'Geometry'!$F$44),S_1_fy),-S_1_fy))-(IF((O9+P9*'Geometry'!$G$44+Q9*'Geometry'!$F$44)&gt;0,IF((O9+P9*'Geometry'!$G$44+Q9*'Geometry'!$F$44)&lt;=C_eco,C_alpha*C_fck*(1-(1-(O9+P9*'Geometry'!$G$44+Q9*'Geometry'!$F$44)/C_eco)^C_n),C_alpha*C_fck),0)))*'Geometry'!$H$44*'Geometry'!$F$44+((MAX(MIN(S_1_Es*(O9+P9*'Geometry'!$G$45+Q9*'Geometry'!$F$45),S_1_fy),-S_1_fy))-(IF((O9+P9*'Geometry'!$G$45+Q9*'Geometry'!$F$45)&gt;0,IF((O9+P9*'Geometry'!$G$45+Q9*'Geometry'!$F$45)&lt;=C_eco,C_alpha*C_fck*(1-(1-(O9+P9*'Geometry'!$G$45+Q9*'Geometry'!$F$45)/C_eco)^C_n),C_alpha*C_fck),0)))*'Geometry'!$H$45*'Geometry'!$F$45+((MAX(MIN(S_1_Es*(O9+P9*'Geometry'!$G$46+Q9*'Geometry'!$F$46),S_1_fy),-S_1_fy))-(IF((O9+P9*'Geometry'!$G$46+Q9*'Geometry'!$F$46)&gt;0,IF((O9+P9*'Geometry'!$G$46+Q9*'Geometry'!$F$46)&lt;=C_eco,C_alpha*C_fck*(1-(1-(O9+P9*'Geometry'!$G$46+Q9*'Geometry'!$F$46)/C_eco)^C_n),C_alpha*C_fck),0)))*'Geometry'!$H$46*'Geometry'!$F$46+((MAX(MIN(S_1_Es*(O9+P9*'Geometry'!$G$47+Q9*'Geometry'!$F$47),S_1_fy),-S_1_fy))-(IF((O9+P9*'Geometry'!$G$47+Q9*'Geometry'!$F$47)&gt;0,IF((O9+P9*'Geometry'!$G$47+Q9*'Geometry'!$F$47)&lt;=C_eco,C_alpha*C_fck*(1-(1-(O9+P9*'Geometry'!$G$47+Q9*'Geometry'!$F$47)/C_eco)^C_n),C_alpha*C_fck),0)))*'Geometry'!$H$47*'Geometry'!$F$47+((MAX(MIN(S_1_Es*(O9+P9*'Geometry'!$G$48+Q9*'Geometry'!$F$48),S_1_fy),-S_1_fy))-(IF((O9+P9*'Geometry'!$G$48+Q9*'Geometry'!$F$48)&gt;0,IF((O9+P9*'Geometry'!$G$48+Q9*'Geometry'!$F$48)&lt;=C_eco,C_alpha*C_fck*(1-(1-(O9+P9*'Geometry'!$G$48+Q9*'Geometry'!$F$48)/C_eco)^C_n),C_alpha*C_fck),0)))*'Geometry'!$H$48*'Geometry'!$F$48+((MAX(MIN(S_1_Es*(O9+P9*'Geometry'!$G$49+Q9*'Geometry'!$F$49),S_1_fy),-S_1_fy))-(IF((O9+P9*'Geometry'!$G$49+Q9*'Geometry'!$F$49)&gt;0,IF((O9+P9*'Geometry'!$G$49+Q9*'Geometry'!$F$49)&lt;=C_eco,C_alpha*C_fck*(1-(1-(O9+P9*'Geometry'!$G$49+Q9*'Geometry'!$F$49)/C_eco)^C_n),C_alpha*C_fck),0)))*'Geometry'!$H$49*'Geometry'!$F$49+((MAX(MIN(S_1_Es*(O9+P9*'Geometry'!$G$50+Q9*'Geometry'!$F$50),S_1_fy),-S_1_fy))-(IF((O9+P9*'Geometry'!$G$50+Q9*'Geometry'!$F$50)&gt;0,IF((O9+P9*'Geometry'!$G$50+Q9*'Geometry'!$F$50)&lt;=C_eco,C_alpha*C_fck*(1-(1-(O9+P9*'Geometry'!$G$50+Q9*'Geometry'!$F$50)/C_eco)^C_n),C_alpha*C_fck),0)))*'Geometry'!$H$50*'Geometry'!$F$50+((MAX(MIN(S_1_Es*(O9+P9*'Geometry'!$G$51+Q9*'Geometry'!$F$51),S_1_fy),-S_1_fy))-(IF((O9+P9*'Geometry'!$G$51+Q9*'Geometry'!$F$51)&gt;0,IF((O9+P9*'Geometry'!$G$51+Q9*'Geometry'!$F$51)&lt;=C_eco,C_alpha*C_fck*(1-(1-(O9+P9*'Geometry'!$G$51+Q9*'Geometry'!$F$51)/C_eco)^C_n),C_alpha*C_fck),0)))*'Geometry'!$H$51*'Geometry'!$F$51+((MAX(MIN(S_1_Es*(O9+P9*'Geometry'!$G$52+Q9*'Geometry'!$F$52),S_1_fy),-S_1_fy))-(IF((O9+P9*'Geometry'!$G$52+Q9*'Geometry'!$F$52)&gt;0,IF((O9+P9*'Geometry'!$G$52+Q9*'Geometry'!$F$52)&lt;=C_eco,C_alpha*C_fck*(1-(1-(O9+P9*'Geometry'!$G$52+Q9*'Geometry'!$F$52)/C_eco)^C_n),C_alpha*C_fck),0)))*'Geometry'!$H$52*'Geometry'!$F$52+((MAX(MIN(S_1_Es*(O9+P9*'Geometry'!$G$53+Q9*'Geometry'!$F$53),S_1_fy),-S_1_fy))-(IF((O9+P9*'Geometry'!$G$53+Q9*'Geometry'!$F$53)&gt;0,IF((O9+P9*'Geometry'!$G$53+Q9*'Geometry'!$F$53)&lt;=C_eco,C_alpha*C_fck*(1-(1-(O9+P9*'Geometry'!$G$53+Q9*'Geometry'!$F$53)/C_eco)^C_n),C_alpha*C_fck),0)))*'Geometry'!$H$53*'Geometry'!$F$53+((MAX(MIN(S_1_Es*(O9+P9*'Geometry'!$G$54+Q9*'Geometry'!$F$54),S_1_fy),-S_1_fy))-(IF((O9+P9*'Geometry'!$G$54+Q9*'Geometry'!$F$54)&gt;0,IF((O9+P9*'Geometry'!$G$54+Q9*'Geometry'!$F$54)&lt;=C_eco,C_alpha*C_fck*(1-(1-(O9+P9*'Geometry'!$G$54+Q9*'Geometry'!$F$54)/C_eco)^C_n),C_alpha*C_fck),0)))*'Geometry'!$H$54*'Geometry'!$F$54+((MAX(MIN(S_1_Es*(O9+P9*'Geometry'!$G$55+Q9*'Geometry'!$F$55),S_1_fy),-S_1_fy))-(IF((O9+P9*'Geometry'!$G$55+Q9*'Geometry'!$F$55)&gt;0,IF((O9+P9*'Geometry'!$G$55+Q9*'Geometry'!$F$55)&lt;=C_eco,C_alpha*C_fck*(1-(1-(O9+P9*'Geometry'!$G$55+Q9*'Geometry'!$F$55)/C_eco)^C_n),C_alpha*C_fck),0)))*'Geometry'!$H$55*'Geometry'!$F$55+((MAX(MIN(S_1_Es*(O9+P9*'Geometry'!$G$56+Q9*'Geometry'!$F$56),S_1_fy),-S_1_fy))-(IF((O9+P9*'Geometry'!$G$56+Q9*'Geometry'!$F$56)&gt;0,IF((O9+P9*'Geometry'!$G$56+Q9*'Geometry'!$F$56)&lt;=C_eco,C_alpha*C_fck*(1-(1-(O9+P9*'Geometry'!$G$56+Q9*'Geometry'!$F$56)/C_eco)^C_n),C_alpha*C_fck),0)))*'Geometry'!$H$56*'Geometry'!$F$56+((MAX(MIN(S_1_Es*(O9+P9*'Geometry'!$G$57+Q9*'Geometry'!$F$57),S_1_fy),-S_1_fy))-(IF((O9+P9*'Geometry'!$G$57+Q9*'Geometry'!$F$57)&gt;0,IF((O9+P9*'Geometry'!$G$57+Q9*'Geometry'!$F$57)&lt;=C_eco,C_alpha*C_fck*(1-(1-(O9+P9*'Geometry'!$G$57+Q9*'Geometry'!$F$57)/C_eco)^C_n),C_alpha*C_fck),0)))*'Geometry'!$H$57*'Geometry'!$F$57)/1000000</f>
        <v>401.01037063218826</v>
      </c>
      <c r="X9" s="10">
        <f>R9+U9</f>
        <v>2629.5941529996044</v>
      </c>
      <c r="Y9" s="10">
        <f>S9+V9</f>
        <v>4163.906818285943</v>
      </c>
      <c r="Z9" s="10">
        <f>T9+W9</f>
        <v>1335.173258528075</v>
      </c>
      <c r="AA9" s="7">
        <v>0.85</v>
      </c>
      <c r="AB9" s="7">
        <v>0.8500000000000001</v>
      </c>
      <c r="AC9" s="10">
        <f>X9*AA9</f>
        <v>2235.1550300496638</v>
      </c>
      <c r="AD9" s="10">
        <f>Y9*AB9</f>
        <v>3539.3207955430516</v>
      </c>
      <c r="AE9" s="10">
        <f>Z9*AB9</f>
        <v>1134.8972697488637</v>
      </c>
      <c r="AF9" s="7">
        <v>2235.1550300496638</v>
      </c>
      <c r="AG9" s="7">
        <v>3539.3207955430516</v>
      </c>
      <c r="AH9" s="7">
        <v>1134.8972697488637</v>
      </c>
      <c r="AI9" s="15">
        <f>AC9-AF9</f>
        <v>0</v>
      </c>
      <c r="AJ9" s="15">
        <f>SQRT((AD9-AG9)^2+(AE9-AH9)^2)</f>
        <v>0</v>
      </c>
      <c r="AK9" s="7" t="s">
        <v>189</v>
      </c>
      <c r="AL9" s="7">
        <v>2629.5941529996044</v>
      </c>
      <c r="AM9" s="7">
        <v>4163.906818285943</v>
      </c>
      <c r="AN9" s="7">
        <v>1335.173258528075</v>
      </c>
      <c r="AO9" s="7">
        <v>5222.789801544822</v>
      </c>
      <c r="AP9" s="7">
        <v>2586.78088179627</v>
      </c>
      <c r="AQ9" s="7">
        <v>934.1628878958867</v>
      </c>
      <c r="AR9" s="7">
        <v>-2593.1956485452174</v>
      </c>
      <c r="AS9" s="7">
        <v>1577.125936489673</v>
      </c>
      <c r="AT9" s="7">
        <v>401.01037063218826</v>
      </c>
    </row>
    <row r="10" spans="1:46" x14ac:dyDescent="0.25">
      <c r="A10" s="7" t="s">
        <v>193</v>
      </c>
      <c r="B10" s="7">
        <v>1</v>
      </c>
      <c r="C10" s="18">
        <v>20</v>
      </c>
      <c r="D10" s="7" t="s">
        <v>268</v>
      </c>
      <c r="E10" s="7" t="s">
        <v>267</v>
      </c>
      <c r="F10" s="19">
        <v>20</v>
      </c>
      <c r="G10" s="7" t="s">
        <v>188</v>
      </c>
      <c r="H10" s="20">
        <v>4.999999999999999</v>
      </c>
      <c r="I10" s="10">
        <f>MAX(('Geometry'!$G$13*COS(RADIANS(F10))+'Geometry'!$F$13*SIN(RADIANS(F10))),('Geometry'!$G$14*COS(RADIANS(F10))+'Geometry'!$F$14*SIN(RADIANS(F10))),('Geometry'!$G$15*COS(RADIANS(F10))+'Geometry'!$F$15*SIN(RADIANS(F10))),('Geometry'!$G$16*COS(RADIANS(F10))+'Geometry'!$F$16*SIN(RADIANS(F10))),('Geometry'!$G$17*COS(RADIANS(F10))+'Geometry'!$F$17*SIN(RADIANS(F10))),('Geometry'!$G$18*COS(RADIANS(F10))+'Geometry'!$F$18*SIN(RADIANS(F10))),('Geometry'!$G$19*COS(RADIANS(F10))+'Geometry'!$F$19*SIN(RADIANS(F10))),('Geometry'!$G$20*COS(RADIANS(F10))+'Geometry'!$F$20*SIN(RADIANS(F10))))</f>
        <v>751.9266513006628</v>
      </c>
      <c r="J10" s="10">
        <f>MIN(('Geometry'!$G$40*COS(RADIANS(F10))+'Geometry'!$F$40*SIN(RADIANS(F10))),('Geometry'!$G$41*COS(RADIANS(F10))+'Geometry'!$F$41*SIN(RADIANS(F10))),('Geometry'!$G$42*COS(RADIANS(F10))+'Geometry'!$F$42*SIN(RADIANS(F10))),('Geometry'!$G$43*COS(RADIANS(F10))+'Geometry'!$F$43*SIN(RADIANS(F10))),('Geometry'!$G$44*COS(RADIANS(F10))+'Geometry'!$F$44*SIN(RADIANS(F10))),('Geometry'!$G$45*COS(RADIANS(F10))+'Geometry'!$F$45*SIN(RADIANS(F10))),('Geometry'!$G$46*COS(RADIANS(F10))+'Geometry'!$F$46*SIN(RADIANS(F10))),('Geometry'!$G$47*COS(RADIANS(F10))+'Geometry'!$F$47*SIN(RADIANS(F10))),('Geometry'!$G$48*COS(RADIANS(F10))+'Geometry'!$F$48*SIN(RADIANS(F10))),('Geometry'!$G$49*COS(RADIANS(F10))+'Geometry'!$F$49*SIN(RADIANS(F10))),('Geometry'!$G$50*COS(RADIANS(F10))+'Geometry'!$F$50*SIN(RADIANS(F10))),('Geometry'!$G$51*COS(RADIANS(F10))+'Geometry'!$F$51*SIN(RADIANS(F10))),('Geometry'!$G$52*COS(RADIANS(F10))+'Geometry'!$F$52*SIN(RADIANS(F10))),('Geometry'!$G$53*COS(RADIANS(F10))+'Geometry'!$F$53*SIN(RADIANS(F10))),('Geometry'!$G$54*COS(RADIANS(F10))+'Geometry'!$F$54*SIN(RADIANS(F10))),('Geometry'!$G$55*COS(RADIANS(F10))+'Geometry'!$F$55*SIN(RADIANS(F10))),('Geometry'!$G$56*COS(RADIANS(F10))+'Geometry'!$F$56*SIN(RADIANS(F10))),('Geometry'!$G$57*COS(RADIANS(F10))+'Geometry'!$F$57*SIN(RADIANS(F10))))</f>
        <v>-634.845146346799</v>
      </c>
      <c r="K10" s="10">
        <f>I10-MIN(('Geometry'!$G$13*COS(RADIANS(F10))+'Geometry'!$F$13*SIN(RADIANS(F10))),('Geometry'!$G$14*COS(RADIANS(F10))+'Geometry'!$F$14*SIN(RADIANS(F10))),('Geometry'!$G$15*COS(RADIANS(F10))+'Geometry'!$F$15*SIN(RADIANS(F10))),('Geometry'!$G$16*COS(RADIANS(F10))+'Geometry'!$F$16*SIN(RADIANS(F10))),('Geometry'!$G$17*COS(RADIANS(F10))+'Geometry'!$F$17*SIN(RADIANS(F10))),('Geometry'!$G$18*COS(RADIANS(F10))+'Geometry'!$F$18*SIN(RADIANS(F10))),('Geometry'!$G$19*COS(RADIANS(F10))+'Geometry'!$F$19*SIN(RADIANS(F10))),('Geometry'!$G$20*COS(RADIANS(F10))+'Geometry'!$F$20*SIN(RADIANS(F10))))</f>
        <v>1503.8533026013256</v>
      </c>
      <c r="L10" s="15">
        <f>C_ecu</f>
        <v>0.0033</v>
      </c>
      <c r="M10" s="15">
        <f>-H10*S_1_fy/S_1_Es</f>
        <v>-0.009999999999999998</v>
      </c>
      <c r="N10" s="21">
        <f>IF(ABS(I10-J10)&lt;0.000000000001,0,(L10-M10)/(I10-J10))</f>
        <v>0.000009590619035202689</v>
      </c>
      <c r="O10" s="15">
        <f>L10-N10*I10</f>
        <v>-0.003911442055040351</v>
      </c>
      <c r="P10" s="21">
        <f>N10*COS(RADIANS(F10))</f>
        <v>0.000009012233936148835</v>
      </c>
      <c r="Q10" s="21">
        <f>N10*SIN(RADIANS(F10))</f>
        <v>0.00000328018489700191</v>
      </c>
      <c r="R10" s="10">
        <f>SUMPRODUCT(C_alpha*C_fck*(1-(1-(((O10+P10*Mesh_Y+Q10*Mesh_X))*((O10+P10*Mesh_Y+Q10*Mesh_X)&gt;0)*((O10+P10*Mesh_Y+Q10*Mesh_X)&lt;C_eco)+C_eco*((O10+P10*Mesh_Y+Q10*Mesh_X)&gt;=C_eco))/C_eco)^C_n)*(((O10+P10*Mesh_Y+Q10*Mesh_X))&gt;0),Mesh_A)/1000</f>
        <v>3980.792360315053</v>
      </c>
      <c r="S10" s="10">
        <f>SUMPRODUCT(C_alpha*C_fck*(1-(1-(((O10+P10*Mesh_Y+Q10*Mesh_X))*((O10+P10*Mesh_Y+Q10*Mesh_X)&gt;0)*((O10+P10*Mesh_Y+Q10*Mesh_X)&lt;C_eco)+C_eco*((O10+P10*Mesh_Y+Q10*Mesh_X)&gt;=C_eco))/C_eco)^C_n)*(((O10+P10*Mesh_Y+Q10*Mesh_X))&gt;0),Mesh_A,Mesh_Y)/1000000</f>
        <v>1887.9767744314015</v>
      </c>
      <c r="T10" s="10">
        <f>SUMPRODUCT(C_alpha*C_fck*(1-(1-(((O10+P10*Mesh_Y+Q10*Mesh_X))*((O10+P10*Mesh_Y+Q10*Mesh_X)&gt;0)*((O10+P10*Mesh_Y+Q10*Mesh_X)&lt;C_eco)+C_eco*((O10+P10*Mesh_Y+Q10*Mesh_X)&gt;=C_eco))/C_eco)^C_n)*(((O10+P10*Mesh_Y+Q10*Mesh_X))&gt;0),Mesh_A,Mesh_X)/1000000</f>
        <v>1458.449542936987</v>
      </c>
      <c r="U10" s="10">
        <f>(((MAX(MIN(S_1_Es*(O10+P10*'Geometry'!$G$40+Q10*'Geometry'!$F$40),S_1_fy),-S_1_fy))-(IF((O10+P10*'Geometry'!$G$40+Q10*'Geometry'!$F$40)&gt;0,IF((O10+P10*'Geometry'!$G$40+Q10*'Geometry'!$F$40)&lt;=C_eco,C_alpha*C_fck*(1-(1-(O10+P10*'Geometry'!$G$40+Q10*'Geometry'!$F$40)/C_eco)^C_n),C_alpha*C_fck),0)))*'Geometry'!$H$40+((MAX(MIN(S_1_Es*(O10+P10*'Geometry'!$G$41+Q10*'Geometry'!$F$41),S_1_fy),-S_1_fy))-(IF((O10+P10*'Geometry'!$G$41+Q10*'Geometry'!$F$41)&gt;0,IF((O10+P10*'Geometry'!$G$41+Q10*'Geometry'!$F$41)&lt;=C_eco,C_alpha*C_fck*(1-(1-(O10+P10*'Geometry'!$G$41+Q10*'Geometry'!$F$41)/C_eco)^C_n),C_alpha*C_fck),0)))*'Geometry'!$H$41+((MAX(MIN(S_1_Es*(O10+P10*'Geometry'!$G$42+Q10*'Geometry'!$F$42),S_1_fy),-S_1_fy))-(IF((O10+P10*'Geometry'!$G$42+Q10*'Geometry'!$F$42)&gt;0,IF((O10+P10*'Geometry'!$G$42+Q10*'Geometry'!$F$42)&lt;=C_eco,C_alpha*C_fck*(1-(1-(O10+P10*'Geometry'!$G$42+Q10*'Geometry'!$F$42)/C_eco)^C_n),C_alpha*C_fck),0)))*'Geometry'!$H$42+((MAX(MIN(S_1_Es*(O10+P10*'Geometry'!$G$43+Q10*'Geometry'!$F$43),S_1_fy),-S_1_fy))-(IF((O10+P10*'Geometry'!$G$43+Q10*'Geometry'!$F$43)&gt;0,IF((O10+P10*'Geometry'!$G$43+Q10*'Geometry'!$F$43)&lt;=C_eco,C_alpha*C_fck*(1-(1-(O10+P10*'Geometry'!$G$43+Q10*'Geometry'!$F$43)/C_eco)^C_n),C_alpha*C_fck),0)))*'Geometry'!$H$43+((MAX(MIN(S_1_Es*(O10+P10*'Geometry'!$G$44+Q10*'Geometry'!$F$44),S_1_fy),-S_1_fy))-(IF((O10+P10*'Geometry'!$G$44+Q10*'Geometry'!$F$44)&gt;0,IF((O10+P10*'Geometry'!$G$44+Q10*'Geometry'!$F$44)&lt;=C_eco,C_alpha*C_fck*(1-(1-(O10+P10*'Geometry'!$G$44+Q10*'Geometry'!$F$44)/C_eco)^C_n),C_alpha*C_fck),0)))*'Geometry'!$H$44+((MAX(MIN(S_1_Es*(O10+P10*'Geometry'!$G$45+Q10*'Geometry'!$F$45),S_1_fy),-S_1_fy))-(IF((O10+P10*'Geometry'!$G$45+Q10*'Geometry'!$F$45)&gt;0,IF((O10+P10*'Geometry'!$G$45+Q10*'Geometry'!$F$45)&lt;=C_eco,C_alpha*C_fck*(1-(1-(O10+P10*'Geometry'!$G$45+Q10*'Geometry'!$F$45)/C_eco)^C_n),C_alpha*C_fck),0)))*'Geometry'!$H$45+((MAX(MIN(S_1_Es*(O10+P10*'Geometry'!$G$46+Q10*'Geometry'!$F$46),S_1_fy),-S_1_fy))-(IF((O10+P10*'Geometry'!$G$46+Q10*'Geometry'!$F$46)&gt;0,IF((O10+P10*'Geometry'!$G$46+Q10*'Geometry'!$F$46)&lt;=C_eco,C_alpha*C_fck*(1-(1-(O10+P10*'Geometry'!$G$46+Q10*'Geometry'!$F$46)/C_eco)^C_n),C_alpha*C_fck),0)))*'Geometry'!$H$46+((MAX(MIN(S_1_Es*(O10+P10*'Geometry'!$G$47+Q10*'Geometry'!$F$47),S_1_fy),-S_1_fy))-(IF((O10+P10*'Geometry'!$G$47+Q10*'Geometry'!$F$47)&gt;0,IF((O10+P10*'Geometry'!$G$47+Q10*'Geometry'!$F$47)&lt;=C_eco,C_alpha*C_fck*(1-(1-(O10+P10*'Geometry'!$G$47+Q10*'Geometry'!$F$47)/C_eco)^C_n),C_alpha*C_fck),0)))*'Geometry'!$H$47+((MAX(MIN(S_1_Es*(O10+P10*'Geometry'!$G$48+Q10*'Geometry'!$F$48),S_1_fy),-S_1_fy))-(IF((O10+P10*'Geometry'!$G$48+Q10*'Geometry'!$F$48)&gt;0,IF((O10+P10*'Geometry'!$G$48+Q10*'Geometry'!$F$48)&lt;=C_eco,C_alpha*C_fck*(1-(1-(O10+P10*'Geometry'!$G$48+Q10*'Geometry'!$F$48)/C_eco)^C_n),C_alpha*C_fck),0)))*'Geometry'!$H$48+((MAX(MIN(S_1_Es*(O10+P10*'Geometry'!$G$49+Q10*'Geometry'!$F$49),S_1_fy),-S_1_fy))-(IF((O10+P10*'Geometry'!$G$49+Q10*'Geometry'!$F$49)&gt;0,IF((O10+P10*'Geometry'!$G$49+Q10*'Geometry'!$F$49)&lt;=C_eco,C_alpha*C_fck*(1-(1-(O10+P10*'Geometry'!$G$49+Q10*'Geometry'!$F$49)/C_eco)^C_n),C_alpha*C_fck),0)))*'Geometry'!$H$49+((MAX(MIN(S_1_Es*(O10+P10*'Geometry'!$G$50+Q10*'Geometry'!$F$50),S_1_fy),-S_1_fy))-(IF((O10+P10*'Geometry'!$G$50+Q10*'Geometry'!$F$50)&gt;0,IF((O10+P10*'Geometry'!$G$50+Q10*'Geometry'!$F$50)&lt;=C_eco,C_alpha*C_fck*(1-(1-(O10+P10*'Geometry'!$G$50+Q10*'Geometry'!$F$50)/C_eco)^C_n),C_alpha*C_fck),0)))*'Geometry'!$H$50+((MAX(MIN(S_1_Es*(O10+P10*'Geometry'!$G$51+Q10*'Geometry'!$F$51),S_1_fy),-S_1_fy))-(IF((O10+P10*'Geometry'!$G$51+Q10*'Geometry'!$F$51)&gt;0,IF((O10+P10*'Geometry'!$G$51+Q10*'Geometry'!$F$51)&lt;=C_eco,C_alpha*C_fck*(1-(1-(O10+P10*'Geometry'!$G$51+Q10*'Geometry'!$F$51)/C_eco)^C_n),C_alpha*C_fck),0)))*'Geometry'!$H$51+((MAX(MIN(S_1_Es*(O10+P10*'Geometry'!$G$52+Q10*'Geometry'!$F$52),S_1_fy),-S_1_fy))-(IF((O10+P10*'Geometry'!$G$52+Q10*'Geometry'!$F$52)&gt;0,IF((O10+P10*'Geometry'!$G$52+Q10*'Geometry'!$F$52)&lt;=C_eco,C_alpha*C_fck*(1-(1-(O10+P10*'Geometry'!$G$52+Q10*'Geometry'!$F$52)/C_eco)^C_n),C_alpha*C_fck),0)))*'Geometry'!$H$52+((MAX(MIN(S_1_Es*(O10+P10*'Geometry'!$G$53+Q10*'Geometry'!$F$53),S_1_fy),-S_1_fy))-(IF((O10+P10*'Geometry'!$G$53+Q10*'Geometry'!$F$53)&gt;0,IF((O10+P10*'Geometry'!$G$53+Q10*'Geometry'!$F$53)&lt;=C_eco,C_alpha*C_fck*(1-(1-(O10+P10*'Geometry'!$G$53+Q10*'Geometry'!$F$53)/C_eco)^C_n),C_alpha*C_fck),0)))*'Geometry'!$H$53+((MAX(MIN(S_1_Es*(O10+P10*'Geometry'!$G$54+Q10*'Geometry'!$F$54),S_1_fy),-S_1_fy))-(IF((O10+P10*'Geometry'!$G$54+Q10*'Geometry'!$F$54)&gt;0,IF((O10+P10*'Geometry'!$G$54+Q10*'Geometry'!$F$54)&lt;=C_eco,C_alpha*C_fck*(1-(1-(O10+P10*'Geometry'!$G$54+Q10*'Geometry'!$F$54)/C_eco)^C_n),C_alpha*C_fck),0)))*'Geometry'!$H$54+((MAX(MIN(S_1_Es*(O10+P10*'Geometry'!$G$55+Q10*'Geometry'!$F$55),S_1_fy),-S_1_fy))-(IF((O10+P10*'Geometry'!$G$55+Q10*'Geometry'!$F$55)&gt;0,IF((O10+P10*'Geometry'!$G$55+Q10*'Geometry'!$F$55)&lt;=C_eco,C_alpha*C_fck*(1-(1-(O10+P10*'Geometry'!$G$55+Q10*'Geometry'!$F$55)/C_eco)^C_n),C_alpha*C_fck),0)))*'Geometry'!$H$55+((MAX(MIN(S_1_Es*(O10+P10*'Geometry'!$G$56+Q10*'Geometry'!$F$56),S_1_fy),-S_1_fy))-(IF((O10+P10*'Geometry'!$G$56+Q10*'Geometry'!$F$56)&gt;0,IF((O10+P10*'Geometry'!$G$56+Q10*'Geometry'!$F$56)&lt;=C_eco,C_alpha*C_fck*(1-(1-(O10+P10*'Geometry'!$G$56+Q10*'Geometry'!$F$56)/C_eco)^C_n),C_alpha*C_fck),0)))*'Geometry'!$H$56+((MAX(MIN(S_1_Es*(O10+P10*'Geometry'!$G$57+Q10*'Geometry'!$F$57),S_1_fy),-S_1_fy))-(IF((O10+P10*'Geometry'!$G$57+Q10*'Geometry'!$F$57)&gt;0,IF((O10+P10*'Geometry'!$G$57+Q10*'Geometry'!$F$57)&lt;=C_eco,C_alpha*C_fck*(1-(1-(O10+P10*'Geometry'!$G$57+Q10*'Geometry'!$F$57)/C_eco)^C_n),C_alpha*C_fck),0)))*'Geometry'!$H$57)/1000</f>
        <v>-2905.793646379988</v>
      </c>
      <c r="V10" s="10">
        <f>(((MAX(MIN(S_1_Es*(O10+P10*'Geometry'!$G$40+Q10*'Geometry'!$F$40),S_1_fy),-S_1_fy))-(IF((O10+P10*'Geometry'!$G$40+Q10*'Geometry'!$F$40)&gt;0,IF((O10+P10*'Geometry'!$G$40+Q10*'Geometry'!$F$40)&lt;=C_eco,C_alpha*C_fck*(1-(1-(O10+P10*'Geometry'!$G$40+Q10*'Geometry'!$F$40)/C_eco)^C_n),C_alpha*C_fck),0)))*'Geometry'!$H$40*'Geometry'!$G$40+((MAX(MIN(S_1_Es*(O10+P10*'Geometry'!$G$41+Q10*'Geometry'!$F$41),S_1_fy),-S_1_fy))-(IF((O10+P10*'Geometry'!$G$41+Q10*'Geometry'!$F$41)&gt;0,IF((O10+P10*'Geometry'!$G$41+Q10*'Geometry'!$F$41)&lt;=C_eco,C_alpha*C_fck*(1-(1-(O10+P10*'Geometry'!$G$41+Q10*'Geometry'!$F$41)/C_eco)^C_n),C_alpha*C_fck),0)))*'Geometry'!$H$41*'Geometry'!$G$41+((MAX(MIN(S_1_Es*(O10+P10*'Geometry'!$G$42+Q10*'Geometry'!$F$42),S_1_fy),-S_1_fy))-(IF((O10+P10*'Geometry'!$G$42+Q10*'Geometry'!$F$42)&gt;0,IF((O10+P10*'Geometry'!$G$42+Q10*'Geometry'!$F$42)&lt;=C_eco,C_alpha*C_fck*(1-(1-(O10+P10*'Geometry'!$G$42+Q10*'Geometry'!$F$42)/C_eco)^C_n),C_alpha*C_fck),0)))*'Geometry'!$H$42*'Geometry'!$G$42+((MAX(MIN(S_1_Es*(O10+P10*'Geometry'!$G$43+Q10*'Geometry'!$F$43),S_1_fy),-S_1_fy))-(IF((O10+P10*'Geometry'!$G$43+Q10*'Geometry'!$F$43)&gt;0,IF((O10+P10*'Geometry'!$G$43+Q10*'Geometry'!$F$43)&lt;=C_eco,C_alpha*C_fck*(1-(1-(O10+P10*'Geometry'!$G$43+Q10*'Geometry'!$F$43)/C_eco)^C_n),C_alpha*C_fck),0)))*'Geometry'!$H$43*'Geometry'!$G$43+((MAX(MIN(S_1_Es*(O10+P10*'Geometry'!$G$44+Q10*'Geometry'!$F$44),S_1_fy),-S_1_fy))-(IF((O10+P10*'Geometry'!$G$44+Q10*'Geometry'!$F$44)&gt;0,IF((O10+P10*'Geometry'!$G$44+Q10*'Geometry'!$F$44)&lt;=C_eco,C_alpha*C_fck*(1-(1-(O10+P10*'Geometry'!$G$44+Q10*'Geometry'!$F$44)/C_eco)^C_n),C_alpha*C_fck),0)))*'Geometry'!$H$44*'Geometry'!$G$44+((MAX(MIN(S_1_Es*(O10+P10*'Geometry'!$G$45+Q10*'Geometry'!$F$45),S_1_fy),-S_1_fy))-(IF((O10+P10*'Geometry'!$G$45+Q10*'Geometry'!$F$45)&gt;0,IF((O10+P10*'Geometry'!$G$45+Q10*'Geometry'!$F$45)&lt;=C_eco,C_alpha*C_fck*(1-(1-(O10+P10*'Geometry'!$G$45+Q10*'Geometry'!$F$45)/C_eco)^C_n),C_alpha*C_fck),0)))*'Geometry'!$H$45*'Geometry'!$G$45+((MAX(MIN(S_1_Es*(O10+P10*'Geometry'!$G$46+Q10*'Geometry'!$F$46),S_1_fy),-S_1_fy))-(IF((O10+P10*'Geometry'!$G$46+Q10*'Geometry'!$F$46)&gt;0,IF((O10+P10*'Geometry'!$G$46+Q10*'Geometry'!$F$46)&lt;=C_eco,C_alpha*C_fck*(1-(1-(O10+P10*'Geometry'!$G$46+Q10*'Geometry'!$F$46)/C_eco)^C_n),C_alpha*C_fck),0)))*'Geometry'!$H$46*'Geometry'!$G$46+((MAX(MIN(S_1_Es*(O10+P10*'Geometry'!$G$47+Q10*'Geometry'!$F$47),S_1_fy),-S_1_fy))-(IF((O10+P10*'Geometry'!$G$47+Q10*'Geometry'!$F$47)&gt;0,IF((O10+P10*'Geometry'!$G$47+Q10*'Geometry'!$F$47)&lt;=C_eco,C_alpha*C_fck*(1-(1-(O10+P10*'Geometry'!$G$47+Q10*'Geometry'!$F$47)/C_eco)^C_n),C_alpha*C_fck),0)))*'Geometry'!$H$47*'Geometry'!$G$47+((MAX(MIN(S_1_Es*(O10+P10*'Geometry'!$G$48+Q10*'Geometry'!$F$48),S_1_fy),-S_1_fy))-(IF((O10+P10*'Geometry'!$G$48+Q10*'Geometry'!$F$48)&gt;0,IF((O10+P10*'Geometry'!$G$48+Q10*'Geometry'!$F$48)&lt;=C_eco,C_alpha*C_fck*(1-(1-(O10+P10*'Geometry'!$G$48+Q10*'Geometry'!$F$48)/C_eco)^C_n),C_alpha*C_fck),0)))*'Geometry'!$H$48*'Geometry'!$G$48+((MAX(MIN(S_1_Es*(O10+P10*'Geometry'!$G$49+Q10*'Geometry'!$F$49),S_1_fy),-S_1_fy))-(IF((O10+P10*'Geometry'!$G$49+Q10*'Geometry'!$F$49)&gt;0,IF((O10+P10*'Geometry'!$G$49+Q10*'Geometry'!$F$49)&lt;=C_eco,C_alpha*C_fck*(1-(1-(O10+P10*'Geometry'!$G$49+Q10*'Geometry'!$F$49)/C_eco)^C_n),C_alpha*C_fck),0)))*'Geometry'!$H$49*'Geometry'!$G$49+((MAX(MIN(S_1_Es*(O10+P10*'Geometry'!$G$50+Q10*'Geometry'!$F$50),S_1_fy),-S_1_fy))-(IF((O10+P10*'Geometry'!$G$50+Q10*'Geometry'!$F$50)&gt;0,IF((O10+P10*'Geometry'!$G$50+Q10*'Geometry'!$F$50)&lt;=C_eco,C_alpha*C_fck*(1-(1-(O10+P10*'Geometry'!$G$50+Q10*'Geometry'!$F$50)/C_eco)^C_n),C_alpha*C_fck),0)))*'Geometry'!$H$50*'Geometry'!$G$50+((MAX(MIN(S_1_Es*(O10+P10*'Geometry'!$G$51+Q10*'Geometry'!$F$51),S_1_fy),-S_1_fy))-(IF((O10+P10*'Geometry'!$G$51+Q10*'Geometry'!$F$51)&gt;0,IF((O10+P10*'Geometry'!$G$51+Q10*'Geometry'!$F$51)&lt;=C_eco,C_alpha*C_fck*(1-(1-(O10+P10*'Geometry'!$G$51+Q10*'Geometry'!$F$51)/C_eco)^C_n),C_alpha*C_fck),0)))*'Geometry'!$H$51*'Geometry'!$G$51+((MAX(MIN(S_1_Es*(O10+P10*'Geometry'!$G$52+Q10*'Geometry'!$F$52),S_1_fy),-S_1_fy))-(IF((O10+P10*'Geometry'!$G$52+Q10*'Geometry'!$F$52)&gt;0,IF((O10+P10*'Geometry'!$G$52+Q10*'Geometry'!$F$52)&lt;=C_eco,C_alpha*C_fck*(1-(1-(O10+P10*'Geometry'!$G$52+Q10*'Geometry'!$F$52)/C_eco)^C_n),C_alpha*C_fck),0)))*'Geometry'!$H$52*'Geometry'!$G$52+((MAX(MIN(S_1_Es*(O10+P10*'Geometry'!$G$53+Q10*'Geometry'!$F$53),S_1_fy),-S_1_fy))-(IF((O10+P10*'Geometry'!$G$53+Q10*'Geometry'!$F$53)&gt;0,IF((O10+P10*'Geometry'!$G$53+Q10*'Geometry'!$F$53)&lt;=C_eco,C_alpha*C_fck*(1-(1-(O10+P10*'Geometry'!$G$53+Q10*'Geometry'!$F$53)/C_eco)^C_n),C_alpha*C_fck),0)))*'Geometry'!$H$53*'Geometry'!$G$53+((MAX(MIN(S_1_Es*(O10+P10*'Geometry'!$G$54+Q10*'Geometry'!$F$54),S_1_fy),-S_1_fy))-(IF((O10+P10*'Geometry'!$G$54+Q10*'Geometry'!$F$54)&gt;0,IF((O10+P10*'Geometry'!$G$54+Q10*'Geometry'!$F$54)&lt;=C_eco,C_alpha*C_fck*(1-(1-(O10+P10*'Geometry'!$G$54+Q10*'Geometry'!$F$54)/C_eco)^C_n),C_alpha*C_fck),0)))*'Geometry'!$H$54*'Geometry'!$G$54+((MAX(MIN(S_1_Es*(O10+P10*'Geometry'!$G$55+Q10*'Geometry'!$F$55),S_1_fy),-S_1_fy))-(IF((O10+P10*'Geometry'!$G$55+Q10*'Geometry'!$F$55)&gt;0,IF((O10+P10*'Geometry'!$G$55+Q10*'Geometry'!$F$55)&lt;=C_eco,C_alpha*C_fck*(1-(1-(O10+P10*'Geometry'!$G$55+Q10*'Geometry'!$F$55)/C_eco)^C_n),C_alpha*C_fck),0)))*'Geometry'!$H$55*'Geometry'!$G$55+((MAX(MIN(S_1_Es*(O10+P10*'Geometry'!$G$56+Q10*'Geometry'!$F$56),S_1_fy),-S_1_fy))-(IF((O10+P10*'Geometry'!$G$56+Q10*'Geometry'!$F$56)&gt;0,IF((O10+P10*'Geometry'!$G$56+Q10*'Geometry'!$F$56)&lt;=C_eco,C_alpha*C_fck*(1-(1-(O10+P10*'Geometry'!$G$56+Q10*'Geometry'!$F$56)/C_eco)^C_n),C_alpha*C_fck),0)))*'Geometry'!$H$56*'Geometry'!$G$56+((MAX(MIN(S_1_Es*(O10+P10*'Geometry'!$G$57+Q10*'Geometry'!$F$57),S_1_fy),-S_1_fy))-(IF((O10+P10*'Geometry'!$G$57+Q10*'Geometry'!$F$57)&gt;0,IF((O10+P10*'Geometry'!$G$57+Q10*'Geometry'!$F$57)&lt;=C_eco,C_alpha*C_fck*(1-(1-(O10+P10*'Geometry'!$G$57+Q10*'Geometry'!$F$57)/C_eco)^C_n),C_alpha*C_fck),0)))*'Geometry'!$H$57*'Geometry'!$G$57)/1000000</f>
        <v>1336.2985200922128</v>
      </c>
      <c r="W10" s="10">
        <f>(((MAX(MIN(S_1_Es*(O10+P10*'Geometry'!$G$40+Q10*'Geometry'!$F$40),S_1_fy),-S_1_fy))-(IF((O10+P10*'Geometry'!$G$40+Q10*'Geometry'!$F$40)&gt;0,IF((O10+P10*'Geometry'!$G$40+Q10*'Geometry'!$F$40)&lt;=C_eco,C_alpha*C_fck*(1-(1-(O10+P10*'Geometry'!$G$40+Q10*'Geometry'!$F$40)/C_eco)^C_n),C_alpha*C_fck),0)))*'Geometry'!$H$40*'Geometry'!$F$40+((MAX(MIN(S_1_Es*(O10+P10*'Geometry'!$G$41+Q10*'Geometry'!$F$41),S_1_fy),-S_1_fy))-(IF((O10+P10*'Geometry'!$G$41+Q10*'Geometry'!$F$41)&gt;0,IF((O10+P10*'Geometry'!$G$41+Q10*'Geometry'!$F$41)&lt;=C_eco,C_alpha*C_fck*(1-(1-(O10+P10*'Geometry'!$G$41+Q10*'Geometry'!$F$41)/C_eco)^C_n),C_alpha*C_fck),0)))*'Geometry'!$H$41*'Geometry'!$F$41+((MAX(MIN(S_1_Es*(O10+P10*'Geometry'!$G$42+Q10*'Geometry'!$F$42),S_1_fy),-S_1_fy))-(IF((O10+P10*'Geometry'!$G$42+Q10*'Geometry'!$F$42)&gt;0,IF((O10+P10*'Geometry'!$G$42+Q10*'Geometry'!$F$42)&lt;=C_eco,C_alpha*C_fck*(1-(1-(O10+P10*'Geometry'!$G$42+Q10*'Geometry'!$F$42)/C_eco)^C_n),C_alpha*C_fck),0)))*'Geometry'!$H$42*'Geometry'!$F$42+((MAX(MIN(S_1_Es*(O10+P10*'Geometry'!$G$43+Q10*'Geometry'!$F$43),S_1_fy),-S_1_fy))-(IF((O10+P10*'Geometry'!$G$43+Q10*'Geometry'!$F$43)&gt;0,IF((O10+P10*'Geometry'!$G$43+Q10*'Geometry'!$F$43)&lt;=C_eco,C_alpha*C_fck*(1-(1-(O10+P10*'Geometry'!$G$43+Q10*'Geometry'!$F$43)/C_eco)^C_n),C_alpha*C_fck),0)))*'Geometry'!$H$43*'Geometry'!$F$43+((MAX(MIN(S_1_Es*(O10+P10*'Geometry'!$G$44+Q10*'Geometry'!$F$44),S_1_fy),-S_1_fy))-(IF((O10+P10*'Geometry'!$G$44+Q10*'Geometry'!$F$44)&gt;0,IF((O10+P10*'Geometry'!$G$44+Q10*'Geometry'!$F$44)&lt;=C_eco,C_alpha*C_fck*(1-(1-(O10+P10*'Geometry'!$G$44+Q10*'Geometry'!$F$44)/C_eco)^C_n),C_alpha*C_fck),0)))*'Geometry'!$H$44*'Geometry'!$F$44+((MAX(MIN(S_1_Es*(O10+P10*'Geometry'!$G$45+Q10*'Geometry'!$F$45),S_1_fy),-S_1_fy))-(IF((O10+P10*'Geometry'!$G$45+Q10*'Geometry'!$F$45)&gt;0,IF((O10+P10*'Geometry'!$G$45+Q10*'Geometry'!$F$45)&lt;=C_eco,C_alpha*C_fck*(1-(1-(O10+P10*'Geometry'!$G$45+Q10*'Geometry'!$F$45)/C_eco)^C_n),C_alpha*C_fck),0)))*'Geometry'!$H$45*'Geometry'!$F$45+((MAX(MIN(S_1_Es*(O10+P10*'Geometry'!$G$46+Q10*'Geometry'!$F$46),S_1_fy),-S_1_fy))-(IF((O10+P10*'Geometry'!$G$46+Q10*'Geometry'!$F$46)&gt;0,IF((O10+P10*'Geometry'!$G$46+Q10*'Geometry'!$F$46)&lt;=C_eco,C_alpha*C_fck*(1-(1-(O10+P10*'Geometry'!$G$46+Q10*'Geometry'!$F$46)/C_eco)^C_n),C_alpha*C_fck),0)))*'Geometry'!$H$46*'Geometry'!$F$46+((MAX(MIN(S_1_Es*(O10+P10*'Geometry'!$G$47+Q10*'Geometry'!$F$47),S_1_fy),-S_1_fy))-(IF((O10+P10*'Geometry'!$G$47+Q10*'Geometry'!$F$47)&gt;0,IF((O10+P10*'Geometry'!$G$47+Q10*'Geometry'!$F$47)&lt;=C_eco,C_alpha*C_fck*(1-(1-(O10+P10*'Geometry'!$G$47+Q10*'Geometry'!$F$47)/C_eco)^C_n),C_alpha*C_fck),0)))*'Geometry'!$H$47*'Geometry'!$F$47+((MAX(MIN(S_1_Es*(O10+P10*'Geometry'!$G$48+Q10*'Geometry'!$F$48),S_1_fy),-S_1_fy))-(IF((O10+P10*'Geometry'!$G$48+Q10*'Geometry'!$F$48)&gt;0,IF((O10+P10*'Geometry'!$G$48+Q10*'Geometry'!$F$48)&lt;=C_eco,C_alpha*C_fck*(1-(1-(O10+P10*'Geometry'!$G$48+Q10*'Geometry'!$F$48)/C_eco)^C_n),C_alpha*C_fck),0)))*'Geometry'!$H$48*'Geometry'!$F$48+((MAX(MIN(S_1_Es*(O10+P10*'Geometry'!$G$49+Q10*'Geometry'!$F$49),S_1_fy),-S_1_fy))-(IF((O10+P10*'Geometry'!$G$49+Q10*'Geometry'!$F$49)&gt;0,IF((O10+P10*'Geometry'!$G$49+Q10*'Geometry'!$F$49)&lt;=C_eco,C_alpha*C_fck*(1-(1-(O10+P10*'Geometry'!$G$49+Q10*'Geometry'!$F$49)/C_eco)^C_n),C_alpha*C_fck),0)))*'Geometry'!$H$49*'Geometry'!$F$49+((MAX(MIN(S_1_Es*(O10+P10*'Geometry'!$G$50+Q10*'Geometry'!$F$50),S_1_fy),-S_1_fy))-(IF((O10+P10*'Geometry'!$G$50+Q10*'Geometry'!$F$50)&gt;0,IF((O10+P10*'Geometry'!$G$50+Q10*'Geometry'!$F$50)&lt;=C_eco,C_alpha*C_fck*(1-(1-(O10+P10*'Geometry'!$G$50+Q10*'Geometry'!$F$50)/C_eco)^C_n),C_alpha*C_fck),0)))*'Geometry'!$H$50*'Geometry'!$F$50+((MAX(MIN(S_1_Es*(O10+P10*'Geometry'!$G$51+Q10*'Geometry'!$F$51),S_1_fy),-S_1_fy))-(IF((O10+P10*'Geometry'!$G$51+Q10*'Geometry'!$F$51)&gt;0,IF((O10+P10*'Geometry'!$G$51+Q10*'Geometry'!$F$51)&lt;=C_eco,C_alpha*C_fck*(1-(1-(O10+P10*'Geometry'!$G$51+Q10*'Geometry'!$F$51)/C_eco)^C_n),C_alpha*C_fck),0)))*'Geometry'!$H$51*'Geometry'!$F$51+((MAX(MIN(S_1_Es*(O10+P10*'Geometry'!$G$52+Q10*'Geometry'!$F$52),S_1_fy),-S_1_fy))-(IF((O10+P10*'Geometry'!$G$52+Q10*'Geometry'!$F$52)&gt;0,IF((O10+P10*'Geometry'!$G$52+Q10*'Geometry'!$F$52)&lt;=C_eco,C_alpha*C_fck*(1-(1-(O10+P10*'Geometry'!$G$52+Q10*'Geometry'!$F$52)/C_eco)^C_n),C_alpha*C_fck),0)))*'Geometry'!$H$52*'Geometry'!$F$52+((MAX(MIN(S_1_Es*(O10+P10*'Geometry'!$G$53+Q10*'Geometry'!$F$53),S_1_fy),-S_1_fy))-(IF((O10+P10*'Geometry'!$G$53+Q10*'Geometry'!$F$53)&gt;0,IF((O10+P10*'Geometry'!$G$53+Q10*'Geometry'!$F$53)&lt;=C_eco,C_alpha*C_fck*(1-(1-(O10+P10*'Geometry'!$G$53+Q10*'Geometry'!$F$53)/C_eco)^C_n),C_alpha*C_fck),0)))*'Geometry'!$H$53*'Geometry'!$F$53+((MAX(MIN(S_1_Es*(O10+P10*'Geometry'!$G$54+Q10*'Geometry'!$F$54),S_1_fy),-S_1_fy))-(IF((O10+P10*'Geometry'!$G$54+Q10*'Geometry'!$F$54)&gt;0,IF((O10+P10*'Geometry'!$G$54+Q10*'Geometry'!$F$54)&lt;=C_eco,C_alpha*C_fck*(1-(1-(O10+P10*'Geometry'!$G$54+Q10*'Geometry'!$F$54)/C_eco)^C_n),C_alpha*C_fck),0)))*'Geometry'!$H$54*'Geometry'!$F$54+((MAX(MIN(S_1_Es*(O10+P10*'Geometry'!$G$55+Q10*'Geometry'!$F$55),S_1_fy),-S_1_fy))-(IF((O10+P10*'Geometry'!$G$55+Q10*'Geometry'!$F$55)&gt;0,IF((O10+P10*'Geometry'!$G$55+Q10*'Geometry'!$F$55)&lt;=C_eco,C_alpha*C_fck*(1-(1-(O10+P10*'Geometry'!$G$55+Q10*'Geometry'!$F$55)/C_eco)^C_n),C_alpha*C_fck),0)))*'Geometry'!$H$55*'Geometry'!$F$55+((MAX(MIN(S_1_Es*(O10+P10*'Geometry'!$G$56+Q10*'Geometry'!$F$56),S_1_fy),-S_1_fy))-(IF((O10+P10*'Geometry'!$G$56+Q10*'Geometry'!$F$56)&gt;0,IF((O10+P10*'Geometry'!$G$56+Q10*'Geometry'!$F$56)&lt;=C_eco,C_alpha*C_fck*(1-(1-(O10+P10*'Geometry'!$G$56+Q10*'Geometry'!$F$56)/C_eco)^C_n),C_alpha*C_fck),0)))*'Geometry'!$H$56*'Geometry'!$F$56+((MAX(MIN(S_1_Es*(O10+P10*'Geometry'!$G$57+Q10*'Geometry'!$F$57),S_1_fy),-S_1_fy))-(IF((O10+P10*'Geometry'!$G$57+Q10*'Geometry'!$F$57)&gt;0,IF((O10+P10*'Geometry'!$G$57+Q10*'Geometry'!$F$57)&lt;=C_eco,C_alpha*C_fck*(1-(1-(O10+P10*'Geometry'!$G$57+Q10*'Geometry'!$F$57)/C_eco)^C_n),C_alpha*C_fck),0)))*'Geometry'!$H$57*'Geometry'!$F$57)/1000000</f>
        <v>641.8736796483138</v>
      </c>
      <c r="X10" s="10">
        <f>R10+U10</f>
        <v>1074.998713935065</v>
      </c>
      <c r="Y10" s="10">
        <f>S10+V10</f>
        <v>3224.2752945236143</v>
      </c>
      <c r="Z10" s="10">
        <f>T10+W10</f>
        <v>2100.3232225853008</v>
      </c>
      <c r="AA10" s="7">
        <v>0.85</v>
      </c>
      <c r="AB10" s="7">
        <v>0.85</v>
      </c>
      <c r="AC10" s="10">
        <f>X10*AA10</f>
        <v>913.7489068448053</v>
      </c>
      <c r="AD10" s="10">
        <f>Y10*AB10</f>
        <v>2740.6340003450723</v>
      </c>
      <c r="AE10" s="10">
        <f>Z10*AB10</f>
        <v>1785.2747391975054</v>
      </c>
      <c r="AF10" s="7">
        <v>913.7489068448053</v>
      </c>
      <c r="AG10" s="7">
        <v>2740.6340003450723</v>
      </c>
      <c r="AH10" s="7">
        <v>1785.2747391975054</v>
      </c>
      <c r="AI10" s="15">
        <f>AC10-AF10</f>
        <v>0</v>
      </c>
      <c r="AJ10" s="15">
        <f>SQRT((AD10-AG10)^2+(AE10-AH10)^2)</f>
        <v>0</v>
      </c>
      <c r="AK10" s="7" t="s">
        <v>189</v>
      </c>
      <c r="AL10" s="7">
        <v>1074.998713935065</v>
      </c>
      <c r="AM10" s="7">
        <v>3224.2752945236143</v>
      </c>
      <c r="AN10" s="7">
        <v>2100.3232225853008</v>
      </c>
      <c r="AO10" s="7">
        <v>3980.792360315053</v>
      </c>
      <c r="AP10" s="7">
        <v>1887.9767744314015</v>
      </c>
      <c r="AQ10" s="7">
        <v>1458.449542936987</v>
      </c>
      <c r="AR10" s="7">
        <v>-2905.793646379988</v>
      </c>
      <c r="AS10" s="7">
        <v>1336.2985200922128</v>
      </c>
      <c r="AT10" s="7">
        <v>641.8736796483138</v>
      </c>
    </row>
    <row r="11" spans="1:46" x14ac:dyDescent="0.25">
      <c r="A11" s="7" t="s">
        <v>195</v>
      </c>
      <c r="B11" s="7">
        <v>1</v>
      </c>
      <c r="C11" s="18">
        <v>30</v>
      </c>
      <c r="D11" s="7" t="s">
        <v>269</v>
      </c>
      <c r="E11" s="7" t="s">
        <v>267</v>
      </c>
      <c r="F11" s="19">
        <v>30</v>
      </c>
      <c r="G11" s="7" t="s">
        <v>188</v>
      </c>
      <c r="H11" s="20">
        <v>4.999999999999999</v>
      </c>
      <c r="I11" s="10">
        <f>MAX(('Geometry'!$G$13*COS(RADIANS(F11))+'Geometry'!$F$13*SIN(RADIANS(F11))),('Geometry'!$G$14*COS(RADIANS(F11))+'Geometry'!$F$14*SIN(RADIANS(F11))),('Geometry'!$G$15*COS(RADIANS(F11))+'Geometry'!$F$15*SIN(RADIANS(F11))),('Geometry'!$G$16*COS(RADIANS(F11))+'Geometry'!$F$16*SIN(RADIANS(F11))),('Geometry'!$G$17*COS(RADIANS(F11))+'Geometry'!$F$17*SIN(RADIANS(F11))),('Geometry'!$G$18*COS(RADIANS(F11))+'Geometry'!$F$18*SIN(RADIANS(F11))),('Geometry'!$G$19*COS(RADIANS(F11))+'Geometry'!$F$19*SIN(RADIANS(F11))),('Geometry'!$G$20*COS(RADIANS(F11))+'Geometry'!$F$20*SIN(RADIANS(F11))))</f>
        <v>794.6152422706632</v>
      </c>
      <c r="J11" s="10">
        <f>MIN(('Geometry'!$G$40*COS(RADIANS(F11))+'Geometry'!$F$40*SIN(RADIANS(F11))),('Geometry'!$G$41*COS(RADIANS(F11))+'Geometry'!$F$41*SIN(RADIANS(F11))),('Geometry'!$G$42*COS(RADIANS(F11))+'Geometry'!$F$42*SIN(RADIANS(F11))),('Geometry'!$G$43*COS(RADIANS(F11))+'Geometry'!$F$43*SIN(RADIANS(F11))),('Geometry'!$G$44*COS(RADIANS(F11))+'Geometry'!$F$44*SIN(RADIANS(F11))),('Geometry'!$G$45*COS(RADIANS(F11))+'Geometry'!$F$45*SIN(RADIANS(F11))),('Geometry'!$G$46*COS(RADIANS(F11))+'Geometry'!$F$46*SIN(RADIANS(F11))),('Geometry'!$G$47*COS(RADIANS(F11))+'Geometry'!$F$47*SIN(RADIANS(F11))),('Geometry'!$G$48*COS(RADIANS(F11))+'Geometry'!$F$48*SIN(RADIANS(F11))),('Geometry'!$G$49*COS(RADIANS(F11))+'Geometry'!$F$49*SIN(RADIANS(F11))),('Geometry'!$G$50*COS(RADIANS(F11))+'Geometry'!$F$50*SIN(RADIANS(F11))),('Geometry'!$G$51*COS(RADIANS(F11))+'Geometry'!$F$51*SIN(RADIANS(F11))),('Geometry'!$G$52*COS(RADIANS(F11))+'Geometry'!$F$52*SIN(RADIANS(F11))),('Geometry'!$G$53*COS(RADIANS(F11))+'Geometry'!$F$53*SIN(RADIANS(F11))),('Geometry'!$G$54*COS(RADIANS(F11))+'Geometry'!$F$54*SIN(RADIANS(F11))),('Geometry'!$G$55*COS(RADIANS(F11))+'Geometry'!$F$55*SIN(RADIANS(F11))),('Geometry'!$G$56*COS(RADIANS(F11))+'Geometry'!$F$56*SIN(RADIANS(F11))),('Geometry'!$G$57*COS(RADIANS(F11))+'Geometry'!$F$57*SIN(RADIANS(F11))))</f>
        <v>-658.9934640057525</v>
      </c>
      <c r="K11" s="10">
        <f>I11-MIN(('Geometry'!$G$13*COS(RADIANS(F11))+'Geometry'!$F$13*SIN(RADIANS(F11))),('Geometry'!$G$14*COS(RADIANS(F11))+'Geometry'!$F$14*SIN(RADIANS(F11))),('Geometry'!$G$15*COS(RADIANS(F11))+'Geometry'!$F$15*SIN(RADIANS(F11))),('Geometry'!$G$16*COS(RADIANS(F11))+'Geometry'!$F$16*SIN(RADIANS(F11))),('Geometry'!$G$17*COS(RADIANS(F11))+'Geometry'!$F$17*SIN(RADIANS(F11))),('Geometry'!$G$18*COS(RADIANS(F11))+'Geometry'!$F$18*SIN(RADIANS(F11))),('Geometry'!$G$19*COS(RADIANS(F11))+'Geometry'!$F$19*SIN(RADIANS(F11))),('Geometry'!$G$20*COS(RADIANS(F11))+'Geometry'!$F$20*SIN(RADIANS(F11))))</f>
        <v>1589.2304845413264</v>
      </c>
      <c r="L11" s="15">
        <f>C_ecu</f>
        <v>0.0033</v>
      </c>
      <c r="M11" s="15">
        <f>-H11*S_1_fy/S_1_Es</f>
        <v>-0.009999999999999998</v>
      </c>
      <c r="N11" s="21">
        <f>IF(ABS(I11-J11)&lt;0.000000000001,0,(L11-M11)/(I11-J11))</f>
        <v>0.00000914964250184595</v>
      </c>
      <c r="O11" s="15">
        <f>L11-N11*I11</f>
        <v>-0.003970445393294277</v>
      </c>
      <c r="P11" s="21">
        <f>N11*COS(RADIANS(F11))</f>
        <v>0.0000079238228421444</v>
      </c>
      <c r="Q11" s="21">
        <f>N11*SIN(RADIANS(F11))</f>
        <v>0.000004574821250922974</v>
      </c>
      <c r="R11" s="10">
        <f>SUMPRODUCT(C_alpha*C_fck*(1-(1-(((O11+P11*Mesh_Y+Q11*Mesh_X))*((O11+P11*Mesh_Y+Q11*Mesh_X)&gt;0)*((O11+P11*Mesh_Y+Q11*Mesh_X)&lt;C_eco)+C_eco*((O11+P11*Mesh_Y+Q11*Mesh_X)&gt;=C_eco))/C_eco)^C_n)*(((O11+P11*Mesh_Y+Q11*Mesh_X))&gt;0),Mesh_A)/1000</f>
        <v>3643.547930094925</v>
      </c>
      <c r="S11" s="10">
        <f>SUMPRODUCT(C_alpha*C_fck*(1-(1-(((O11+P11*Mesh_Y+Q11*Mesh_X))*((O11+P11*Mesh_Y+Q11*Mesh_X)&gt;0)*((O11+P11*Mesh_Y+Q11*Mesh_X)&lt;C_eco)+C_eco*((O11+P11*Mesh_Y+Q11*Mesh_X)&gt;=C_eco))/C_eco)^C_n)*(((O11+P11*Mesh_Y+Q11*Mesh_X))&gt;0),Mesh_A,Mesh_Y)/1000000</f>
        <v>1618.7986815035697</v>
      </c>
      <c r="T11" s="10">
        <f>SUMPRODUCT(C_alpha*C_fck*(1-(1-(((O11+P11*Mesh_Y+Q11*Mesh_X))*((O11+P11*Mesh_Y+Q11*Mesh_X)&gt;0)*((O11+P11*Mesh_Y+Q11*Mesh_X)&lt;C_eco)+C_eco*((O11+P11*Mesh_Y+Q11*Mesh_X)&gt;=C_eco))/C_eco)^C_n)*(((O11+P11*Mesh_Y+Q11*Mesh_X))&gt;0),Mesh_A,Mesh_X)/1000000</f>
        <v>1674.9966553470163</v>
      </c>
      <c r="U11" s="10">
        <f>(((MAX(MIN(S_1_Es*(O11+P11*'Geometry'!$G$40+Q11*'Geometry'!$F$40),S_1_fy),-S_1_fy))-(IF((O11+P11*'Geometry'!$G$40+Q11*'Geometry'!$F$40)&gt;0,IF((O11+P11*'Geometry'!$G$40+Q11*'Geometry'!$F$40)&lt;=C_eco,C_alpha*C_fck*(1-(1-(O11+P11*'Geometry'!$G$40+Q11*'Geometry'!$F$40)/C_eco)^C_n),C_alpha*C_fck),0)))*'Geometry'!$H$40+((MAX(MIN(S_1_Es*(O11+P11*'Geometry'!$G$41+Q11*'Geometry'!$F$41),S_1_fy),-S_1_fy))-(IF((O11+P11*'Geometry'!$G$41+Q11*'Geometry'!$F$41)&gt;0,IF((O11+P11*'Geometry'!$G$41+Q11*'Geometry'!$F$41)&lt;=C_eco,C_alpha*C_fck*(1-(1-(O11+P11*'Geometry'!$G$41+Q11*'Geometry'!$F$41)/C_eco)^C_n),C_alpha*C_fck),0)))*'Geometry'!$H$41+((MAX(MIN(S_1_Es*(O11+P11*'Geometry'!$G$42+Q11*'Geometry'!$F$42),S_1_fy),-S_1_fy))-(IF((O11+P11*'Geometry'!$G$42+Q11*'Geometry'!$F$42)&gt;0,IF((O11+P11*'Geometry'!$G$42+Q11*'Geometry'!$F$42)&lt;=C_eco,C_alpha*C_fck*(1-(1-(O11+P11*'Geometry'!$G$42+Q11*'Geometry'!$F$42)/C_eco)^C_n),C_alpha*C_fck),0)))*'Geometry'!$H$42+((MAX(MIN(S_1_Es*(O11+P11*'Geometry'!$G$43+Q11*'Geometry'!$F$43),S_1_fy),-S_1_fy))-(IF((O11+P11*'Geometry'!$G$43+Q11*'Geometry'!$F$43)&gt;0,IF((O11+P11*'Geometry'!$G$43+Q11*'Geometry'!$F$43)&lt;=C_eco,C_alpha*C_fck*(1-(1-(O11+P11*'Geometry'!$G$43+Q11*'Geometry'!$F$43)/C_eco)^C_n),C_alpha*C_fck),0)))*'Geometry'!$H$43+((MAX(MIN(S_1_Es*(O11+P11*'Geometry'!$G$44+Q11*'Geometry'!$F$44),S_1_fy),-S_1_fy))-(IF((O11+P11*'Geometry'!$G$44+Q11*'Geometry'!$F$44)&gt;0,IF((O11+P11*'Geometry'!$G$44+Q11*'Geometry'!$F$44)&lt;=C_eco,C_alpha*C_fck*(1-(1-(O11+P11*'Geometry'!$G$44+Q11*'Geometry'!$F$44)/C_eco)^C_n),C_alpha*C_fck),0)))*'Geometry'!$H$44+((MAX(MIN(S_1_Es*(O11+P11*'Geometry'!$G$45+Q11*'Geometry'!$F$45),S_1_fy),-S_1_fy))-(IF((O11+P11*'Geometry'!$G$45+Q11*'Geometry'!$F$45)&gt;0,IF((O11+P11*'Geometry'!$G$45+Q11*'Geometry'!$F$45)&lt;=C_eco,C_alpha*C_fck*(1-(1-(O11+P11*'Geometry'!$G$45+Q11*'Geometry'!$F$45)/C_eco)^C_n),C_alpha*C_fck),0)))*'Geometry'!$H$45+((MAX(MIN(S_1_Es*(O11+P11*'Geometry'!$G$46+Q11*'Geometry'!$F$46),S_1_fy),-S_1_fy))-(IF((O11+P11*'Geometry'!$G$46+Q11*'Geometry'!$F$46)&gt;0,IF((O11+P11*'Geometry'!$G$46+Q11*'Geometry'!$F$46)&lt;=C_eco,C_alpha*C_fck*(1-(1-(O11+P11*'Geometry'!$G$46+Q11*'Geometry'!$F$46)/C_eco)^C_n),C_alpha*C_fck),0)))*'Geometry'!$H$46+((MAX(MIN(S_1_Es*(O11+P11*'Geometry'!$G$47+Q11*'Geometry'!$F$47),S_1_fy),-S_1_fy))-(IF((O11+P11*'Geometry'!$G$47+Q11*'Geometry'!$F$47)&gt;0,IF((O11+P11*'Geometry'!$G$47+Q11*'Geometry'!$F$47)&lt;=C_eco,C_alpha*C_fck*(1-(1-(O11+P11*'Geometry'!$G$47+Q11*'Geometry'!$F$47)/C_eco)^C_n),C_alpha*C_fck),0)))*'Geometry'!$H$47+((MAX(MIN(S_1_Es*(O11+P11*'Geometry'!$G$48+Q11*'Geometry'!$F$48),S_1_fy),-S_1_fy))-(IF((O11+P11*'Geometry'!$G$48+Q11*'Geometry'!$F$48)&gt;0,IF((O11+P11*'Geometry'!$G$48+Q11*'Geometry'!$F$48)&lt;=C_eco,C_alpha*C_fck*(1-(1-(O11+P11*'Geometry'!$G$48+Q11*'Geometry'!$F$48)/C_eco)^C_n),C_alpha*C_fck),0)))*'Geometry'!$H$48+((MAX(MIN(S_1_Es*(O11+P11*'Geometry'!$G$49+Q11*'Geometry'!$F$49),S_1_fy),-S_1_fy))-(IF((O11+P11*'Geometry'!$G$49+Q11*'Geometry'!$F$49)&gt;0,IF((O11+P11*'Geometry'!$G$49+Q11*'Geometry'!$F$49)&lt;=C_eco,C_alpha*C_fck*(1-(1-(O11+P11*'Geometry'!$G$49+Q11*'Geometry'!$F$49)/C_eco)^C_n),C_alpha*C_fck),0)))*'Geometry'!$H$49+((MAX(MIN(S_1_Es*(O11+P11*'Geometry'!$G$50+Q11*'Geometry'!$F$50),S_1_fy),-S_1_fy))-(IF((O11+P11*'Geometry'!$G$50+Q11*'Geometry'!$F$50)&gt;0,IF((O11+P11*'Geometry'!$G$50+Q11*'Geometry'!$F$50)&lt;=C_eco,C_alpha*C_fck*(1-(1-(O11+P11*'Geometry'!$G$50+Q11*'Geometry'!$F$50)/C_eco)^C_n),C_alpha*C_fck),0)))*'Geometry'!$H$50+((MAX(MIN(S_1_Es*(O11+P11*'Geometry'!$G$51+Q11*'Geometry'!$F$51),S_1_fy),-S_1_fy))-(IF((O11+P11*'Geometry'!$G$51+Q11*'Geometry'!$F$51)&gt;0,IF((O11+P11*'Geometry'!$G$51+Q11*'Geometry'!$F$51)&lt;=C_eco,C_alpha*C_fck*(1-(1-(O11+P11*'Geometry'!$G$51+Q11*'Geometry'!$F$51)/C_eco)^C_n),C_alpha*C_fck),0)))*'Geometry'!$H$51+((MAX(MIN(S_1_Es*(O11+P11*'Geometry'!$G$52+Q11*'Geometry'!$F$52),S_1_fy),-S_1_fy))-(IF((O11+P11*'Geometry'!$G$52+Q11*'Geometry'!$F$52)&gt;0,IF((O11+P11*'Geometry'!$G$52+Q11*'Geometry'!$F$52)&lt;=C_eco,C_alpha*C_fck*(1-(1-(O11+P11*'Geometry'!$G$52+Q11*'Geometry'!$F$52)/C_eco)^C_n),C_alpha*C_fck),0)))*'Geometry'!$H$52+((MAX(MIN(S_1_Es*(O11+P11*'Geometry'!$G$53+Q11*'Geometry'!$F$53),S_1_fy),-S_1_fy))-(IF((O11+P11*'Geometry'!$G$53+Q11*'Geometry'!$F$53)&gt;0,IF((O11+P11*'Geometry'!$G$53+Q11*'Geometry'!$F$53)&lt;=C_eco,C_alpha*C_fck*(1-(1-(O11+P11*'Geometry'!$G$53+Q11*'Geometry'!$F$53)/C_eco)^C_n),C_alpha*C_fck),0)))*'Geometry'!$H$53+((MAX(MIN(S_1_Es*(O11+P11*'Geometry'!$G$54+Q11*'Geometry'!$F$54),S_1_fy),-S_1_fy))-(IF((O11+P11*'Geometry'!$G$54+Q11*'Geometry'!$F$54)&gt;0,IF((O11+P11*'Geometry'!$G$54+Q11*'Geometry'!$F$54)&lt;=C_eco,C_alpha*C_fck*(1-(1-(O11+P11*'Geometry'!$G$54+Q11*'Geometry'!$F$54)/C_eco)^C_n),C_alpha*C_fck),0)))*'Geometry'!$H$54+((MAX(MIN(S_1_Es*(O11+P11*'Geometry'!$G$55+Q11*'Geometry'!$F$55),S_1_fy),-S_1_fy))-(IF((O11+P11*'Geometry'!$G$55+Q11*'Geometry'!$F$55)&gt;0,IF((O11+P11*'Geometry'!$G$55+Q11*'Geometry'!$F$55)&lt;=C_eco,C_alpha*C_fck*(1-(1-(O11+P11*'Geometry'!$G$55+Q11*'Geometry'!$F$55)/C_eco)^C_n),C_alpha*C_fck),0)))*'Geometry'!$H$55+((MAX(MIN(S_1_Es*(O11+P11*'Geometry'!$G$56+Q11*'Geometry'!$F$56),S_1_fy),-S_1_fy))-(IF((O11+P11*'Geometry'!$G$56+Q11*'Geometry'!$F$56)&gt;0,IF((O11+P11*'Geometry'!$G$56+Q11*'Geometry'!$F$56)&lt;=C_eco,C_alpha*C_fck*(1-(1-(O11+P11*'Geometry'!$G$56+Q11*'Geometry'!$F$56)/C_eco)^C_n),C_alpha*C_fck),0)))*'Geometry'!$H$56+((MAX(MIN(S_1_Es*(O11+P11*'Geometry'!$G$57+Q11*'Geometry'!$F$57),S_1_fy),-S_1_fy))-(IF((O11+P11*'Geometry'!$G$57+Q11*'Geometry'!$F$57)&gt;0,IF((O11+P11*'Geometry'!$G$57+Q11*'Geometry'!$F$57)&lt;=C_eco,C_alpha*C_fck*(1-(1-(O11+P11*'Geometry'!$G$57+Q11*'Geometry'!$F$57)/C_eco)^C_n),C_alpha*C_fck),0)))*'Geometry'!$H$57)/1000</f>
        <v>-3135.6073900923475</v>
      </c>
      <c r="V11" s="10">
        <f>(((MAX(MIN(S_1_Es*(O11+P11*'Geometry'!$G$40+Q11*'Geometry'!$F$40),S_1_fy),-S_1_fy))-(IF((O11+P11*'Geometry'!$G$40+Q11*'Geometry'!$F$40)&gt;0,IF((O11+P11*'Geometry'!$G$40+Q11*'Geometry'!$F$40)&lt;=C_eco,C_alpha*C_fck*(1-(1-(O11+P11*'Geometry'!$G$40+Q11*'Geometry'!$F$40)/C_eco)^C_n),C_alpha*C_fck),0)))*'Geometry'!$H$40*'Geometry'!$G$40+((MAX(MIN(S_1_Es*(O11+P11*'Geometry'!$G$41+Q11*'Geometry'!$F$41),S_1_fy),-S_1_fy))-(IF((O11+P11*'Geometry'!$G$41+Q11*'Geometry'!$F$41)&gt;0,IF((O11+P11*'Geometry'!$G$41+Q11*'Geometry'!$F$41)&lt;=C_eco,C_alpha*C_fck*(1-(1-(O11+P11*'Geometry'!$G$41+Q11*'Geometry'!$F$41)/C_eco)^C_n),C_alpha*C_fck),0)))*'Geometry'!$H$41*'Geometry'!$G$41+((MAX(MIN(S_1_Es*(O11+P11*'Geometry'!$G$42+Q11*'Geometry'!$F$42),S_1_fy),-S_1_fy))-(IF((O11+P11*'Geometry'!$G$42+Q11*'Geometry'!$F$42)&gt;0,IF((O11+P11*'Geometry'!$G$42+Q11*'Geometry'!$F$42)&lt;=C_eco,C_alpha*C_fck*(1-(1-(O11+P11*'Geometry'!$G$42+Q11*'Geometry'!$F$42)/C_eco)^C_n),C_alpha*C_fck),0)))*'Geometry'!$H$42*'Geometry'!$G$42+((MAX(MIN(S_1_Es*(O11+P11*'Geometry'!$G$43+Q11*'Geometry'!$F$43),S_1_fy),-S_1_fy))-(IF((O11+P11*'Geometry'!$G$43+Q11*'Geometry'!$F$43)&gt;0,IF((O11+P11*'Geometry'!$G$43+Q11*'Geometry'!$F$43)&lt;=C_eco,C_alpha*C_fck*(1-(1-(O11+P11*'Geometry'!$G$43+Q11*'Geometry'!$F$43)/C_eco)^C_n),C_alpha*C_fck),0)))*'Geometry'!$H$43*'Geometry'!$G$43+((MAX(MIN(S_1_Es*(O11+P11*'Geometry'!$G$44+Q11*'Geometry'!$F$44),S_1_fy),-S_1_fy))-(IF((O11+P11*'Geometry'!$G$44+Q11*'Geometry'!$F$44)&gt;0,IF((O11+P11*'Geometry'!$G$44+Q11*'Geometry'!$F$44)&lt;=C_eco,C_alpha*C_fck*(1-(1-(O11+P11*'Geometry'!$G$44+Q11*'Geometry'!$F$44)/C_eco)^C_n),C_alpha*C_fck),0)))*'Geometry'!$H$44*'Geometry'!$G$44+((MAX(MIN(S_1_Es*(O11+P11*'Geometry'!$G$45+Q11*'Geometry'!$F$45),S_1_fy),-S_1_fy))-(IF((O11+P11*'Geometry'!$G$45+Q11*'Geometry'!$F$45)&gt;0,IF((O11+P11*'Geometry'!$G$45+Q11*'Geometry'!$F$45)&lt;=C_eco,C_alpha*C_fck*(1-(1-(O11+P11*'Geometry'!$G$45+Q11*'Geometry'!$F$45)/C_eco)^C_n),C_alpha*C_fck),0)))*'Geometry'!$H$45*'Geometry'!$G$45+((MAX(MIN(S_1_Es*(O11+P11*'Geometry'!$G$46+Q11*'Geometry'!$F$46),S_1_fy),-S_1_fy))-(IF((O11+P11*'Geometry'!$G$46+Q11*'Geometry'!$F$46)&gt;0,IF((O11+P11*'Geometry'!$G$46+Q11*'Geometry'!$F$46)&lt;=C_eco,C_alpha*C_fck*(1-(1-(O11+P11*'Geometry'!$G$46+Q11*'Geometry'!$F$46)/C_eco)^C_n),C_alpha*C_fck),0)))*'Geometry'!$H$46*'Geometry'!$G$46+((MAX(MIN(S_1_Es*(O11+P11*'Geometry'!$G$47+Q11*'Geometry'!$F$47),S_1_fy),-S_1_fy))-(IF((O11+P11*'Geometry'!$G$47+Q11*'Geometry'!$F$47)&gt;0,IF((O11+P11*'Geometry'!$G$47+Q11*'Geometry'!$F$47)&lt;=C_eco,C_alpha*C_fck*(1-(1-(O11+P11*'Geometry'!$G$47+Q11*'Geometry'!$F$47)/C_eco)^C_n),C_alpha*C_fck),0)))*'Geometry'!$H$47*'Geometry'!$G$47+((MAX(MIN(S_1_Es*(O11+P11*'Geometry'!$G$48+Q11*'Geometry'!$F$48),S_1_fy),-S_1_fy))-(IF((O11+P11*'Geometry'!$G$48+Q11*'Geometry'!$F$48)&gt;0,IF((O11+P11*'Geometry'!$G$48+Q11*'Geometry'!$F$48)&lt;=C_eco,C_alpha*C_fck*(1-(1-(O11+P11*'Geometry'!$G$48+Q11*'Geometry'!$F$48)/C_eco)^C_n),C_alpha*C_fck),0)))*'Geometry'!$H$48*'Geometry'!$G$48+((MAX(MIN(S_1_Es*(O11+P11*'Geometry'!$G$49+Q11*'Geometry'!$F$49),S_1_fy),-S_1_fy))-(IF((O11+P11*'Geometry'!$G$49+Q11*'Geometry'!$F$49)&gt;0,IF((O11+P11*'Geometry'!$G$49+Q11*'Geometry'!$F$49)&lt;=C_eco,C_alpha*C_fck*(1-(1-(O11+P11*'Geometry'!$G$49+Q11*'Geometry'!$F$49)/C_eco)^C_n),C_alpha*C_fck),0)))*'Geometry'!$H$49*'Geometry'!$G$49+((MAX(MIN(S_1_Es*(O11+P11*'Geometry'!$G$50+Q11*'Geometry'!$F$50),S_1_fy),-S_1_fy))-(IF((O11+P11*'Geometry'!$G$50+Q11*'Geometry'!$F$50)&gt;0,IF((O11+P11*'Geometry'!$G$50+Q11*'Geometry'!$F$50)&lt;=C_eco,C_alpha*C_fck*(1-(1-(O11+P11*'Geometry'!$G$50+Q11*'Geometry'!$F$50)/C_eco)^C_n),C_alpha*C_fck),0)))*'Geometry'!$H$50*'Geometry'!$G$50+((MAX(MIN(S_1_Es*(O11+P11*'Geometry'!$G$51+Q11*'Geometry'!$F$51),S_1_fy),-S_1_fy))-(IF((O11+P11*'Geometry'!$G$51+Q11*'Geometry'!$F$51)&gt;0,IF((O11+P11*'Geometry'!$G$51+Q11*'Geometry'!$F$51)&lt;=C_eco,C_alpha*C_fck*(1-(1-(O11+P11*'Geometry'!$G$51+Q11*'Geometry'!$F$51)/C_eco)^C_n),C_alpha*C_fck),0)))*'Geometry'!$H$51*'Geometry'!$G$51+((MAX(MIN(S_1_Es*(O11+P11*'Geometry'!$G$52+Q11*'Geometry'!$F$52),S_1_fy),-S_1_fy))-(IF((O11+P11*'Geometry'!$G$52+Q11*'Geometry'!$F$52)&gt;0,IF((O11+P11*'Geometry'!$G$52+Q11*'Geometry'!$F$52)&lt;=C_eco,C_alpha*C_fck*(1-(1-(O11+P11*'Geometry'!$G$52+Q11*'Geometry'!$F$52)/C_eco)^C_n),C_alpha*C_fck),0)))*'Geometry'!$H$52*'Geometry'!$G$52+((MAX(MIN(S_1_Es*(O11+P11*'Geometry'!$G$53+Q11*'Geometry'!$F$53),S_1_fy),-S_1_fy))-(IF((O11+P11*'Geometry'!$G$53+Q11*'Geometry'!$F$53)&gt;0,IF((O11+P11*'Geometry'!$G$53+Q11*'Geometry'!$F$53)&lt;=C_eco,C_alpha*C_fck*(1-(1-(O11+P11*'Geometry'!$G$53+Q11*'Geometry'!$F$53)/C_eco)^C_n),C_alpha*C_fck),0)))*'Geometry'!$H$53*'Geometry'!$G$53+((MAX(MIN(S_1_Es*(O11+P11*'Geometry'!$G$54+Q11*'Geometry'!$F$54),S_1_fy),-S_1_fy))-(IF((O11+P11*'Geometry'!$G$54+Q11*'Geometry'!$F$54)&gt;0,IF((O11+P11*'Geometry'!$G$54+Q11*'Geometry'!$F$54)&lt;=C_eco,C_alpha*C_fck*(1-(1-(O11+P11*'Geometry'!$G$54+Q11*'Geometry'!$F$54)/C_eco)^C_n),C_alpha*C_fck),0)))*'Geometry'!$H$54*'Geometry'!$G$54+((MAX(MIN(S_1_Es*(O11+P11*'Geometry'!$G$55+Q11*'Geometry'!$F$55),S_1_fy),-S_1_fy))-(IF((O11+P11*'Geometry'!$G$55+Q11*'Geometry'!$F$55)&gt;0,IF((O11+P11*'Geometry'!$G$55+Q11*'Geometry'!$F$55)&lt;=C_eco,C_alpha*C_fck*(1-(1-(O11+P11*'Geometry'!$G$55+Q11*'Geometry'!$F$55)/C_eco)^C_n),C_alpha*C_fck),0)))*'Geometry'!$H$55*'Geometry'!$G$55+((MAX(MIN(S_1_Es*(O11+P11*'Geometry'!$G$56+Q11*'Geometry'!$F$56),S_1_fy),-S_1_fy))-(IF((O11+P11*'Geometry'!$G$56+Q11*'Geometry'!$F$56)&gt;0,IF((O11+P11*'Geometry'!$G$56+Q11*'Geometry'!$F$56)&lt;=C_eco,C_alpha*C_fck*(1-(1-(O11+P11*'Geometry'!$G$56+Q11*'Geometry'!$F$56)/C_eco)^C_n),C_alpha*C_fck),0)))*'Geometry'!$H$56*'Geometry'!$G$56+((MAX(MIN(S_1_Es*(O11+P11*'Geometry'!$G$57+Q11*'Geometry'!$F$57),S_1_fy),-S_1_fy))-(IF((O11+P11*'Geometry'!$G$57+Q11*'Geometry'!$F$57)&gt;0,IF((O11+P11*'Geometry'!$G$57+Q11*'Geometry'!$F$57)&lt;=C_eco,C_alpha*C_fck*(1-(1-(O11+P11*'Geometry'!$G$57+Q11*'Geometry'!$F$57)/C_eco)^C_n),C_alpha*C_fck),0)))*'Geometry'!$H$57*'Geometry'!$G$57)/1000000</f>
        <v>1112.492034239872</v>
      </c>
      <c r="W11" s="10">
        <f>(((MAX(MIN(S_1_Es*(O11+P11*'Geometry'!$G$40+Q11*'Geometry'!$F$40),S_1_fy),-S_1_fy))-(IF((O11+P11*'Geometry'!$G$40+Q11*'Geometry'!$F$40)&gt;0,IF((O11+P11*'Geometry'!$G$40+Q11*'Geometry'!$F$40)&lt;=C_eco,C_alpha*C_fck*(1-(1-(O11+P11*'Geometry'!$G$40+Q11*'Geometry'!$F$40)/C_eco)^C_n),C_alpha*C_fck),0)))*'Geometry'!$H$40*'Geometry'!$F$40+((MAX(MIN(S_1_Es*(O11+P11*'Geometry'!$G$41+Q11*'Geometry'!$F$41),S_1_fy),-S_1_fy))-(IF((O11+P11*'Geometry'!$G$41+Q11*'Geometry'!$F$41)&gt;0,IF((O11+P11*'Geometry'!$G$41+Q11*'Geometry'!$F$41)&lt;=C_eco,C_alpha*C_fck*(1-(1-(O11+P11*'Geometry'!$G$41+Q11*'Geometry'!$F$41)/C_eco)^C_n),C_alpha*C_fck),0)))*'Geometry'!$H$41*'Geometry'!$F$41+((MAX(MIN(S_1_Es*(O11+P11*'Geometry'!$G$42+Q11*'Geometry'!$F$42),S_1_fy),-S_1_fy))-(IF((O11+P11*'Geometry'!$G$42+Q11*'Geometry'!$F$42)&gt;0,IF((O11+P11*'Geometry'!$G$42+Q11*'Geometry'!$F$42)&lt;=C_eco,C_alpha*C_fck*(1-(1-(O11+P11*'Geometry'!$G$42+Q11*'Geometry'!$F$42)/C_eco)^C_n),C_alpha*C_fck),0)))*'Geometry'!$H$42*'Geometry'!$F$42+((MAX(MIN(S_1_Es*(O11+P11*'Geometry'!$G$43+Q11*'Geometry'!$F$43),S_1_fy),-S_1_fy))-(IF((O11+P11*'Geometry'!$G$43+Q11*'Geometry'!$F$43)&gt;0,IF((O11+P11*'Geometry'!$G$43+Q11*'Geometry'!$F$43)&lt;=C_eco,C_alpha*C_fck*(1-(1-(O11+P11*'Geometry'!$G$43+Q11*'Geometry'!$F$43)/C_eco)^C_n),C_alpha*C_fck),0)))*'Geometry'!$H$43*'Geometry'!$F$43+((MAX(MIN(S_1_Es*(O11+P11*'Geometry'!$G$44+Q11*'Geometry'!$F$44),S_1_fy),-S_1_fy))-(IF((O11+P11*'Geometry'!$G$44+Q11*'Geometry'!$F$44)&gt;0,IF((O11+P11*'Geometry'!$G$44+Q11*'Geometry'!$F$44)&lt;=C_eco,C_alpha*C_fck*(1-(1-(O11+P11*'Geometry'!$G$44+Q11*'Geometry'!$F$44)/C_eco)^C_n),C_alpha*C_fck),0)))*'Geometry'!$H$44*'Geometry'!$F$44+((MAX(MIN(S_1_Es*(O11+P11*'Geometry'!$G$45+Q11*'Geometry'!$F$45),S_1_fy),-S_1_fy))-(IF((O11+P11*'Geometry'!$G$45+Q11*'Geometry'!$F$45)&gt;0,IF((O11+P11*'Geometry'!$G$45+Q11*'Geometry'!$F$45)&lt;=C_eco,C_alpha*C_fck*(1-(1-(O11+P11*'Geometry'!$G$45+Q11*'Geometry'!$F$45)/C_eco)^C_n),C_alpha*C_fck),0)))*'Geometry'!$H$45*'Geometry'!$F$45+((MAX(MIN(S_1_Es*(O11+P11*'Geometry'!$G$46+Q11*'Geometry'!$F$46),S_1_fy),-S_1_fy))-(IF((O11+P11*'Geometry'!$G$46+Q11*'Geometry'!$F$46)&gt;0,IF((O11+P11*'Geometry'!$G$46+Q11*'Geometry'!$F$46)&lt;=C_eco,C_alpha*C_fck*(1-(1-(O11+P11*'Geometry'!$G$46+Q11*'Geometry'!$F$46)/C_eco)^C_n),C_alpha*C_fck),0)))*'Geometry'!$H$46*'Geometry'!$F$46+((MAX(MIN(S_1_Es*(O11+P11*'Geometry'!$G$47+Q11*'Geometry'!$F$47),S_1_fy),-S_1_fy))-(IF((O11+P11*'Geometry'!$G$47+Q11*'Geometry'!$F$47)&gt;0,IF((O11+P11*'Geometry'!$G$47+Q11*'Geometry'!$F$47)&lt;=C_eco,C_alpha*C_fck*(1-(1-(O11+P11*'Geometry'!$G$47+Q11*'Geometry'!$F$47)/C_eco)^C_n),C_alpha*C_fck),0)))*'Geometry'!$H$47*'Geometry'!$F$47+((MAX(MIN(S_1_Es*(O11+P11*'Geometry'!$G$48+Q11*'Geometry'!$F$48),S_1_fy),-S_1_fy))-(IF((O11+P11*'Geometry'!$G$48+Q11*'Geometry'!$F$48)&gt;0,IF((O11+P11*'Geometry'!$G$48+Q11*'Geometry'!$F$48)&lt;=C_eco,C_alpha*C_fck*(1-(1-(O11+P11*'Geometry'!$G$48+Q11*'Geometry'!$F$48)/C_eco)^C_n),C_alpha*C_fck),0)))*'Geometry'!$H$48*'Geometry'!$F$48+((MAX(MIN(S_1_Es*(O11+P11*'Geometry'!$G$49+Q11*'Geometry'!$F$49),S_1_fy),-S_1_fy))-(IF((O11+P11*'Geometry'!$G$49+Q11*'Geometry'!$F$49)&gt;0,IF((O11+P11*'Geometry'!$G$49+Q11*'Geometry'!$F$49)&lt;=C_eco,C_alpha*C_fck*(1-(1-(O11+P11*'Geometry'!$G$49+Q11*'Geometry'!$F$49)/C_eco)^C_n),C_alpha*C_fck),0)))*'Geometry'!$H$49*'Geometry'!$F$49+((MAX(MIN(S_1_Es*(O11+P11*'Geometry'!$G$50+Q11*'Geometry'!$F$50),S_1_fy),-S_1_fy))-(IF((O11+P11*'Geometry'!$G$50+Q11*'Geometry'!$F$50)&gt;0,IF((O11+P11*'Geometry'!$G$50+Q11*'Geometry'!$F$50)&lt;=C_eco,C_alpha*C_fck*(1-(1-(O11+P11*'Geometry'!$G$50+Q11*'Geometry'!$F$50)/C_eco)^C_n),C_alpha*C_fck),0)))*'Geometry'!$H$50*'Geometry'!$F$50+((MAX(MIN(S_1_Es*(O11+P11*'Geometry'!$G$51+Q11*'Geometry'!$F$51),S_1_fy),-S_1_fy))-(IF((O11+P11*'Geometry'!$G$51+Q11*'Geometry'!$F$51)&gt;0,IF((O11+P11*'Geometry'!$G$51+Q11*'Geometry'!$F$51)&lt;=C_eco,C_alpha*C_fck*(1-(1-(O11+P11*'Geometry'!$G$51+Q11*'Geometry'!$F$51)/C_eco)^C_n),C_alpha*C_fck),0)))*'Geometry'!$H$51*'Geometry'!$F$51+((MAX(MIN(S_1_Es*(O11+P11*'Geometry'!$G$52+Q11*'Geometry'!$F$52),S_1_fy),-S_1_fy))-(IF((O11+P11*'Geometry'!$G$52+Q11*'Geometry'!$F$52)&gt;0,IF((O11+P11*'Geometry'!$G$52+Q11*'Geometry'!$F$52)&lt;=C_eco,C_alpha*C_fck*(1-(1-(O11+P11*'Geometry'!$G$52+Q11*'Geometry'!$F$52)/C_eco)^C_n),C_alpha*C_fck),0)))*'Geometry'!$H$52*'Geometry'!$F$52+((MAX(MIN(S_1_Es*(O11+P11*'Geometry'!$G$53+Q11*'Geometry'!$F$53),S_1_fy),-S_1_fy))-(IF((O11+P11*'Geometry'!$G$53+Q11*'Geometry'!$F$53)&gt;0,IF((O11+P11*'Geometry'!$G$53+Q11*'Geometry'!$F$53)&lt;=C_eco,C_alpha*C_fck*(1-(1-(O11+P11*'Geometry'!$G$53+Q11*'Geometry'!$F$53)/C_eco)^C_n),C_alpha*C_fck),0)))*'Geometry'!$H$53*'Geometry'!$F$53+((MAX(MIN(S_1_Es*(O11+P11*'Geometry'!$G$54+Q11*'Geometry'!$F$54),S_1_fy),-S_1_fy))-(IF((O11+P11*'Geometry'!$G$54+Q11*'Geometry'!$F$54)&gt;0,IF((O11+P11*'Geometry'!$G$54+Q11*'Geometry'!$F$54)&lt;=C_eco,C_alpha*C_fck*(1-(1-(O11+P11*'Geometry'!$G$54+Q11*'Geometry'!$F$54)/C_eco)^C_n),C_alpha*C_fck),0)))*'Geometry'!$H$54*'Geometry'!$F$54+((MAX(MIN(S_1_Es*(O11+P11*'Geometry'!$G$55+Q11*'Geometry'!$F$55),S_1_fy),-S_1_fy))-(IF((O11+P11*'Geometry'!$G$55+Q11*'Geometry'!$F$55)&gt;0,IF((O11+P11*'Geometry'!$G$55+Q11*'Geometry'!$F$55)&lt;=C_eco,C_alpha*C_fck*(1-(1-(O11+P11*'Geometry'!$G$55+Q11*'Geometry'!$F$55)/C_eco)^C_n),C_alpha*C_fck),0)))*'Geometry'!$H$55*'Geometry'!$F$55+((MAX(MIN(S_1_Es*(O11+P11*'Geometry'!$G$56+Q11*'Geometry'!$F$56),S_1_fy),-S_1_fy))-(IF((O11+P11*'Geometry'!$G$56+Q11*'Geometry'!$F$56)&gt;0,IF((O11+P11*'Geometry'!$G$56+Q11*'Geometry'!$F$56)&lt;=C_eco,C_alpha*C_fck*(1-(1-(O11+P11*'Geometry'!$G$56+Q11*'Geometry'!$F$56)/C_eco)^C_n),C_alpha*C_fck),0)))*'Geometry'!$H$56*'Geometry'!$F$56+((MAX(MIN(S_1_Es*(O11+P11*'Geometry'!$G$57+Q11*'Geometry'!$F$57),S_1_fy),-S_1_fy))-(IF((O11+P11*'Geometry'!$G$57+Q11*'Geometry'!$F$57)&gt;0,IF((O11+P11*'Geometry'!$G$57+Q11*'Geometry'!$F$57)&lt;=C_eco,C_alpha*C_fck*(1-(1-(O11+P11*'Geometry'!$G$57+Q11*'Geometry'!$F$57)/C_eco)^C_n),C_alpha*C_fck),0)))*'Geometry'!$H$57*'Geometry'!$F$57)/1000000</f>
        <v>900.0725685380951</v>
      </c>
      <c r="X11" s="10">
        <f>R11+U11</f>
        <v>507.94054000257796</v>
      </c>
      <c r="Y11" s="10">
        <f>S11+V11</f>
        <v>2731.2907157434415</v>
      </c>
      <c r="Z11" s="10">
        <f>T11+W11</f>
        <v>2575.069223885111</v>
      </c>
      <c r="AA11" s="7">
        <v>0.85</v>
      </c>
      <c r="AB11" s="7">
        <v>0.8500000000000001</v>
      </c>
      <c r="AC11" s="10">
        <f>X11*AA11</f>
        <v>431.74945900219126</v>
      </c>
      <c r="AD11" s="10">
        <f>Y11*AB11</f>
        <v>2321.597108381925</v>
      </c>
      <c r="AE11" s="10">
        <f>Z11*AB11</f>
        <v>2188.808840302345</v>
      </c>
      <c r="AF11" s="7">
        <v>431.74945900219126</v>
      </c>
      <c r="AG11" s="7">
        <v>2321.597108381925</v>
      </c>
      <c r="AH11" s="7">
        <v>2188.808840302345</v>
      </c>
      <c r="AI11" s="15">
        <f>AC11-AF11</f>
        <v>0</v>
      </c>
      <c r="AJ11" s="15">
        <f>SQRT((AD11-AG11)^2+(AE11-AH11)^2)</f>
        <v>0</v>
      </c>
      <c r="AK11" s="7" t="s">
        <v>189</v>
      </c>
      <c r="AL11" s="7">
        <v>507.94054000257796</v>
      </c>
      <c r="AM11" s="7">
        <v>2731.2907157434415</v>
      </c>
      <c r="AN11" s="7">
        <v>2575.069223885111</v>
      </c>
      <c r="AO11" s="7">
        <v>3643.547930094925</v>
      </c>
      <c r="AP11" s="7">
        <v>1618.7986815035697</v>
      </c>
      <c r="AQ11" s="7">
        <v>1674.9966553470163</v>
      </c>
      <c r="AR11" s="7">
        <v>-3135.6073900923475</v>
      </c>
      <c r="AS11" s="7">
        <v>1112.492034239872</v>
      </c>
      <c r="AT11" s="7">
        <v>900.0725685380951</v>
      </c>
    </row>
    <row r="12" spans="1:46" x14ac:dyDescent="0.25">
      <c r="A12" s="7" t="s">
        <v>197</v>
      </c>
      <c r="B12" s="7">
        <v>1</v>
      </c>
      <c r="C12" s="18">
        <v>40</v>
      </c>
      <c r="D12" s="7" t="s">
        <v>270</v>
      </c>
      <c r="E12" s="7" t="s">
        <v>267</v>
      </c>
      <c r="F12" s="19">
        <v>40</v>
      </c>
      <c r="G12" s="7" t="s">
        <v>188</v>
      </c>
      <c r="H12" s="20">
        <v>5.000000000000001</v>
      </c>
      <c r="I12" s="10">
        <f>MAX(('Geometry'!$G$13*COS(RADIANS(F12))+'Geometry'!$F$13*SIN(RADIANS(F12))),('Geometry'!$G$14*COS(RADIANS(F12))+'Geometry'!$F$14*SIN(RADIANS(F12))),('Geometry'!$G$15*COS(RADIANS(F12))+'Geometry'!$F$15*SIN(RADIANS(F12))),('Geometry'!$G$16*COS(RADIANS(F12))+'Geometry'!$F$16*SIN(RADIANS(F12))),('Geometry'!$G$17*COS(RADIANS(F12))+'Geometry'!$F$17*SIN(RADIANS(F12))),('Geometry'!$G$18*COS(RADIANS(F12))+'Geometry'!$F$18*SIN(RADIANS(F12))),('Geometry'!$G$19*COS(RADIANS(F12))+'Geometry'!$F$19*SIN(RADIANS(F12))),('Geometry'!$G$20*COS(RADIANS(F12))+'Geometry'!$F$20*SIN(RADIANS(F12))))</f>
        <v>813.1598511989835</v>
      </c>
      <c r="J12" s="10">
        <f>MIN(('Geometry'!$G$40*COS(RADIANS(F12))+'Geometry'!$F$40*SIN(RADIANS(F12))),('Geometry'!$G$41*COS(RADIANS(F12))+'Geometry'!$F$41*SIN(RADIANS(F12))),('Geometry'!$G$42*COS(RADIANS(F12))+'Geometry'!$F$42*SIN(RADIANS(F12))),('Geometry'!$G$43*COS(RADIANS(F12))+'Geometry'!$F$43*SIN(RADIANS(F12))),('Geometry'!$G$44*COS(RADIANS(F12))+'Geometry'!$F$44*SIN(RADIANS(F12))),('Geometry'!$G$45*COS(RADIANS(F12))+'Geometry'!$F$45*SIN(RADIANS(F12))),('Geometry'!$G$46*COS(RADIANS(F12))+'Geometry'!$F$46*SIN(RADIANS(F12))),('Geometry'!$G$47*COS(RADIANS(F12))+'Geometry'!$F$47*SIN(RADIANS(F12))),('Geometry'!$G$48*COS(RADIANS(F12))+'Geometry'!$F$48*SIN(RADIANS(F12))),('Geometry'!$G$49*COS(RADIANS(F12))+'Geometry'!$F$49*SIN(RADIANS(F12))),('Geometry'!$G$50*COS(RADIANS(F12))+'Geometry'!$F$50*SIN(RADIANS(F12))),('Geometry'!$G$51*COS(RADIANS(F12))+'Geometry'!$F$51*SIN(RADIANS(F12))),('Geometry'!$G$52*COS(RADIANS(F12))+'Geometry'!$F$52*SIN(RADIANS(F12))),('Geometry'!$G$53*COS(RADIANS(F12))+'Geometry'!$F$53*SIN(RADIANS(F12))),('Geometry'!$G$54*COS(RADIANS(F12))+'Geometry'!$F$54*SIN(RADIANS(F12))),('Geometry'!$G$55*COS(RADIANS(F12))+'Geometry'!$F$55*SIN(RADIANS(F12))),('Geometry'!$G$56*COS(RADIANS(F12))+'Geometry'!$F$56*SIN(RADIANS(F12))),('Geometry'!$G$57*COS(RADIANS(F12))+'Geometry'!$F$57*SIN(RADIANS(F12))))</f>
        <v>-666.9089075225401</v>
      </c>
      <c r="K12" s="10">
        <f>I12-MIN(('Geometry'!$G$13*COS(RADIANS(F12))+'Geometry'!$F$13*SIN(RADIANS(F12))),('Geometry'!$G$14*COS(RADIANS(F12))+'Geometry'!$F$14*SIN(RADIANS(F12))),('Geometry'!$G$15*COS(RADIANS(F12))+'Geometry'!$F$15*SIN(RADIANS(F12))),('Geometry'!$G$16*COS(RADIANS(F12))+'Geometry'!$F$16*SIN(RADIANS(F12))),('Geometry'!$G$17*COS(RADIANS(F12))+'Geometry'!$F$17*SIN(RADIANS(F12))),('Geometry'!$G$18*COS(RADIANS(F12))+'Geometry'!$F$18*SIN(RADIANS(F12))),('Geometry'!$G$19*COS(RADIANS(F12))+'Geometry'!$F$19*SIN(RADIANS(F12))),('Geometry'!$G$20*COS(RADIANS(F12))+'Geometry'!$F$20*SIN(RADIANS(F12))))</f>
        <v>1626.319702397967</v>
      </c>
      <c r="L12" s="15">
        <f>C_ecu</f>
        <v>0.0033</v>
      </c>
      <c r="M12" s="15">
        <f>-H12*S_1_fy/S_1_Es</f>
        <v>-0.010000000000000002</v>
      </c>
      <c r="N12" s="21">
        <f>IF(ABS(I12-J12)&lt;0.000000000001,0,(L12-M12)/(I12-J12))</f>
        <v>0.000008986069006340272</v>
      </c>
      <c r="O12" s="15">
        <f>L12-N12*I12</f>
        <v>-0.004007110536059453</v>
      </c>
      <c r="P12" s="21">
        <f>N12*COS(RADIANS(F12))</f>
        <v>0.0000068837282277906424</v>
      </c>
      <c r="Q12" s="21">
        <f>N12*SIN(RADIANS(F12))</f>
        <v>0.0000057761338170637585</v>
      </c>
      <c r="R12" s="10">
        <f>SUMPRODUCT(C_alpha*C_fck*(1-(1-(((O12+P12*Mesh_Y+Q12*Mesh_X))*((O12+P12*Mesh_Y+Q12*Mesh_X)&gt;0)*((O12+P12*Mesh_Y+Q12*Mesh_X)&lt;C_eco)+C_eco*((O12+P12*Mesh_Y+Q12*Mesh_X)&gt;=C_eco))/C_eco)^C_n)*(((O12+P12*Mesh_Y+Q12*Mesh_X))&gt;0),Mesh_A)/1000</f>
        <v>3705.950583951369</v>
      </c>
      <c r="S12" s="10">
        <f>SUMPRODUCT(C_alpha*C_fck*(1-(1-(((O12+P12*Mesh_Y+Q12*Mesh_X))*((O12+P12*Mesh_Y+Q12*Mesh_X)&gt;0)*((O12+P12*Mesh_Y+Q12*Mesh_X)&lt;C_eco)+C_eco*((O12+P12*Mesh_Y+Q12*Mesh_X)&gt;=C_eco))/C_eco)^C_n)*(((O12+P12*Mesh_Y+Q12*Mesh_X))&gt;0),Mesh_A,Mesh_Y)/1000000</f>
        <v>1504.4498489528203</v>
      </c>
      <c r="T12" s="10">
        <f>SUMPRODUCT(C_alpha*C_fck*(1-(1-(((O12+P12*Mesh_Y+Q12*Mesh_X))*((O12+P12*Mesh_Y+Q12*Mesh_X)&gt;0)*((O12+P12*Mesh_Y+Q12*Mesh_X)&lt;C_eco)+C_eco*((O12+P12*Mesh_Y+Q12*Mesh_X)&gt;=C_eco))/C_eco)^C_n)*(((O12+P12*Mesh_Y+Q12*Mesh_X))&gt;0),Mesh_A,Mesh_X)/1000000</f>
        <v>1901.1480457179318</v>
      </c>
      <c r="U12" s="10">
        <f>(((MAX(MIN(S_1_Es*(O12+P12*'Geometry'!$G$40+Q12*'Geometry'!$F$40),S_1_fy),-S_1_fy))-(IF((O12+P12*'Geometry'!$G$40+Q12*'Geometry'!$F$40)&gt;0,IF((O12+P12*'Geometry'!$G$40+Q12*'Geometry'!$F$40)&lt;=C_eco,C_alpha*C_fck*(1-(1-(O12+P12*'Geometry'!$G$40+Q12*'Geometry'!$F$40)/C_eco)^C_n),C_alpha*C_fck),0)))*'Geometry'!$H$40+((MAX(MIN(S_1_Es*(O12+P12*'Geometry'!$G$41+Q12*'Geometry'!$F$41),S_1_fy),-S_1_fy))-(IF((O12+P12*'Geometry'!$G$41+Q12*'Geometry'!$F$41)&gt;0,IF((O12+P12*'Geometry'!$G$41+Q12*'Geometry'!$F$41)&lt;=C_eco,C_alpha*C_fck*(1-(1-(O12+P12*'Geometry'!$G$41+Q12*'Geometry'!$F$41)/C_eco)^C_n),C_alpha*C_fck),0)))*'Geometry'!$H$41+((MAX(MIN(S_1_Es*(O12+P12*'Geometry'!$G$42+Q12*'Geometry'!$F$42),S_1_fy),-S_1_fy))-(IF((O12+P12*'Geometry'!$G$42+Q12*'Geometry'!$F$42)&gt;0,IF((O12+P12*'Geometry'!$G$42+Q12*'Geometry'!$F$42)&lt;=C_eco,C_alpha*C_fck*(1-(1-(O12+P12*'Geometry'!$G$42+Q12*'Geometry'!$F$42)/C_eco)^C_n),C_alpha*C_fck),0)))*'Geometry'!$H$42+((MAX(MIN(S_1_Es*(O12+P12*'Geometry'!$G$43+Q12*'Geometry'!$F$43),S_1_fy),-S_1_fy))-(IF((O12+P12*'Geometry'!$G$43+Q12*'Geometry'!$F$43)&gt;0,IF((O12+P12*'Geometry'!$G$43+Q12*'Geometry'!$F$43)&lt;=C_eco,C_alpha*C_fck*(1-(1-(O12+P12*'Geometry'!$G$43+Q12*'Geometry'!$F$43)/C_eco)^C_n),C_alpha*C_fck),0)))*'Geometry'!$H$43+((MAX(MIN(S_1_Es*(O12+P12*'Geometry'!$G$44+Q12*'Geometry'!$F$44),S_1_fy),-S_1_fy))-(IF((O12+P12*'Geometry'!$G$44+Q12*'Geometry'!$F$44)&gt;0,IF((O12+P12*'Geometry'!$G$44+Q12*'Geometry'!$F$44)&lt;=C_eco,C_alpha*C_fck*(1-(1-(O12+P12*'Geometry'!$G$44+Q12*'Geometry'!$F$44)/C_eco)^C_n),C_alpha*C_fck),0)))*'Geometry'!$H$44+((MAX(MIN(S_1_Es*(O12+P12*'Geometry'!$G$45+Q12*'Geometry'!$F$45),S_1_fy),-S_1_fy))-(IF((O12+P12*'Geometry'!$G$45+Q12*'Geometry'!$F$45)&gt;0,IF((O12+P12*'Geometry'!$G$45+Q12*'Geometry'!$F$45)&lt;=C_eco,C_alpha*C_fck*(1-(1-(O12+P12*'Geometry'!$G$45+Q12*'Geometry'!$F$45)/C_eco)^C_n),C_alpha*C_fck),0)))*'Geometry'!$H$45+((MAX(MIN(S_1_Es*(O12+P12*'Geometry'!$G$46+Q12*'Geometry'!$F$46),S_1_fy),-S_1_fy))-(IF((O12+P12*'Geometry'!$G$46+Q12*'Geometry'!$F$46)&gt;0,IF((O12+P12*'Geometry'!$G$46+Q12*'Geometry'!$F$46)&lt;=C_eco,C_alpha*C_fck*(1-(1-(O12+P12*'Geometry'!$G$46+Q12*'Geometry'!$F$46)/C_eco)^C_n),C_alpha*C_fck),0)))*'Geometry'!$H$46+((MAX(MIN(S_1_Es*(O12+P12*'Geometry'!$G$47+Q12*'Geometry'!$F$47),S_1_fy),-S_1_fy))-(IF((O12+P12*'Geometry'!$G$47+Q12*'Geometry'!$F$47)&gt;0,IF((O12+P12*'Geometry'!$G$47+Q12*'Geometry'!$F$47)&lt;=C_eco,C_alpha*C_fck*(1-(1-(O12+P12*'Geometry'!$G$47+Q12*'Geometry'!$F$47)/C_eco)^C_n),C_alpha*C_fck),0)))*'Geometry'!$H$47+((MAX(MIN(S_1_Es*(O12+P12*'Geometry'!$G$48+Q12*'Geometry'!$F$48),S_1_fy),-S_1_fy))-(IF((O12+P12*'Geometry'!$G$48+Q12*'Geometry'!$F$48)&gt;0,IF((O12+P12*'Geometry'!$G$48+Q12*'Geometry'!$F$48)&lt;=C_eco,C_alpha*C_fck*(1-(1-(O12+P12*'Geometry'!$G$48+Q12*'Geometry'!$F$48)/C_eco)^C_n),C_alpha*C_fck),0)))*'Geometry'!$H$48+((MAX(MIN(S_1_Es*(O12+P12*'Geometry'!$G$49+Q12*'Geometry'!$F$49),S_1_fy),-S_1_fy))-(IF((O12+P12*'Geometry'!$G$49+Q12*'Geometry'!$F$49)&gt;0,IF((O12+P12*'Geometry'!$G$49+Q12*'Geometry'!$F$49)&lt;=C_eco,C_alpha*C_fck*(1-(1-(O12+P12*'Geometry'!$G$49+Q12*'Geometry'!$F$49)/C_eco)^C_n),C_alpha*C_fck),0)))*'Geometry'!$H$49+((MAX(MIN(S_1_Es*(O12+P12*'Geometry'!$G$50+Q12*'Geometry'!$F$50),S_1_fy),-S_1_fy))-(IF((O12+P12*'Geometry'!$G$50+Q12*'Geometry'!$F$50)&gt;0,IF((O12+P12*'Geometry'!$G$50+Q12*'Geometry'!$F$50)&lt;=C_eco,C_alpha*C_fck*(1-(1-(O12+P12*'Geometry'!$G$50+Q12*'Geometry'!$F$50)/C_eco)^C_n),C_alpha*C_fck),0)))*'Geometry'!$H$50+((MAX(MIN(S_1_Es*(O12+P12*'Geometry'!$G$51+Q12*'Geometry'!$F$51),S_1_fy),-S_1_fy))-(IF((O12+P12*'Geometry'!$G$51+Q12*'Geometry'!$F$51)&gt;0,IF((O12+P12*'Geometry'!$G$51+Q12*'Geometry'!$F$51)&lt;=C_eco,C_alpha*C_fck*(1-(1-(O12+P12*'Geometry'!$G$51+Q12*'Geometry'!$F$51)/C_eco)^C_n),C_alpha*C_fck),0)))*'Geometry'!$H$51+((MAX(MIN(S_1_Es*(O12+P12*'Geometry'!$G$52+Q12*'Geometry'!$F$52),S_1_fy),-S_1_fy))-(IF((O12+P12*'Geometry'!$G$52+Q12*'Geometry'!$F$52)&gt;0,IF((O12+P12*'Geometry'!$G$52+Q12*'Geometry'!$F$52)&lt;=C_eco,C_alpha*C_fck*(1-(1-(O12+P12*'Geometry'!$G$52+Q12*'Geometry'!$F$52)/C_eco)^C_n),C_alpha*C_fck),0)))*'Geometry'!$H$52+((MAX(MIN(S_1_Es*(O12+P12*'Geometry'!$G$53+Q12*'Geometry'!$F$53),S_1_fy),-S_1_fy))-(IF((O12+P12*'Geometry'!$G$53+Q12*'Geometry'!$F$53)&gt;0,IF((O12+P12*'Geometry'!$G$53+Q12*'Geometry'!$F$53)&lt;=C_eco,C_alpha*C_fck*(1-(1-(O12+P12*'Geometry'!$G$53+Q12*'Geometry'!$F$53)/C_eco)^C_n),C_alpha*C_fck),0)))*'Geometry'!$H$53+((MAX(MIN(S_1_Es*(O12+P12*'Geometry'!$G$54+Q12*'Geometry'!$F$54),S_1_fy),-S_1_fy))-(IF((O12+P12*'Geometry'!$G$54+Q12*'Geometry'!$F$54)&gt;0,IF((O12+P12*'Geometry'!$G$54+Q12*'Geometry'!$F$54)&lt;=C_eco,C_alpha*C_fck*(1-(1-(O12+P12*'Geometry'!$G$54+Q12*'Geometry'!$F$54)/C_eco)^C_n),C_alpha*C_fck),0)))*'Geometry'!$H$54+((MAX(MIN(S_1_Es*(O12+P12*'Geometry'!$G$55+Q12*'Geometry'!$F$55),S_1_fy),-S_1_fy))-(IF((O12+P12*'Geometry'!$G$55+Q12*'Geometry'!$F$55)&gt;0,IF((O12+P12*'Geometry'!$G$55+Q12*'Geometry'!$F$55)&lt;=C_eco,C_alpha*C_fck*(1-(1-(O12+P12*'Geometry'!$G$55+Q12*'Geometry'!$F$55)/C_eco)^C_n),C_alpha*C_fck),0)))*'Geometry'!$H$55+((MAX(MIN(S_1_Es*(O12+P12*'Geometry'!$G$56+Q12*'Geometry'!$F$56),S_1_fy),-S_1_fy))-(IF((O12+P12*'Geometry'!$G$56+Q12*'Geometry'!$F$56)&gt;0,IF((O12+P12*'Geometry'!$G$56+Q12*'Geometry'!$F$56)&lt;=C_eco,C_alpha*C_fck*(1-(1-(O12+P12*'Geometry'!$G$56+Q12*'Geometry'!$F$56)/C_eco)^C_n),C_alpha*C_fck),0)))*'Geometry'!$H$56+((MAX(MIN(S_1_Es*(O12+P12*'Geometry'!$G$57+Q12*'Geometry'!$F$57),S_1_fy),-S_1_fy))-(IF((O12+P12*'Geometry'!$G$57+Q12*'Geometry'!$F$57)&gt;0,IF((O12+P12*'Geometry'!$G$57+Q12*'Geometry'!$F$57)&lt;=C_eco,C_alpha*C_fck*(1-(1-(O12+P12*'Geometry'!$G$57+Q12*'Geometry'!$F$57)/C_eco)^C_n),C_alpha*C_fck),0)))*'Geometry'!$H$57)/1000</f>
        <v>-3168.6498081311433</v>
      </c>
      <c r="V12" s="10">
        <f>(((MAX(MIN(S_1_Es*(O12+P12*'Geometry'!$G$40+Q12*'Geometry'!$F$40),S_1_fy),-S_1_fy))-(IF((O12+P12*'Geometry'!$G$40+Q12*'Geometry'!$F$40)&gt;0,IF((O12+P12*'Geometry'!$G$40+Q12*'Geometry'!$F$40)&lt;=C_eco,C_alpha*C_fck*(1-(1-(O12+P12*'Geometry'!$G$40+Q12*'Geometry'!$F$40)/C_eco)^C_n),C_alpha*C_fck),0)))*'Geometry'!$H$40*'Geometry'!$G$40+((MAX(MIN(S_1_Es*(O12+P12*'Geometry'!$G$41+Q12*'Geometry'!$F$41),S_1_fy),-S_1_fy))-(IF((O12+P12*'Geometry'!$G$41+Q12*'Geometry'!$F$41)&gt;0,IF((O12+P12*'Geometry'!$G$41+Q12*'Geometry'!$F$41)&lt;=C_eco,C_alpha*C_fck*(1-(1-(O12+P12*'Geometry'!$G$41+Q12*'Geometry'!$F$41)/C_eco)^C_n),C_alpha*C_fck),0)))*'Geometry'!$H$41*'Geometry'!$G$41+((MAX(MIN(S_1_Es*(O12+P12*'Geometry'!$G$42+Q12*'Geometry'!$F$42),S_1_fy),-S_1_fy))-(IF((O12+P12*'Geometry'!$G$42+Q12*'Geometry'!$F$42)&gt;0,IF((O12+P12*'Geometry'!$G$42+Q12*'Geometry'!$F$42)&lt;=C_eco,C_alpha*C_fck*(1-(1-(O12+P12*'Geometry'!$G$42+Q12*'Geometry'!$F$42)/C_eco)^C_n),C_alpha*C_fck),0)))*'Geometry'!$H$42*'Geometry'!$G$42+((MAX(MIN(S_1_Es*(O12+P12*'Geometry'!$G$43+Q12*'Geometry'!$F$43),S_1_fy),-S_1_fy))-(IF((O12+P12*'Geometry'!$G$43+Q12*'Geometry'!$F$43)&gt;0,IF((O12+P12*'Geometry'!$G$43+Q12*'Geometry'!$F$43)&lt;=C_eco,C_alpha*C_fck*(1-(1-(O12+P12*'Geometry'!$G$43+Q12*'Geometry'!$F$43)/C_eco)^C_n),C_alpha*C_fck),0)))*'Geometry'!$H$43*'Geometry'!$G$43+((MAX(MIN(S_1_Es*(O12+P12*'Geometry'!$G$44+Q12*'Geometry'!$F$44),S_1_fy),-S_1_fy))-(IF((O12+P12*'Geometry'!$G$44+Q12*'Geometry'!$F$44)&gt;0,IF((O12+P12*'Geometry'!$G$44+Q12*'Geometry'!$F$44)&lt;=C_eco,C_alpha*C_fck*(1-(1-(O12+P12*'Geometry'!$G$44+Q12*'Geometry'!$F$44)/C_eco)^C_n),C_alpha*C_fck),0)))*'Geometry'!$H$44*'Geometry'!$G$44+((MAX(MIN(S_1_Es*(O12+P12*'Geometry'!$G$45+Q12*'Geometry'!$F$45),S_1_fy),-S_1_fy))-(IF((O12+P12*'Geometry'!$G$45+Q12*'Geometry'!$F$45)&gt;0,IF((O12+P12*'Geometry'!$G$45+Q12*'Geometry'!$F$45)&lt;=C_eco,C_alpha*C_fck*(1-(1-(O12+P12*'Geometry'!$G$45+Q12*'Geometry'!$F$45)/C_eco)^C_n),C_alpha*C_fck),0)))*'Geometry'!$H$45*'Geometry'!$G$45+((MAX(MIN(S_1_Es*(O12+P12*'Geometry'!$G$46+Q12*'Geometry'!$F$46),S_1_fy),-S_1_fy))-(IF((O12+P12*'Geometry'!$G$46+Q12*'Geometry'!$F$46)&gt;0,IF((O12+P12*'Geometry'!$G$46+Q12*'Geometry'!$F$46)&lt;=C_eco,C_alpha*C_fck*(1-(1-(O12+P12*'Geometry'!$G$46+Q12*'Geometry'!$F$46)/C_eco)^C_n),C_alpha*C_fck),0)))*'Geometry'!$H$46*'Geometry'!$G$46+((MAX(MIN(S_1_Es*(O12+P12*'Geometry'!$G$47+Q12*'Geometry'!$F$47),S_1_fy),-S_1_fy))-(IF((O12+P12*'Geometry'!$G$47+Q12*'Geometry'!$F$47)&gt;0,IF((O12+P12*'Geometry'!$G$47+Q12*'Geometry'!$F$47)&lt;=C_eco,C_alpha*C_fck*(1-(1-(O12+P12*'Geometry'!$G$47+Q12*'Geometry'!$F$47)/C_eco)^C_n),C_alpha*C_fck),0)))*'Geometry'!$H$47*'Geometry'!$G$47+((MAX(MIN(S_1_Es*(O12+P12*'Geometry'!$G$48+Q12*'Geometry'!$F$48),S_1_fy),-S_1_fy))-(IF((O12+P12*'Geometry'!$G$48+Q12*'Geometry'!$F$48)&gt;0,IF((O12+P12*'Geometry'!$G$48+Q12*'Geometry'!$F$48)&lt;=C_eco,C_alpha*C_fck*(1-(1-(O12+P12*'Geometry'!$G$48+Q12*'Geometry'!$F$48)/C_eco)^C_n),C_alpha*C_fck),0)))*'Geometry'!$H$48*'Geometry'!$G$48+((MAX(MIN(S_1_Es*(O12+P12*'Geometry'!$G$49+Q12*'Geometry'!$F$49),S_1_fy),-S_1_fy))-(IF((O12+P12*'Geometry'!$G$49+Q12*'Geometry'!$F$49)&gt;0,IF((O12+P12*'Geometry'!$G$49+Q12*'Geometry'!$F$49)&lt;=C_eco,C_alpha*C_fck*(1-(1-(O12+P12*'Geometry'!$G$49+Q12*'Geometry'!$F$49)/C_eco)^C_n),C_alpha*C_fck),0)))*'Geometry'!$H$49*'Geometry'!$G$49+((MAX(MIN(S_1_Es*(O12+P12*'Geometry'!$G$50+Q12*'Geometry'!$F$50),S_1_fy),-S_1_fy))-(IF((O12+P12*'Geometry'!$G$50+Q12*'Geometry'!$F$50)&gt;0,IF((O12+P12*'Geometry'!$G$50+Q12*'Geometry'!$F$50)&lt;=C_eco,C_alpha*C_fck*(1-(1-(O12+P12*'Geometry'!$G$50+Q12*'Geometry'!$F$50)/C_eco)^C_n),C_alpha*C_fck),0)))*'Geometry'!$H$50*'Geometry'!$G$50+((MAX(MIN(S_1_Es*(O12+P12*'Geometry'!$G$51+Q12*'Geometry'!$F$51),S_1_fy),-S_1_fy))-(IF((O12+P12*'Geometry'!$G$51+Q12*'Geometry'!$F$51)&gt;0,IF((O12+P12*'Geometry'!$G$51+Q12*'Geometry'!$F$51)&lt;=C_eco,C_alpha*C_fck*(1-(1-(O12+P12*'Geometry'!$G$51+Q12*'Geometry'!$F$51)/C_eco)^C_n),C_alpha*C_fck),0)))*'Geometry'!$H$51*'Geometry'!$G$51+((MAX(MIN(S_1_Es*(O12+P12*'Geometry'!$G$52+Q12*'Geometry'!$F$52),S_1_fy),-S_1_fy))-(IF((O12+P12*'Geometry'!$G$52+Q12*'Geometry'!$F$52)&gt;0,IF((O12+P12*'Geometry'!$G$52+Q12*'Geometry'!$F$52)&lt;=C_eco,C_alpha*C_fck*(1-(1-(O12+P12*'Geometry'!$G$52+Q12*'Geometry'!$F$52)/C_eco)^C_n),C_alpha*C_fck),0)))*'Geometry'!$H$52*'Geometry'!$G$52+((MAX(MIN(S_1_Es*(O12+P12*'Geometry'!$G$53+Q12*'Geometry'!$F$53),S_1_fy),-S_1_fy))-(IF((O12+P12*'Geometry'!$G$53+Q12*'Geometry'!$F$53)&gt;0,IF((O12+P12*'Geometry'!$G$53+Q12*'Geometry'!$F$53)&lt;=C_eco,C_alpha*C_fck*(1-(1-(O12+P12*'Geometry'!$G$53+Q12*'Geometry'!$F$53)/C_eco)^C_n),C_alpha*C_fck),0)))*'Geometry'!$H$53*'Geometry'!$G$53+((MAX(MIN(S_1_Es*(O12+P12*'Geometry'!$G$54+Q12*'Geometry'!$F$54),S_1_fy),-S_1_fy))-(IF((O12+P12*'Geometry'!$G$54+Q12*'Geometry'!$F$54)&gt;0,IF((O12+P12*'Geometry'!$G$54+Q12*'Geometry'!$F$54)&lt;=C_eco,C_alpha*C_fck*(1-(1-(O12+P12*'Geometry'!$G$54+Q12*'Geometry'!$F$54)/C_eco)^C_n),C_alpha*C_fck),0)))*'Geometry'!$H$54*'Geometry'!$G$54+((MAX(MIN(S_1_Es*(O12+P12*'Geometry'!$G$55+Q12*'Geometry'!$F$55),S_1_fy),-S_1_fy))-(IF((O12+P12*'Geometry'!$G$55+Q12*'Geometry'!$F$55)&gt;0,IF((O12+P12*'Geometry'!$G$55+Q12*'Geometry'!$F$55)&lt;=C_eco,C_alpha*C_fck*(1-(1-(O12+P12*'Geometry'!$G$55+Q12*'Geometry'!$F$55)/C_eco)^C_n),C_alpha*C_fck),0)))*'Geometry'!$H$55*'Geometry'!$G$55+((MAX(MIN(S_1_Es*(O12+P12*'Geometry'!$G$56+Q12*'Geometry'!$F$56),S_1_fy),-S_1_fy))-(IF((O12+P12*'Geometry'!$G$56+Q12*'Geometry'!$F$56)&gt;0,IF((O12+P12*'Geometry'!$G$56+Q12*'Geometry'!$F$56)&lt;=C_eco,C_alpha*C_fck*(1-(1-(O12+P12*'Geometry'!$G$56+Q12*'Geometry'!$F$56)/C_eco)^C_n),C_alpha*C_fck),0)))*'Geometry'!$H$56*'Geometry'!$G$56+((MAX(MIN(S_1_Es*(O12+P12*'Geometry'!$G$57+Q12*'Geometry'!$F$57),S_1_fy),-S_1_fy))-(IF((O12+P12*'Geometry'!$G$57+Q12*'Geometry'!$F$57)&gt;0,IF((O12+P12*'Geometry'!$G$57+Q12*'Geometry'!$F$57)&lt;=C_eco,C_alpha*C_fck*(1-(1-(O12+P12*'Geometry'!$G$57+Q12*'Geometry'!$F$57)/C_eco)^C_n),C_alpha*C_fck),0)))*'Geometry'!$H$57*'Geometry'!$G$57)/1000000</f>
        <v>946.1104538385996</v>
      </c>
      <c r="W12" s="10">
        <f>(((MAX(MIN(S_1_Es*(O12+P12*'Geometry'!$G$40+Q12*'Geometry'!$F$40),S_1_fy),-S_1_fy))-(IF((O12+P12*'Geometry'!$G$40+Q12*'Geometry'!$F$40)&gt;0,IF((O12+P12*'Geometry'!$G$40+Q12*'Geometry'!$F$40)&lt;=C_eco,C_alpha*C_fck*(1-(1-(O12+P12*'Geometry'!$G$40+Q12*'Geometry'!$F$40)/C_eco)^C_n),C_alpha*C_fck),0)))*'Geometry'!$H$40*'Geometry'!$F$40+((MAX(MIN(S_1_Es*(O12+P12*'Geometry'!$G$41+Q12*'Geometry'!$F$41),S_1_fy),-S_1_fy))-(IF((O12+P12*'Geometry'!$G$41+Q12*'Geometry'!$F$41)&gt;0,IF((O12+P12*'Geometry'!$G$41+Q12*'Geometry'!$F$41)&lt;=C_eco,C_alpha*C_fck*(1-(1-(O12+P12*'Geometry'!$G$41+Q12*'Geometry'!$F$41)/C_eco)^C_n),C_alpha*C_fck),0)))*'Geometry'!$H$41*'Geometry'!$F$41+((MAX(MIN(S_1_Es*(O12+P12*'Geometry'!$G$42+Q12*'Geometry'!$F$42),S_1_fy),-S_1_fy))-(IF((O12+P12*'Geometry'!$G$42+Q12*'Geometry'!$F$42)&gt;0,IF((O12+P12*'Geometry'!$G$42+Q12*'Geometry'!$F$42)&lt;=C_eco,C_alpha*C_fck*(1-(1-(O12+P12*'Geometry'!$G$42+Q12*'Geometry'!$F$42)/C_eco)^C_n),C_alpha*C_fck),0)))*'Geometry'!$H$42*'Geometry'!$F$42+((MAX(MIN(S_1_Es*(O12+P12*'Geometry'!$G$43+Q12*'Geometry'!$F$43),S_1_fy),-S_1_fy))-(IF((O12+P12*'Geometry'!$G$43+Q12*'Geometry'!$F$43)&gt;0,IF((O12+P12*'Geometry'!$G$43+Q12*'Geometry'!$F$43)&lt;=C_eco,C_alpha*C_fck*(1-(1-(O12+P12*'Geometry'!$G$43+Q12*'Geometry'!$F$43)/C_eco)^C_n),C_alpha*C_fck),0)))*'Geometry'!$H$43*'Geometry'!$F$43+((MAX(MIN(S_1_Es*(O12+P12*'Geometry'!$G$44+Q12*'Geometry'!$F$44),S_1_fy),-S_1_fy))-(IF((O12+P12*'Geometry'!$G$44+Q12*'Geometry'!$F$44)&gt;0,IF((O12+P12*'Geometry'!$G$44+Q12*'Geometry'!$F$44)&lt;=C_eco,C_alpha*C_fck*(1-(1-(O12+P12*'Geometry'!$G$44+Q12*'Geometry'!$F$44)/C_eco)^C_n),C_alpha*C_fck),0)))*'Geometry'!$H$44*'Geometry'!$F$44+((MAX(MIN(S_1_Es*(O12+P12*'Geometry'!$G$45+Q12*'Geometry'!$F$45),S_1_fy),-S_1_fy))-(IF((O12+P12*'Geometry'!$G$45+Q12*'Geometry'!$F$45)&gt;0,IF((O12+P12*'Geometry'!$G$45+Q12*'Geometry'!$F$45)&lt;=C_eco,C_alpha*C_fck*(1-(1-(O12+P12*'Geometry'!$G$45+Q12*'Geometry'!$F$45)/C_eco)^C_n),C_alpha*C_fck),0)))*'Geometry'!$H$45*'Geometry'!$F$45+((MAX(MIN(S_1_Es*(O12+P12*'Geometry'!$G$46+Q12*'Geometry'!$F$46),S_1_fy),-S_1_fy))-(IF((O12+P12*'Geometry'!$G$46+Q12*'Geometry'!$F$46)&gt;0,IF((O12+P12*'Geometry'!$G$46+Q12*'Geometry'!$F$46)&lt;=C_eco,C_alpha*C_fck*(1-(1-(O12+P12*'Geometry'!$G$46+Q12*'Geometry'!$F$46)/C_eco)^C_n),C_alpha*C_fck),0)))*'Geometry'!$H$46*'Geometry'!$F$46+((MAX(MIN(S_1_Es*(O12+P12*'Geometry'!$G$47+Q12*'Geometry'!$F$47),S_1_fy),-S_1_fy))-(IF((O12+P12*'Geometry'!$G$47+Q12*'Geometry'!$F$47)&gt;0,IF((O12+P12*'Geometry'!$G$47+Q12*'Geometry'!$F$47)&lt;=C_eco,C_alpha*C_fck*(1-(1-(O12+P12*'Geometry'!$G$47+Q12*'Geometry'!$F$47)/C_eco)^C_n),C_alpha*C_fck),0)))*'Geometry'!$H$47*'Geometry'!$F$47+((MAX(MIN(S_1_Es*(O12+P12*'Geometry'!$G$48+Q12*'Geometry'!$F$48),S_1_fy),-S_1_fy))-(IF((O12+P12*'Geometry'!$G$48+Q12*'Geometry'!$F$48)&gt;0,IF((O12+P12*'Geometry'!$G$48+Q12*'Geometry'!$F$48)&lt;=C_eco,C_alpha*C_fck*(1-(1-(O12+P12*'Geometry'!$G$48+Q12*'Geometry'!$F$48)/C_eco)^C_n),C_alpha*C_fck),0)))*'Geometry'!$H$48*'Geometry'!$F$48+((MAX(MIN(S_1_Es*(O12+P12*'Geometry'!$G$49+Q12*'Geometry'!$F$49),S_1_fy),-S_1_fy))-(IF((O12+P12*'Geometry'!$G$49+Q12*'Geometry'!$F$49)&gt;0,IF((O12+P12*'Geometry'!$G$49+Q12*'Geometry'!$F$49)&lt;=C_eco,C_alpha*C_fck*(1-(1-(O12+P12*'Geometry'!$G$49+Q12*'Geometry'!$F$49)/C_eco)^C_n),C_alpha*C_fck),0)))*'Geometry'!$H$49*'Geometry'!$F$49+((MAX(MIN(S_1_Es*(O12+P12*'Geometry'!$G$50+Q12*'Geometry'!$F$50),S_1_fy),-S_1_fy))-(IF((O12+P12*'Geometry'!$G$50+Q12*'Geometry'!$F$50)&gt;0,IF((O12+P12*'Geometry'!$G$50+Q12*'Geometry'!$F$50)&lt;=C_eco,C_alpha*C_fck*(1-(1-(O12+P12*'Geometry'!$G$50+Q12*'Geometry'!$F$50)/C_eco)^C_n),C_alpha*C_fck),0)))*'Geometry'!$H$50*'Geometry'!$F$50+((MAX(MIN(S_1_Es*(O12+P12*'Geometry'!$G$51+Q12*'Geometry'!$F$51),S_1_fy),-S_1_fy))-(IF((O12+P12*'Geometry'!$G$51+Q12*'Geometry'!$F$51)&gt;0,IF((O12+P12*'Geometry'!$G$51+Q12*'Geometry'!$F$51)&lt;=C_eco,C_alpha*C_fck*(1-(1-(O12+P12*'Geometry'!$G$51+Q12*'Geometry'!$F$51)/C_eco)^C_n),C_alpha*C_fck),0)))*'Geometry'!$H$51*'Geometry'!$F$51+((MAX(MIN(S_1_Es*(O12+P12*'Geometry'!$G$52+Q12*'Geometry'!$F$52),S_1_fy),-S_1_fy))-(IF((O12+P12*'Geometry'!$G$52+Q12*'Geometry'!$F$52)&gt;0,IF((O12+P12*'Geometry'!$G$52+Q12*'Geometry'!$F$52)&lt;=C_eco,C_alpha*C_fck*(1-(1-(O12+P12*'Geometry'!$G$52+Q12*'Geometry'!$F$52)/C_eco)^C_n),C_alpha*C_fck),0)))*'Geometry'!$H$52*'Geometry'!$F$52+((MAX(MIN(S_1_Es*(O12+P12*'Geometry'!$G$53+Q12*'Geometry'!$F$53),S_1_fy),-S_1_fy))-(IF((O12+P12*'Geometry'!$G$53+Q12*'Geometry'!$F$53)&gt;0,IF((O12+P12*'Geometry'!$G$53+Q12*'Geometry'!$F$53)&lt;=C_eco,C_alpha*C_fck*(1-(1-(O12+P12*'Geometry'!$G$53+Q12*'Geometry'!$F$53)/C_eco)^C_n),C_alpha*C_fck),0)))*'Geometry'!$H$53*'Geometry'!$F$53+((MAX(MIN(S_1_Es*(O12+P12*'Geometry'!$G$54+Q12*'Geometry'!$F$54),S_1_fy),-S_1_fy))-(IF((O12+P12*'Geometry'!$G$54+Q12*'Geometry'!$F$54)&gt;0,IF((O12+P12*'Geometry'!$G$54+Q12*'Geometry'!$F$54)&lt;=C_eco,C_alpha*C_fck*(1-(1-(O12+P12*'Geometry'!$G$54+Q12*'Geometry'!$F$54)/C_eco)^C_n),C_alpha*C_fck),0)))*'Geometry'!$H$54*'Geometry'!$F$54+((MAX(MIN(S_1_Es*(O12+P12*'Geometry'!$G$55+Q12*'Geometry'!$F$55),S_1_fy),-S_1_fy))-(IF((O12+P12*'Geometry'!$G$55+Q12*'Geometry'!$F$55)&gt;0,IF((O12+P12*'Geometry'!$G$55+Q12*'Geometry'!$F$55)&lt;=C_eco,C_alpha*C_fck*(1-(1-(O12+P12*'Geometry'!$G$55+Q12*'Geometry'!$F$55)/C_eco)^C_n),C_alpha*C_fck),0)))*'Geometry'!$H$55*'Geometry'!$F$55+((MAX(MIN(S_1_Es*(O12+P12*'Geometry'!$G$56+Q12*'Geometry'!$F$56),S_1_fy),-S_1_fy))-(IF((O12+P12*'Geometry'!$G$56+Q12*'Geometry'!$F$56)&gt;0,IF((O12+P12*'Geometry'!$G$56+Q12*'Geometry'!$F$56)&lt;=C_eco,C_alpha*C_fck*(1-(1-(O12+P12*'Geometry'!$G$56+Q12*'Geometry'!$F$56)/C_eco)^C_n),C_alpha*C_fck),0)))*'Geometry'!$H$56*'Geometry'!$F$56+((MAX(MIN(S_1_Es*(O12+P12*'Geometry'!$G$57+Q12*'Geometry'!$F$57),S_1_fy),-S_1_fy))-(IF((O12+P12*'Geometry'!$G$57+Q12*'Geometry'!$F$57)&gt;0,IF((O12+P12*'Geometry'!$G$57+Q12*'Geometry'!$F$57)&lt;=C_eco,C_alpha*C_fck*(1-(1-(O12+P12*'Geometry'!$G$57+Q12*'Geometry'!$F$57)/C_eco)^C_n),C_alpha*C_fck),0)))*'Geometry'!$H$57*'Geometry'!$F$57)/1000000</f>
        <v>1152.7299567919626</v>
      </c>
      <c r="X12" s="10">
        <f>R12+U12</f>
        <v>537.3007758202255</v>
      </c>
      <c r="Y12" s="10">
        <f>S12+V12</f>
        <v>2450.56030279142</v>
      </c>
      <c r="Z12" s="10">
        <f>T12+W12</f>
        <v>3053.8780025098945</v>
      </c>
      <c r="AA12" s="7">
        <v>0.85</v>
      </c>
      <c r="AB12" s="7">
        <v>0.85</v>
      </c>
      <c r="AC12" s="10">
        <f>X12*AA12</f>
        <v>456.70565944719164</v>
      </c>
      <c r="AD12" s="10">
        <f>Y12*AB12</f>
        <v>2082.976257372707</v>
      </c>
      <c r="AE12" s="10">
        <f>Z12*AB12</f>
        <v>2595.79630213341</v>
      </c>
      <c r="AF12" s="7">
        <v>456.70565944719164</v>
      </c>
      <c r="AG12" s="7">
        <v>2082.976257372707</v>
      </c>
      <c r="AH12" s="7">
        <v>2595.79630213341</v>
      </c>
      <c r="AI12" s="15">
        <f>AC12-AF12</f>
        <v>0</v>
      </c>
      <c r="AJ12" s="15">
        <f>SQRT((AD12-AG12)^2+(AE12-AH12)^2)</f>
        <v>0</v>
      </c>
      <c r="AK12" s="7" t="s">
        <v>189</v>
      </c>
      <c r="AL12" s="7">
        <v>537.3007758202255</v>
      </c>
      <c r="AM12" s="7">
        <v>2450.56030279142</v>
      </c>
      <c r="AN12" s="7">
        <v>3053.8780025098945</v>
      </c>
      <c r="AO12" s="7">
        <v>3705.950583951369</v>
      </c>
      <c r="AP12" s="7">
        <v>1504.4498489528203</v>
      </c>
      <c r="AQ12" s="7">
        <v>1901.1480457179318</v>
      </c>
      <c r="AR12" s="7">
        <v>-3168.6498081311433</v>
      </c>
      <c r="AS12" s="7">
        <v>946.1104538385996</v>
      </c>
      <c r="AT12" s="7">
        <v>1152.7299567919626</v>
      </c>
    </row>
    <row r="13" spans="1:46" x14ac:dyDescent="0.25">
      <c r="A13" s="7" t="s">
        <v>199</v>
      </c>
      <c r="B13" s="7">
        <v>1</v>
      </c>
      <c r="C13" s="18">
        <v>50</v>
      </c>
      <c r="D13" s="7" t="s">
        <v>271</v>
      </c>
      <c r="E13" s="7" t="s">
        <v>267</v>
      </c>
      <c r="F13" s="19">
        <v>50</v>
      </c>
      <c r="G13" s="7" t="s">
        <v>188</v>
      </c>
      <c r="H13" s="20">
        <v>4.999999999999999</v>
      </c>
      <c r="I13" s="10">
        <f>MAX(('Geometry'!$G$13*COS(RADIANS(F13))+'Geometry'!$F$13*SIN(RADIANS(F13))),('Geometry'!$G$14*COS(RADIANS(F13))+'Geometry'!$F$14*SIN(RADIANS(F13))),('Geometry'!$G$15*COS(RADIANS(F13))+'Geometry'!$F$15*SIN(RADIANS(F13))),('Geometry'!$G$16*COS(RADIANS(F13))+'Geometry'!$F$16*SIN(RADIANS(F13))),('Geometry'!$G$17*COS(RADIANS(F13))+'Geometry'!$F$17*SIN(RADIANS(F13))),('Geometry'!$G$18*COS(RADIANS(F13))+'Geometry'!$F$18*SIN(RADIANS(F13))),('Geometry'!$G$19*COS(RADIANS(F13))+'Geometry'!$F$19*SIN(RADIANS(F13))),('Geometry'!$G$20*COS(RADIANS(F13))+'Geometry'!$F$20*SIN(RADIANS(F13))))</f>
        <v>831.6483762138494</v>
      </c>
      <c r="J13" s="10">
        <f>MIN(('Geometry'!$G$40*COS(RADIANS(F13))+'Geometry'!$F$40*SIN(RADIANS(F13))),('Geometry'!$G$41*COS(RADIANS(F13))+'Geometry'!$F$41*SIN(RADIANS(F13))),('Geometry'!$G$42*COS(RADIANS(F13))+'Geometry'!$F$42*SIN(RADIANS(F13))),('Geometry'!$G$43*COS(RADIANS(F13))+'Geometry'!$F$43*SIN(RADIANS(F13))),('Geometry'!$G$44*COS(RADIANS(F13))+'Geometry'!$F$44*SIN(RADIANS(F13))),('Geometry'!$G$45*COS(RADIANS(F13))+'Geometry'!$F$45*SIN(RADIANS(F13))),('Geometry'!$G$46*COS(RADIANS(F13))+'Geometry'!$F$46*SIN(RADIANS(F13))),('Geometry'!$G$47*COS(RADIANS(F13))+'Geometry'!$F$47*SIN(RADIANS(F13))),('Geometry'!$G$48*COS(RADIANS(F13))+'Geometry'!$F$48*SIN(RADIANS(F13))),('Geometry'!$G$49*COS(RADIANS(F13))+'Geometry'!$F$49*SIN(RADIANS(F13))),('Geometry'!$G$50*COS(RADIANS(F13))+'Geometry'!$F$50*SIN(RADIANS(F13))),('Geometry'!$G$51*COS(RADIANS(F13))+'Geometry'!$F$51*SIN(RADIANS(F13))),('Geometry'!$G$52*COS(RADIANS(F13))+'Geometry'!$F$52*SIN(RADIANS(F13))),('Geometry'!$G$53*COS(RADIANS(F13))+'Geometry'!$F$53*SIN(RADIANS(F13))),('Geometry'!$G$54*COS(RADIANS(F13))+'Geometry'!$F$54*SIN(RADIANS(F13))),('Geometry'!$G$55*COS(RADIANS(F13))+'Geometry'!$F$55*SIN(RADIANS(F13))),('Geometry'!$G$56*COS(RADIANS(F13))+'Geometry'!$F$56*SIN(RADIANS(F13))),('Geometry'!$G$57*COS(RADIANS(F13))+'Geometry'!$F$57*SIN(RADIANS(F13))))</f>
        <v>-713.7465042268668</v>
      </c>
      <c r="K13" s="10">
        <f>I13-MIN(('Geometry'!$G$13*COS(RADIANS(F13))+'Geometry'!$F$13*SIN(RADIANS(F13))),('Geometry'!$G$14*COS(RADIANS(F13))+'Geometry'!$F$14*SIN(RADIANS(F13))),('Geometry'!$G$15*COS(RADIANS(F13))+'Geometry'!$F$15*SIN(RADIANS(F13))),('Geometry'!$G$16*COS(RADIANS(F13))+'Geometry'!$F$16*SIN(RADIANS(F13))),('Geometry'!$G$17*COS(RADIANS(F13))+'Geometry'!$F$17*SIN(RADIANS(F13))),('Geometry'!$G$18*COS(RADIANS(F13))+'Geometry'!$F$18*SIN(RADIANS(F13))),('Geometry'!$G$19*COS(RADIANS(F13))+'Geometry'!$F$19*SIN(RADIANS(F13))),('Geometry'!$G$20*COS(RADIANS(F13))+'Geometry'!$F$20*SIN(RADIANS(F13))))</f>
        <v>1663.2967524276987</v>
      </c>
      <c r="L13" s="15">
        <f>C_ecu</f>
        <v>0.0033</v>
      </c>
      <c r="M13" s="15">
        <f>-H13*S_1_fy/S_1_Es</f>
        <v>-0.009999999999999998</v>
      </c>
      <c r="N13" s="21">
        <f>IF(ABS(I13-J13)&lt;0.000000000001,0,(L13-M13)/(I13-J13))</f>
        <v>0.000008606214611120687</v>
      </c>
      <c r="O13" s="15">
        <f>L13-N13*I13</f>
        <v>-0.0038573444066864245</v>
      </c>
      <c r="P13" s="21">
        <f>N13*COS(RADIANS(F13))</f>
        <v>0.000005531968118331637</v>
      </c>
      <c r="Q13" s="21">
        <f>N13*SIN(RADIANS(F13))</f>
        <v>0.000006592742879138359</v>
      </c>
      <c r="R13" s="10">
        <f>SUMPRODUCT(C_alpha*C_fck*(1-(1-(((O13+P13*Mesh_Y+Q13*Mesh_X))*((O13+P13*Mesh_Y+Q13*Mesh_X)&gt;0)*((O13+P13*Mesh_Y+Q13*Mesh_X)&lt;C_eco)+C_eco*((O13+P13*Mesh_Y+Q13*Mesh_X)&gt;=C_eco))/C_eco)^C_n)*(((O13+P13*Mesh_Y+Q13*Mesh_X))&gt;0),Mesh_A)/1000</f>
        <v>3895.9626650283744</v>
      </c>
      <c r="S13" s="10">
        <f>SUMPRODUCT(C_alpha*C_fck*(1-(1-(((O13+P13*Mesh_Y+Q13*Mesh_X))*((O13+P13*Mesh_Y+Q13*Mesh_X)&gt;0)*((O13+P13*Mesh_Y+Q13*Mesh_X)&lt;C_eco)+C_eco*((O13+P13*Mesh_Y+Q13*Mesh_X)&gt;=C_eco))/C_eco)^C_n)*(((O13+P13*Mesh_Y+Q13*Mesh_X))&gt;0),Mesh_A,Mesh_Y)/1000000</f>
        <v>1395.1031172848213</v>
      </c>
      <c r="T13" s="10">
        <f>SUMPRODUCT(C_alpha*C_fck*(1-(1-(((O13+P13*Mesh_Y+Q13*Mesh_X))*((O13+P13*Mesh_Y+Q13*Mesh_X)&gt;0)*((O13+P13*Mesh_Y+Q13*Mesh_X)&lt;C_eco)+C_eco*((O13+P13*Mesh_Y+Q13*Mesh_X)&gt;=C_eco))/C_eco)^C_n)*(((O13+P13*Mesh_Y+Q13*Mesh_X))&gt;0),Mesh_A,Mesh_X)/1000000</f>
        <v>2148.655029293437</v>
      </c>
      <c r="U13" s="10">
        <f>(((MAX(MIN(S_1_Es*(O13+P13*'Geometry'!$G$40+Q13*'Geometry'!$F$40),S_1_fy),-S_1_fy))-(IF((O13+P13*'Geometry'!$G$40+Q13*'Geometry'!$F$40)&gt;0,IF((O13+P13*'Geometry'!$G$40+Q13*'Geometry'!$F$40)&lt;=C_eco,C_alpha*C_fck*(1-(1-(O13+P13*'Geometry'!$G$40+Q13*'Geometry'!$F$40)/C_eco)^C_n),C_alpha*C_fck),0)))*'Geometry'!$H$40+((MAX(MIN(S_1_Es*(O13+P13*'Geometry'!$G$41+Q13*'Geometry'!$F$41),S_1_fy),-S_1_fy))-(IF((O13+P13*'Geometry'!$G$41+Q13*'Geometry'!$F$41)&gt;0,IF((O13+P13*'Geometry'!$G$41+Q13*'Geometry'!$F$41)&lt;=C_eco,C_alpha*C_fck*(1-(1-(O13+P13*'Geometry'!$G$41+Q13*'Geometry'!$F$41)/C_eco)^C_n),C_alpha*C_fck),0)))*'Geometry'!$H$41+((MAX(MIN(S_1_Es*(O13+P13*'Geometry'!$G$42+Q13*'Geometry'!$F$42),S_1_fy),-S_1_fy))-(IF((O13+P13*'Geometry'!$G$42+Q13*'Geometry'!$F$42)&gt;0,IF((O13+P13*'Geometry'!$G$42+Q13*'Geometry'!$F$42)&lt;=C_eco,C_alpha*C_fck*(1-(1-(O13+P13*'Geometry'!$G$42+Q13*'Geometry'!$F$42)/C_eco)^C_n),C_alpha*C_fck),0)))*'Geometry'!$H$42+((MAX(MIN(S_1_Es*(O13+P13*'Geometry'!$G$43+Q13*'Geometry'!$F$43),S_1_fy),-S_1_fy))-(IF((O13+P13*'Geometry'!$G$43+Q13*'Geometry'!$F$43)&gt;0,IF((O13+P13*'Geometry'!$G$43+Q13*'Geometry'!$F$43)&lt;=C_eco,C_alpha*C_fck*(1-(1-(O13+P13*'Geometry'!$G$43+Q13*'Geometry'!$F$43)/C_eco)^C_n),C_alpha*C_fck),0)))*'Geometry'!$H$43+((MAX(MIN(S_1_Es*(O13+P13*'Geometry'!$G$44+Q13*'Geometry'!$F$44),S_1_fy),-S_1_fy))-(IF((O13+P13*'Geometry'!$G$44+Q13*'Geometry'!$F$44)&gt;0,IF((O13+P13*'Geometry'!$G$44+Q13*'Geometry'!$F$44)&lt;=C_eco,C_alpha*C_fck*(1-(1-(O13+P13*'Geometry'!$G$44+Q13*'Geometry'!$F$44)/C_eco)^C_n),C_alpha*C_fck),0)))*'Geometry'!$H$44+((MAX(MIN(S_1_Es*(O13+P13*'Geometry'!$G$45+Q13*'Geometry'!$F$45),S_1_fy),-S_1_fy))-(IF((O13+P13*'Geometry'!$G$45+Q13*'Geometry'!$F$45)&gt;0,IF((O13+P13*'Geometry'!$G$45+Q13*'Geometry'!$F$45)&lt;=C_eco,C_alpha*C_fck*(1-(1-(O13+P13*'Geometry'!$G$45+Q13*'Geometry'!$F$45)/C_eco)^C_n),C_alpha*C_fck),0)))*'Geometry'!$H$45+((MAX(MIN(S_1_Es*(O13+P13*'Geometry'!$G$46+Q13*'Geometry'!$F$46),S_1_fy),-S_1_fy))-(IF((O13+P13*'Geometry'!$G$46+Q13*'Geometry'!$F$46)&gt;0,IF((O13+P13*'Geometry'!$G$46+Q13*'Geometry'!$F$46)&lt;=C_eco,C_alpha*C_fck*(1-(1-(O13+P13*'Geometry'!$G$46+Q13*'Geometry'!$F$46)/C_eco)^C_n),C_alpha*C_fck),0)))*'Geometry'!$H$46+((MAX(MIN(S_1_Es*(O13+P13*'Geometry'!$G$47+Q13*'Geometry'!$F$47),S_1_fy),-S_1_fy))-(IF((O13+P13*'Geometry'!$G$47+Q13*'Geometry'!$F$47)&gt;0,IF((O13+P13*'Geometry'!$G$47+Q13*'Geometry'!$F$47)&lt;=C_eco,C_alpha*C_fck*(1-(1-(O13+P13*'Geometry'!$G$47+Q13*'Geometry'!$F$47)/C_eco)^C_n),C_alpha*C_fck),0)))*'Geometry'!$H$47+((MAX(MIN(S_1_Es*(O13+P13*'Geometry'!$G$48+Q13*'Geometry'!$F$48),S_1_fy),-S_1_fy))-(IF((O13+P13*'Geometry'!$G$48+Q13*'Geometry'!$F$48)&gt;0,IF((O13+P13*'Geometry'!$G$48+Q13*'Geometry'!$F$48)&lt;=C_eco,C_alpha*C_fck*(1-(1-(O13+P13*'Geometry'!$G$48+Q13*'Geometry'!$F$48)/C_eco)^C_n),C_alpha*C_fck),0)))*'Geometry'!$H$48+((MAX(MIN(S_1_Es*(O13+P13*'Geometry'!$G$49+Q13*'Geometry'!$F$49),S_1_fy),-S_1_fy))-(IF((O13+P13*'Geometry'!$G$49+Q13*'Geometry'!$F$49)&gt;0,IF((O13+P13*'Geometry'!$G$49+Q13*'Geometry'!$F$49)&lt;=C_eco,C_alpha*C_fck*(1-(1-(O13+P13*'Geometry'!$G$49+Q13*'Geometry'!$F$49)/C_eco)^C_n),C_alpha*C_fck),0)))*'Geometry'!$H$49+((MAX(MIN(S_1_Es*(O13+P13*'Geometry'!$G$50+Q13*'Geometry'!$F$50),S_1_fy),-S_1_fy))-(IF((O13+P13*'Geometry'!$G$50+Q13*'Geometry'!$F$50)&gt;0,IF((O13+P13*'Geometry'!$G$50+Q13*'Geometry'!$F$50)&lt;=C_eco,C_alpha*C_fck*(1-(1-(O13+P13*'Geometry'!$G$50+Q13*'Geometry'!$F$50)/C_eco)^C_n),C_alpha*C_fck),0)))*'Geometry'!$H$50+((MAX(MIN(S_1_Es*(O13+P13*'Geometry'!$G$51+Q13*'Geometry'!$F$51),S_1_fy),-S_1_fy))-(IF((O13+P13*'Geometry'!$G$51+Q13*'Geometry'!$F$51)&gt;0,IF((O13+P13*'Geometry'!$G$51+Q13*'Geometry'!$F$51)&lt;=C_eco,C_alpha*C_fck*(1-(1-(O13+P13*'Geometry'!$G$51+Q13*'Geometry'!$F$51)/C_eco)^C_n),C_alpha*C_fck),0)))*'Geometry'!$H$51+((MAX(MIN(S_1_Es*(O13+P13*'Geometry'!$G$52+Q13*'Geometry'!$F$52),S_1_fy),-S_1_fy))-(IF((O13+P13*'Geometry'!$G$52+Q13*'Geometry'!$F$52)&gt;0,IF((O13+P13*'Geometry'!$G$52+Q13*'Geometry'!$F$52)&lt;=C_eco,C_alpha*C_fck*(1-(1-(O13+P13*'Geometry'!$G$52+Q13*'Geometry'!$F$52)/C_eco)^C_n),C_alpha*C_fck),0)))*'Geometry'!$H$52+((MAX(MIN(S_1_Es*(O13+P13*'Geometry'!$G$53+Q13*'Geometry'!$F$53),S_1_fy),-S_1_fy))-(IF((O13+P13*'Geometry'!$G$53+Q13*'Geometry'!$F$53)&gt;0,IF((O13+P13*'Geometry'!$G$53+Q13*'Geometry'!$F$53)&lt;=C_eco,C_alpha*C_fck*(1-(1-(O13+P13*'Geometry'!$G$53+Q13*'Geometry'!$F$53)/C_eco)^C_n),C_alpha*C_fck),0)))*'Geometry'!$H$53+((MAX(MIN(S_1_Es*(O13+P13*'Geometry'!$G$54+Q13*'Geometry'!$F$54),S_1_fy),-S_1_fy))-(IF((O13+P13*'Geometry'!$G$54+Q13*'Geometry'!$F$54)&gt;0,IF((O13+P13*'Geometry'!$G$54+Q13*'Geometry'!$F$54)&lt;=C_eco,C_alpha*C_fck*(1-(1-(O13+P13*'Geometry'!$G$54+Q13*'Geometry'!$F$54)/C_eco)^C_n),C_alpha*C_fck),0)))*'Geometry'!$H$54+((MAX(MIN(S_1_Es*(O13+P13*'Geometry'!$G$55+Q13*'Geometry'!$F$55),S_1_fy),-S_1_fy))-(IF((O13+P13*'Geometry'!$G$55+Q13*'Geometry'!$F$55)&gt;0,IF((O13+P13*'Geometry'!$G$55+Q13*'Geometry'!$F$55)&lt;=C_eco,C_alpha*C_fck*(1-(1-(O13+P13*'Geometry'!$G$55+Q13*'Geometry'!$F$55)/C_eco)^C_n),C_alpha*C_fck),0)))*'Geometry'!$H$55+((MAX(MIN(S_1_Es*(O13+P13*'Geometry'!$G$56+Q13*'Geometry'!$F$56),S_1_fy),-S_1_fy))-(IF((O13+P13*'Geometry'!$G$56+Q13*'Geometry'!$F$56)&gt;0,IF((O13+P13*'Geometry'!$G$56+Q13*'Geometry'!$F$56)&lt;=C_eco,C_alpha*C_fck*(1-(1-(O13+P13*'Geometry'!$G$56+Q13*'Geometry'!$F$56)/C_eco)^C_n),C_alpha*C_fck),0)))*'Geometry'!$H$56+((MAX(MIN(S_1_Es*(O13+P13*'Geometry'!$G$57+Q13*'Geometry'!$F$57),S_1_fy),-S_1_fy))-(IF((O13+P13*'Geometry'!$G$57+Q13*'Geometry'!$F$57)&gt;0,IF((O13+P13*'Geometry'!$G$57+Q13*'Geometry'!$F$57)&lt;=C_eco,C_alpha*C_fck*(1-(1-(O13+P13*'Geometry'!$G$57+Q13*'Geometry'!$F$57)/C_eco)^C_n),C_alpha*C_fck),0)))*'Geometry'!$H$57)/1000</f>
        <v>-3058.6548071700227</v>
      </c>
      <c r="V13" s="10">
        <f>(((MAX(MIN(S_1_Es*(O13+P13*'Geometry'!$G$40+Q13*'Geometry'!$F$40),S_1_fy),-S_1_fy))-(IF((O13+P13*'Geometry'!$G$40+Q13*'Geometry'!$F$40)&gt;0,IF((O13+P13*'Geometry'!$G$40+Q13*'Geometry'!$F$40)&lt;=C_eco,C_alpha*C_fck*(1-(1-(O13+P13*'Geometry'!$G$40+Q13*'Geometry'!$F$40)/C_eco)^C_n),C_alpha*C_fck),0)))*'Geometry'!$H$40*'Geometry'!$G$40+((MAX(MIN(S_1_Es*(O13+P13*'Geometry'!$G$41+Q13*'Geometry'!$F$41),S_1_fy),-S_1_fy))-(IF((O13+P13*'Geometry'!$G$41+Q13*'Geometry'!$F$41)&gt;0,IF((O13+P13*'Geometry'!$G$41+Q13*'Geometry'!$F$41)&lt;=C_eco,C_alpha*C_fck*(1-(1-(O13+P13*'Geometry'!$G$41+Q13*'Geometry'!$F$41)/C_eco)^C_n),C_alpha*C_fck),0)))*'Geometry'!$H$41*'Geometry'!$G$41+((MAX(MIN(S_1_Es*(O13+P13*'Geometry'!$G$42+Q13*'Geometry'!$F$42),S_1_fy),-S_1_fy))-(IF((O13+P13*'Geometry'!$G$42+Q13*'Geometry'!$F$42)&gt;0,IF((O13+P13*'Geometry'!$G$42+Q13*'Geometry'!$F$42)&lt;=C_eco,C_alpha*C_fck*(1-(1-(O13+P13*'Geometry'!$G$42+Q13*'Geometry'!$F$42)/C_eco)^C_n),C_alpha*C_fck),0)))*'Geometry'!$H$42*'Geometry'!$G$42+((MAX(MIN(S_1_Es*(O13+P13*'Geometry'!$G$43+Q13*'Geometry'!$F$43),S_1_fy),-S_1_fy))-(IF((O13+P13*'Geometry'!$G$43+Q13*'Geometry'!$F$43)&gt;0,IF((O13+P13*'Geometry'!$G$43+Q13*'Geometry'!$F$43)&lt;=C_eco,C_alpha*C_fck*(1-(1-(O13+P13*'Geometry'!$G$43+Q13*'Geometry'!$F$43)/C_eco)^C_n),C_alpha*C_fck),0)))*'Geometry'!$H$43*'Geometry'!$G$43+((MAX(MIN(S_1_Es*(O13+P13*'Geometry'!$G$44+Q13*'Geometry'!$F$44),S_1_fy),-S_1_fy))-(IF((O13+P13*'Geometry'!$G$44+Q13*'Geometry'!$F$44)&gt;0,IF((O13+P13*'Geometry'!$G$44+Q13*'Geometry'!$F$44)&lt;=C_eco,C_alpha*C_fck*(1-(1-(O13+P13*'Geometry'!$G$44+Q13*'Geometry'!$F$44)/C_eco)^C_n),C_alpha*C_fck),0)))*'Geometry'!$H$44*'Geometry'!$G$44+((MAX(MIN(S_1_Es*(O13+P13*'Geometry'!$G$45+Q13*'Geometry'!$F$45),S_1_fy),-S_1_fy))-(IF((O13+P13*'Geometry'!$G$45+Q13*'Geometry'!$F$45)&gt;0,IF((O13+P13*'Geometry'!$G$45+Q13*'Geometry'!$F$45)&lt;=C_eco,C_alpha*C_fck*(1-(1-(O13+P13*'Geometry'!$G$45+Q13*'Geometry'!$F$45)/C_eco)^C_n),C_alpha*C_fck),0)))*'Geometry'!$H$45*'Geometry'!$G$45+((MAX(MIN(S_1_Es*(O13+P13*'Geometry'!$G$46+Q13*'Geometry'!$F$46),S_1_fy),-S_1_fy))-(IF((O13+P13*'Geometry'!$G$46+Q13*'Geometry'!$F$46)&gt;0,IF((O13+P13*'Geometry'!$G$46+Q13*'Geometry'!$F$46)&lt;=C_eco,C_alpha*C_fck*(1-(1-(O13+P13*'Geometry'!$G$46+Q13*'Geometry'!$F$46)/C_eco)^C_n),C_alpha*C_fck),0)))*'Geometry'!$H$46*'Geometry'!$G$46+((MAX(MIN(S_1_Es*(O13+P13*'Geometry'!$G$47+Q13*'Geometry'!$F$47),S_1_fy),-S_1_fy))-(IF((O13+P13*'Geometry'!$G$47+Q13*'Geometry'!$F$47)&gt;0,IF((O13+P13*'Geometry'!$G$47+Q13*'Geometry'!$F$47)&lt;=C_eco,C_alpha*C_fck*(1-(1-(O13+P13*'Geometry'!$G$47+Q13*'Geometry'!$F$47)/C_eco)^C_n),C_alpha*C_fck),0)))*'Geometry'!$H$47*'Geometry'!$G$47+((MAX(MIN(S_1_Es*(O13+P13*'Geometry'!$G$48+Q13*'Geometry'!$F$48),S_1_fy),-S_1_fy))-(IF((O13+P13*'Geometry'!$G$48+Q13*'Geometry'!$F$48)&gt;0,IF((O13+P13*'Geometry'!$G$48+Q13*'Geometry'!$F$48)&lt;=C_eco,C_alpha*C_fck*(1-(1-(O13+P13*'Geometry'!$G$48+Q13*'Geometry'!$F$48)/C_eco)^C_n),C_alpha*C_fck),0)))*'Geometry'!$H$48*'Geometry'!$G$48+((MAX(MIN(S_1_Es*(O13+P13*'Geometry'!$G$49+Q13*'Geometry'!$F$49),S_1_fy),-S_1_fy))-(IF((O13+P13*'Geometry'!$G$49+Q13*'Geometry'!$F$49)&gt;0,IF((O13+P13*'Geometry'!$G$49+Q13*'Geometry'!$F$49)&lt;=C_eco,C_alpha*C_fck*(1-(1-(O13+P13*'Geometry'!$G$49+Q13*'Geometry'!$F$49)/C_eco)^C_n),C_alpha*C_fck),0)))*'Geometry'!$H$49*'Geometry'!$G$49+((MAX(MIN(S_1_Es*(O13+P13*'Geometry'!$G$50+Q13*'Geometry'!$F$50),S_1_fy),-S_1_fy))-(IF((O13+P13*'Geometry'!$G$50+Q13*'Geometry'!$F$50)&gt;0,IF((O13+P13*'Geometry'!$G$50+Q13*'Geometry'!$F$50)&lt;=C_eco,C_alpha*C_fck*(1-(1-(O13+P13*'Geometry'!$G$50+Q13*'Geometry'!$F$50)/C_eco)^C_n),C_alpha*C_fck),0)))*'Geometry'!$H$50*'Geometry'!$G$50+((MAX(MIN(S_1_Es*(O13+P13*'Geometry'!$G$51+Q13*'Geometry'!$F$51),S_1_fy),-S_1_fy))-(IF((O13+P13*'Geometry'!$G$51+Q13*'Geometry'!$F$51)&gt;0,IF((O13+P13*'Geometry'!$G$51+Q13*'Geometry'!$F$51)&lt;=C_eco,C_alpha*C_fck*(1-(1-(O13+P13*'Geometry'!$G$51+Q13*'Geometry'!$F$51)/C_eco)^C_n),C_alpha*C_fck),0)))*'Geometry'!$H$51*'Geometry'!$G$51+((MAX(MIN(S_1_Es*(O13+P13*'Geometry'!$G$52+Q13*'Geometry'!$F$52),S_1_fy),-S_1_fy))-(IF((O13+P13*'Geometry'!$G$52+Q13*'Geometry'!$F$52)&gt;0,IF((O13+P13*'Geometry'!$G$52+Q13*'Geometry'!$F$52)&lt;=C_eco,C_alpha*C_fck*(1-(1-(O13+P13*'Geometry'!$G$52+Q13*'Geometry'!$F$52)/C_eco)^C_n),C_alpha*C_fck),0)))*'Geometry'!$H$52*'Geometry'!$G$52+((MAX(MIN(S_1_Es*(O13+P13*'Geometry'!$G$53+Q13*'Geometry'!$F$53),S_1_fy),-S_1_fy))-(IF((O13+P13*'Geometry'!$G$53+Q13*'Geometry'!$F$53)&gt;0,IF((O13+P13*'Geometry'!$G$53+Q13*'Geometry'!$F$53)&lt;=C_eco,C_alpha*C_fck*(1-(1-(O13+P13*'Geometry'!$G$53+Q13*'Geometry'!$F$53)/C_eco)^C_n),C_alpha*C_fck),0)))*'Geometry'!$H$53*'Geometry'!$G$53+((MAX(MIN(S_1_Es*(O13+P13*'Geometry'!$G$54+Q13*'Geometry'!$F$54),S_1_fy),-S_1_fy))-(IF((O13+P13*'Geometry'!$G$54+Q13*'Geometry'!$F$54)&gt;0,IF((O13+P13*'Geometry'!$G$54+Q13*'Geometry'!$F$54)&lt;=C_eco,C_alpha*C_fck*(1-(1-(O13+P13*'Geometry'!$G$54+Q13*'Geometry'!$F$54)/C_eco)^C_n),C_alpha*C_fck),0)))*'Geometry'!$H$54*'Geometry'!$G$54+((MAX(MIN(S_1_Es*(O13+P13*'Geometry'!$G$55+Q13*'Geometry'!$F$55),S_1_fy),-S_1_fy))-(IF((O13+P13*'Geometry'!$G$55+Q13*'Geometry'!$F$55)&gt;0,IF((O13+P13*'Geometry'!$G$55+Q13*'Geometry'!$F$55)&lt;=C_eco,C_alpha*C_fck*(1-(1-(O13+P13*'Geometry'!$G$55+Q13*'Geometry'!$F$55)/C_eco)^C_n),C_alpha*C_fck),0)))*'Geometry'!$H$55*'Geometry'!$G$55+((MAX(MIN(S_1_Es*(O13+P13*'Geometry'!$G$56+Q13*'Geometry'!$F$56),S_1_fy),-S_1_fy))-(IF((O13+P13*'Geometry'!$G$56+Q13*'Geometry'!$F$56)&gt;0,IF((O13+P13*'Geometry'!$G$56+Q13*'Geometry'!$F$56)&lt;=C_eco,C_alpha*C_fck*(1-(1-(O13+P13*'Geometry'!$G$56+Q13*'Geometry'!$F$56)/C_eco)^C_n),C_alpha*C_fck),0)))*'Geometry'!$H$56*'Geometry'!$G$56+((MAX(MIN(S_1_Es*(O13+P13*'Geometry'!$G$57+Q13*'Geometry'!$F$57),S_1_fy),-S_1_fy))-(IF((O13+P13*'Geometry'!$G$57+Q13*'Geometry'!$F$57)&gt;0,IF((O13+P13*'Geometry'!$G$57+Q13*'Geometry'!$F$57)&lt;=C_eco,C_alpha*C_fck*(1-(1-(O13+P13*'Geometry'!$G$57+Q13*'Geometry'!$F$57)/C_eco)^C_n),C_alpha*C_fck),0)))*'Geometry'!$H$57*'Geometry'!$G$57)/1000000</f>
        <v>754.0360780596263</v>
      </c>
      <c r="W13" s="10">
        <f>(((MAX(MIN(S_1_Es*(O13+P13*'Geometry'!$G$40+Q13*'Geometry'!$F$40),S_1_fy),-S_1_fy))-(IF((O13+P13*'Geometry'!$G$40+Q13*'Geometry'!$F$40)&gt;0,IF((O13+P13*'Geometry'!$G$40+Q13*'Geometry'!$F$40)&lt;=C_eco,C_alpha*C_fck*(1-(1-(O13+P13*'Geometry'!$G$40+Q13*'Geometry'!$F$40)/C_eco)^C_n),C_alpha*C_fck),0)))*'Geometry'!$H$40*'Geometry'!$F$40+((MAX(MIN(S_1_Es*(O13+P13*'Geometry'!$G$41+Q13*'Geometry'!$F$41),S_1_fy),-S_1_fy))-(IF((O13+P13*'Geometry'!$G$41+Q13*'Geometry'!$F$41)&gt;0,IF((O13+P13*'Geometry'!$G$41+Q13*'Geometry'!$F$41)&lt;=C_eco,C_alpha*C_fck*(1-(1-(O13+P13*'Geometry'!$G$41+Q13*'Geometry'!$F$41)/C_eco)^C_n),C_alpha*C_fck),0)))*'Geometry'!$H$41*'Geometry'!$F$41+((MAX(MIN(S_1_Es*(O13+P13*'Geometry'!$G$42+Q13*'Geometry'!$F$42),S_1_fy),-S_1_fy))-(IF((O13+P13*'Geometry'!$G$42+Q13*'Geometry'!$F$42)&gt;0,IF((O13+P13*'Geometry'!$G$42+Q13*'Geometry'!$F$42)&lt;=C_eco,C_alpha*C_fck*(1-(1-(O13+P13*'Geometry'!$G$42+Q13*'Geometry'!$F$42)/C_eco)^C_n),C_alpha*C_fck),0)))*'Geometry'!$H$42*'Geometry'!$F$42+((MAX(MIN(S_1_Es*(O13+P13*'Geometry'!$G$43+Q13*'Geometry'!$F$43),S_1_fy),-S_1_fy))-(IF((O13+P13*'Geometry'!$G$43+Q13*'Geometry'!$F$43)&gt;0,IF((O13+P13*'Geometry'!$G$43+Q13*'Geometry'!$F$43)&lt;=C_eco,C_alpha*C_fck*(1-(1-(O13+P13*'Geometry'!$G$43+Q13*'Geometry'!$F$43)/C_eco)^C_n),C_alpha*C_fck),0)))*'Geometry'!$H$43*'Geometry'!$F$43+((MAX(MIN(S_1_Es*(O13+P13*'Geometry'!$G$44+Q13*'Geometry'!$F$44),S_1_fy),-S_1_fy))-(IF((O13+P13*'Geometry'!$G$44+Q13*'Geometry'!$F$44)&gt;0,IF((O13+P13*'Geometry'!$G$44+Q13*'Geometry'!$F$44)&lt;=C_eco,C_alpha*C_fck*(1-(1-(O13+P13*'Geometry'!$G$44+Q13*'Geometry'!$F$44)/C_eco)^C_n),C_alpha*C_fck),0)))*'Geometry'!$H$44*'Geometry'!$F$44+((MAX(MIN(S_1_Es*(O13+P13*'Geometry'!$G$45+Q13*'Geometry'!$F$45),S_1_fy),-S_1_fy))-(IF((O13+P13*'Geometry'!$G$45+Q13*'Geometry'!$F$45)&gt;0,IF((O13+P13*'Geometry'!$G$45+Q13*'Geometry'!$F$45)&lt;=C_eco,C_alpha*C_fck*(1-(1-(O13+P13*'Geometry'!$G$45+Q13*'Geometry'!$F$45)/C_eco)^C_n),C_alpha*C_fck),0)))*'Geometry'!$H$45*'Geometry'!$F$45+((MAX(MIN(S_1_Es*(O13+P13*'Geometry'!$G$46+Q13*'Geometry'!$F$46),S_1_fy),-S_1_fy))-(IF((O13+P13*'Geometry'!$G$46+Q13*'Geometry'!$F$46)&gt;0,IF((O13+P13*'Geometry'!$G$46+Q13*'Geometry'!$F$46)&lt;=C_eco,C_alpha*C_fck*(1-(1-(O13+P13*'Geometry'!$G$46+Q13*'Geometry'!$F$46)/C_eco)^C_n),C_alpha*C_fck),0)))*'Geometry'!$H$46*'Geometry'!$F$46+((MAX(MIN(S_1_Es*(O13+P13*'Geometry'!$G$47+Q13*'Geometry'!$F$47),S_1_fy),-S_1_fy))-(IF((O13+P13*'Geometry'!$G$47+Q13*'Geometry'!$F$47)&gt;0,IF((O13+P13*'Geometry'!$G$47+Q13*'Geometry'!$F$47)&lt;=C_eco,C_alpha*C_fck*(1-(1-(O13+P13*'Geometry'!$G$47+Q13*'Geometry'!$F$47)/C_eco)^C_n),C_alpha*C_fck),0)))*'Geometry'!$H$47*'Geometry'!$F$47+((MAX(MIN(S_1_Es*(O13+P13*'Geometry'!$G$48+Q13*'Geometry'!$F$48),S_1_fy),-S_1_fy))-(IF((O13+P13*'Geometry'!$G$48+Q13*'Geometry'!$F$48)&gt;0,IF((O13+P13*'Geometry'!$G$48+Q13*'Geometry'!$F$48)&lt;=C_eco,C_alpha*C_fck*(1-(1-(O13+P13*'Geometry'!$G$48+Q13*'Geometry'!$F$48)/C_eco)^C_n),C_alpha*C_fck),0)))*'Geometry'!$H$48*'Geometry'!$F$48+((MAX(MIN(S_1_Es*(O13+P13*'Geometry'!$G$49+Q13*'Geometry'!$F$49),S_1_fy),-S_1_fy))-(IF((O13+P13*'Geometry'!$G$49+Q13*'Geometry'!$F$49)&gt;0,IF((O13+P13*'Geometry'!$G$49+Q13*'Geometry'!$F$49)&lt;=C_eco,C_alpha*C_fck*(1-(1-(O13+P13*'Geometry'!$G$49+Q13*'Geometry'!$F$49)/C_eco)^C_n),C_alpha*C_fck),0)))*'Geometry'!$H$49*'Geometry'!$F$49+((MAX(MIN(S_1_Es*(O13+P13*'Geometry'!$G$50+Q13*'Geometry'!$F$50),S_1_fy),-S_1_fy))-(IF((O13+P13*'Geometry'!$G$50+Q13*'Geometry'!$F$50)&gt;0,IF((O13+P13*'Geometry'!$G$50+Q13*'Geometry'!$F$50)&lt;=C_eco,C_alpha*C_fck*(1-(1-(O13+P13*'Geometry'!$G$50+Q13*'Geometry'!$F$50)/C_eco)^C_n),C_alpha*C_fck),0)))*'Geometry'!$H$50*'Geometry'!$F$50+((MAX(MIN(S_1_Es*(O13+P13*'Geometry'!$G$51+Q13*'Geometry'!$F$51),S_1_fy),-S_1_fy))-(IF((O13+P13*'Geometry'!$G$51+Q13*'Geometry'!$F$51)&gt;0,IF((O13+P13*'Geometry'!$G$51+Q13*'Geometry'!$F$51)&lt;=C_eco,C_alpha*C_fck*(1-(1-(O13+P13*'Geometry'!$G$51+Q13*'Geometry'!$F$51)/C_eco)^C_n),C_alpha*C_fck),0)))*'Geometry'!$H$51*'Geometry'!$F$51+((MAX(MIN(S_1_Es*(O13+P13*'Geometry'!$G$52+Q13*'Geometry'!$F$52),S_1_fy),-S_1_fy))-(IF((O13+P13*'Geometry'!$G$52+Q13*'Geometry'!$F$52)&gt;0,IF((O13+P13*'Geometry'!$G$52+Q13*'Geometry'!$F$52)&lt;=C_eco,C_alpha*C_fck*(1-(1-(O13+P13*'Geometry'!$G$52+Q13*'Geometry'!$F$52)/C_eco)^C_n),C_alpha*C_fck),0)))*'Geometry'!$H$52*'Geometry'!$F$52+((MAX(MIN(S_1_Es*(O13+P13*'Geometry'!$G$53+Q13*'Geometry'!$F$53),S_1_fy),-S_1_fy))-(IF((O13+P13*'Geometry'!$G$53+Q13*'Geometry'!$F$53)&gt;0,IF((O13+P13*'Geometry'!$G$53+Q13*'Geometry'!$F$53)&lt;=C_eco,C_alpha*C_fck*(1-(1-(O13+P13*'Geometry'!$G$53+Q13*'Geometry'!$F$53)/C_eco)^C_n),C_alpha*C_fck),0)))*'Geometry'!$H$53*'Geometry'!$F$53+((MAX(MIN(S_1_Es*(O13+P13*'Geometry'!$G$54+Q13*'Geometry'!$F$54),S_1_fy),-S_1_fy))-(IF((O13+P13*'Geometry'!$G$54+Q13*'Geometry'!$F$54)&gt;0,IF((O13+P13*'Geometry'!$G$54+Q13*'Geometry'!$F$54)&lt;=C_eco,C_alpha*C_fck*(1-(1-(O13+P13*'Geometry'!$G$54+Q13*'Geometry'!$F$54)/C_eco)^C_n),C_alpha*C_fck),0)))*'Geometry'!$H$54*'Geometry'!$F$54+((MAX(MIN(S_1_Es*(O13+P13*'Geometry'!$G$55+Q13*'Geometry'!$F$55),S_1_fy),-S_1_fy))-(IF((O13+P13*'Geometry'!$G$55+Q13*'Geometry'!$F$55)&gt;0,IF((O13+P13*'Geometry'!$G$55+Q13*'Geometry'!$F$55)&lt;=C_eco,C_alpha*C_fck*(1-(1-(O13+P13*'Geometry'!$G$55+Q13*'Geometry'!$F$55)/C_eco)^C_n),C_alpha*C_fck),0)))*'Geometry'!$H$55*'Geometry'!$F$55+((MAX(MIN(S_1_Es*(O13+P13*'Geometry'!$G$56+Q13*'Geometry'!$F$56),S_1_fy),-S_1_fy))-(IF((O13+P13*'Geometry'!$G$56+Q13*'Geometry'!$F$56)&gt;0,IF((O13+P13*'Geometry'!$G$56+Q13*'Geometry'!$F$56)&lt;=C_eco,C_alpha*C_fck*(1-(1-(O13+P13*'Geometry'!$G$56+Q13*'Geometry'!$F$56)/C_eco)^C_n),C_alpha*C_fck),0)))*'Geometry'!$H$56*'Geometry'!$F$56+((MAX(MIN(S_1_Es*(O13+P13*'Geometry'!$G$57+Q13*'Geometry'!$F$57),S_1_fy),-S_1_fy))-(IF((O13+P13*'Geometry'!$G$57+Q13*'Geometry'!$F$57)&gt;0,IF((O13+P13*'Geometry'!$G$57+Q13*'Geometry'!$F$57)&lt;=C_eco,C_alpha*C_fck*(1-(1-(O13+P13*'Geometry'!$G$57+Q13*'Geometry'!$F$57)/C_eco)^C_n),C_alpha*C_fck),0)))*'Geometry'!$H$57*'Geometry'!$F$57)/1000000</f>
        <v>1397.3507270864884</v>
      </c>
      <c r="X13" s="10">
        <f>R13+U13</f>
        <v>837.3078578583519</v>
      </c>
      <c r="Y13" s="10">
        <f>S13+V13</f>
        <v>2149.1391953444477</v>
      </c>
      <c r="Z13" s="10">
        <f>T13+W13</f>
        <v>3546.0057563799255</v>
      </c>
      <c r="AA13" s="7">
        <v>0.8499999999999999</v>
      </c>
      <c r="AB13" s="7">
        <v>0.8500000000000001</v>
      </c>
      <c r="AC13" s="10">
        <f>X13*AA13</f>
        <v>711.7116791795991</v>
      </c>
      <c r="AD13" s="10">
        <f>Y13*AB13</f>
        <v>1826.7683160427805</v>
      </c>
      <c r="AE13" s="10">
        <f>Z13*AB13</f>
        <v>3014.104892922937</v>
      </c>
      <c r="AF13" s="7">
        <v>711.7116791795991</v>
      </c>
      <c r="AG13" s="7">
        <v>1826.7683160427805</v>
      </c>
      <c r="AH13" s="7">
        <v>3014.104892922937</v>
      </c>
      <c r="AI13" s="15">
        <f>AC13-AF13</f>
        <v>0</v>
      </c>
      <c r="AJ13" s="15">
        <f>SQRT((AD13-AG13)^2+(AE13-AH13)^2)</f>
        <v>0</v>
      </c>
      <c r="AK13" s="7" t="s">
        <v>189</v>
      </c>
      <c r="AL13" s="7">
        <v>837.3078578583519</v>
      </c>
      <c r="AM13" s="7">
        <v>2149.1391953444477</v>
      </c>
      <c r="AN13" s="7">
        <v>3546.0057563799255</v>
      </c>
      <c r="AO13" s="7">
        <v>3895.9626650283744</v>
      </c>
      <c r="AP13" s="7">
        <v>1395.1031172848213</v>
      </c>
      <c r="AQ13" s="7">
        <v>2148.655029293437</v>
      </c>
      <c r="AR13" s="7">
        <v>-3058.6548071700227</v>
      </c>
      <c r="AS13" s="7">
        <v>754.0360780596263</v>
      </c>
      <c r="AT13" s="7">
        <v>1397.3507270864884</v>
      </c>
    </row>
    <row r="14" spans="1:46" x14ac:dyDescent="0.25">
      <c r="A14" s="7" t="s">
        <v>201</v>
      </c>
      <c r="B14" s="7">
        <v>1</v>
      </c>
      <c r="C14" s="18">
        <v>60</v>
      </c>
      <c r="D14" s="7" t="s">
        <v>272</v>
      </c>
      <c r="E14" s="7" t="s">
        <v>267</v>
      </c>
      <c r="F14" s="19">
        <v>60</v>
      </c>
      <c r="G14" s="7" t="s">
        <v>188</v>
      </c>
      <c r="H14" s="20">
        <v>5</v>
      </c>
      <c r="I14" s="10">
        <f>MAX(('Geometry'!$G$13*COS(RADIANS(F14))+'Geometry'!$F$13*SIN(RADIANS(F14))),('Geometry'!$G$14*COS(RADIANS(F14))+'Geometry'!$F$14*SIN(RADIANS(F14))),('Geometry'!$G$15*COS(RADIANS(F14))+'Geometry'!$F$15*SIN(RADIANS(F14))),('Geometry'!$G$16*COS(RADIANS(F14))+'Geometry'!$F$16*SIN(RADIANS(F14))),('Geometry'!$G$17*COS(RADIANS(F14))+'Geometry'!$F$17*SIN(RADIANS(F14))),('Geometry'!$G$18*COS(RADIANS(F14))+'Geometry'!$F$18*SIN(RADIANS(F14))),('Geometry'!$G$19*COS(RADIANS(F14))+'Geometry'!$F$19*SIN(RADIANS(F14))),('Geometry'!$G$20*COS(RADIANS(F14))+'Geometry'!$F$20*SIN(RADIANS(F14))))</f>
        <v>849.5190528383291</v>
      </c>
      <c r="J14" s="10">
        <f>MIN(('Geometry'!$G$40*COS(RADIANS(F14))+'Geometry'!$F$40*SIN(RADIANS(F14))),('Geometry'!$G$41*COS(RADIANS(F14))+'Geometry'!$F$41*SIN(RADIANS(F14))),('Geometry'!$G$42*COS(RADIANS(F14))+'Geometry'!$F$42*SIN(RADIANS(F14))),('Geometry'!$G$43*COS(RADIANS(F14))+'Geometry'!$F$43*SIN(RADIANS(F14))),('Geometry'!$G$44*COS(RADIANS(F14))+'Geometry'!$F$44*SIN(RADIANS(F14))),('Geometry'!$G$45*COS(RADIANS(F14))+'Geometry'!$F$45*SIN(RADIANS(F14))),('Geometry'!$G$46*COS(RADIANS(F14))+'Geometry'!$F$46*SIN(RADIANS(F14))),('Geometry'!$G$47*COS(RADIANS(F14))+'Geometry'!$F$47*SIN(RADIANS(F14))),('Geometry'!$G$48*COS(RADIANS(F14))+'Geometry'!$F$48*SIN(RADIANS(F14))),('Geometry'!$G$49*COS(RADIANS(F14))+'Geometry'!$F$49*SIN(RADIANS(F14))),('Geometry'!$G$50*COS(RADIANS(F14))+'Geometry'!$F$50*SIN(RADIANS(F14))),('Geometry'!$G$51*COS(RADIANS(F14))+'Geometry'!$F$51*SIN(RADIANS(F14))),('Geometry'!$G$52*COS(RADIANS(F14))+'Geometry'!$F$52*SIN(RADIANS(F14))),('Geometry'!$G$53*COS(RADIANS(F14))+'Geometry'!$F$53*SIN(RADIANS(F14))),('Geometry'!$G$54*COS(RADIANS(F14))+'Geometry'!$F$54*SIN(RADIANS(F14))),('Geometry'!$G$55*COS(RADIANS(F14))+'Geometry'!$F$55*SIN(RADIANS(F14))),('Geometry'!$G$56*COS(RADIANS(F14))+'Geometry'!$F$56*SIN(RADIANS(F14))),('Geometry'!$G$57*COS(RADIANS(F14))+'Geometry'!$F$57*SIN(RADIANS(F14))))</f>
        <v>-738.8972745734183</v>
      </c>
      <c r="K14" s="10">
        <f>I14-MIN(('Geometry'!$G$13*COS(RADIANS(F14))+'Geometry'!$F$13*SIN(RADIANS(F14))),('Geometry'!$G$14*COS(RADIANS(F14))+'Geometry'!$F$14*SIN(RADIANS(F14))),('Geometry'!$G$15*COS(RADIANS(F14))+'Geometry'!$F$15*SIN(RADIANS(F14))),('Geometry'!$G$16*COS(RADIANS(F14))+'Geometry'!$F$16*SIN(RADIANS(F14))),('Geometry'!$G$17*COS(RADIANS(F14))+'Geometry'!$F$17*SIN(RADIANS(F14))),('Geometry'!$G$18*COS(RADIANS(F14))+'Geometry'!$F$18*SIN(RADIANS(F14))),('Geometry'!$G$19*COS(RADIANS(F14))+'Geometry'!$F$19*SIN(RADIANS(F14))),('Geometry'!$G$20*COS(RADIANS(F14))+'Geometry'!$F$20*SIN(RADIANS(F14))))</f>
        <v>1699.0381056766582</v>
      </c>
      <c r="L14" s="15">
        <f>C_ecu</f>
        <v>0.0033</v>
      </c>
      <c r="M14" s="15">
        <f>-H14*S_1_fy/S_1_Es</f>
        <v>-0.01</v>
      </c>
      <c r="N14" s="21">
        <f>IF(ABS(I14-J14)&lt;0.000000000001,0,(L14-M14)/(I14-J14))</f>
        <v>0.000008373119673021587</v>
      </c>
      <c r="O14" s="15">
        <f>L14-N14*I14</f>
        <v>-0.0038131246939272787</v>
      </c>
      <c r="P14" s="21">
        <f>N14*COS(RADIANS(F14))</f>
        <v>0.000004186559836510794</v>
      </c>
      <c r="Q14" s="21">
        <f>N14*SIN(RADIANS(F14))</f>
        <v>0.000007251334345763946</v>
      </c>
      <c r="R14" s="10">
        <f>SUMPRODUCT(C_alpha*C_fck*(1-(1-(((O14+P14*Mesh_Y+Q14*Mesh_X))*((O14+P14*Mesh_Y+Q14*Mesh_X)&gt;0)*((O14+P14*Mesh_Y+Q14*Mesh_X)&lt;C_eco)+C_eco*((O14+P14*Mesh_Y+Q14*Mesh_X)&gt;=C_eco))/C_eco)^C_n)*(((O14+P14*Mesh_Y+Q14*Mesh_X))&gt;0),Mesh_A)/1000</f>
        <v>4073.9883283928566</v>
      </c>
      <c r="S14" s="10">
        <f>SUMPRODUCT(C_alpha*C_fck*(1-(1-(((O14+P14*Mesh_Y+Q14*Mesh_X))*((O14+P14*Mesh_Y+Q14*Mesh_X)&gt;0)*((O14+P14*Mesh_Y+Q14*Mesh_X)&lt;C_eco)+C_eco*((O14+P14*Mesh_Y+Q14*Mesh_X)&gt;=C_eco))/C_eco)^C_n)*(((O14+P14*Mesh_Y+Q14*Mesh_X))&gt;0),Mesh_A,Mesh_Y)/1000000</f>
        <v>1193.0312766370891</v>
      </c>
      <c r="T14" s="10">
        <f>SUMPRODUCT(C_alpha*C_fck*(1-(1-(((O14+P14*Mesh_Y+Q14*Mesh_X))*((O14+P14*Mesh_Y+Q14*Mesh_X)&gt;0)*((O14+P14*Mesh_Y+Q14*Mesh_X)&lt;C_eco)+C_eco*((O14+P14*Mesh_Y+Q14*Mesh_X)&gt;=C_eco))/C_eco)^C_n)*(((O14+P14*Mesh_Y+Q14*Mesh_X))&gt;0),Mesh_A,Mesh_X)/1000000</f>
        <v>2396.5614103155544</v>
      </c>
      <c r="U14" s="10">
        <f>(((MAX(MIN(S_1_Es*(O14+P14*'Geometry'!$G$40+Q14*'Geometry'!$F$40),S_1_fy),-S_1_fy))-(IF((O14+P14*'Geometry'!$G$40+Q14*'Geometry'!$F$40)&gt;0,IF((O14+P14*'Geometry'!$G$40+Q14*'Geometry'!$F$40)&lt;=C_eco,C_alpha*C_fck*(1-(1-(O14+P14*'Geometry'!$G$40+Q14*'Geometry'!$F$40)/C_eco)^C_n),C_alpha*C_fck),0)))*'Geometry'!$H$40+((MAX(MIN(S_1_Es*(O14+P14*'Geometry'!$G$41+Q14*'Geometry'!$F$41),S_1_fy),-S_1_fy))-(IF((O14+P14*'Geometry'!$G$41+Q14*'Geometry'!$F$41)&gt;0,IF((O14+P14*'Geometry'!$G$41+Q14*'Geometry'!$F$41)&lt;=C_eco,C_alpha*C_fck*(1-(1-(O14+P14*'Geometry'!$G$41+Q14*'Geometry'!$F$41)/C_eco)^C_n),C_alpha*C_fck),0)))*'Geometry'!$H$41+((MAX(MIN(S_1_Es*(O14+P14*'Geometry'!$G$42+Q14*'Geometry'!$F$42),S_1_fy),-S_1_fy))-(IF((O14+P14*'Geometry'!$G$42+Q14*'Geometry'!$F$42)&gt;0,IF((O14+P14*'Geometry'!$G$42+Q14*'Geometry'!$F$42)&lt;=C_eco,C_alpha*C_fck*(1-(1-(O14+P14*'Geometry'!$G$42+Q14*'Geometry'!$F$42)/C_eco)^C_n),C_alpha*C_fck),0)))*'Geometry'!$H$42+((MAX(MIN(S_1_Es*(O14+P14*'Geometry'!$G$43+Q14*'Geometry'!$F$43),S_1_fy),-S_1_fy))-(IF((O14+P14*'Geometry'!$G$43+Q14*'Geometry'!$F$43)&gt;0,IF((O14+P14*'Geometry'!$G$43+Q14*'Geometry'!$F$43)&lt;=C_eco,C_alpha*C_fck*(1-(1-(O14+P14*'Geometry'!$G$43+Q14*'Geometry'!$F$43)/C_eco)^C_n),C_alpha*C_fck),0)))*'Geometry'!$H$43+((MAX(MIN(S_1_Es*(O14+P14*'Geometry'!$G$44+Q14*'Geometry'!$F$44),S_1_fy),-S_1_fy))-(IF((O14+P14*'Geometry'!$G$44+Q14*'Geometry'!$F$44)&gt;0,IF((O14+P14*'Geometry'!$G$44+Q14*'Geometry'!$F$44)&lt;=C_eco,C_alpha*C_fck*(1-(1-(O14+P14*'Geometry'!$G$44+Q14*'Geometry'!$F$44)/C_eco)^C_n),C_alpha*C_fck),0)))*'Geometry'!$H$44+((MAX(MIN(S_1_Es*(O14+P14*'Geometry'!$G$45+Q14*'Geometry'!$F$45),S_1_fy),-S_1_fy))-(IF((O14+P14*'Geometry'!$G$45+Q14*'Geometry'!$F$45)&gt;0,IF((O14+P14*'Geometry'!$G$45+Q14*'Geometry'!$F$45)&lt;=C_eco,C_alpha*C_fck*(1-(1-(O14+P14*'Geometry'!$G$45+Q14*'Geometry'!$F$45)/C_eco)^C_n),C_alpha*C_fck),0)))*'Geometry'!$H$45+((MAX(MIN(S_1_Es*(O14+P14*'Geometry'!$G$46+Q14*'Geometry'!$F$46),S_1_fy),-S_1_fy))-(IF((O14+P14*'Geometry'!$G$46+Q14*'Geometry'!$F$46)&gt;0,IF((O14+P14*'Geometry'!$G$46+Q14*'Geometry'!$F$46)&lt;=C_eco,C_alpha*C_fck*(1-(1-(O14+P14*'Geometry'!$G$46+Q14*'Geometry'!$F$46)/C_eco)^C_n),C_alpha*C_fck),0)))*'Geometry'!$H$46+((MAX(MIN(S_1_Es*(O14+P14*'Geometry'!$G$47+Q14*'Geometry'!$F$47),S_1_fy),-S_1_fy))-(IF((O14+P14*'Geometry'!$G$47+Q14*'Geometry'!$F$47)&gt;0,IF((O14+P14*'Geometry'!$G$47+Q14*'Geometry'!$F$47)&lt;=C_eco,C_alpha*C_fck*(1-(1-(O14+P14*'Geometry'!$G$47+Q14*'Geometry'!$F$47)/C_eco)^C_n),C_alpha*C_fck),0)))*'Geometry'!$H$47+((MAX(MIN(S_1_Es*(O14+P14*'Geometry'!$G$48+Q14*'Geometry'!$F$48),S_1_fy),-S_1_fy))-(IF((O14+P14*'Geometry'!$G$48+Q14*'Geometry'!$F$48)&gt;0,IF((O14+P14*'Geometry'!$G$48+Q14*'Geometry'!$F$48)&lt;=C_eco,C_alpha*C_fck*(1-(1-(O14+P14*'Geometry'!$G$48+Q14*'Geometry'!$F$48)/C_eco)^C_n),C_alpha*C_fck),0)))*'Geometry'!$H$48+((MAX(MIN(S_1_Es*(O14+P14*'Geometry'!$G$49+Q14*'Geometry'!$F$49),S_1_fy),-S_1_fy))-(IF((O14+P14*'Geometry'!$G$49+Q14*'Geometry'!$F$49)&gt;0,IF((O14+P14*'Geometry'!$G$49+Q14*'Geometry'!$F$49)&lt;=C_eco,C_alpha*C_fck*(1-(1-(O14+P14*'Geometry'!$G$49+Q14*'Geometry'!$F$49)/C_eco)^C_n),C_alpha*C_fck),0)))*'Geometry'!$H$49+((MAX(MIN(S_1_Es*(O14+P14*'Geometry'!$G$50+Q14*'Geometry'!$F$50),S_1_fy),-S_1_fy))-(IF((O14+P14*'Geometry'!$G$50+Q14*'Geometry'!$F$50)&gt;0,IF((O14+P14*'Geometry'!$G$50+Q14*'Geometry'!$F$50)&lt;=C_eco,C_alpha*C_fck*(1-(1-(O14+P14*'Geometry'!$G$50+Q14*'Geometry'!$F$50)/C_eco)^C_n),C_alpha*C_fck),0)))*'Geometry'!$H$50+((MAX(MIN(S_1_Es*(O14+P14*'Geometry'!$G$51+Q14*'Geometry'!$F$51),S_1_fy),-S_1_fy))-(IF((O14+P14*'Geometry'!$G$51+Q14*'Geometry'!$F$51)&gt;0,IF((O14+P14*'Geometry'!$G$51+Q14*'Geometry'!$F$51)&lt;=C_eco,C_alpha*C_fck*(1-(1-(O14+P14*'Geometry'!$G$51+Q14*'Geometry'!$F$51)/C_eco)^C_n),C_alpha*C_fck),0)))*'Geometry'!$H$51+((MAX(MIN(S_1_Es*(O14+P14*'Geometry'!$G$52+Q14*'Geometry'!$F$52),S_1_fy),-S_1_fy))-(IF((O14+P14*'Geometry'!$G$52+Q14*'Geometry'!$F$52)&gt;0,IF((O14+P14*'Geometry'!$G$52+Q14*'Geometry'!$F$52)&lt;=C_eco,C_alpha*C_fck*(1-(1-(O14+P14*'Geometry'!$G$52+Q14*'Geometry'!$F$52)/C_eco)^C_n),C_alpha*C_fck),0)))*'Geometry'!$H$52+((MAX(MIN(S_1_Es*(O14+P14*'Geometry'!$G$53+Q14*'Geometry'!$F$53),S_1_fy),-S_1_fy))-(IF((O14+P14*'Geometry'!$G$53+Q14*'Geometry'!$F$53)&gt;0,IF((O14+P14*'Geometry'!$G$53+Q14*'Geometry'!$F$53)&lt;=C_eco,C_alpha*C_fck*(1-(1-(O14+P14*'Geometry'!$G$53+Q14*'Geometry'!$F$53)/C_eco)^C_n),C_alpha*C_fck),0)))*'Geometry'!$H$53+((MAX(MIN(S_1_Es*(O14+P14*'Geometry'!$G$54+Q14*'Geometry'!$F$54),S_1_fy),-S_1_fy))-(IF((O14+P14*'Geometry'!$G$54+Q14*'Geometry'!$F$54)&gt;0,IF((O14+P14*'Geometry'!$G$54+Q14*'Geometry'!$F$54)&lt;=C_eco,C_alpha*C_fck*(1-(1-(O14+P14*'Geometry'!$G$54+Q14*'Geometry'!$F$54)/C_eco)^C_n),C_alpha*C_fck),0)))*'Geometry'!$H$54+((MAX(MIN(S_1_Es*(O14+P14*'Geometry'!$G$55+Q14*'Geometry'!$F$55),S_1_fy),-S_1_fy))-(IF((O14+P14*'Geometry'!$G$55+Q14*'Geometry'!$F$55)&gt;0,IF((O14+P14*'Geometry'!$G$55+Q14*'Geometry'!$F$55)&lt;=C_eco,C_alpha*C_fck*(1-(1-(O14+P14*'Geometry'!$G$55+Q14*'Geometry'!$F$55)/C_eco)^C_n),C_alpha*C_fck),0)))*'Geometry'!$H$55+((MAX(MIN(S_1_Es*(O14+P14*'Geometry'!$G$56+Q14*'Geometry'!$F$56),S_1_fy),-S_1_fy))-(IF((O14+P14*'Geometry'!$G$56+Q14*'Geometry'!$F$56)&gt;0,IF((O14+P14*'Geometry'!$G$56+Q14*'Geometry'!$F$56)&lt;=C_eco,C_alpha*C_fck*(1-(1-(O14+P14*'Geometry'!$G$56+Q14*'Geometry'!$F$56)/C_eco)^C_n),C_alpha*C_fck),0)))*'Geometry'!$H$56+((MAX(MIN(S_1_Es*(O14+P14*'Geometry'!$G$57+Q14*'Geometry'!$F$57),S_1_fy),-S_1_fy))-(IF((O14+P14*'Geometry'!$G$57+Q14*'Geometry'!$F$57)&gt;0,IF((O14+P14*'Geometry'!$G$57+Q14*'Geometry'!$F$57)&lt;=C_eco,C_alpha*C_fck*(1-(1-(O14+P14*'Geometry'!$G$57+Q14*'Geometry'!$F$57)/C_eco)^C_n),C_alpha*C_fck),0)))*'Geometry'!$H$57)/1000</f>
        <v>-3018.8938954931546</v>
      </c>
      <c r="V14" s="10">
        <f>(((MAX(MIN(S_1_Es*(O14+P14*'Geometry'!$G$40+Q14*'Geometry'!$F$40),S_1_fy),-S_1_fy))-(IF((O14+P14*'Geometry'!$G$40+Q14*'Geometry'!$F$40)&gt;0,IF((O14+P14*'Geometry'!$G$40+Q14*'Geometry'!$F$40)&lt;=C_eco,C_alpha*C_fck*(1-(1-(O14+P14*'Geometry'!$G$40+Q14*'Geometry'!$F$40)/C_eco)^C_n),C_alpha*C_fck),0)))*'Geometry'!$H$40*'Geometry'!$G$40+((MAX(MIN(S_1_Es*(O14+P14*'Geometry'!$G$41+Q14*'Geometry'!$F$41),S_1_fy),-S_1_fy))-(IF((O14+P14*'Geometry'!$G$41+Q14*'Geometry'!$F$41)&gt;0,IF((O14+P14*'Geometry'!$G$41+Q14*'Geometry'!$F$41)&lt;=C_eco,C_alpha*C_fck*(1-(1-(O14+P14*'Geometry'!$G$41+Q14*'Geometry'!$F$41)/C_eco)^C_n),C_alpha*C_fck),0)))*'Geometry'!$H$41*'Geometry'!$G$41+((MAX(MIN(S_1_Es*(O14+P14*'Geometry'!$G$42+Q14*'Geometry'!$F$42),S_1_fy),-S_1_fy))-(IF((O14+P14*'Geometry'!$G$42+Q14*'Geometry'!$F$42)&gt;0,IF((O14+P14*'Geometry'!$G$42+Q14*'Geometry'!$F$42)&lt;=C_eco,C_alpha*C_fck*(1-(1-(O14+P14*'Geometry'!$G$42+Q14*'Geometry'!$F$42)/C_eco)^C_n),C_alpha*C_fck),0)))*'Geometry'!$H$42*'Geometry'!$G$42+((MAX(MIN(S_1_Es*(O14+P14*'Geometry'!$G$43+Q14*'Geometry'!$F$43),S_1_fy),-S_1_fy))-(IF((O14+P14*'Geometry'!$G$43+Q14*'Geometry'!$F$43)&gt;0,IF((O14+P14*'Geometry'!$G$43+Q14*'Geometry'!$F$43)&lt;=C_eco,C_alpha*C_fck*(1-(1-(O14+P14*'Geometry'!$G$43+Q14*'Geometry'!$F$43)/C_eco)^C_n),C_alpha*C_fck),0)))*'Geometry'!$H$43*'Geometry'!$G$43+((MAX(MIN(S_1_Es*(O14+P14*'Geometry'!$G$44+Q14*'Geometry'!$F$44),S_1_fy),-S_1_fy))-(IF((O14+P14*'Geometry'!$G$44+Q14*'Geometry'!$F$44)&gt;0,IF((O14+P14*'Geometry'!$G$44+Q14*'Geometry'!$F$44)&lt;=C_eco,C_alpha*C_fck*(1-(1-(O14+P14*'Geometry'!$G$44+Q14*'Geometry'!$F$44)/C_eco)^C_n),C_alpha*C_fck),0)))*'Geometry'!$H$44*'Geometry'!$G$44+((MAX(MIN(S_1_Es*(O14+P14*'Geometry'!$G$45+Q14*'Geometry'!$F$45),S_1_fy),-S_1_fy))-(IF((O14+P14*'Geometry'!$G$45+Q14*'Geometry'!$F$45)&gt;0,IF((O14+P14*'Geometry'!$G$45+Q14*'Geometry'!$F$45)&lt;=C_eco,C_alpha*C_fck*(1-(1-(O14+P14*'Geometry'!$G$45+Q14*'Geometry'!$F$45)/C_eco)^C_n),C_alpha*C_fck),0)))*'Geometry'!$H$45*'Geometry'!$G$45+((MAX(MIN(S_1_Es*(O14+P14*'Geometry'!$G$46+Q14*'Geometry'!$F$46),S_1_fy),-S_1_fy))-(IF((O14+P14*'Geometry'!$G$46+Q14*'Geometry'!$F$46)&gt;0,IF((O14+P14*'Geometry'!$G$46+Q14*'Geometry'!$F$46)&lt;=C_eco,C_alpha*C_fck*(1-(1-(O14+P14*'Geometry'!$G$46+Q14*'Geometry'!$F$46)/C_eco)^C_n),C_alpha*C_fck),0)))*'Geometry'!$H$46*'Geometry'!$G$46+((MAX(MIN(S_1_Es*(O14+P14*'Geometry'!$G$47+Q14*'Geometry'!$F$47),S_1_fy),-S_1_fy))-(IF((O14+P14*'Geometry'!$G$47+Q14*'Geometry'!$F$47)&gt;0,IF((O14+P14*'Geometry'!$G$47+Q14*'Geometry'!$F$47)&lt;=C_eco,C_alpha*C_fck*(1-(1-(O14+P14*'Geometry'!$G$47+Q14*'Geometry'!$F$47)/C_eco)^C_n),C_alpha*C_fck),0)))*'Geometry'!$H$47*'Geometry'!$G$47+((MAX(MIN(S_1_Es*(O14+P14*'Geometry'!$G$48+Q14*'Geometry'!$F$48),S_1_fy),-S_1_fy))-(IF((O14+P14*'Geometry'!$G$48+Q14*'Geometry'!$F$48)&gt;0,IF((O14+P14*'Geometry'!$G$48+Q14*'Geometry'!$F$48)&lt;=C_eco,C_alpha*C_fck*(1-(1-(O14+P14*'Geometry'!$G$48+Q14*'Geometry'!$F$48)/C_eco)^C_n),C_alpha*C_fck),0)))*'Geometry'!$H$48*'Geometry'!$G$48+((MAX(MIN(S_1_Es*(O14+P14*'Geometry'!$G$49+Q14*'Geometry'!$F$49),S_1_fy),-S_1_fy))-(IF((O14+P14*'Geometry'!$G$49+Q14*'Geometry'!$F$49)&gt;0,IF((O14+P14*'Geometry'!$G$49+Q14*'Geometry'!$F$49)&lt;=C_eco,C_alpha*C_fck*(1-(1-(O14+P14*'Geometry'!$G$49+Q14*'Geometry'!$F$49)/C_eco)^C_n),C_alpha*C_fck),0)))*'Geometry'!$H$49*'Geometry'!$G$49+((MAX(MIN(S_1_Es*(O14+P14*'Geometry'!$G$50+Q14*'Geometry'!$F$50),S_1_fy),-S_1_fy))-(IF((O14+P14*'Geometry'!$G$50+Q14*'Geometry'!$F$50)&gt;0,IF((O14+P14*'Geometry'!$G$50+Q14*'Geometry'!$F$50)&lt;=C_eco,C_alpha*C_fck*(1-(1-(O14+P14*'Geometry'!$G$50+Q14*'Geometry'!$F$50)/C_eco)^C_n),C_alpha*C_fck),0)))*'Geometry'!$H$50*'Geometry'!$G$50+((MAX(MIN(S_1_Es*(O14+P14*'Geometry'!$G$51+Q14*'Geometry'!$F$51),S_1_fy),-S_1_fy))-(IF((O14+P14*'Geometry'!$G$51+Q14*'Geometry'!$F$51)&gt;0,IF((O14+P14*'Geometry'!$G$51+Q14*'Geometry'!$F$51)&lt;=C_eco,C_alpha*C_fck*(1-(1-(O14+P14*'Geometry'!$G$51+Q14*'Geometry'!$F$51)/C_eco)^C_n),C_alpha*C_fck),0)))*'Geometry'!$H$51*'Geometry'!$G$51+((MAX(MIN(S_1_Es*(O14+P14*'Geometry'!$G$52+Q14*'Geometry'!$F$52),S_1_fy),-S_1_fy))-(IF((O14+P14*'Geometry'!$G$52+Q14*'Geometry'!$F$52)&gt;0,IF((O14+P14*'Geometry'!$G$52+Q14*'Geometry'!$F$52)&lt;=C_eco,C_alpha*C_fck*(1-(1-(O14+P14*'Geometry'!$G$52+Q14*'Geometry'!$F$52)/C_eco)^C_n),C_alpha*C_fck),0)))*'Geometry'!$H$52*'Geometry'!$G$52+((MAX(MIN(S_1_Es*(O14+P14*'Geometry'!$G$53+Q14*'Geometry'!$F$53),S_1_fy),-S_1_fy))-(IF((O14+P14*'Geometry'!$G$53+Q14*'Geometry'!$F$53)&gt;0,IF((O14+P14*'Geometry'!$G$53+Q14*'Geometry'!$F$53)&lt;=C_eco,C_alpha*C_fck*(1-(1-(O14+P14*'Geometry'!$G$53+Q14*'Geometry'!$F$53)/C_eco)^C_n),C_alpha*C_fck),0)))*'Geometry'!$H$53*'Geometry'!$G$53+((MAX(MIN(S_1_Es*(O14+P14*'Geometry'!$G$54+Q14*'Geometry'!$F$54),S_1_fy),-S_1_fy))-(IF((O14+P14*'Geometry'!$G$54+Q14*'Geometry'!$F$54)&gt;0,IF((O14+P14*'Geometry'!$G$54+Q14*'Geometry'!$F$54)&lt;=C_eco,C_alpha*C_fck*(1-(1-(O14+P14*'Geometry'!$G$54+Q14*'Geometry'!$F$54)/C_eco)^C_n),C_alpha*C_fck),0)))*'Geometry'!$H$54*'Geometry'!$G$54+((MAX(MIN(S_1_Es*(O14+P14*'Geometry'!$G$55+Q14*'Geometry'!$F$55),S_1_fy),-S_1_fy))-(IF((O14+P14*'Geometry'!$G$55+Q14*'Geometry'!$F$55)&gt;0,IF((O14+P14*'Geometry'!$G$55+Q14*'Geometry'!$F$55)&lt;=C_eco,C_alpha*C_fck*(1-(1-(O14+P14*'Geometry'!$G$55+Q14*'Geometry'!$F$55)/C_eco)^C_n),C_alpha*C_fck),0)))*'Geometry'!$H$55*'Geometry'!$G$55+((MAX(MIN(S_1_Es*(O14+P14*'Geometry'!$G$56+Q14*'Geometry'!$F$56),S_1_fy),-S_1_fy))-(IF((O14+P14*'Geometry'!$G$56+Q14*'Geometry'!$F$56)&gt;0,IF((O14+P14*'Geometry'!$G$56+Q14*'Geometry'!$F$56)&lt;=C_eco,C_alpha*C_fck*(1-(1-(O14+P14*'Geometry'!$G$56+Q14*'Geometry'!$F$56)/C_eco)^C_n),C_alpha*C_fck),0)))*'Geometry'!$H$56*'Geometry'!$G$56+((MAX(MIN(S_1_Es*(O14+P14*'Geometry'!$G$57+Q14*'Geometry'!$F$57),S_1_fy),-S_1_fy))-(IF((O14+P14*'Geometry'!$G$57+Q14*'Geometry'!$F$57)&gt;0,IF((O14+P14*'Geometry'!$G$57+Q14*'Geometry'!$F$57)&lt;=C_eco,C_alpha*C_fck*(1-(1-(O14+P14*'Geometry'!$G$57+Q14*'Geometry'!$F$57)/C_eco)^C_n),C_alpha*C_fck),0)))*'Geometry'!$H$57*'Geometry'!$G$57)/1000000</f>
        <v>574.8525604600511</v>
      </c>
      <c r="W14" s="10">
        <f>(((MAX(MIN(S_1_Es*(O14+P14*'Geometry'!$G$40+Q14*'Geometry'!$F$40),S_1_fy),-S_1_fy))-(IF((O14+P14*'Geometry'!$G$40+Q14*'Geometry'!$F$40)&gt;0,IF((O14+P14*'Geometry'!$G$40+Q14*'Geometry'!$F$40)&lt;=C_eco,C_alpha*C_fck*(1-(1-(O14+P14*'Geometry'!$G$40+Q14*'Geometry'!$F$40)/C_eco)^C_n),C_alpha*C_fck),0)))*'Geometry'!$H$40*'Geometry'!$F$40+((MAX(MIN(S_1_Es*(O14+P14*'Geometry'!$G$41+Q14*'Geometry'!$F$41),S_1_fy),-S_1_fy))-(IF((O14+P14*'Geometry'!$G$41+Q14*'Geometry'!$F$41)&gt;0,IF((O14+P14*'Geometry'!$G$41+Q14*'Geometry'!$F$41)&lt;=C_eco,C_alpha*C_fck*(1-(1-(O14+P14*'Geometry'!$G$41+Q14*'Geometry'!$F$41)/C_eco)^C_n),C_alpha*C_fck),0)))*'Geometry'!$H$41*'Geometry'!$F$41+((MAX(MIN(S_1_Es*(O14+P14*'Geometry'!$G$42+Q14*'Geometry'!$F$42),S_1_fy),-S_1_fy))-(IF((O14+P14*'Geometry'!$G$42+Q14*'Geometry'!$F$42)&gt;0,IF((O14+P14*'Geometry'!$G$42+Q14*'Geometry'!$F$42)&lt;=C_eco,C_alpha*C_fck*(1-(1-(O14+P14*'Geometry'!$G$42+Q14*'Geometry'!$F$42)/C_eco)^C_n),C_alpha*C_fck),0)))*'Geometry'!$H$42*'Geometry'!$F$42+((MAX(MIN(S_1_Es*(O14+P14*'Geometry'!$G$43+Q14*'Geometry'!$F$43),S_1_fy),-S_1_fy))-(IF((O14+P14*'Geometry'!$G$43+Q14*'Geometry'!$F$43)&gt;0,IF((O14+P14*'Geometry'!$G$43+Q14*'Geometry'!$F$43)&lt;=C_eco,C_alpha*C_fck*(1-(1-(O14+P14*'Geometry'!$G$43+Q14*'Geometry'!$F$43)/C_eco)^C_n),C_alpha*C_fck),0)))*'Geometry'!$H$43*'Geometry'!$F$43+((MAX(MIN(S_1_Es*(O14+P14*'Geometry'!$G$44+Q14*'Geometry'!$F$44),S_1_fy),-S_1_fy))-(IF((O14+P14*'Geometry'!$G$44+Q14*'Geometry'!$F$44)&gt;0,IF((O14+P14*'Geometry'!$G$44+Q14*'Geometry'!$F$44)&lt;=C_eco,C_alpha*C_fck*(1-(1-(O14+P14*'Geometry'!$G$44+Q14*'Geometry'!$F$44)/C_eco)^C_n),C_alpha*C_fck),0)))*'Geometry'!$H$44*'Geometry'!$F$44+((MAX(MIN(S_1_Es*(O14+P14*'Geometry'!$G$45+Q14*'Geometry'!$F$45),S_1_fy),-S_1_fy))-(IF((O14+P14*'Geometry'!$G$45+Q14*'Geometry'!$F$45)&gt;0,IF((O14+P14*'Geometry'!$G$45+Q14*'Geometry'!$F$45)&lt;=C_eco,C_alpha*C_fck*(1-(1-(O14+P14*'Geometry'!$G$45+Q14*'Geometry'!$F$45)/C_eco)^C_n),C_alpha*C_fck),0)))*'Geometry'!$H$45*'Geometry'!$F$45+((MAX(MIN(S_1_Es*(O14+P14*'Geometry'!$G$46+Q14*'Geometry'!$F$46),S_1_fy),-S_1_fy))-(IF((O14+P14*'Geometry'!$G$46+Q14*'Geometry'!$F$46)&gt;0,IF((O14+P14*'Geometry'!$G$46+Q14*'Geometry'!$F$46)&lt;=C_eco,C_alpha*C_fck*(1-(1-(O14+P14*'Geometry'!$G$46+Q14*'Geometry'!$F$46)/C_eco)^C_n),C_alpha*C_fck),0)))*'Geometry'!$H$46*'Geometry'!$F$46+((MAX(MIN(S_1_Es*(O14+P14*'Geometry'!$G$47+Q14*'Geometry'!$F$47),S_1_fy),-S_1_fy))-(IF((O14+P14*'Geometry'!$G$47+Q14*'Geometry'!$F$47)&gt;0,IF((O14+P14*'Geometry'!$G$47+Q14*'Geometry'!$F$47)&lt;=C_eco,C_alpha*C_fck*(1-(1-(O14+P14*'Geometry'!$G$47+Q14*'Geometry'!$F$47)/C_eco)^C_n),C_alpha*C_fck),0)))*'Geometry'!$H$47*'Geometry'!$F$47+((MAX(MIN(S_1_Es*(O14+P14*'Geometry'!$G$48+Q14*'Geometry'!$F$48),S_1_fy),-S_1_fy))-(IF((O14+P14*'Geometry'!$G$48+Q14*'Geometry'!$F$48)&gt;0,IF((O14+P14*'Geometry'!$G$48+Q14*'Geometry'!$F$48)&lt;=C_eco,C_alpha*C_fck*(1-(1-(O14+P14*'Geometry'!$G$48+Q14*'Geometry'!$F$48)/C_eco)^C_n),C_alpha*C_fck),0)))*'Geometry'!$H$48*'Geometry'!$F$48+((MAX(MIN(S_1_Es*(O14+P14*'Geometry'!$G$49+Q14*'Geometry'!$F$49),S_1_fy),-S_1_fy))-(IF((O14+P14*'Geometry'!$G$49+Q14*'Geometry'!$F$49)&gt;0,IF((O14+P14*'Geometry'!$G$49+Q14*'Geometry'!$F$49)&lt;=C_eco,C_alpha*C_fck*(1-(1-(O14+P14*'Geometry'!$G$49+Q14*'Geometry'!$F$49)/C_eco)^C_n),C_alpha*C_fck),0)))*'Geometry'!$H$49*'Geometry'!$F$49+((MAX(MIN(S_1_Es*(O14+P14*'Geometry'!$G$50+Q14*'Geometry'!$F$50),S_1_fy),-S_1_fy))-(IF((O14+P14*'Geometry'!$G$50+Q14*'Geometry'!$F$50)&gt;0,IF((O14+P14*'Geometry'!$G$50+Q14*'Geometry'!$F$50)&lt;=C_eco,C_alpha*C_fck*(1-(1-(O14+P14*'Geometry'!$G$50+Q14*'Geometry'!$F$50)/C_eco)^C_n),C_alpha*C_fck),0)))*'Geometry'!$H$50*'Geometry'!$F$50+((MAX(MIN(S_1_Es*(O14+P14*'Geometry'!$G$51+Q14*'Geometry'!$F$51),S_1_fy),-S_1_fy))-(IF((O14+P14*'Geometry'!$G$51+Q14*'Geometry'!$F$51)&gt;0,IF((O14+P14*'Geometry'!$G$51+Q14*'Geometry'!$F$51)&lt;=C_eco,C_alpha*C_fck*(1-(1-(O14+P14*'Geometry'!$G$51+Q14*'Geometry'!$F$51)/C_eco)^C_n),C_alpha*C_fck),0)))*'Geometry'!$H$51*'Geometry'!$F$51+((MAX(MIN(S_1_Es*(O14+P14*'Geometry'!$G$52+Q14*'Geometry'!$F$52),S_1_fy),-S_1_fy))-(IF((O14+P14*'Geometry'!$G$52+Q14*'Geometry'!$F$52)&gt;0,IF((O14+P14*'Geometry'!$G$52+Q14*'Geometry'!$F$52)&lt;=C_eco,C_alpha*C_fck*(1-(1-(O14+P14*'Geometry'!$G$52+Q14*'Geometry'!$F$52)/C_eco)^C_n),C_alpha*C_fck),0)))*'Geometry'!$H$52*'Geometry'!$F$52+((MAX(MIN(S_1_Es*(O14+P14*'Geometry'!$G$53+Q14*'Geometry'!$F$53),S_1_fy),-S_1_fy))-(IF((O14+P14*'Geometry'!$G$53+Q14*'Geometry'!$F$53)&gt;0,IF((O14+P14*'Geometry'!$G$53+Q14*'Geometry'!$F$53)&lt;=C_eco,C_alpha*C_fck*(1-(1-(O14+P14*'Geometry'!$G$53+Q14*'Geometry'!$F$53)/C_eco)^C_n),C_alpha*C_fck),0)))*'Geometry'!$H$53*'Geometry'!$F$53+((MAX(MIN(S_1_Es*(O14+P14*'Geometry'!$G$54+Q14*'Geometry'!$F$54),S_1_fy),-S_1_fy))-(IF((O14+P14*'Geometry'!$G$54+Q14*'Geometry'!$F$54)&gt;0,IF((O14+P14*'Geometry'!$G$54+Q14*'Geometry'!$F$54)&lt;=C_eco,C_alpha*C_fck*(1-(1-(O14+P14*'Geometry'!$G$54+Q14*'Geometry'!$F$54)/C_eco)^C_n),C_alpha*C_fck),0)))*'Geometry'!$H$54*'Geometry'!$F$54+((MAX(MIN(S_1_Es*(O14+P14*'Geometry'!$G$55+Q14*'Geometry'!$F$55),S_1_fy),-S_1_fy))-(IF((O14+P14*'Geometry'!$G$55+Q14*'Geometry'!$F$55)&gt;0,IF((O14+P14*'Geometry'!$G$55+Q14*'Geometry'!$F$55)&lt;=C_eco,C_alpha*C_fck*(1-(1-(O14+P14*'Geometry'!$G$55+Q14*'Geometry'!$F$55)/C_eco)^C_n),C_alpha*C_fck),0)))*'Geometry'!$H$55*'Geometry'!$F$55+((MAX(MIN(S_1_Es*(O14+P14*'Geometry'!$G$56+Q14*'Geometry'!$F$56),S_1_fy),-S_1_fy))-(IF((O14+P14*'Geometry'!$G$56+Q14*'Geometry'!$F$56)&gt;0,IF((O14+P14*'Geometry'!$G$56+Q14*'Geometry'!$F$56)&lt;=C_eco,C_alpha*C_fck*(1-(1-(O14+P14*'Geometry'!$G$56+Q14*'Geometry'!$F$56)/C_eco)^C_n),C_alpha*C_fck),0)))*'Geometry'!$H$56*'Geometry'!$F$56+((MAX(MIN(S_1_Es*(O14+P14*'Geometry'!$G$57+Q14*'Geometry'!$F$57),S_1_fy),-S_1_fy))-(IF((O14+P14*'Geometry'!$G$57+Q14*'Geometry'!$F$57)&gt;0,IF((O14+P14*'Geometry'!$G$57+Q14*'Geometry'!$F$57)&lt;=C_eco,C_alpha*C_fck*(1-(1-(O14+P14*'Geometry'!$G$57+Q14*'Geometry'!$F$57)/C_eco)^C_n),C_alpha*C_fck),0)))*'Geometry'!$H$57*'Geometry'!$F$57)/1000000</f>
        <v>1553.2130605944972</v>
      </c>
      <c r="X14" s="10">
        <f>R14+U14</f>
        <v>1055.0944328997023</v>
      </c>
      <c r="Y14" s="10">
        <f>S14+V14</f>
        <v>1767.8838370971403</v>
      </c>
      <c r="Z14" s="10">
        <f>T14+W14</f>
        <v>3949.7744709100516</v>
      </c>
      <c r="AA14" s="7">
        <v>0.85</v>
      </c>
      <c r="AB14" s="7">
        <v>0.8499999999999999</v>
      </c>
      <c r="AC14" s="10">
        <f>X14*AA14</f>
        <v>896.8302679647469</v>
      </c>
      <c r="AD14" s="10">
        <f>Y14*AB14</f>
        <v>1502.701261532569</v>
      </c>
      <c r="AE14" s="10">
        <f>Z14*AB14</f>
        <v>3357.308300273544</v>
      </c>
      <c r="AF14" s="7">
        <v>896.8302679647469</v>
      </c>
      <c r="AG14" s="7">
        <v>1502.701261532569</v>
      </c>
      <c r="AH14" s="7">
        <v>3357.308300273544</v>
      </c>
      <c r="AI14" s="15">
        <f>AC14-AF14</f>
        <v>0</v>
      </c>
      <c r="AJ14" s="15">
        <f>SQRT((AD14-AG14)^2+(AE14-AH14)^2)</f>
        <v>0</v>
      </c>
      <c r="AK14" s="7" t="s">
        <v>189</v>
      </c>
      <c r="AL14" s="7">
        <v>1055.0944328997023</v>
      </c>
      <c r="AM14" s="7">
        <v>1767.8838370971403</v>
      </c>
      <c r="AN14" s="7">
        <v>3949.7744709100516</v>
      </c>
      <c r="AO14" s="7">
        <v>4073.9883283928566</v>
      </c>
      <c r="AP14" s="7">
        <v>1193.0312766370891</v>
      </c>
      <c r="AQ14" s="7">
        <v>2396.5614103155544</v>
      </c>
      <c r="AR14" s="7">
        <v>-3018.8938954931546</v>
      </c>
      <c r="AS14" s="7">
        <v>574.8525604600511</v>
      </c>
      <c r="AT14" s="7">
        <v>1553.2130605944972</v>
      </c>
    </row>
    <row r="15" spans="1:46" x14ac:dyDescent="0.25">
      <c r="A15" s="7" t="s">
        <v>203</v>
      </c>
      <c r="B15" s="7">
        <v>1</v>
      </c>
      <c r="C15" s="18">
        <v>70</v>
      </c>
      <c r="D15" s="7" t="s">
        <v>273</v>
      </c>
      <c r="E15" s="7" t="s">
        <v>267</v>
      </c>
      <c r="F15" s="19">
        <v>70</v>
      </c>
      <c r="G15" s="7" t="s">
        <v>188</v>
      </c>
      <c r="H15" s="20">
        <v>5</v>
      </c>
      <c r="I15" s="10">
        <f>MAX(('Geometry'!$G$13*COS(RADIANS(F15))+'Geometry'!$F$13*SIN(RADIANS(F15))),('Geometry'!$G$14*COS(RADIANS(F15))+'Geometry'!$F$14*SIN(RADIANS(F15))),('Geometry'!$G$15*COS(RADIANS(F15))+'Geometry'!$F$15*SIN(RADIANS(F15))),('Geometry'!$G$16*COS(RADIANS(F15))+'Geometry'!$F$16*SIN(RADIANS(F15))),('Geometry'!$G$17*COS(RADIANS(F15))+'Geometry'!$F$17*SIN(RADIANS(F15))),('Geometry'!$G$18*COS(RADIANS(F15))+'Geometry'!$F$18*SIN(RADIANS(F15))),('Geometry'!$G$19*COS(RADIANS(F15))+'Geometry'!$F$19*SIN(RADIANS(F15))),('Geometry'!$G$20*COS(RADIANS(F15))+'Geometry'!$F$20*SIN(RADIANS(F15))))</f>
        <v>841.5775229196987</v>
      </c>
      <c r="J15" s="10">
        <f>MIN(('Geometry'!$G$40*COS(RADIANS(F15))+'Geometry'!$F$40*SIN(RADIANS(F15))),('Geometry'!$G$41*COS(RADIANS(F15))+'Geometry'!$F$41*SIN(RADIANS(F15))),('Geometry'!$G$42*COS(RADIANS(F15))+'Geometry'!$F$42*SIN(RADIANS(F15))),('Geometry'!$G$43*COS(RADIANS(F15))+'Geometry'!$F$43*SIN(RADIANS(F15))),('Geometry'!$G$44*COS(RADIANS(F15))+'Geometry'!$F$44*SIN(RADIANS(F15))),('Geometry'!$G$45*COS(RADIANS(F15))+'Geometry'!$F$45*SIN(RADIANS(F15))),('Geometry'!$G$46*COS(RADIANS(F15))+'Geometry'!$F$46*SIN(RADIANS(F15))),('Geometry'!$G$47*COS(RADIANS(F15))+'Geometry'!$F$47*SIN(RADIANS(F15))),('Geometry'!$G$48*COS(RADIANS(F15))+'Geometry'!$F$48*SIN(RADIANS(F15))),('Geometry'!$G$49*COS(RADIANS(F15))+'Geometry'!$F$49*SIN(RADIANS(F15))),('Geometry'!$G$50*COS(RADIANS(F15))+'Geometry'!$F$50*SIN(RADIANS(F15))),('Geometry'!$G$51*COS(RADIANS(F15))+'Geometry'!$F$51*SIN(RADIANS(F15))),('Geometry'!$G$52*COS(RADIANS(F15))+'Geometry'!$F$52*SIN(RADIANS(F15))),('Geometry'!$G$53*COS(RADIANS(F15))+'Geometry'!$F$53*SIN(RADIANS(F15))),('Geometry'!$G$54*COS(RADIANS(F15))+'Geometry'!$F$54*SIN(RADIANS(F15))),('Geometry'!$G$55*COS(RADIANS(F15))+'Geometry'!$F$55*SIN(RADIANS(F15))),('Geometry'!$G$56*COS(RADIANS(F15))+'Geometry'!$F$56*SIN(RADIANS(F15))),('Geometry'!$G$57*COS(RADIANS(F15))+'Geometry'!$F$57*SIN(RADIANS(F15))))</f>
        <v>-741.5970251321183</v>
      </c>
      <c r="K15" s="10">
        <f>I15-MIN(('Geometry'!$G$13*COS(RADIANS(F15))+'Geometry'!$F$13*SIN(RADIANS(F15))),('Geometry'!$G$14*COS(RADIANS(F15))+'Geometry'!$F$14*SIN(RADIANS(F15))),('Geometry'!$G$15*COS(RADIANS(F15))+'Geometry'!$F$15*SIN(RADIANS(F15))),('Geometry'!$G$16*COS(RADIANS(F15))+'Geometry'!$F$16*SIN(RADIANS(F15))),('Geometry'!$G$17*COS(RADIANS(F15))+'Geometry'!$F$17*SIN(RADIANS(F15))),('Geometry'!$G$18*COS(RADIANS(F15))+'Geometry'!$F$18*SIN(RADIANS(F15))),('Geometry'!$G$19*COS(RADIANS(F15))+'Geometry'!$F$19*SIN(RADIANS(F15))),('Geometry'!$G$20*COS(RADIANS(F15))+'Geometry'!$F$20*SIN(RADIANS(F15))))</f>
        <v>1683.1550458393974</v>
      </c>
      <c r="L15" s="15">
        <f>C_ecu</f>
        <v>0.0033</v>
      </c>
      <c r="M15" s="15">
        <f>-H15*S_1_fy/S_1_Es</f>
        <v>-0.01</v>
      </c>
      <c r="N15" s="21">
        <f>IF(ABS(I15-J15)&lt;0.000000000001,0,(L15-M15)/(I15-J15))</f>
        <v>0.000008400842482192742</v>
      </c>
      <c r="O15" s="15">
        <f>L15-N15*I15</f>
        <v>-0.0037699602066023413</v>
      </c>
      <c r="P15" s="21">
        <f>N15*COS(RADIANS(F15))</f>
        <v>0.0000028732573498159293</v>
      </c>
      <c r="Q15" s="21">
        <f>N15*SIN(RADIANS(F15))</f>
        <v>0.000007894209688901294</v>
      </c>
      <c r="R15" s="10">
        <f>SUMPRODUCT(C_alpha*C_fck*(1-(1-(((O15+P15*Mesh_Y+Q15*Mesh_X))*((O15+P15*Mesh_Y+Q15*Mesh_X)&gt;0)*((O15+P15*Mesh_Y+Q15*Mesh_X)&lt;C_eco)+C_eco*((O15+P15*Mesh_Y+Q15*Mesh_X)&gt;=C_eco))/C_eco)^C_n)*(((O15+P15*Mesh_Y+Q15*Mesh_X))&gt;0),Mesh_A)/1000</f>
        <v>4642.569349153062</v>
      </c>
      <c r="S15" s="10">
        <f>SUMPRODUCT(C_alpha*C_fck*(1-(1-(((O15+P15*Mesh_Y+Q15*Mesh_X))*((O15+P15*Mesh_Y+Q15*Mesh_X)&gt;0)*((O15+P15*Mesh_Y+Q15*Mesh_X)&lt;C_eco)+C_eco*((O15+P15*Mesh_Y+Q15*Mesh_X)&gt;=C_eco))/C_eco)^C_n)*(((O15+P15*Mesh_Y+Q15*Mesh_X))&gt;0),Mesh_A,Mesh_Y)/1000000</f>
        <v>904.6532999037386</v>
      </c>
      <c r="T15" s="10">
        <f>SUMPRODUCT(C_alpha*C_fck*(1-(1-(((O15+P15*Mesh_Y+Q15*Mesh_X))*((O15+P15*Mesh_Y+Q15*Mesh_X)&gt;0)*((O15+P15*Mesh_Y+Q15*Mesh_X)&lt;C_eco)+C_eco*((O15+P15*Mesh_Y+Q15*Mesh_X)&gt;=C_eco))/C_eco)^C_n)*(((O15+P15*Mesh_Y+Q15*Mesh_X))&gt;0),Mesh_A,Mesh_X)/1000000</f>
        <v>2853.53654419811</v>
      </c>
      <c r="U15" s="10">
        <f>(((MAX(MIN(S_1_Es*(O15+P15*'Geometry'!$G$40+Q15*'Geometry'!$F$40),S_1_fy),-S_1_fy))-(IF((O15+P15*'Geometry'!$G$40+Q15*'Geometry'!$F$40)&gt;0,IF((O15+P15*'Geometry'!$G$40+Q15*'Geometry'!$F$40)&lt;=C_eco,C_alpha*C_fck*(1-(1-(O15+P15*'Geometry'!$G$40+Q15*'Geometry'!$F$40)/C_eco)^C_n),C_alpha*C_fck),0)))*'Geometry'!$H$40+((MAX(MIN(S_1_Es*(O15+P15*'Geometry'!$G$41+Q15*'Geometry'!$F$41),S_1_fy),-S_1_fy))-(IF((O15+P15*'Geometry'!$G$41+Q15*'Geometry'!$F$41)&gt;0,IF((O15+P15*'Geometry'!$G$41+Q15*'Geometry'!$F$41)&lt;=C_eco,C_alpha*C_fck*(1-(1-(O15+P15*'Geometry'!$G$41+Q15*'Geometry'!$F$41)/C_eco)^C_n),C_alpha*C_fck),0)))*'Geometry'!$H$41+((MAX(MIN(S_1_Es*(O15+P15*'Geometry'!$G$42+Q15*'Geometry'!$F$42),S_1_fy),-S_1_fy))-(IF((O15+P15*'Geometry'!$G$42+Q15*'Geometry'!$F$42)&gt;0,IF((O15+P15*'Geometry'!$G$42+Q15*'Geometry'!$F$42)&lt;=C_eco,C_alpha*C_fck*(1-(1-(O15+P15*'Geometry'!$G$42+Q15*'Geometry'!$F$42)/C_eco)^C_n),C_alpha*C_fck),0)))*'Geometry'!$H$42+((MAX(MIN(S_1_Es*(O15+P15*'Geometry'!$G$43+Q15*'Geometry'!$F$43),S_1_fy),-S_1_fy))-(IF((O15+P15*'Geometry'!$G$43+Q15*'Geometry'!$F$43)&gt;0,IF((O15+P15*'Geometry'!$G$43+Q15*'Geometry'!$F$43)&lt;=C_eco,C_alpha*C_fck*(1-(1-(O15+P15*'Geometry'!$G$43+Q15*'Geometry'!$F$43)/C_eco)^C_n),C_alpha*C_fck),0)))*'Geometry'!$H$43+((MAX(MIN(S_1_Es*(O15+P15*'Geometry'!$G$44+Q15*'Geometry'!$F$44),S_1_fy),-S_1_fy))-(IF((O15+P15*'Geometry'!$G$44+Q15*'Geometry'!$F$44)&gt;0,IF((O15+P15*'Geometry'!$G$44+Q15*'Geometry'!$F$44)&lt;=C_eco,C_alpha*C_fck*(1-(1-(O15+P15*'Geometry'!$G$44+Q15*'Geometry'!$F$44)/C_eco)^C_n),C_alpha*C_fck),0)))*'Geometry'!$H$44+((MAX(MIN(S_1_Es*(O15+P15*'Geometry'!$G$45+Q15*'Geometry'!$F$45),S_1_fy),-S_1_fy))-(IF((O15+P15*'Geometry'!$G$45+Q15*'Geometry'!$F$45)&gt;0,IF((O15+P15*'Geometry'!$G$45+Q15*'Geometry'!$F$45)&lt;=C_eco,C_alpha*C_fck*(1-(1-(O15+P15*'Geometry'!$G$45+Q15*'Geometry'!$F$45)/C_eco)^C_n),C_alpha*C_fck),0)))*'Geometry'!$H$45+((MAX(MIN(S_1_Es*(O15+P15*'Geometry'!$G$46+Q15*'Geometry'!$F$46),S_1_fy),-S_1_fy))-(IF((O15+P15*'Geometry'!$G$46+Q15*'Geometry'!$F$46)&gt;0,IF((O15+P15*'Geometry'!$G$46+Q15*'Geometry'!$F$46)&lt;=C_eco,C_alpha*C_fck*(1-(1-(O15+P15*'Geometry'!$G$46+Q15*'Geometry'!$F$46)/C_eco)^C_n),C_alpha*C_fck),0)))*'Geometry'!$H$46+((MAX(MIN(S_1_Es*(O15+P15*'Geometry'!$G$47+Q15*'Geometry'!$F$47),S_1_fy),-S_1_fy))-(IF((O15+P15*'Geometry'!$G$47+Q15*'Geometry'!$F$47)&gt;0,IF((O15+P15*'Geometry'!$G$47+Q15*'Geometry'!$F$47)&lt;=C_eco,C_alpha*C_fck*(1-(1-(O15+P15*'Geometry'!$G$47+Q15*'Geometry'!$F$47)/C_eco)^C_n),C_alpha*C_fck),0)))*'Geometry'!$H$47+((MAX(MIN(S_1_Es*(O15+P15*'Geometry'!$G$48+Q15*'Geometry'!$F$48),S_1_fy),-S_1_fy))-(IF((O15+P15*'Geometry'!$G$48+Q15*'Geometry'!$F$48)&gt;0,IF((O15+P15*'Geometry'!$G$48+Q15*'Geometry'!$F$48)&lt;=C_eco,C_alpha*C_fck*(1-(1-(O15+P15*'Geometry'!$G$48+Q15*'Geometry'!$F$48)/C_eco)^C_n),C_alpha*C_fck),0)))*'Geometry'!$H$48+((MAX(MIN(S_1_Es*(O15+P15*'Geometry'!$G$49+Q15*'Geometry'!$F$49),S_1_fy),-S_1_fy))-(IF((O15+P15*'Geometry'!$G$49+Q15*'Geometry'!$F$49)&gt;0,IF((O15+P15*'Geometry'!$G$49+Q15*'Geometry'!$F$49)&lt;=C_eco,C_alpha*C_fck*(1-(1-(O15+P15*'Geometry'!$G$49+Q15*'Geometry'!$F$49)/C_eco)^C_n),C_alpha*C_fck),0)))*'Geometry'!$H$49+((MAX(MIN(S_1_Es*(O15+P15*'Geometry'!$G$50+Q15*'Geometry'!$F$50),S_1_fy),-S_1_fy))-(IF((O15+P15*'Geometry'!$G$50+Q15*'Geometry'!$F$50)&gt;0,IF((O15+P15*'Geometry'!$G$50+Q15*'Geometry'!$F$50)&lt;=C_eco,C_alpha*C_fck*(1-(1-(O15+P15*'Geometry'!$G$50+Q15*'Geometry'!$F$50)/C_eco)^C_n),C_alpha*C_fck),0)))*'Geometry'!$H$50+((MAX(MIN(S_1_Es*(O15+P15*'Geometry'!$G$51+Q15*'Geometry'!$F$51),S_1_fy),-S_1_fy))-(IF((O15+P15*'Geometry'!$G$51+Q15*'Geometry'!$F$51)&gt;0,IF((O15+P15*'Geometry'!$G$51+Q15*'Geometry'!$F$51)&lt;=C_eco,C_alpha*C_fck*(1-(1-(O15+P15*'Geometry'!$G$51+Q15*'Geometry'!$F$51)/C_eco)^C_n),C_alpha*C_fck),0)))*'Geometry'!$H$51+((MAX(MIN(S_1_Es*(O15+P15*'Geometry'!$G$52+Q15*'Geometry'!$F$52),S_1_fy),-S_1_fy))-(IF((O15+P15*'Geometry'!$G$52+Q15*'Geometry'!$F$52)&gt;0,IF((O15+P15*'Geometry'!$G$52+Q15*'Geometry'!$F$52)&lt;=C_eco,C_alpha*C_fck*(1-(1-(O15+P15*'Geometry'!$G$52+Q15*'Geometry'!$F$52)/C_eco)^C_n),C_alpha*C_fck),0)))*'Geometry'!$H$52+((MAX(MIN(S_1_Es*(O15+P15*'Geometry'!$G$53+Q15*'Geometry'!$F$53),S_1_fy),-S_1_fy))-(IF((O15+P15*'Geometry'!$G$53+Q15*'Geometry'!$F$53)&gt;0,IF((O15+P15*'Geometry'!$G$53+Q15*'Geometry'!$F$53)&lt;=C_eco,C_alpha*C_fck*(1-(1-(O15+P15*'Geometry'!$G$53+Q15*'Geometry'!$F$53)/C_eco)^C_n),C_alpha*C_fck),0)))*'Geometry'!$H$53+((MAX(MIN(S_1_Es*(O15+P15*'Geometry'!$G$54+Q15*'Geometry'!$F$54),S_1_fy),-S_1_fy))-(IF((O15+P15*'Geometry'!$G$54+Q15*'Geometry'!$F$54)&gt;0,IF((O15+P15*'Geometry'!$G$54+Q15*'Geometry'!$F$54)&lt;=C_eco,C_alpha*C_fck*(1-(1-(O15+P15*'Geometry'!$G$54+Q15*'Geometry'!$F$54)/C_eco)^C_n),C_alpha*C_fck),0)))*'Geometry'!$H$54+((MAX(MIN(S_1_Es*(O15+P15*'Geometry'!$G$55+Q15*'Geometry'!$F$55),S_1_fy),-S_1_fy))-(IF((O15+P15*'Geometry'!$G$55+Q15*'Geometry'!$F$55)&gt;0,IF((O15+P15*'Geometry'!$G$55+Q15*'Geometry'!$F$55)&lt;=C_eco,C_alpha*C_fck*(1-(1-(O15+P15*'Geometry'!$G$55+Q15*'Geometry'!$F$55)/C_eco)^C_n),C_alpha*C_fck),0)))*'Geometry'!$H$55+((MAX(MIN(S_1_Es*(O15+P15*'Geometry'!$G$56+Q15*'Geometry'!$F$56),S_1_fy),-S_1_fy))-(IF((O15+P15*'Geometry'!$G$56+Q15*'Geometry'!$F$56)&gt;0,IF((O15+P15*'Geometry'!$G$56+Q15*'Geometry'!$F$56)&lt;=C_eco,C_alpha*C_fck*(1-(1-(O15+P15*'Geometry'!$G$56+Q15*'Geometry'!$F$56)/C_eco)^C_n),C_alpha*C_fck),0)))*'Geometry'!$H$56+((MAX(MIN(S_1_Es*(O15+P15*'Geometry'!$G$57+Q15*'Geometry'!$F$57),S_1_fy),-S_1_fy))-(IF((O15+P15*'Geometry'!$G$57+Q15*'Geometry'!$F$57)&gt;0,IF((O15+P15*'Geometry'!$G$57+Q15*'Geometry'!$F$57)&lt;=C_eco,C_alpha*C_fck*(1-(1-(O15+P15*'Geometry'!$G$57+Q15*'Geometry'!$F$57)/C_eco)^C_n),C_alpha*C_fck),0)))*'Geometry'!$H$57)/1000</f>
        <v>-2952.972912430783</v>
      </c>
      <c r="V15" s="10">
        <f>(((MAX(MIN(S_1_Es*(O15+P15*'Geometry'!$G$40+Q15*'Geometry'!$F$40),S_1_fy),-S_1_fy))-(IF((O15+P15*'Geometry'!$G$40+Q15*'Geometry'!$F$40)&gt;0,IF((O15+P15*'Geometry'!$G$40+Q15*'Geometry'!$F$40)&lt;=C_eco,C_alpha*C_fck*(1-(1-(O15+P15*'Geometry'!$G$40+Q15*'Geometry'!$F$40)/C_eco)^C_n),C_alpha*C_fck),0)))*'Geometry'!$H$40*'Geometry'!$G$40+((MAX(MIN(S_1_Es*(O15+P15*'Geometry'!$G$41+Q15*'Geometry'!$F$41),S_1_fy),-S_1_fy))-(IF((O15+P15*'Geometry'!$G$41+Q15*'Geometry'!$F$41)&gt;0,IF((O15+P15*'Geometry'!$G$41+Q15*'Geometry'!$F$41)&lt;=C_eco,C_alpha*C_fck*(1-(1-(O15+P15*'Geometry'!$G$41+Q15*'Geometry'!$F$41)/C_eco)^C_n),C_alpha*C_fck),0)))*'Geometry'!$H$41*'Geometry'!$G$41+((MAX(MIN(S_1_Es*(O15+P15*'Geometry'!$G$42+Q15*'Geometry'!$F$42),S_1_fy),-S_1_fy))-(IF((O15+P15*'Geometry'!$G$42+Q15*'Geometry'!$F$42)&gt;0,IF((O15+P15*'Geometry'!$G$42+Q15*'Geometry'!$F$42)&lt;=C_eco,C_alpha*C_fck*(1-(1-(O15+P15*'Geometry'!$G$42+Q15*'Geometry'!$F$42)/C_eco)^C_n),C_alpha*C_fck),0)))*'Geometry'!$H$42*'Geometry'!$G$42+((MAX(MIN(S_1_Es*(O15+P15*'Geometry'!$G$43+Q15*'Geometry'!$F$43),S_1_fy),-S_1_fy))-(IF((O15+P15*'Geometry'!$G$43+Q15*'Geometry'!$F$43)&gt;0,IF((O15+P15*'Geometry'!$G$43+Q15*'Geometry'!$F$43)&lt;=C_eco,C_alpha*C_fck*(1-(1-(O15+P15*'Geometry'!$G$43+Q15*'Geometry'!$F$43)/C_eco)^C_n),C_alpha*C_fck),0)))*'Geometry'!$H$43*'Geometry'!$G$43+((MAX(MIN(S_1_Es*(O15+P15*'Geometry'!$G$44+Q15*'Geometry'!$F$44),S_1_fy),-S_1_fy))-(IF((O15+P15*'Geometry'!$G$44+Q15*'Geometry'!$F$44)&gt;0,IF((O15+P15*'Geometry'!$G$44+Q15*'Geometry'!$F$44)&lt;=C_eco,C_alpha*C_fck*(1-(1-(O15+P15*'Geometry'!$G$44+Q15*'Geometry'!$F$44)/C_eco)^C_n),C_alpha*C_fck),0)))*'Geometry'!$H$44*'Geometry'!$G$44+((MAX(MIN(S_1_Es*(O15+P15*'Geometry'!$G$45+Q15*'Geometry'!$F$45),S_1_fy),-S_1_fy))-(IF((O15+P15*'Geometry'!$G$45+Q15*'Geometry'!$F$45)&gt;0,IF((O15+P15*'Geometry'!$G$45+Q15*'Geometry'!$F$45)&lt;=C_eco,C_alpha*C_fck*(1-(1-(O15+P15*'Geometry'!$G$45+Q15*'Geometry'!$F$45)/C_eco)^C_n),C_alpha*C_fck),0)))*'Geometry'!$H$45*'Geometry'!$G$45+((MAX(MIN(S_1_Es*(O15+P15*'Geometry'!$G$46+Q15*'Geometry'!$F$46),S_1_fy),-S_1_fy))-(IF((O15+P15*'Geometry'!$G$46+Q15*'Geometry'!$F$46)&gt;0,IF((O15+P15*'Geometry'!$G$46+Q15*'Geometry'!$F$46)&lt;=C_eco,C_alpha*C_fck*(1-(1-(O15+P15*'Geometry'!$G$46+Q15*'Geometry'!$F$46)/C_eco)^C_n),C_alpha*C_fck),0)))*'Geometry'!$H$46*'Geometry'!$G$46+((MAX(MIN(S_1_Es*(O15+P15*'Geometry'!$G$47+Q15*'Geometry'!$F$47),S_1_fy),-S_1_fy))-(IF((O15+P15*'Geometry'!$G$47+Q15*'Geometry'!$F$47)&gt;0,IF((O15+P15*'Geometry'!$G$47+Q15*'Geometry'!$F$47)&lt;=C_eco,C_alpha*C_fck*(1-(1-(O15+P15*'Geometry'!$G$47+Q15*'Geometry'!$F$47)/C_eco)^C_n),C_alpha*C_fck),0)))*'Geometry'!$H$47*'Geometry'!$G$47+((MAX(MIN(S_1_Es*(O15+P15*'Geometry'!$G$48+Q15*'Geometry'!$F$48),S_1_fy),-S_1_fy))-(IF((O15+P15*'Geometry'!$G$48+Q15*'Geometry'!$F$48)&gt;0,IF((O15+P15*'Geometry'!$G$48+Q15*'Geometry'!$F$48)&lt;=C_eco,C_alpha*C_fck*(1-(1-(O15+P15*'Geometry'!$G$48+Q15*'Geometry'!$F$48)/C_eco)^C_n),C_alpha*C_fck),0)))*'Geometry'!$H$48*'Geometry'!$G$48+((MAX(MIN(S_1_Es*(O15+P15*'Geometry'!$G$49+Q15*'Geometry'!$F$49),S_1_fy),-S_1_fy))-(IF((O15+P15*'Geometry'!$G$49+Q15*'Geometry'!$F$49)&gt;0,IF((O15+P15*'Geometry'!$G$49+Q15*'Geometry'!$F$49)&lt;=C_eco,C_alpha*C_fck*(1-(1-(O15+P15*'Geometry'!$G$49+Q15*'Geometry'!$F$49)/C_eco)^C_n),C_alpha*C_fck),0)))*'Geometry'!$H$49*'Geometry'!$G$49+((MAX(MIN(S_1_Es*(O15+P15*'Geometry'!$G$50+Q15*'Geometry'!$F$50),S_1_fy),-S_1_fy))-(IF((O15+P15*'Geometry'!$G$50+Q15*'Geometry'!$F$50)&gt;0,IF((O15+P15*'Geometry'!$G$50+Q15*'Geometry'!$F$50)&lt;=C_eco,C_alpha*C_fck*(1-(1-(O15+P15*'Geometry'!$G$50+Q15*'Geometry'!$F$50)/C_eco)^C_n),C_alpha*C_fck),0)))*'Geometry'!$H$50*'Geometry'!$G$50+((MAX(MIN(S_1_Es*(O15+P15*'Geometry'!$G$51+Q15*'Geometry'!$F$51),S_1_fy),-S_1_fy))-(IF((O15+P15*'Geometry'!$G$51+Q15*'Geometry'!$F$51)&gt;0,IF((O15+P15*'Geometry'!$G$51+Q15*'Geometry'!$F$51)&lt;=C_eco,C_alpha*C_fck*(1-(1-(O15+P15*'Geometry'!$G$51+Q15*'Geometry'!$F$51)/C_eco)^C_n),C_alpha*C_fck),0)))*'Geometry'!$H$51*'Geometry'!$G$51+((MAX(MIN(S_1_Es*(O15+P15*'Geometry'!$G$52+Q15*'Geometry'!$F$52),S_1_fy),-S_1_fy))-(IF((O15+P15*'Geometry'!$G$52+Q15*'Geometry'!$F$52)&gt;0,IF((O15+P15*'Geometry'!$G$52+Q15*'Geometry'!$F$52)&lt;=C_eco,C_alpha*C_fck*(1-(1-(O15+P15*'Geometry'!$G$52+Q15*'Geometry'!$F$52)/C_eco)^C_n),C_alpha*C_fck),0)))*'Geometry'!$H$52*'Geometry'!$G$52+((MAX(MIN(S_1_Es*(O15+P15*'Geometry'!$G$53+Q15*'Geometry'!$F$53),S_1_fy),-S_1_fy))-(IF((O15+P15*'Geometry'!$G$53+Q15*'Geometry'!$F$53)&gt;0,IF((O15+P15*'Geometry'!$G$53+Q15*'Geometry'!$F$53)&lt;=C_eco,C_alpha*C_fck*(1-(1-(O15+P15*'Geometry'!$G$53+Q15*'Geometry'!$F$53)/C_eco)^C_n),C_alpha*C_fck),0)))*'Geometry'!$H$53*'Geometry'!$G$53+((MAX(MIN(S_1_Es*(O15+P15*'Geometry'!$G$54+Q15*'Geometry'!$F$54),S_1_fy),-S_1_fy))-(IF((O15+P15*'Geometry'!$G$54+Q15*'Geometry'!$F$54)&gt;0,IF((O15+P15*'Geometry'!$G$54+Q15*'Geometry'!$F$54)&lt;=C_eco,C_alpha*C_fck*(1-(1-(O15+P15*'Geometry'!$G$54+Q15*'Geometry'!$F$54)/C_eco)^C_n),C_alpha*C_fck),0)))*'Geometry'!$H$54*'Geometry'!$G$54+((MAX(MIN(S_1_Es*(O15+P15*'Geometry'!$G$55+Q15*'Geometry'!$F$55),S_1_fy),-S_1_fy))-(IF((O15+P15*'Geometry'!$G$55+Q15*'Geometry'!$F$55)&gt;0,IF((O15+P15*'Geometry'!$G$55+Q15*'Geometry'!$F$55)&lt;=C_eco,C_alpha*C_fck*(1-(1-(O15+P15*'Geometry'!$G$55+Q15*'Geometry'!$F$55)/C_eco)^C_n),C_alpha*C_fck),0)))*'Geometry'!$H$55*'Geometry'!$G$55+((MAX(MIN(S_1_Es*(O15+P15*'Geometry'!$G$56+Q15*'Geometry'!$F$56),S_1_fy),-S_1_fy))-(IF((O15+P15*'Geometry'!$G$56+Q15*'Geometry'!$F$56)&gt;0,IF((O15+P15*'Geometry'!$G$56+Q15*'Geometry'!$F$56)&lt;=C_eco,C_alpha*C_fck*(1-(1-(O15+P15*'Geometry'!$G$56+Q15*'Geometry'!$F$56)/C_eco)^C_n),C_alpha*C_fck),0)))*'Geometry'!$H$56*'Geometry'!$G$56+((MAX(MIN(S_1_Es*(O15+P15*'Geometry'!$G$57+Q15*'Geometry'!$F$57),S_1_fy),-S_1_fy))-(IF((O15+P15*'Geometry'!$G$57+Q15*'Geometry'!$F$57)&gt;0,IF((O15+P15*'Geometry'!$G$57+Q15*'Geometry'!$F$57)&lt;=C_eco,C_alpha*C_fck*(1-(1-(O15+P15*'Geometry'!$G$57+Q15*'Geometry'!$F$57)/C_eco)^C_n),C_alpha*C_fck),0)))*'Geometry'!$H$57*'Geometry'!$G$57)/1000000</f>
        <v>421.546987605708</v>
      </c>
      <c r="W15" s="10">
        <f>(((MAX(MIN(S_1_Es*(O15+P15*'Geometry'!$G$40+Q15*'Geometry'!$F$40),S_1_fy),-S_1_fy))-(IF((O15+P15*'Geometry'!$G$40+Q15*'Geometry'!$F$40)&gt;0,IF((O15+P15*'Geometry'!$G$40+Q15*'Geometry'!$F$40)&lt;=C_eco,C_alpha*C_fck*(1-(1-(O15+P15*'Geometry'!$G$40+Q15*'Geometry'!$F$40)/C_eco)^C_n),C_alpha*C_fck),0)))*'Geometry'!$H$40*'Geometry'!$F$40+((MAX(MIN(S_1_Es*(O15+P15*'Geometry'!$G$41+Q15*'Geometry'!$F$41),S_1_fy),-S_1_fy))-(IF((O15+P15*'Geometry'!$G$41+Q15*'Geometry'!$F$41)&gt;0,IF((O15+P15*'Geometry'!$G$41+Q15*'Geometry'!$F$41)&lt;=C_eco,C_alpha*C_fck*(1-(1-(O15+P15*'Geometry'!$G$41+Q15*'Geometry'!$F$41)/C_eco)^C_n),C_alpha*C_fck),0)))*'Geometry'!$H$41*'Geometry'!$F$41+((MAX(MIN(S_1_Es*(O15+P15*'Geometry'!$G$42+Q15*'Geometry'!$F$42),S_1_fy),-S_1_fy))-(IF((O15+P15*'Geometry'!$G$42+Q15*'Geometry'!$F$42)&gt;0,IF((O15+P15*'Geometry'!$G$42+Q15*'Geometry'!$F$42)&lt;=C_eco,C_alpha*C_fck*(1-(1-(O15+P15*'Geometry'!$G$42+Q15*'Geometry'!$F$42)/C_eco)^C_n),C_alpha*C_fck),0)))*'Geometry'!$H$42*'Geometry'!$F$42+((MAX(MIN(S_1_Es*(O15+P15*'Geometry'!$G$43+Q15*'Geometry'!$F$43),S_1_fy),-S_1_fy))-(IF((O15+P15*'Geometry'!$G$43+Q15*'Geometry'!$F$43)&gt;0,IF((O15+P15*'Geometry'!$G$43+Q15*'Geometry'!$F$43)&lt;=C_eco,C_alpha*C_fck*(1-(1-(O15+P15*'Geometry'!$G$43+Q15*'Geometry'!$F$43)/C_eco)^C_n),C_alpha*C_fck),0)))*'Geometry'!$H$43*'Geometry'!$F$43+((MAX(MIN(S_1_Es*(O15+P15*'Geometry'!$G$44+Q15*'Geometry'!$F$44),S_1_fy),-S_1_fy))-(IF((O15+P15*'Geometry'!$G$44+Q15*'Geometry'!$F$44)&gt;0,IF((O15+P15*'Geometry'!$G$44+Q15*'Geometry'!$F$44)&lt;=C_eco,C_alpha*C_fck*(1-(1-(O15+P15*'Geometry'!$G$44+Q15*'Geometry'!$F$44)/C_eco)^C_n),C_alpha*C_fck),0)))*'Geometry'!$H$44*'Geometry'!$F$44+((MAX(MIN(S_1_Es*(O15+P15*'Geometry'!$G$45+Q15*'Geometry'!$F$45),S_1_fy),-S_1_fy))-(IF((O15+P15*'Geometry'!$G$45+Q15*'Geometry'!$F$45)&gt;0,IF((O15+P15*'Geometry'!$G$45+Q15*'Geometry'!$F$45)&lt;=C_eco,C_alpha*C_fck*(1-(1-(O15+P15*'Geometry'!$G$45+Q15*'Geometry'!$F$45)/C_eco)^C_n),C_alpha*C_fck),0)))*'Geometry'!$H$45*'Geometry'!$F$45+((MAX(MIN(S_1_Es*(O15+P15*'Geometry'!$G$46+Q15*'Geometry'!$F$46),S_1_fy),-S_1_fy))-(IF((O15+P15*'Geometry'!$G$46+Q15*'Geometry'!$F$46)&gt;0,IF((O15+P15*'Geometry'!$G$46+Q15*'Geometry'!$F$46)&lt;=C_eco,C_alpha*C_fck*(1-(1-(O15+P15*'Geometry'!$G$46+Q15*'Geometry'!$F$46)/C_eco)^C_n),C_alpha*C_fck),0)))*'Geometry'!$H$46*'Geometry'!$F$46+((MAX(MIN(S_1_Es*(O15+P15*'Geometry'!$G$47+Q15*'Geometry'!$F$47),S_1_fy),-S_1_fy))-(IF((O15+P15*'Geometry'!$G$47+Q15*'Geometry'!$F$47)&gt;0,IF((O15+P15*'Geometry'!$G$47+Q15*'Geometry'!$F$47)&lt;=C_eco,C_alpha*C_fck*(1-(1-(O15+P15*'Geometry'!$G$47+Q15*'Geometry'!$F$47)/C_eco)^C_n),C_alpha*C_fck),0)))*'Geometry'!$H$47*'Geometry'!$F$47+((MAX(MIN(S_1_Es*(O15+P15*'Geometry'!$G$48+Q15*'Geometry'!$F$48),S_1_fy),-S_1_fy))-(IF((O15+P15*'Geometry'!$G$48+Q15*'Geometry'!$F$48)&gt;0,IF((O15+P15*'Geometry'!$G$48+Q15*'Geometry'!$F$48)&lt;=C_eco,C_alpha*C_fck*(1-(1-(O15+P15*'Geometry'!$G$48+Q15*'Geometry'!$F$48)/C_eco)^C_n),C_alpha*C_fck),0)))*'Geometry'!$H$48*'Geometry'!$F$48+((MAX(MIN(S_1_Es*(O15+P15*'Geometry'!$G$49+Q15*'Geometry'!$F$49),S_1_fy),-S_1_fy))-(IF((O15+P15*'Geometry'!$G$49+Q15*'Geometry'!$F$49)&gt;0,IF((O15+P15*'Geometry'!$G$49+Q15*'Geometry'!$F$49)&lt;=C_eco,C_alpha*C_fck*(1-(1-(O15+P15*'Geometry'!$G$49+Q15*'Geometry'!$F$49)/C_eco)^C_n),C_alpha*C_fck),0)))*'Geometry'!$H$49*'Geometry'!$F$49+((MAX(MIN(S_1_Es*(O15+P15*'Geometry'!$G$50+Q15*'Geometry'!$F$50),S_1_fy),-S_1_fy))-(IF((O15+P15*'Geometry'!$G$50+Q15*'Geometry'!$F$50)&gt;0,IF((O15+P15*'Geometry'!$G$50+Q15*'Geometry'!$F$50)&lt;=C_eco,C_alpha*C_fck*(1-(1-(O15+P15*'Geometry'!$G$50+Q15*'Geometry'!$F$50)/C_eco)^C_n),C_alpha*C_fck),0)))*'Geometry'!$H$50*'Geometry'!$F$50+((MAX(MIN(S_1_Es*(O15+P15*'Geometry'!$G$51+Q15*'Geometry'!$F$51),S_1_fy),-S_1_fy))-(IF((O15+P15*'Geometry'!$G$51+Q15*'Geometry'!$F$51)&gt;0,IF((O15+P15*'Geometry'!$G$51+Q15*'Geometry'!$F$51)&lt;=C_eco,C_alpha*C_fck*(1-(1-(O15+P15*'Geometry'!$G$51+Q15*'Geometry'!$F$51)/C_eco)^C_n),C_alpha*C_fck),0)))*'Geometry'!$H$51*'Geometry'!$F$51+((MAX(MIN(S_1_Es*(O15+P15*'Geometry'!$G$52+Q15*'Geometry'!$F$52),S_1_fy),-S_1_fy))-(IF((O15+P15*'Geometry'!$G$52+Q15*'Geometry'!$F$52)&gt;0,IF((O15+P15*'Geometry'!$G$52+Q15*'Geometry'!$F$52)&lt;=C_eco,C_alpha*C_fck*(1-(1-(O15+P15*'Geometry'!$G$52+Q15*'Geometry'!$F$52)/C_eco)^C_n),C_alpha*C_fck),0)))*'Geometry'!$H$52*'Geometry'!$F$52+((MAX(MIN(S_1_Es*(O15+P15*'Geometry'!$G$53+Q15*'Geometry'!$F$53),S_1_fy),-S_1_fy))-(IF((O15+P15*'Geometry'!$G$53+Q15*'Geometry'!$F$53)&gt;0,IF((O15+P15*'Geometry'!$G$53+Q15*'Geometry'!$F$53)&lt;=C_eco,C_alpha*C_fck*(1-(1-(O15+P15*'Geometry'!$G$53+Q15*'Geometry'!$F$53)/C_eco)^C_n),C_alpha*C_fck),0)))*'Geometry'!$H$53*'Geometry'!$F$53+((MAX(MIN(S_1_Es*(O15+P15*'Geometry'!$G$54+Q15*'Geometry'!$F$54),S_1_fy),-S_1_fy))-(IF((O15+P15*'Geometry'!$G$54+Q15*'Geometry'!$F$54)&gt;0,IF((O15+P15*'Geometry'!$G$54+Q15*'Geometry'!$F$54)&lt;=C_eco,C_alpha*C_fck*(1-(1-(O15+P15*'Geometry'!$G$54+Q15*'Geometry'!$F$54)/C_eco)^C_n),C_alpha*C_fck),0)))*'Geometry'!$H$54*'Geometry'!$F$54+((MAX(MIN(S_1_Es*(O15+P15*'Geometry'!$G$55+Q15*'Geometry'!$F$55),S_1_fy),-S_1_fy))-(IF((O15+P15*'Geometry'!$G$55+Q15*'Geometry'!$F$55)&gt;0,IF((O15+P15*'Geometry'!$G$55+Q15*'Geometry'!$F$55)&lt;=C_eco,C_alpha*C_fck*(1-(1-(O15+P15*'Geometry'!$G$55+Q15*'Geometry'!$F$55)/C_eco)^C_n),C_alpha*C_fck),0)))*'Geometry'!$H$55*'Geometry'!$F$55+((MAX(MIN(S_1_Es*(O15+P15*'Geometry'!$G$56+Q15*'Geometry'!$F$56),S_1_fy),-S_1_fy))-(IF((O15+P15*'Geometry'!$G$56+Q15*'Geometry'!$F$56)&gt;0,IF((O15+P15*'Geometry'!$G$56+Q15*'Geometry'!$F$56)&lt;=C_eco,C_alpha*C_fck*(1-(1-(O15+P15*'Geometry'!$G$56+Q15*'Geometry'!$F$56)/C_eco)^C_n),C_alpha*C_fck),0)))*'Geometry'!$H$56*'Geometry'!$F$56+((MAX(MIN(S_1_Es*(O15+P15*'Geometry'!$G$57+Q15*'Geometry'!$F$57),S_1_fy),-S_1_fy))-(IF((O15+P15*'Geometry'!$G$57+Q15*'Geometry'!$F$57)&gt;0,IF((O15+P15*'Geometry'!$G$57+Q15*'Geometry'!$F$57)&lt;=C_eco,C_alpha*C_fck*(1-(1-(O15+P15*'Geometry'!$G$57+Q15*'Geometry'!$F$57)/C_eco)^C_n),C_alpha*C_fck),0)))*'Geometry'!$H$57*'Geometry'!$F$57)/1000000</f>
        <v>1699.7104763576813</v>
      </c>
      <c r="X15" s="10">
        <f>R15+U15</f>
        <v>1689.5964367222796</v>
      </c>
      <c r="Y15" s="10">
        <f>S15+V15</f>
        <v>1326.2002875094465</v>
      </c>
      <c r="Z15" s="10">
        <f>T15+W15</f>
        <v>4553.247020555791</v>
      </c>
      <c r="AA15" s="7">
        <v>0.85</v>
      </c>
      <c r="AB15" s="7">
        <v>0.85</v>
      </c>
      <c r="AC15" s="10">
        <f>X15*AA15</f>
        <v>1436.1569712139376</v>
      </c>
      <c r="AD15" s="10">
        <f>Y15*AB15</f>
        <v>1127.2702443830296</v>
      </c>
      <c r="AE15" s="10">
        <f>Z15*AB15</f>
        <v>3870.259967472422</v>
      </c>
      <c r="AF15" s="7">
        <v>1436.1569712139376</v>
      </c>
      <c r="AG15" s="7">
        <v>1127.2702443830296</v>
      </c>
      <c r="AH15" s="7">
        <v>3870.259967472422</v>
      </c>
      <c r="AI15" s="15">
        <f>AC15-AF15</f>
        <v>0</v>
      </c>
      <c r="AJ15" s="15">
        <f>SQRT((AD15-AG15)^2+(AE15-AH15)^2)</f>
        <v>0</v>
      </c>
      <c r="AK15" s="7" t="s">
        <v>189</v>
      </c>
      <c r="AL15" s="7">
        <v>1689.5964367222796</v>
      </c>
      <c r="AM15" s="7">
        <v>1326.2002875094465</v>
      </c>
      <c r="AN15" s="7">
        <v>4553.247020555791</v>
      </c>
      <c r="AO15" s="7">
        <v>4642.569349153062</v>
      </c>
      <c r="AP15" s="7">
        <v>904.6532999037386</v>
      </c>
      <c r="AQ15" s="7">
        <v>2853.53654419811</v>
      </c>
      <c r="AR15" s="7">
        <v>-2952.972912430783</v>
      </c>
      <c r="AS15" s="7">
        <v>421.546987605708</v>
      </c>
      <c r="AT15" s="7">
        <v>1699.7104763576813</v>
      </c>
    </row>
    <row r="16" spans="1:46" x14ac:dyDescent="0.25">
      <c r="A16" s="7" t="s">
        <v>205</v>
      </c>
      <c r="B16" s="7">
        <v>1</v>
      </c>
      <c r="C16" s="18">
        <v>80</v>
      </c>
      <c r="D16" s="7" t="s">
        <v>274</v>
      </c>
      <c r="E16" s="7" t="s">
        <v>275</v>
      </c>
      <c r="F16" s="19">
        <v>80</v>
      </c>
      <c r="G16" s="7" t="s">
        <v>188</v>
      </c>
      <c r="H16" s="20">
        <v>7.5</v>
      </c>
      <c r="I16" s="10">
        <f>MAX(('Geometry'!$G$13*COS(RADIANS(F16))+'Geometry'!$F$13*SIN(RADIANS(F16))),('Geometry'!$G$14*COS(RADIANS(F16))+'Geometry'!$F$14*SIN(RADIANS(F16))),('Geometry'!$G$15*COS(RADIANS(F16))+'Geometry'!$F$15*SIN(RADIANS(F16))),('Geometry'!$G$16*COS(RADIANS(F16))+'Geometry'!$F$16*SIN(RADIANS(F16))),('Geometry'!$G$17*COS(RADIANS(F16))+'Geometry'!$F$17*SIN(RADIANS(F16))),('Geometry'!$G$18*COS(RADIANS(F16))+'Geometry'!$F$18*SIN(RADIANS(F16))),('Geometry'!$G$19*COS(RADIANS(F16))+'Geometry'!$F$19*SIN(RADIANS(F16))),('Geometry'!$G$20*COS(RADIANS(F16))+'Geometry'!$F$20*SIN(RADIANS(F16))))</f>
        <v>808.0650858259282</v>
      </c>
      <c r="J16" s="10">
        <f>MIN(('Geometry'!$G$40*COS(RADIANS(F16))+'Geometry'!$F$40*SIN(RADIANS(F16))),('Geometry'!$G$41*COS(RADIANS(F16))+'Geometry'!$F$41*SIN(RADIANS(F16))),('Geometry'!$G$42*COS(RADIANS(F16))+'Geometry'!$F$42*SIN(RADIANS(F16))),('Geometry'!$G$43*COS(RADIANS(F16))+'Geometry'!$F$43*SIN(RADIANS(F16))),('Geometry'!$G$44*COS(RADIANS(F16))+'Geometry'!$F$44*SIN(RADIANS(F16))),('Geometry'!$G$45*COS(RADIANS(F16))+'Geometry'!$F$45*SIN(RADIANS(F16))),('Geometry'!$G$46*COS(RADIANS(F16))+'Geometry'!$F$46*SIN(RADIANS(F16))),('Geometry'!$G$47*COS(RADIANS(F16))+'Geometry'!$F$47*SIN(RADIANS(F16))),('Geometry'!$G$48*COS(RADIANS(F16))+'Geometry'!$F$48*SIN(RADIANS(F16))),('Geometry'!$G$49*COS(RADIANS(F16))+'Geometry'!$F$49*SIN(RADIANS(F16))),('Geometry'!$G$50*COS(RADIANS(F16))+'Geometry'!$F$50*SIN(RADIANS(F16))),('Geometry'!$G$51*COS(RADIANS(F16))+'Geometry'!$F$51*SIN(RADIANS(F16))),('Geometry'!$G$52*COS(RADIANS(F16))+'Geometry'!$F$52*SIN(RADIANS(F16))),('Geometry'!$G$53*COS(RADIANS(F16))+'Geometry'!$F$53*SIN(RADIANS(F16))),('Geometry'!$G$54*COS(RADIANS(F16))+'Geometry'!$F$54*SIN(RADIANS(F16))),('Geometry'!$G$55*COS(RADIANS(F16))+'Geometry'!$F$55*SIN(RADIANS(F16))),('Geometry'!$G$56*COS(RADIANS(F16))+'Geometry'!$F$56*SIN(RADIANS(F16))),('Geometry'!$G$57*COS(RADIANS(F16))+'Geometry'!$F$57*SIN(RADIANS(F16))))</f>
        <v>-721.7637253483806</v>
      </c>
      <c r="K16" s="10">
        <f>I16-MIN(('Geometry'!$G$13*COS(RADIANS(F16))+'Geometry'!$F$13*SIN(RADIANS(F16))),('Geometry'!$G$14*COS(RADIANS(F16))+'Geometry'!$F$14*SIN(RADIANS(F16))),('Geometry'!$G$15*COS(RADIANS(F16))+'Geometry'!$F$15*SIN(RADIANS(F16))),('Geometry'!$G$16*COS(RADIANS(F16))+'Geometry'!$F$16*SIN(RADIANS(F16))),('Geometry'!$G$17*COS(RADIANS(F16))+'Geometry'!$F$17*SIN(RADIANS(F16))),('Geometry'!$G$18*COS(RADIANS(F16))+'Geometry'!$F$18*SIN(RADIANS(F16))),('Geometry'!$G$19*COS(RADIANS(F16))+'Geometry'!$F$19*SIN(RADIANS(F16))),('Geometry'!$G$20*COS(RADIANS(F16))+'Geometry'!$F$20*SIN(RADIANS(F16))))</f>
        <v>1616.1301716518565</v>
      </c>
      <c r="L16" s="15">
        <f>C_ecu</f>
        <v>0.0032999999999999982</v>
      </c>
      <c r="M16" s="15">
        <f>-H16*S_1_fy/S_1_Es</f>
        <v>-0.015</v>
      </c>
      <c r="N16" s="21">
        <f>IF(ABS(I16-J16)&lt;0.000000000001,0,(L16-M16)/(I16-J16))</f>
        <v>0.000011962122733165661</v>
      </c>
      <c r="O16" s="15">
        <f>L16-N16*I16</f>
        <v>-0.006366173733035799</v>
      </c>
      <c r="P16" s="21">
        <f>N16*COS(RADIANS(F16))</f>
        <v>0.0000020772008136423784</v>
      </c>
      <c r="Q16" s="21">
        <f>N16*SIN(RADIANS(F16))</f>
        <v>0.000011780391210105129</v>
      </c>
      <c r="R16" s="10">
        <f>SUMPRODUCT(C_alpha*C_fck*(1-(1-(((O16+P16*Mesh_Y+Q16*Mesh_X))*((O16+P16*Mesh_Y+Q16*Mesh_X)&gt;0)*((O16+P16*Mesh_Y+Q16*Mesh_X)&lt;C_eco)+C_eco*((O16+P16*Mesh_Y+Q16*Mesh_X)&gt;=C_eco))/C_eco)^C_n)*(((O16+P16*Mesh_Y+Q16*Mesh_X))&gt;0),Mesh_A)/1000</f>
        <v>3852.0461457192546</v>
      </c>
      <c r="S16" s="10">
        <f>SUMPRODUCT(C_alpha*C_fck*(1-(1-(((O16+P16*Mesh_Y+Q16*Mesh_X))*((O16+P16*Mesh_Y+Q16*Mesh_X)&gt;0)*((O16+P16*Mesh_Y+Q16*Mesh_X)&lt;C_eco)+C_eco*((O16+P16*Mesh_Y+Q16*Mesh_X)&gt;=C_eco))/C_eco)^C_n)*(((O16+P16*Mesh_Y+Q16*Mesh_X))&gt;0),Mesh_A,Mesh_Y)/1000000</f>
        <v>481.79249758693084</v>
      </c>
      <c r="T16" s="10">
        <f>SUMPRODUCT(C_alpha*C_fck*(1-(1-(((O16+P16*Mesh_Y+Q16*Mesh_X))*((O16+P16*Mesh_Y+Q16*Mesh_X)&gt;0)*((O16+P16*Mesh_Y+Q16*Mesh_X)&lt;C_eco)+C_eco*((O16+P16*Mesh_Y+Q16*Mesh_X)&gt;=C_eco))/C_eco)^C_n)*(((O16+P16*Mesh_Y+Q16*Mesh_X))&gt;0),Mesh_A,Mesh_X)/1000000</f>
        <v>2509.670158121412</v>
      </c>
      <c r="U16" s="10">
        <f>(((MAX(MIN(S_1_Es*(O16+P16*'Geometry'!$G$40+Q16*'Geometry'!$F$40),S_1_fy),-S_1_fy))-(IF((O16+P16*'Geometry'!$G$40+Q16*'Geometry'!$F$40)&gt;0,IF((O16+P16*'Geometry'!$G$40+Q16*'Geometry'!$F$40)&lt;=C_eco,C_alpha*C_fck*(1-(1-(O16+P16*'Geometry'!$G$40+Q16*'Geometry'!$F$40)/C_eco)^C_n),C_alpha*C_fck),0)))*'Geometry'!$H$40+((MAX(MIN(S_1_Es*(O16+P16*'Geometry'!$G$41+Q16*'Geometry'!$F$41),S_1_fy),-S_1_fy))-(IF((O16+P16*'Geometry'!$G$41+Q16*'Geometry'!$F$41)&gt;0,IF((O16+P16*'Geometry'!$G$41+Q16*'Geometry'!$F$41)&lt;=C_eco,C_alpha*C_fck*(1-(1-(O16+P16*'Geometry'!$G$41+Q16*'Geometry'!$F$41)/C_eco)^C_n),C_alpha*C_fck),0)))*'Geometry'!$H$41+((MAX(MIN(S_1_Es*(O16+P16*'Geometry'!$G$42+Q16*'Geometry'!$F$42),S_1_fy),-S_1_fy))-(IF((O16+P16*'Geometry'!$G$42+Q16*'Geometry'!$F$42)&gt;0,IF((O16+P16*'Geometry'!$G$42+Q16*'Geometry'!$F$42)&lt;=C_eco,C_alpha*C_fck*(1-(1-(O16+P16*'Geometry'!$G$42+Q16*'Geometry'!$F$42)/C_eco)^C_n),C_alpha*C_fck),0)))*'Geometry'!$H$42+((MAX(MIN(S_1_Es*(O16+P16*'Geometry'!$G$43+Q16*'Geometry'!$F$43),S_1_fy),-S_1_fy))-(IF((O16+P16*'Geometry'!$G$43+Q16*'Geometry'!$F$43)&gt;0,IF((O16+P16*'Geometry'!$G$43+Q16*'Geometry'!$F$43)&lt;=C_eco,C_alpha*C_fck*(1-(1-(O16+P16*'Geometry'!$G$43+Q16*'Geometry'!$F$43)/C_eco)^C_n),C_alpha*C_fck),0)))*'Geometry'!$H$43+((MAX(MIN(S_1_Es*(O16+P16*'Geometry'!$G$44+Q16*'Geometry'!$F$44),S_1_fy),-S_1_fy))-(IF((O16+P16*'Geometry'!$G$44+Q16*'Geometry'!$F$44)&gt;0,IF((O16+P16*'Geometry'!$G$44+Q16*'Geometry'!$F$44)&lt;=C_eco,C_alpha*C_fck*(1-(1-(O16+P16*'Geometry'!$G$44+Q16*'Geometry'!$F$44)/C_eco)^C_n),C_alpha*C_fck),0)))*'Geometry'!$H$44+((MAX(MIN(S_1_Es*(O16+P16*'Geometry'!$G$45+Q16*'Geometry'!$F$45),S_1_fy),-S_1_fy))-(IF((O16+P16*'Geometry'!$G$45+Q16*'Geometry'!$F$45)&gt;0,IF((O16+P16*'Geometry'!$G$45+Q16*'Geometry'!$F$45)&lt;=C_eco,C_alpha*C_fck*(1-(1-(O16+P16*'Geometry'!$G$45+Q16*'Geometry'!$F$45)/C_eco)^C_n),C_alpha*C_fck),0)))*'Geometry'!$H$45+((MAX(MIN(S_1_Es*(O16+P16*'Geometry'!$G$46+Q16*'Geometry'!$F$46),S_1_fy),-S_1_fy))-(IF((O16+P16*'Geometry'!$G$46+Q16*'Geometry'!$F$46)&gt;0,IF((O16+P16*'Geometry'!$G$46+Q16*'Geometry'!$F$46)&lt;=C_eco,C_alpha*C_fck*(1-(1-(O16+P16*'Geometry'!$G$46+Q16*'Geometry'!$F$46)/C_eco)^C_n),C_alpha*C_fck),0)))*'Geometry'!$H$46+((MAX(MIN(S_1_Es*(O16+P16*'Geometry'!$G$47+Q16*'Geometry'!$F$47),S_1_fy),-S_1_fy))-(IF((O16+P16*'Geometry'!$G$47+Q16*'Geometry'!$F$47)&gt;0,IF((O16+P16*'Geometry'!$G$47+Q16*'Geometry'!$F$47)&lt;=C_eco,C_alpha*C_fck*(1-(1-(O16+P16*'Geometry'!$G$47+Q16*'Geometry'!$F$47)/C_eco)^C_n),C_alpha*C_fck),0)))*'Geometry'!$H$47+((MAX(MIN(S_1_Es*(O16+P16*'Geometry'!$G$48+Q16*'Geometry'!$F$48),S_1_fy),-S_1_fy))-(IF((O16+P16*'Geometry'!$G$48+Q16*'Geometry'!$F$48)&gt;0,IF((O16+P16*'Geometry'!$G$48+Q16*'Geometry'!$F$48)&lt;=C_eco,C_alpha*C_fck*(1-(1-(O16+P16*'Geometry'!$G$48+Q16*'Geometry'!$F$48)/C_eco)^C_n),C_alpha*C_fck),0)))*'Geometry'!$H$48+((MAX(MIN(S_1_Es*(O16+P16*'Geometry'!$G$49+Q16*'Geometry'!$F$49),S_1_fy),-S_1_fy))-(IF((O16+P16*'Geometry'!$G$49+Q16*'Geometry'!$F$49)&gt;0,IF((O16+P16*'Geometry'!$G$49+Q16*'Geometry'!$F$49)&lt;=C_eco,C_alpha*C_fck*(1-(1-(O16+P16*'Geometry'!$G$49+Q16*'Geometry'!$F$49)/C_eco)^C_n),C_alpha*C_fck),0)))*'Geometry'!$H$49+((MAX(MIN(S_1_Es*(O16+P16*'Geometry'!$G$50+Q16*'Geometry'!$F$50),S_1_fy),-S_1_fy))-(IF((O16+P16*'Geometry'!$G$50+Q16*'Geometry'!$F$50)&gt;0,IF((O16+P16*'Geometry'!$G$50+Q16*'Geometry'!$F$50)&lt;=C_eco,C_alpha*C_fck*(1-(1-(O16+P16*'Geometry'!$G$50+Q16*'Geometry'!$F$50)/C_eco)^C_n),C_alpha*C_fck),0)))*'Geometry'!$H$50+((MAX(MIN(S_1_Es*(O16+P16*'Geometry'!$G$51+Q16*'Geometry'!$F$51),S_1_fy),-S_1_fy))-(IF((O16+P16*'Geometry'!$G$51+Q16*'Geometry'!$F$51)&gt;0,IF((O16+P16*'Geometry'!$G$51+Q16*'Geometry'!$F$51)&lt;=C_eco,C_alpha*C_fck*(1-(1-(O16+P16*'Geometry'!$G$51+Q16*'Geometry'!$F$51)/C_eco)^C_n),C_alpha*C_fck),0)))*'Geometry'!$H$51+((MAX(MIN(S_1_Es*(O16+P16*'Geometry'!$G$52+Q16*'Geometry'!$F$52),S_1_fy),-S_1_fy))-(IF((O16+P16*'Geometry'!$G$52+Q16*'Geometry'!$F$52)&gt;0,IF((O16+P16*'Geometry'!$G$52+Q16*'Geometry'!$F$52)&lt;=C_eco,C_alpha*C_fck*(1-(1-(O16+P16*'Geometry'!$G$52+Q16*'Geometry'!$F$52)/C_eco)^C_n),C_alpha*C_fck),0)))*'Geometry'!$H$52+((MAX(MIN(S_1_Es*(O16+P16*'Geometry'!$G$53+Q16*'Geometry'!$F$53),S_1_fy),-S_1_fy))-(IF((O16+P16*'Geometry'!$G$53+Q16*'Geometry'!$F$53)&gt;0,IF((O16+P16*'Geometry'!$G$53+Q16*'Geometry'!$F$53)&lt;=C_eco,C_alpha*C_fck*(1-(1-(O16+P16*'Geometry'!$G$53+Q16*'Geometry'!$F$53)/C_eco)^C_n),C_alpha*C_fck),0)))*'Geometry'!$H$53+((MAX(MIN(S_1_Es*(O16+P16*'Geometry'!$G$54+Q16*'Geometry'!$F$54),S_1_fy),-S_1_fy))-(IF((O16+P16*'Geometry'!$G$54+Q16*'Geometry'!$F$54)&gt;0,IF((O16+P16*'Geometry'!$G$54+Q16*'Geometry'!$F$54)&lt;=C_eco,C_alpha*C_fck*(1-(1-(O16+P16*'Geometry'!$G$54+Q16*'Geometry'!$F$54)/C_eco)^C_n),C_alpha*C_fck),0)))*'Geometry'!$H$54+((MAX(MIN(S_1_Es*(O16+P16*'Geometry'!$G$55+Q16*'Geometry'!$F$55),S_1_fy),-S_1_fy))-(IF((O16+P16*'Geometry'!$G$55+Q16*'Geometry'!$F$55)&gt;0,IF((O16+P16*'Geometry'!$G$55+Q16*'Geometry'!$F$55)&lt;=C_eco,C_alpha*C_fck*(1-(1-(O16+P16*'Geometry'!$G$55+Q16*'Geometry'!$F$55)/C_eco)^C_n),C_alpha*C_fck),0)))*'Geometry'!$H$55+((MAX(MIN(S_1_Es*(O16+P16*'Geometry'!$G$56+Q16*'Geometry'!$F$56),S_1_fy),-S_1_fy))-(IF((O16+P16*'Geometry'!$G$56+Q16*'Geometry'!$F$56)&gt;0,IF((O16+P16*'Geometry'!$G$56+Q16*'Geometry'!$F$56)&lt;=C_eco,C_alpha*C_fck*(1-(1-(O16+P16*'Geometry'!$G$56+Q16*'Geometry'!$F$56)/C_eco)^C_n),C_alpha*C_fck),0)))*'Geometry'!$H$56+((MAX(MIN(S_1_Es*(O16+P16*'Geometry'!$G$57+Q16*'Geometry'!$F$57),S_1_fy),-S_1_fy))-(IF((O16+P16*'Geometry'!$G$57+Q16*'Geometry'!$F$57)&gt;0,IF((O16+P16*'Geometry'!$G$57+Q16*'Geometry'!$F$57)&lt;=C_eco,C_alpha*C_fck*(1-(1-(O16+P16*'Geometry'!$G$57+Q16*'Geometry'!$F$57)/C_eco)^C_n),C_alpha*C_fck),0)))*'Geometry'!$H$57)/1000</f>
        <v>-3331.42677912585</v>
      </c>
      <c r="V16" s="10">
        <f>(((MAX(MIN(S_1_Es*(O16+P16*'Geometry'!$G$40+Q16*'Geometry'!$F$40),S_1_fy),-S_1_fy))-(IF((O16+P16*'Geometry'!$G$40+Q16*'Geometry'!$F$40)&gt;0,IF((O16+P16*'Geometry'!$G$40+Q16*'Geometry'!$F$40)&lt;=C_eco,C_alpha*C_fck*(1-(1-(O16+P16*'Geometry'!$G$40+Q16*'Geometry'!$F$40)/C_eco)^C_n),C_alpha*C_fck),0)))*'Geometry'!$H$40*'Geometry'!$G$40+((MAX(MIN(S_1_Es*(O16+P16*'Geometry'!$G$41+Q16*'Geometry'!$F$41),S_1_fy),-S_1_fy))-(IF((O16+P16*'Geometry'!$G$41+Q16*'Geometry'!$F$41)&gt;0,IF((O16+P16*'Geometry'!$G$41+Q16*'Geometry'!$F$41)&lt;=C_eco,C_alpha*C_fck*(1-(1-(O16+P16*'Geometry'!$G$41+Q16*'Geometry'!$F$41)/C_eco)^C_n),C_alpha*C_fck),0)))*'Geometry'!$H$41*'Geometry'!$G$41+((MAX(MIN(S_1_Es*(O16+P16*'Geometry'!$G$42+Q16*'Geometry'!$F$42),S_1_fy),-S_1_fy))-(IF((O16+P16*'Geometry'!$G$42+Q16*'Geometry'!$F$42)&gt;0,IF((O16+P16*'Geometry'!$G$42+Q16*'Geometry'!$F$42)&lt;=C_eco,C_alpha*C_fck*(1-(1-(O16+P16*'Geometry'!$G$42+Q16*'Geometry'!$F$42)/C_eco)^C_n),C_alpha*C_fck),0)))*'Geometry'!$H$42*'Geometry'!$G$42+((MAX(MIN(S_1_Es*(O16+P16*'Geometry'!$G$43+Q16*'Geometry'!$F$43),S_1_fy),-S_1_fy))-(IF((O16+P16*'Geometry'!$G$43+Q16*'Geometry'!$F$43)&gt;0,IF((O16+P16*'Geometry'!$G$43+Q16*'Geometry'!$F$43)&lt;=C_eco,C_alpha*C_fck*(1-(1-(O16+P16*'Geometry'!$G$43+Q16*'Geometry'!$F$43)/C_eco)^C_n),C_alpha*C_fck),0)))*'Geometry'!$H$43*'Geometry'!$G$43+((MAX(MIN(S_1_Es*(O16+P16*'Geometry'!$G$44+Q16*'Geometry'!$F$44),S_1_fy),-S_1_fy))-(IF((O16+P16*'Geometry'!$G$44+Q16*'Geometry'!$F$44)&gt;0,IF((O16+P16*'Geometry'!$G$44+Q16*'Geometry'!$F$44)&lt;=C_eco,C_alpha*C_fck*(1-(1-(O16+P16*'Geometry'!$G$44+Q16*'Geometry'!$F$44)/C_eco)^C_n),C_alpha*C_fck),0)))*'Geometry'!$H$44*'Geometry'!$G$44+((MAX(MIN(S_1_Es*(O16+P16*'Geometry'!$G$45+Q16*'Geometry'!$F$45),S_1_fy),-S_1_fy))-(IF((O16+P16*'Geometry'!$G$45+Q16*'Geometry'!$F$45)&gt;0,IF((O16+P16*'Geometry'!$G$45+Q16*'Geometry'!$F$45)&lt;=C_eco,C_alpha*C_fck*(1-(1-(O16+P16*'Geometry'!$G$45+Q16*'Geometry'!$F$45)/C_eco)^C_n),C_alpha*C_fck),0)))*'Geometry'!$H$45*'Geometry'!$G$45+((MAX(MIN(S_1_Es*(O16+P16*'Geometry'!$G$46+Q16*'Geometry'!$F$46),S_1_fy),-S_1_fy))-(IF((O16+P16*'Geometry'!$G$46+Q16*'Geometry'!$F$46)&gt;0,IF((O16+P16*'Geometry'!$G$46+Q16*'Geometry'!$F$46)&lt;=C_eco,C_alpha*C_fck*(1-(1-(O16+P16*'Geometry'!$G$46+Q16*'Geometry'!$F$46)/C_eco)^C_n),C_alpha*C_fck),0)))*'Geometry'!$H$46*'Geometry'!$G$46+((MAX(MIN(S_1_Es*(O16+P16*'Geometry'!$G$47+Q16*'Geometry'!$F$47),S_1_fy),-S_1_fy))-(IF((O16+P16*'Geometry'!$G$47+Q16*'Geometry'!$F$47)&gt;0,IF((O16+P16*'Geometry'!$G$47+Q16*'Geometry'!$F$47)&lt;=C_eco,C_alpha*C_fck*(1-(1-(O16+P16*'Geometry'!$G$47+Q16*'Geometry'!$F$47)/C_eco)^C_n),C_alpha*C_fck),0)))*'Geometry'!$H$47*'Geometry'!$G$47+((MAX(MIN(S_1_Es*(O16+P16*'Geometry'!$G$48+Q16*'Geometry'!$F$48),S_1_fy),-S_1_fy))-(IF((O16+P16*'Geometry'!$G$48+Q16*'Geometry'!$F$48)&gt;0,IF((O16+P16*'Geometry'!$G$48+Q16*'Geometry'!$F$48)&lt;=C_eco,C_alpha*C_fck*(1-(1-(O16+P16*'Geometry'!$G$48+Q16*'Geometry'!$F$48)/C_eco)^C_n),C_alpha*C_fck),0)))*'Geometry'!$H$48*'Geometry'!$G$48+((MAX(MIN(S_1_Es*(O16+P16*'Geometry'!$G$49+Q16*'Geometry'!$F$49),S_1_fy),-S_1_fy))-(IF((O16+P16*'Geometry'!$G$49+Q16*'Geometry'!$F$49)&gt;0,IF((O16+P16*'Geometry'!$G$49+Q16*'Geometry'!$F$49)&lt;=C_eco,C_alpha*C_fck*(1-(1-(O16+P16*'Geometry'!$G$49+Q16*'Geometry'!$F$49)/C_eco)^C_n),C_alpha*C_fck),0)))*'Geometry'!$H$49*'Geometry'!$G$49+((MAX(MIN(S_1_Es*(O16+P16*'Geometry'!$G$50+Q16*'Geometry'!$F$50),S_1_fy),-S_1_fy))-(IF((O16+P16*'Geometry'!$G$50+Q16*'Geometry'!$F$50)&gt;0,IF((O16+P16*'Geometry'!$G$50+Q16*'Geometry'!$F$50)&lt;=C_eco,C_alpha*C_fck*(1-(1-(O16+P16*'Geometry'!$G$50+Q16*'Geometry'!$F$50)/C_eco)^C_n),C_alpha*C_fck),0)))*'Geometry'!$H$50*'Geometry'!$G$50+((MAX(MIN(S_1_Es*(O16+P16*'Geometry'!$G$51+Q16*'Geometry'!$F$51),S_1_fy),-S_1_fy))-(IF((O16+P16*'Geometry'!$G$51+Q16*'Geometry'!$F$51)&gt;0,IF((O16+P16*'Geometry'!$G$51+Q16*'Geometry'!$F$51)&lt;=C_eco,C_alpha*C_fck*(1-(1-(O16+P16*'Geometry'!$G$51+Q16*'Geometry'!$F$51)/C_eco)^C_n),C_alpha*C_fck),0)))*'Geometry'!$H$51*'Geometry'!$G$51+((MAX(MIN(S_1_Es*(O16+P16*'Geometry'!$G$52+Q16*'Geometry'!$F$52),S_1_fy),-S_1_fy))-(IF((O16+P16*'Geometry'!$G$52+Q16*'Geometry'!$F$52)&gt;0,IF((O16+P16*'Geometry'!$G$52+Q16*'Geometry'!$F$52)&lt;=C_eco,C_alpha*C_fck*(1-(1-(O16+P16*'Geometry'!$G$52+Q16*'Geometry'!$F$52)/C_eco)^C_n),C_alpha*C_fck),0)))*'Geometry'!$H$52*'Geometry'!$G$52+((MAX(MIN(S_1_Es*(O16+P16*'Geometry'!$G$53+Q16*'Geometry'!$F$53),S_1_fy),-S_1_fy))-(IF((O16+P16*'Geometry'!$G$53+Q16*'Geometry'!$F$53)&gt;0,IF((O16+P16*'Geometry'!$G$53+Q16*'Geometry'!$F$53)&lt;=C_eco,C_alpha*C_fck*(1-(1-(O16+P16*'Geometry'!$G$53+Q16*'Geometry'!$F$53)/C_eco)^C_n),C_alpha*C_fck),0)))*'Geometry'!$H$53*'Geometry'!$G$53+((MAX(MIN(S_1_Es*(O16+P16*'Geometry'!$G$54+Q16*'Geometry'!$F$54),S_1_fy),-S_1_fy))-(IF((O16+P16*'Geometry'!$G$54+Q16*'Geometry'!$F$54)&gt;0,IF((O16+P16*'Geometry'!$G$54+Q16*'Geometry'!$F$54)&lt;=C_eco,C_alpha*C_fck*(1-(1-(O16+P16*'Geometry'!$G$54+Q16*'Geometry'!$F$54)/C_eco)^C_n),C_alpha*C_fck),0)))*'Geometry'!$H$54*'Geometry'!$G$54+((MAX(MIN(S_1_Es*(O16+P16*'Geometry'!$G$55+Q16*'Geometry'!$F$55),S_1_fy),-S_1_fy))-(IF((O16+P16*'Geometry'!$G$55+Q16*'Geometry'!$F$55)&gt;0,IF((O16+P16*'Geometry'!$G$55+Q16*'Geometry'!$F$55)&lt;=C_eco,C_alpha*C_fck*(1-(1-(O16+P16*'Geometry'!$G$55+Q16*'Geometry'!$F$55)/C_eco)^C_n),C_alpha*C_fck),0)))*'Geometry'!$H$55*'Geometry'!$G$55+((MAX(MIN(S_1_Es*(O16+P16*'Geometry'!$G$56+Q16*'Geometry'!$F$56),S_1_fy),-S_1_fy))-(IF((O16+P16*'Geometry'!$G$56+Q16*'Geometry'!$F$56)&gt;0,IF((O16+P16*'Geometry'!$G$56+Q16*'Geometry'!$F$56)&lt;=C_eco,C_alpha*C_fck*(1-(1-(O16+P16*'Geometry'!$G$56+Q16*'Geometry'!$F$56)/C_eco)^C_n),C_alpha*C_fck),0)))*'Geometry'!$H$56*'Geometry'!$G$56+((MAX(MIN(S_1_Es*(O16+P16*'Geometry'!$G$57+Q16*'Geometry'!$F$57),S_1_fy),-S_1_fy))-(IF((O16+P16*'Geometry'!$G$57+Q16*'Geometry'!$F$57)&gt;0,IF((O16+P16*'Geometry'!$G$57+Q16*'Geometry'!$F$57)&lt;=C_eco,C_alpha*C_fck*(1-(1-(O16+P16*'Geometry'!$G$57+Q16*'Geometry'!$F$57)/C_eco)^C_n),C_alpha*C_fck),0)))*'Geometry'!$H$57*'Geometry'!$G$57)/1000000</f>
        <v>175.6317062778116</v>
      </c>
      <c r="W16" s="10">
        <f>(((MAX(MIN(S_1_Es*(O16+P16*'Geometry'!$G$40+Q16*'Geometry'!$F$40),S_1_fy),-S_1_fy))-(IF((O16+P16*'Geometry'!$G$40+Q16*'Geometry'!$F$40)&gt;0,IF((O16+P16*'Geometry'!$G$40+Q16*'Geometry'!$F$40)&lt;=C_eco,C_alpha*C_fck*(1-(1-(O16+P16*'Geometry'!$G$40+Q16*'Geometry'!$F$40)/C_eco)^C_n),C_alpha*C_fck),0)))*'Geometry'!$H$40*'Geometry'!$F$40+((MAX(MIN(S_1_Es*(O16+P16*'Geometry'!$G$41+Q16*'Geometry'!$F$41),S_1_fy),-S_1_fy))-(IF((O16+P16*'Geometry'!$G$41+Q16*'Geometry'!$F$41)&gt;0,IF((O16+P16*'Geometry'!$G$41+Q16*'Geometry'!$F$41)&lt;=C_eco,C_alpha*C_fck*(1-(1-(O16+P16*'Geometry'!$G$41+Q16*'Geometry'!$F$41)/C_eco)^C_n),C_alpha*C_fck),0)))*'Geometry'!$H$41*'Geometry'!$F$41+((MAX(MIN(S_1_Es*(O16+P16*'Geometry'!$G$42+Q16*'Geometry'!$F$42),S_1_fy),-S_1_fy))-(IF((O16+P16*'Geometry'!$G$42+Q16*'Geometry'!$F$42)&gt;0,IF((O16+P16*'Geometry'!$G$42+Q16*'Geometry'!$F$42)&lt;=C_eco,C_alpha*C_fck*(1-(1-(O16+P16*'Geometry'!$G$42+Q16*'Geometry'!$F$42)/C_eco)^C_n),C_alpha*C_fck),0)))*'Geometry'!$H$42*'Geometry'!$F$42+((MAX(MIN(S_1_Es*(O16+P16*'Geometry'!$G$43+Q16*'Geometry'!$F$43),S_1_fy),-S_1_fy))-(IF((O16+P16*'Geometry'!$G$43+Q16*'Geometry'!$F$43)&gt;0,IF((O16+P16*'Geometry'!$G$43+Q16*'Geometry'!$F$43)&lt;=C_eco,C_alpha*C_fck*(1-(1-(O16+P16*'Geometry'!$G$43+Q16*'Geometry'!$F$43)/C_eco)^C_n),C_alpha*C_fck),0)))*'Geometry'!$H$43*'Geometry'!$F$43+((MAX(MIN(S_1_Es*(O16+P16*'Geometry'!$G$44+Q16*'Geometry'!$F$44),S_1_fy),-S_1_fy))-(IF((O16+P16*'Geometry'!$G$44+Q16*'Geometry'!$F$44)&gt;0,IF((O16+P16*'Geometry'!$G$44+Q16*'Geometry'!$F$44)&lt;=C_eco,C_alpha*C_fck*(1-(1-(O16+P16*'Geometry'!$G$44+Q16*'Geometry'!$F$44)/C_eco)^C_n),C_alpha*C_fck),0)))*'Geometry'!$H$44*'Geometry'!$F$44+((MAX(MIN(S_1_Es*(O16+P16*'Geometry'!$G$45+Q16*'Geometry'!$F$45),S_1_fy),-S_1_fy))-(IF((O16+P16*'Geometry'!$G$45+Q16*'Geometry'!$F$45)&gt;0,IF((O16+P16*'Geometry'!$G$45+Q16*'Geometry'!$F$45)&lt;=C_eco,C_alpha*C_fck*(1-(1-(O16+P16*'Geometry'!$G$45+Q16*'Geometry'!$F$45)/C_eco)^C_n),C_alpha*C_fck),0)))*'Geometry'!$H$45*'Geometry'!$F$45+((MAX(MIN(S_1_Es*(O16+P16*'Geometry'!$G$46+Q16*'Geometry'!$F$46),S_1_fy),-S_1_fy))-(IF((O16+P16*'Geometry'!$G$46+Q16*'Geometry'!$F$46)&gt;0,IF((O16+P16*'Geometry'!$G$46+Q16*'Geometry'!$F$46)&lt;=C_eco,C_alpha*C_fck*(1-(1-(O16+P16*'Geometry'!$G$46+Q16*'Geometry'!$F$46)/C_eco)^C_n),C_alpha*C_fck),0)))*'Geometry'!$H$46*'Geometry'!$F$46+((MAX(MIN(S_1_Es*(O16+P16*'Geometry'!$G$47+Q16*'Geometry'!$F$47),S_1_fy),-S_1_fy))-(IF((O16+P16*'Geometry'!$G$47+Q16*'Geometry'!$F$47)&gt;0,IF((O16+P16*'Geometry'!$G$47+Q16*'Geometry'!$F$47)&lt;=C_eco,C_alpha*C_fck*(1-(1-(O16+P16*'Geometry'!$G$47+Q16*'Geometry'!$F$47)/C_eco)^C_n),C_alpha*C_fck),0)))*'Geometry'!$H$47*'Geometry'!$F$47+((MAX(MIN(S_1_Es*(O16+P16*'Geometry'!$G$48+Q16*'Geometry'!$F$48),S_1_fy),-S_1_fy))-(IF((O16+P16*'Geometry'!$G$48+Q16*'Geometry'!$F$48)&gt;0,IF((O16+P16*'Geometry'!$G$48+Q16*'Geometry'!$F$48)&lt;=C_eco,C_alpha*C_fck*(1-(1-(O16+P16*'Geometry'!$G$48+Q16*'Geometry'!$F$48)/C_eco)^C_n),C_alpha*C_fck),0)))*'Geometry'!$H$48*'Geometry'!$F$48+((MAX(MIN(S_1_Es*(O16+P16*'Geometry'!$G$49+Q16*'Geometry'!$F$49),S_1_fy),-S_1_fy))-(IF((O16+P16*'Geometry'!$G$49+Q16*'Geometry'!$F$49)&gt;0,IF((O16+P16*'Geometry'!$G$49+Q16*'Geometry'!$F$49)&lt;=C_eco,C_alpha*C_fck*(1-(1-(O16+P16*'Geometry'!$G$49+Q16*'Geometry'!$F$49)/C_eco)^C_n),C_alpha*C_fck),0)))*'Geometry'!$H$49*'Geometry'!$F$49+((MAX(MIN(S_1_Es*(O16+P16*'Geometry'!$G$50+Q16*'Geometry'!$F$50),S_1_fy),-S_1_fy))-(IF((O16+P16*'Geometry'!$G$50+Q16*'Geometry'!$F$50)&gt;0,IF((O16+P16*'Geometry'!$G$50+Q16*'Geometry'!$F$50)&lt;=C_eco,C_alpha*C_fck*(1-(1-(O16+P16*'Geometry'!$G$50+Q16*'Geometry'!$F$50)/C_eco)^C_n),C_alpha*C_fck),0)))*'Geometry'!$H$50*'Geometry'!$F$50+((MAX(MIN(S_1_Es*(O16+P16*'Geometry'!$G$51+Q16*'Geometry'!$F$51),S_1_fy),-S_1_fy))-(IF((O16+P16*'Geometry'!$G$51+Q16*'Geometry'!$F$51)&gt;0,IF((O16+P16*'Geometry'!$G$51+Q16*'Geometry'!$F$51)&lt;=C_eco,C_alpha*C_fck*(1-(1-(O16+P16*'Geometry'!$G$51+Q16*'Geometry'!$F$51)/C_eco)^C_n),C_alpha*C_fck),0)))*'Geometry'!$H$51*'Geometry'!$F$51+((MAX(MIN(S_1_Es*(O16+P16*'Geometry'!$G$52+Q16*'Geometry'!$F$52),S_1_fy),-S_1_fy))-(IF((O16+P16*'Geometry'!$G$52+Q16*'Geometry'!$F$52)&gt;0,IF((O16+P16*'Geometry'!$G$52+Q16*'Geometry'!$F$52)&lt;=C_eco,C_alpha*C_fck*(1-(1-(O16+P16*'Geometry'!$G$52+Q16*'Geometry'!$F$52)/C_eco)^C_n),C_alpha*C_fck),0)))*'Geometry'!$H$52*'Geometry'!$F$52+((MAX(MIN(S_1_Es*(O16+P16*'Geometry'!$G$53+Q16*'Geometry'!$F$53),S_1_fy),-S_1_fy))-(IF((O16+P16*'Geometry'!$G$53+Q16*'Geometry'!$F$53)&gt;0,IF((O16+P16*'Geometry'!$G$53+Q16*'Geometry'!$F$53)&lt;=C_eco,C_alpha*C_fck*(1-(1-(O16+P16*'Geometry'!$G$53+Q16*'Geometry'!$F$53)/C_eco)^C_n),C_alpha*C_fck),0)))*'Geometry'!$H$53*'Geometry'!$F$53+((MAX(MIN(S_1_Es*(O16+P16*'Geometry'!$G$54+Q16*'Geometry'!$F$54),S_1_fy),-S_1_fy))-(IF((O16+P16*'Geometry'!$G$54+Q16*'Geometry'!$F$54)&gt;0,IF((O16+P16*'Geometry'!$G$54+Q16*'Geometry'!$F$54)&lt;=C_eco,C_alpha*C_fck*(1-(1-(O16+P16*'Geometry'!$G$54+Q16*'Geometry'!$F$54)/C_eco)^C_n),C_alpha*C_fck),0)))*'Geometry'!$H$54*'Geometry'!$F$54+((MAX(MIN(S_1_Es*(O16+P16*'Geometry'!$G$55+Q16*'Geometry'!$F$55),S_1_fy),-S_1_fy))-(IF((O16+P16*'Geometry'!$G$55+Q16*'Geometry'!$F$55)&gt;0,IF((O16+P16*'Geometry'!$G$55+Q16*'Geometry'!$F$55)&lt;=C_eco,C_alpha*C_fck*(1-(1-(O16+P16*'Geometry'!$G$55+Q16*'Geometry'!$F$55)/C_eco)^C_n),C_alpha*C_fck),0)))*'Geometry'!$H$55*'Geometry'!$F$55+((MAX(MIN(S_1_Es*(O16+P16*'Geometry'!$G$56+Q16*'Geometry'!$F$56),S_1_fy),-S_1_fy))-(IF((O16+P16*'Geometry'!$G$56+Q16*'Geometry'!$F$56)&gt;0,IF((O16+P16*'Geometry'!$G$56+Q16*'Geometry'!$F$56)&lt;=C_eco,C_alpha*C_fck*(1-(1-(O16+P16*'Geometry'!$G$56+Q16*'Geometry'!$F$56)/C_eco)^C_n),C_alpha*C_fck),0)))*'Geometry'!$H$56*'Geometry'!$F$56+((MAX(MIN(S_1_Es*(O16+P16*'Geometry'!$G$57+Q16*'Geometry'!$F$57),S_1_fy),-S_1_fy))-(IF((O16+P16*'Geometry'!$G$57+Q16*'Geometry'!$F$57)&gt;0,IF((O16+P16*'Geometry'!$G$57+Q16*'Geometry'!$F$57)&lt;=C_eco,C_alpha*C_fck*(1-(1-(O16+P16*'Geometry'!$G$57+Q16*'Geometry'!$F$57)/C_eco)^C_n),C_alpha*C_fck),0)))*'Geometry'!$H$57*'Geometry'!$F$57)/1000000</f>
        <v>1607.061363405873</v>
      </c>
      <c r="X16" s="10">
        <f>R16+U16</f>
        <v>520.6193665934047</v>
      </c>
      <c r="Y16" s="10">
        <f>S16+V16</f>
        <v>657.4242038647424</v>
      </c>
      <c r="Z16" s="10">
        <f>T16+W16</f>
        <v>4116.731521527285</v>
      </c>
      <c r="AA16" s="7">
        <v>0.85</v>
      </c>
      <c r="AB16" s="7">
        <v>0.8500000000000002</v>
      </c>
      <c r="AC16" s="10">
        <f>X16*AA16</f>
        <v>442.52646160439394</v>
      </c>
      <c r="AD16" s="10">
        <f>Y16*AB16</f>
        <v>558.8105732850311</v>
      </c>
      <c r="AE16" s="10">
        <f>Z16*AB16</f>
        <v>3499.221793298192</v>
      </c>
      <c r="AF16" s="7">
        <v>442.52646160439394</v>
      </c>
      <c r="AG16" s="7">
        <v>558.8105732850311</v>
      </c>
      <c r="AH16" s="7">
        <v>3499.221793298192</v>
      </c>
      <c r="AI16" s="15">
        <f>AC16-AF16</f>
        <v>0</v>
      </c>
      <c r="AJ16" s="15">
        <f>SQRT((AD16-AG16)^2+(AE16-AH16)^2)</f>
        <v>0</v>
      </c>
      <c r="AK16" s="7" t="s">
        <v>189</v>
      </c>
      <c r="AL16" s="7">
        <v>520.6193665934047</v>
      </c>
      <c r="AM16" s="7">
        <v>657.4242038647424</v>
      </c>
      <c r="AN16" s="7">
        <v>4116.731521527285</v>
      </c>
      <c r="AO16" s="7">
        <v>3852.0461457192546</v>
      </c>
      <c r="AP16" s="7">
        <v>481.79249758693084</v>
      </c>
      <c r="AQ16" s="7">
        <v>2509.670158121412</v>
      </c>
      <c r="AR16" s="7">
        <v>-3331.42677912585</v>
      </c>
      <c r="AS16" s="7">
        <v>175.6317062778116</v>
      </c>
      <c r="AT16" s="7">
        <v>1607.061363405873</v>
      </c>
    </row>
    <row r="17" spans="1:46" x14ac:dyDescent="0.25">
      <c r="A17" s="7" t="s">
        <v>208</v>
      </c>
      <c r="B17" s="7">
        <v>1</v>
      </c>
      <c r="C17" s="18">
        <v>90</v>
      </c>
      <c r="D17" s="7" t="s">
        <v>276</v>
      </c>
      <c r="E17" s="7" t="s">
        <v>265</v>
      </c>
      <c r="F17" s="19">
        <v>90</v>
      </c>
      <c r="G17" s="7" t="s">
        <v>188</v>
      </c>
      <c r="H17" s="20">
        <v>10.000000000000002</v>
      </c>
      <c r="I17" s="10">
        <f>MAX(('Geometry'!$G$13*COS(RADIANS(F17))+'Geometry'!$F$13*SIN(RADIANS(F17))),('Geometry'!$G$14*COS(RADIANS(F17))+'Geometry'!$F$14*SIN(RADIANS(F17))),('Geometry'!$G$15*COS(RADIANS(F17))+'Geometry'!$F$15*SIN(RADIANS(F17))),('Geometry'!$G$16*COS(RADIANS(F17))+'Geometry'!$F$16*SIN(RADIANS(F17))),('Geometry'!$G$17*COS(RADIANS(F17))+'Geometry'!$F$17*SIN(RADIANS(F17))),('Geometry'!$G$18*COS(RADIANS(F17))+'Geometry'!$F$18*SIN(RADIANS(F17))),('Geometry'!$G$19*COS(RADIANS(F17))+'Geometry'!$F$19*SIN(RADIANS(F17))),('Geometry'!$G$20*COS(RADIANS(F17))+'Geometry'!$F$20*SIN(RADIANS(F17))))</f>
        <v>750</v>
      </c>
      <c r="J17" s="10">
        <f>MIN(('Geometry'!$G$40*COS(RADIANS(F17))+'Geometry'!$F$40*SIN(RADIANS(F17))),('Geometry'!$G$41*COS(RADIANS(F17))+'Geometry'!$F$41*SIN(RADIANS(F17))),('Geometry'!$G$42*COS(RADIANS(F17))+'Geometry'!$F$42*SIN(RADIANS(F17))),('Geometry'!$G$43*COS(RADIANS(F17))+'Geometry'!$F$43*SIN(RADIANS(F17))),('Geometry'!$G$44*COS(RADIANS(F17))+'Geometry'!$F$44*SIN(RADIANS(F17))),('Geometry'!$G$45*COS(RADIANS(F17))+'Geometry'!$F$45*SIN(RADIANS(F17))),('Geometry'!$G$46*COS(RADIANS(F17))+'Geometry'!$F$46*SIN(RADIANS(F17))),('Geometry'!$G$47*COS(RADIANS(F17))+'Geometry'!$F$47*SIN(RADIANS(F17))),('Geometry'!$G$48*COS(RADIANS(F17))+'Geometry'!$F$48*SIN(RADIANS(F17))),('Geometry'!$G$49*COS(RADIANS(F17))+'Geometry'!$F$49*SIN(RADIANS(F17))),('Geometry'!$G$50*COS(RADIANS(F17))+'Geometry'!$F$50*SIN(RADIANS(F17))),('Geometry'!$G$51*COS(RADIANS(F17))+'Geometry'!$F$51*SIN(RADIANS(F17))),('Geometry'!$G$52*COS(RADIANS(F17))+'Geometry'!$F$52*SIN(RADIANS(F17))),('Geometry'!$G$53*COS(RADIANS(F17))+'Geometry'!$F$53*SIN(RADIANS(F17))),('Geometry'!$G$54*COS(RADIANS(F17))+'Geometry'!$F$54*SIN(RADIANS(F17))),('Geometry'!$G$55*COS(RADIANS(F17))+'Geometry'!$F$55*SIN(RADIANS(F17))),('Geometry'!$G$56*COS(RADIANS(F17))+'Geometry'!$F$56*SIN(RADIANS(F17))),('Geometry'!$G$57*COS(RADIANS(F17))+'Geometry'!$F$57*SIN(RADIANS(F17))))</f>
        <v>-680</v>
      </c>
      <c r="K17" s="10">
        <f>I17-MIN(('Geometry'!$G$13*COS(RADIANS(F17))+'Geometry'!$F$13*SIN(RADIANS(F17))),('Geometry'!$G$14*COS(RADIANS(F17))+'Geometry'!$F$14*SIN(RADIANS(F17))),('Geometry'!$G$15*COS(RADIANS(F17))+'Geometry'!$F$15*SIN(RADIANS(F17))),('Geometry'!$G$16*COS(RADIANS(F17))+'Geometry'!$F$16*SIN(RADIANS(F17))),('Geometry'!$G$17*COS(RADIANS(F17))+'Geometry'!$F$17*SIN(RADIANS(F17))),('Geometry'!$G$18*COS(RADIANS(F17))+'Geometry'!$F$18*SIN(RADIANS(F17))),('Geometry'!$G$19*COS(RADIANS(F17))+'Geometry'!$F$19*SIN(RADIANS(F17))),('Geometry'!$G$20*COS(RADIANS(F17))+'Geometry'!$F$20*SIN(RADIANS(F17))))</f>
        <v>1500</v>
      </c>
      <c r="L17" s="15">
        <f>C_ecu</f>
        <v>0.003300000000000001</v>
      </c>
      <c r="M17" s="15">
        <f>-H17*S_1_fy/S_1_Es</f>
        <v>-0.020000000000000004</v>
      </c>
      <c r="N17" s="21">
        <f>IF(ABS(I17-J17)&lt;0.000000000001,0,(L17-M17)/(I17-J17))</f>
        <v>0.000016293706293706295</v>
      </c>
      <c r="O17" s="15">
        <f>L17-N17*I17</f>
        <v>-0.008920279720279721</v>
      </c>
      <c r="P17" s="21">
        <f>N17*COS(RADIANS(F17))</f>
        <v>9.97701762941725e-22</v>
      </c>
      <c r="Q17" s="21">
        <f>N17*SIN(RADIANS(F17))</f>
        <v>0.000016293706293706295</v>
      </c>
      <c r="R17" s="10">
        <f>SUMPRODUCT(C_alpha*C_fck*(1-(1-(((O17+P17*Mesh_Y+Q17*Mesh_X))*((O17+P17*Mesh_Y+Q17*Mesh_X)&gt;0)*((O17+P17*Mesh_Y+Q17*Mesh_X)&lt;C_eco)+C_eco*((O17+P17*Mesh_Y+Q17*Mesh_X)&gt;=C_eco))/C_eco)^C_n)*(((O17+P17*Mesh_Y+Q17*Mesh_X))&gt;0),Mesh_A)/1000</f>
        <v>4019.399136815556</v>
      </c>
      <c r="S17" s="10">
        <f>SUMPRODUCT(C_alpha*C_fck*(1-(1-(((O17+P17*Mesh_Y+Q17*Mesh_X))*((O17+P17*Mesh_Y+Q17*Mesh_X)&gt;0)*((O17+P17*Mesh_Y+Q17*Mesh_X)&lt;C_eco)+C_eco*((O17+P17*Mesh_Y+Q17*Mesh_X)&gt;=C_eco))/C_eco)^C_n)*(((O17+P17*Mesh_Y+Q17*Mesh_X))&gt;0),Mesh_A,Mesh_Y)/1000000</f>
        <v>0.5038947024216988</v>
      </c>
      <c r="T17" s="10">
        <f>SUMPRODUCT(C_alpha*C_fck*(1-(1-(((O17+P17*Mesh_Y+Q17*Mesh_X))*((O17+P17*Mesh_Y+Q17*Mesh_X)&gt;0)*((O17+P17*Mesh_Y+Q17*Mesh_X)&lt;C_eco)+C_eco*((O17+P17*Mesh_Y+Q17*Mesh_X)&gt;=C_eco))/C_eco)^C_n)*(((O17+P17*Mesh_Y+Q17*Mesh_X))&gt;0),Mesh_A,Mesh_X)/1000000</f>
        <v>2651.599992889006</v>
      </c>
      <c r="U17" s="10">
        <f>(((MAX(MIN(S_1_Es*(O17+P17*'Geometry'!$G$40+Q17*'Geometry'!$F$40),S_1_fy),-S_1_fy))-(IF((O17+P17*'Geometry'!$G$40+Q17*'Geometry'!$F$40)&gt;0,IF((O17+P17*'Geometry'!$G$40+Q17*'Geometry'!$F$40)&lt;=C_eco,C_alpha*C_fck*(1-(1-(O17+P17*'Geometry'!$G$40+Q17*'Geometry'!$F$40)/C_eco)^C_n),C_alpha*C_fck),0)))*'Geometry'!$H$40+((MAX(MIN(S_1_Es*(O17+P17*'Geometry'!$G$41+Q17*'Geometry'!$F$41),S_1_fy),-S_1_fy))-(IF((O17+P17*'Geometry'!$G$41+Q17*'Geometry'!$F$41)&gt;0,IF((O17+P17*'Geometry'!$G$41+Q17*'Geometry'!$F$41)&lt;=C_eco,C_alpha*C_fck*(1-(1-(O17+P17*'Geometry'!$G$41+Q17*'Geometry'!$F$41)/C_eco)^C_n),C_alpha*C_fck),0)))*'Geometry'!$H$41+((MAX(MIN(S_1_Es*(O17+P17*'Geometry'!$G$42+Q17*'Geometry'!$F$42),S_1_fy),-S_1_fy))-(IF((O17+P17*'Geometry'!$G$42+Q17*'Geometry'!$F$42)&gt;0,IF((O17+P17*'Geometry'!$G$42+Q17*'Geometry'!$F$42)&lt;=C_eco,C_alpha*C_fck*(1-(1-(O17+P17*'Geometry'!$G$42+Q17*'Geometry'!$F$42)/C_eco)^C_n),C_alpha*C_fck),0)))*'Geometry'!$H$42+((MAX(MIN(S_1_Es*(O17+P17*'Geometry'!$G$43+Q17*'Geometry'!$F$43),S_1_fy),-S_1_fy))-(IF((O17+P17*'Geometry'!$G$43+Q17*'Geometry'!$F$43)&gt;0,IF((O17+P17*'Geometry'!$G$43+Q17*'Geometry'!$F$43)&lt;=C_eco,C_alpha*C_fck*(1-(1-(O17+P17*'Geometry'!$G$43+Q17*'Geometry'!$F$43)/C_eco)^C_n),C_alpha*C_fck),0)))*'Geometry'!$H$43+((MAX(MIN(S_1_Es*(O17+P17*'Geometry'!$G$44+Q17*'Geometry'!$F$44),S_1_fy),-S_1_fy))-(IF((O17+P17*'Geometry'!$G$44+Q17*'Geometry'!$F$44)&gt;0,IF((O17+P17*'Geometry'!$G$44+Q17*'Geometry'!$F$44)&lt;=C_eco,C_alpha*C_fck*(1-(1-(O17+P17*'Geometry'!$G$44+Q17*'Geometry'!$F$44)/C_eco)^C_n),C_alpha*C_fck),0)))*'Geometry'!$H$44+((MAX(MIN(S_1_Es*(O17+P17*'Geometry'!$G$45+Q17*'Geometry'!$F$45),S_1_fy),-S_1_fy))-(IF((O17+P17*'Geometry'!$G$45+Q17*'Geometry'!$F$45)&gt;0,IF((O17+P17*'Geometry'!$G$45+Q17*'Geometry'!$F$45)&lt;=C_eco,C_alpha*C_fck*(1-(1-(O17+P17*'Geometry'!$G$45+Q17*'Geometry'!$F$45)/C_eco)^C_n),C_alpha*C_fck),0)))*'Geometry'!$H$45+((MAX(MIN(S_1_Es*(O17+P17*'Geometry'!$G$46+Q17*'Geometry'!$F$46),S_1_fy),-S_1_fy))-(IF((O17+P17*'Geometry'!$G$46+Q17*'Geometry'!$F$46)&gt;0,IF((O17+P17*'Geometry'!$G$46+Q17*'Geometry'!$F$46)&lt;=C_eco,C_alpha*C_fck*(1-(1-(O17+P17*'Geometry'!$G$46+Q17*'Geometry'!$F$46)/C_eco)^C_n),C_alpha*C_fck),0)))*'Geometry'!$H$46+((MAX(MIN(S_1_Es*(O17+P17*'Geometry'!$G$47+Q17*'Geometry'!$F$47),S_1_fy),-S_1_fy))-(IF((O17+P17*'Geometry'!$G$47+Q17*'Geometry'!$F$47)&gt;0,IF((O17+P17*'Geometry'!$G$47+Q17*'Geometry'!$F$47)&lt;=C_eco,C_alpha*C_fck*(1-(1-(O17+P17*'Geometry'!$G$47+Q17*'Geometry'!$F$47)/C_eco)^C_n),C_alpha*C_fck),0)))*'Geometry'!$H$47+((MAX(MIN(S_1_Es*(O17+P17*'Geometry'!$G$48+Q17*'Geometry'!$F$48),S_1_fy),-S_1_fy))-(IF((O17+P17*'Geometry'!$G$48+Q17*'Geometry'!$F$48)&gt;0,IF((O17+P17*'Geometry'!$G$48+Q17*'Geometry'!$F$48)&lt;=C_eco,C_alpha*C_fck*(1-(1-(O17+P17*'Geometry'!$G$48+Q17*'Geometry'!$F$48)/C_eco)^C_n),C_alpha*C_fck),0)))*'Geometry'!$H$48+((MAX(MIN(S_1_Es*(O17+P17*'Geometry'!$G$49+Q17*'Geometry'!$F$49),S_1_fy),-S_1_fy))-(IF((O17+P17*'Geometry'!$G$49+Q17*'Geometry'!$F$49)&gt;0,IF((O17+P17*'Geometry'!$G$49+Q17*'Geometry'!$F$49)&lt;=C_eco,C_alpha*C_fck*(1-(1-(O17+P17*'Geometry'!$G$49+Q17*'Geometry'!$F$49)/C_eco)^C_n),C_alpha*C_fck),0)))*'Geometry'!$H$49+((MAX(MIN(S_1_Es*(O17+P17*'Geometry'!$G$50+Q17*'Geometry'!$F$50),S_1_fy),-S_1_fy))-(IF((O17+P17*'Geometry'!$G$50+Q17*'Geometry'!$F$50)&gt;0,IF((O17+P17*'Geometry'!$G$50+Q17*'Geometry'!$F$50)&lt;=C_eco,C_alpha*C_fck*(1-(1-(O17+P17*'Geometry'!$G$50+Q17*'Geometry'!$F$50)/C_eco)^C_n),C_alpha*C_fck),0)))*'Geometry'!$H$50+((MAX(MIN(S_1_Es*(O17+P17*'Geometry'!$G$51+Q17*'Geometry'!$F$51),S_1_fy),-S_1_fy))-(IF((O17+P17*'Geometry'!$G$51+Q17*'Geometry'!$F$51)&gt;0,IF((O17+P17*'Geometry'!$G$51+Q17*'Geometry'!$F$51)&lt;=C_eco,C_alpha*C_fck*(1-(1-(O17+P17*'Geometry'!$G$51+Q17*'Geometry'!$F$51)/C_eco)^C_n),C_alpha*C_fck),0)))*'Geometry'!$H$51+((MAX(MIN(S_1_Es*(O17+P17*'Geometry'!$G$52+Q17*'Geometry'!$F$52),S_1_fy),-S_1_fy))-(IF((O17+P17*'Geometry'!$G$52+Q17*'Geometry'!$F$52)&gt;0,IF((O17+P17*'Geometry'!$G$52+Q17*'Geometry'!$F$52)&lt;=C_eco,C_alpha*C_fck*(1-(1-(O17+P17*'Geometry'!$G$52+Q17*'Geometry'!$F$52)/C_eco)^C_n),C_alpha*C_fck),0)))*'Geometry'!$H$52+((MAX(MIN(S_1_Es*(O17+P17*'Geometry'!$G$53+Q17*'Geometry'!$F$53),S_1_fy),-S_1_fy))-(IF((O17+P17*'Geometry'!$G$53+Q17*'Geometry'!$F$53)&gt;0,IF((O17+P17*'Geometry'!$G$53+Q17*'Geometry'!$F$53)&lt;=C_eco,C_alpha*C_fck*(1-(1-(O17+P17*'Geometry'!$G$53+Q17*'Geometry'!$F$53)/C_eco)^C_n),C_alpha*C_fck),0)))*'Geometry'!$H$53+((MAX(MIN(S_1_Es*(O17+P17*'Geometry'!$G$54+Q17*'Geometry'!$F$54),S_1_fy),-S_1_fy))-(IF((O17+P17*'Geometry'!$G$54+Q17*'Geometry'!$F$54)&gt;0,IF((O17+P17*'Geometry'!$G$54+Q17*'Geometry'!$F$54)&lt;=C_eco,C_alpha*C_fck*(1-(1-(O17+P17*'Geometry'!$G$54+Q17*'Geometry'!$F$54)/C_eco)^C_n),C_alpha*C_fck),0)))*'Geometry'!$H$54+((MAX(MIN(S_1_Es*(O17+P17*'Geometry'!$G$55+Q17*'Geometry'!$F$55),S_1_fy),-S_1_fy))-(IF((O17+P17*'Geometry'!$G$55+Q17*'Geometry'!$F$55)&gt;0,IF((O17+P17*'Geometry'!$G$55+Q17*'Geometry'!$F$55)&lt;=C_eco,C_alpha*C_fck*(1-(1-(O17+P17*'Geometry'!$G$55+Q17*'Geometry'!$F$55)/C_eco)^C_n),C_alpha*C_fck),0)))*'Geometry'!$H$55+((MAX(MIN(S_1_Es*(O17+P17*'Geometry'!$G$56+Q17*'Geometry'!$F$56),S_1_fy),-S_1_fy))-(IF((O17+P17*'Geometry'!$G$56+Q17*'Geometry'!$F$56)&gt;0,IF((O17+P17*'Geometry'!$G$56+Q17*'Geometry'!$F$56)&lt;=C_eco,C_alpha*C_fck*(1-(1-(O17+P17*'Geometry'!$G$56+Q17*'Geometry'!$F$56)/C_eco)^C_n),C_alpha*C_fck),0)))*'Geometry'!$H$56+((MAX(MIN(S_1_Es*(O17+P17*'Geometry'!$G$57+Q17*'Geometry'!$F$57),S_1_fy),-S_1_fy))-(IF((O17+P17*'Geometry'!$G$57+Q17*'Geometry'!$F$57)&gt;0,IF((O17+P17*'Geometry'!$G$57+Q17*'Geometry'!$F$57)&lt;=C_eco,C_alpha*C_fck*(1-(1-(O17+P17*'Geometry'!$G$57+Q17*'Geometry'!$F$57)/C_eco)^C_n),C_alpha*C_fck),0)))*'Geometry'!$H$57)/1000</f>
        <v>-3299.0241446464847</v>
      </c>
      <c r="V17" s="10">
        <f>(((MAX(MIN(S_1_Es*(O17+P17*'Geometry'!$G$40+Q17*'Geometry'!$F$40),S_1_fy),-S_1_fy))-(IF((O17+P17*'Geometry'!$G$40+Q17*'Geometry'!$F$40)&gt;0,IF((O17+P17*'Geometry'!$G$40+Q17*'Geometry'!$F$40)&lt;=C_eco,C_alpha*C_fck*(1-(1-(O17+P17*'Geometry'!$G$40+Q17*'Geometry'!$F$40)/C_eco)^C_n),C_alpha*C_fck),0)))*'Geometry'!$H$40*'Geometry'!$G$40+((MAX(MIN(S_1_Es*(O17+P17*'Geometry'!$G$41+Q17*'Geometry'!$F$41),S_1_fy),-S_1_fy))-(IF((O17+P17*'Geometry'!$G$41+Q17*'Geometry'!$F$41)&gt;0,IF((O17+P17*'Geometry'!$G$41+Q17*'Geometry'!$F$41)&lt;=C_eco,C_alpha*C_fck*(1-(1-(O17+P17*'Geometry'!$G$41+Q17*'Geometry'!$F$41)/C_eco)^C_n),C_alpha*C_fck),0)))*'Geometry'!$H$41*'Geometry'!$G$41+((MAX(MIN(S_1_Es*(O17+P17*'Geometry'!$G$42+Q17*'Geometry'!$F$42),S_1_fy),-S_1_fy))-(IF((O17+P17*'Geometry'!$G$42+Q17*'Geometry'!$F$42)&gt;0,IF((O17+P17*'Geometry'!$G$42+Q17*'Geometry'!$F$42)&lt;=C_eco,C_alpha*C_fck*(1-(1-(O17+P17*'Geometry'!$G$42+Q17*'Geometry'!$F$42)/C_eco)^C_n),C_alpha*C_fck),0)))*'Geometry'!$H$42*'Geometry'!$G$42+((MAX(MIN(S_1_Es*(O17+P17*'Geometry'!$G$43+Q17*'Geometry'!$F$43),S_1_fy),-S_1_fy))-(IF((O17+P17*'Geometry'!$G$43+Q17*'Geometry'!$F$43)&gt;0,IF((O17+P17*'Geometry'!$G$43+Q17*'Geometry'!$F$43)&lt;=C_eco,C_alpha*C_fck*(1-(1-(O17+P17*'Geometry'!$G$43+Q17*'Geometry'!$F$43)/C_eco)^C_n),C_alpha*C_fck),0)))*'Geometry'!$H$43*'Geometry'!$G$43+((MAX(MIN(S_1_Es*(O17+P17*'Geometry'!$G$44+Q17*'Geometry'!$F$44),S_1_fy),-S_1_fy))-(IF((O17+P17*'Geometry'!$G$44+Q17*'Geometry'!$F$44)&gt;0,IF((O17+P17*'Geometry'!$G$44+Q17*'Geometry'!$F$44)&lt;=C_eco,C_alpha*C_fck*(1-(1-(O17+P17*'Geometry'!$G$44+Q17*'Geometry'!$F$44)/C_eco)^C_n),C_alpha*C_fck),0)))*'Geometry'!$H$44*'Geometry'!$G$44+((MAX(MIN(S_1_Es*(O17+P17*'Geometry'!$G$45+Q17*'Geometry'!$F$45),S_1_fy),-S_1_fy))-(IF((O17+P17*'Geometry'!$G$45+Q17*'Geometry'!$F$45)&gt;0,IF((O17+P17*'Geometry'!$G$45+Q17*'Geometry'!$F$45)&lt;=C_eco,C_alpha*C_fck*(1-(1-(O17+P17*'Geometry'!$G$45+Q17*'Geometry'!$F$45)/C_eco)^C_n),C_alpha*C_fck),0)))*'Geometry'!$H$45*'Geometry'!$G$45+((MAX(MIN(S_1_Es*(O17+P17*'Geometry'!$G$46+Q17*'Geometry'!$F$46),S_1_fy),-S_1_fy))-(IF((O17+P17*'Geometry'!$G$46+Q17*'Geometry'!$F$46)&gt;0,IF((O17+P17*'Geometry'!$G$46+Q17*'Geometry'!$F$46)&lt;=C_eco,C_alpha*C_fck*(1-(1-(O17+P17*'Geometry'!$G$46+Q17*'Geometry'!$F$46)/C_eco)^C_n),C_alpha*C_fck),0)))*'Geometry'!$H$46*'Geometry'!$G$46+((MAX(MIN(S_1_Es*(O17+P17*'Geometry'!$G$47+Q17*'Geometry'!$F$47),S_1_fy),-S_1_fy))-(IF((O17+P17*'Geometry'!$G$47+Q17*'Geometry'!$F$47)&gt;0,IF((O17+P17*'Geometry'!$G$47+Q17*'Geometry'!$F$47)&lt;=C_eco,C_alpha*C_fck*(1-(1-(O17+P17*'Geometry'!$G$47+Q17*'Geometry'!$F$47)/C_eco)^C_n),C_alpha*C_fck),0)))*'Geometry'!$H$47*'Geometry'!$G$47+((MAX(MIN(S_1_Es*(O17+P17*'Geometry'!$G$48+Q17*'Geometry'!$F$48),S_1_fy),-S_1_fy))-(IF((O17+P17*'Geometry'!$G$48+Q17*'Geometry'!$F$48)&gt;0,IF((O17+P17*'Geometry'!$G$48+Q17*'Geometry'!$F$48)&lt;=C_eco,C_alpha*C_fck*(1-(1-(O17+P17*'Geometry'!$G$48+Q17*'Geometry'!$F$48)/C_eco)^C_n),C_alpha*C_fck),0)))*'Geometry'!$H$48*'Geometry'!$G$48+((MAX(MIN(S_1_Es*(O17+P17*'Geometry'!$G$49+Q17*'Geometry'!$F$49),S_1_fy),-S_1_fy))-(IF((O17+P17*'Geometry'!$G$49+Q17*'Geometry'!$F$49)&gt;0,IF((O17+P17*'Geometry'!$G$49+Q17*'Geometry'!$F$49)&lt;=C_eco,C_alpha*C_fck*(1-(1-(O17+P17*'Geometry'!$G$49+Q17*'Geometry'!$F$49)/C_eco)^C_n),C_alpha*C_fck),0)))*'Geometry'!$H$49*'Geometry'!$G$49+((MAX(MIN(S_1_Es*(O17+P17*'Geometry'!$G$50+Q17*'Geometry'!$F$50),S_1_fy),-S_1_fy))-(IF((O17+P17*'Geometry'!$G$50+Q17*'Geometry'!$F$50)&gt;0,IF((O17+P17*'Geometry'!$G$50+Q17*'Geometry'!$F$50)&lt;=C_eco,C_alpha*C_fck*(1-(1-(O17+P17*'Geometry'!$G$50+Q17*'Geometry'!$F$50)/C_eco)^C_n),C_alpha*C_fck),0)))*'Geometry'!$H$50*'Geometry'!$G$50+((MAX(MIN(S_1_Es*(O17+P17*'Geometry'!$G$51+Q17*'Geometry'!$F$51),S_1_fy),-S_1_fy))-(IF((O17+P17*'Geometry'!$G$51+Q17*'Geometry'!$F$51)&gt;0,IF((O17+P17*'Geometry'!$G$51+Q17*'Geometry'!$F$51)&lt;=C_eco,C_alpha*C_fck*(1-(1-(O17+P17*'Geometry'!$G$51+Q17*'Geometry'!$F$51)/C_eco)^C_n),C_alpha*C_fck),0)))*'Geometry'!$H$51*'Geometry'!$G$51+((MAX(MIN(S_1_Es*(O17+P17*'Geometry'!$G$52+Q17*'Geometry'!$F$52),S_1_fy),-S_1_fy))-(IF((O17+P17*'Geometry'!$G$52+Q17*'Geometry'!$F$52)&gt;0,IF((O17+P17*'Geometry'!$G$52+Q17*'Geometry'!$F$52)&lt;=C_eco,C_alpha*C_fck*(1-(1-(O17+P17*'Geometry'!$G$52+Q17*'Geometry'!$F$52)/C_eco)^C_n),C_alpha*C_fck),0)))*'Geometry'!$H$52*'Geometry'!$G$52+((MAX(MIN(S_1_Es*(O17+P17*'Geometry'!$G$53+Q17*'Geometry'!$F$53),S_1_fy),-S_1_fy))-(IF((O17+P17*'Geometry'!$G$53+Q17*'Geometry'!$F$53)&gt;0,IF((O17+P17*'Geometry'!$G$53+Q17*'Geometry'!$F$53)&lt;=C_eco,C_alpha*C_fck*(1-(1-(O17+P17*'Geometry'!$G$53+Q17*'Geometry'!$F$53)/C_eco)^C_n),C_alpha*C_fck),0)))*'Geometry'!$H$53*'Geometry'!$G$53+((MAX(MIN(S_1_Es*(O17+P17*'Geometry'!$G$54+Q17*'Geometry'!$F$54),S_1_fy),-S_1_fy))-(IF((O17+P17*'Geometry'!$G$54+Q17*'Geometry'!$F$54)&gt;0,IF((O17+P17*'Geometry'!$G$54+Q17*'Geometry'!$F$54)&lt;=C_eco,C_alpha*C_fck*(1-(1-(O17+P17*'Geometry'!$G$54+Q17*'Geometry'!$F$54)/C_eco)^C_n),C_alpha*C_fck),0)))*'Geometry'!$H$54*'Geometry'!$G$54+((MAX(MIN(S_1_Es*(O17+P17*'Geometry'!$G$55+Q17*'Geometry'!$F$55),S_1_fy),-S_1_fy))-(IF((O17+P17*'Geometry'!$G$55+Q17*'Geometry'!$F$55)&gt;0,IF((O17+P17*'Geometry'!$G$55+Q17*'Geometry'!$F$55)&lt;=C_eco,C_alpha*C_fck*(1-(1-(O17+P17*'Geometry'!$G$55+Q17*'Geometry'!$F$55)/C_eco)^C_n),C_alpha*C_fck),0)))*'Geometry'!$H$55*'Geometry'!$G$55+((MAX(MIN(S_1_Es*(O17+P17*'Geometry'!$G$56+Q17*'Geometry'!$F$56),S_1_fy),-S_1_fy))-(IF((O17+P17*'Geometry'!$G$56+Q17*'Geometry'!$F$56)&gt;0,IF((O17+P17*'Geometry'!$G$56+Q17*'Geometry'!$F$56)&lt;=C_eco,C_alpha*C_fck*(1-(1-(O17+P17*'Geometry'!$G$56+Q17*'Geometry'!$F$56)/C_eco)^C_n),C_alpha*C_fck),0)))*'Geometry'!$H$56*'Geometry'!$G$56+((MAX(MIN(S_1_Es*(O17+P17*'Geometry'!$G$57+Q17*'Geometry'!$F$57),S_1_fy),-S_1_fy))-(IF((O17+P17*'Geometry'!$G$57+Q17*'Geometry'!$F$57)&gt;0,IF((O17+P17*'Geometry'!$G$57+Q17*'Geometry'!$F$57)&lt;=C_eco,C_alpha*C_fck*(1-(1-(O17+P17*'Geometry'!$G$57+Q17*'Geometry'!$F$57)/C_eco)^C_n),C_alpha*C_fck),0)))*'Geometry'!$H$57*'Geometry'!$G$57)/1000000</f>
        <v>0</v>
      </c>
      <c r="W17" s="10">
        <f>(((MAX(MIN(S_1_Es*(O17+P17*'Geometry'!$G$40+Q17*'Geometry'!$F$40),S_1_fy),-S_1_fy))-(IF((O17+P17*'Geometry'!$G$40+Q17*'Geometry'!$F$40)&gt;0,IF((O17+P17*'Geometry'!$G$40+Q17*'Geometry'!$F$40)&lt;=C_eco,C_alpha*C_fck*(1-(1-(O17+P17*'Geometry'!$G$40+Q17*'Geometry'!$F$40)/C_eco)^C_n),C_alpha*C_fck),0)))*'Geometry'!$H$40*'Geometry'!$F$40+((MAX(MIN(S_1_Es*(O17+P17*'Geometry'!$G$41+Q17*'Geometry'!$F$41),S_1_fy),-S_1_fy))-(IF((O17+P17*'Geometry'!$G$41+Q17*'Geometry'!$F$41)&gt;0,IF((O17+P17*'Geometry'!$G$41+Q17*'Geometry'!$F$41)&lt;=C_eco,C_alpha*C_fck*(1-(1-(O17+P17*'Geometry'!$G$41+Q17*'Geometry'!$F$41)/C_eco)^C_n),C_alpha*C_fck),0)))*'Geometry'!$H$41*'Geometry'!$F$41+((MAX(MIN(S_1_Es*(O17+P17*'Geometry'!$G$42+Q17*'Geometry'!$F$42),S_1_fy),-S_1_fy))-(IF((O17+P17*'Geometry'!$G$42+Q17*'Geometry'!$F$42)&gt;0,IF((O17+P17*'Geometry'!$G$42+Q17*'Geometry'!$F$42)&lt;=C_eco,C_alpha*C_fck*(1-(1-(O17+P17*'Geometry'!$G$42+Q17*'Geometry'!$F$42)/C_eco)^C_n),C_alpha*C_fck),0)))*'Geometry'!$H$42*'Geometry'!$F$42+((MAX(MIN(S_1_Es*(O17+P17*'Geometry'!$G$43+Q17*'Geometry'!$F$43),S_1_fy),-S_1_fy))-(IF((O17+P17*'Geometry'!$G$43+Q17*'Geometry'!$F$43)&gt;0,IF((O17+P17*'Geometry'!$G$43+Q17*'Geometry'!$F$43)&lt;=C_eco,C_alpha*C_fck*(1-(1-(O17+P17*'Geometry'!$G$43+Q17*'Geometry'!$F$43)/C_eco)^C_n),C_alpha*C_fck),0)))*'Geometry'!$H$43*'Geometry'!$F$43+((MAX(MIN(S_1_Es*(O17+P17*'Geometry'!$G$44+Q17*'Geometry'!$F$44),S_1_fy),-S_1_fy))-(IF((O17+P17*'Geometry'!$G$44+Q17*'Geometry'!$F$44)&gt;0,IF((O17+P17*'Geometry'!$G$44+Q17*'Geometry'!$F$44)&lt;=C_eco,C_alpha*C_fck*(1-(1-(O17+P17*'Geometry'!$G$44+Q17*'Geometry'!$F$44)/C_eco)^C_n),C_alpha*C_fck),0)))*'Geometry'!$H$44*'Geometry'!$F$44+((MAX(MIN(S_1_Es*(O17+P17*'Geometry'!$G$45+Q17*'Geometry'!$F$45),S_1_fy),-S_1_fy))-(IF((O17+P17*'Geometry'!$G$45+Q17*'Geometry'!$F$45)&gt;0,IF((O17+P17*'Geometry'!$G$45+Q17*'Geometry'!$F$45)&lt;=C_eco,C_alpha*C_fck*(1-(1-(O17+P17*'Geometry'!$G$45+Q17*'Geometry'!$F$45)/C_eco)^C_n),C_alpha*C_fck),0)))*'Geometry'!$H$45*'Geometry'!$F$45+((MAX(MIN(S_1_Es*(O17+P17*'Geometry'!$G$46+Q17*'Geometry'!$F$46),S_1_fy),-S_1_fy))-(IF((O17+P17*'Geometry'!$G$46+Q17*'Geometry'!$F$46)&gt;0,IF((O17+P17*'Geometry'!$G$46+Q17*'Geometry'!$F$46)&lt;=C_eco,C_alpha*C_fck*(1-(1-(O17+P17*'Geometry'!$G$46+Q17*'Geometry'!$F$46)/C_eco)^C_n),C_alpha*C_fck),0)))*'Geometry'!$H$46*'Geometry'!$F$46+((MAX(MIN(S_1_Es*(O17+P17*'Geometry'!$G$47+Q17*'Geometry'!$F$47),S_1_fy),-S_1_fy))-(IF((O17+P17*'Geometry'!$G$47+Q17*'Geometry'!$F$47)&gt;0,IF((O17+P17*'Geometry'!$G$47+Q17*'Geometry'!$F$47)&lt;=C_eco,C_alpha*C_fck*(1-(1-(O17+P17*'Geometry'!$G$47+Q17*'Geometry'!$F$47)/C_eco)^C_n),C_alpha*C_fck),0)))*'Geometry'!$H$47*'Geometry'!$F$47+((MAX(MIN(S_1_Es*(O17+P17*'Geometry'!$G$48+Q17*'Geometry'!$F$48),S_1_fy),-S_1_fy))-(IF((O17+P17*'Geometry'!$G$48+Q17*'Geometry'!$F$48)&gt;0,IF((O17+P17*'Geometry'!$G$48+Q17*'Geometry'!$F$48)&lt;=C_eco,C_alpha*C_fck*(1-(1-(O17+P17*'Geometry'!$G$48+Q17*'Geometry'!$F$48)/C_eco)^C_n),C_alpha*C_fck),0)))*'Geometry'!$H$48*'Geometry'!$F$48+((MAX(MIN(S_1_Es*(O17+P17*'Geometry'!$G$49+Q17*'Geometry'!$F$49),S_1_fy),-S_1_fy))-(IF((O17+P17*'Geometry'!$G$49+Q17*'Geometry'!$F$49)&gt;0,IF((O17+P17*'Geometry'!$G$49+Q17*'Geometry'!$F$49)&lt;=C_eco,C_alpha*C_fck*(1-(1-(O17+P17*'Geometry'!$G$49+Q17*'Geometry'!$F$49)/C_eco)^C_n),C_alpha*C_fck),0)))*'Geometry'!$H$49*'Geometry'!$F$49+((MAX(MIN(S_1_Es*(O17+P17*'Geometry'!$G$50+Q17*'Geometry'!$F$50),S_1_fy),-S_1_fy))-(IF((O17+P17*'Geometry'!$G$50+Q17*'Geometry'!$F$50)&gt;0,IF((O17+P17*'Geometry'!$G$50+Q17*'Geometry'!$F$50)&lt;=C_eco,C_alpha*C_fck*(1-(1-(O17+P17*'Geometry'!$G$50+Q17*'Geometry'!$F$50)/C_eco)^C_n),C_alpha*C_fck),0)))*'Geometry'!$H$50*'Geometry'!$F$50+((MAX(MIN(S_1_Es*(O17+P17*'Geometry'!$G$51+Q17*'Geometry'!$F$51),S_1_fy),-S_1_fy))-(IF((O17+P17*'Geometry'!$G$51+Q17*'Geometry'!$F$51)&gt;0,IF((O17+P17*'Geometry'!$G$51+Q17*'Geometry'!$F$51)&lt;=C_eco,C_alpha*C_fck*(1-(1-(O17+P17*'Geometry'!$G$51+Q17*'Geometry'!$F$51)/C_eco)^C_n),C_alpha*C_fck),0)))*'Geometry'!$H$51*'Geometry'!$F$51+((MAX(MIN(S_1_Es*(O17+P17*'Geometry'!$G$52+Q17*'Geometry'!$F$52),S_1_fy),-S_1_fy))-(IF((O17+P17*'Geometry'!$G$52+Q17*'Geometry'!$F$52)&gt;0,IF((O17+P17*'Geometry'!$G$52+Q17*'Geometry'!$F$52)&lt;=C_eco,C_alpha*C_fck*(1-(1-(O17+P17*'Geometry'!$G$52+Q17*'Geometry'!$F$52)/C_eco)^C_n),C_alpha*C_fck),0)))*'Geometry'!$H$52*'Geometry'!$F$52+((MAX(MIN(S_1_Es*(O17+P17*'Geometry'!$G$53+Q17*'Geometry'!$F$53),S_1_fy),-S_1_fy))-(IF((O17+P17*'Geometry'!$G$53+Q17*'Geometry'!$F$53)&gt;0,IF((O17+P17*'Geometry'!$G$53+Q17*'Geometry'!$F$53)&lt;=C_eco,C_alpha*C_fck*(1-(1-(O17+P17*'Geometry'!$G$53+Q17*'Geometry'!$F$53)/C_eco)^C_n),C_alpha*C_fck),0)))*'Geometry'!$H$53*'Geometry'!$F$53+((MAX(MIN(S_1_Es*(O17+P17*'Geometry'!$G$54+Q17*'Geometry'!$F$54),S_1_fy),-S_1_fy))-(IF((O17+P17*'Geometry'!$G$54+Q17*'Geometry'!$F$54)&gt;0,IF((O17+P17*'Geometry'!$G$54+Q17*'Geometry'!$F$54)&lt;=C_eco,C_alpha*C_fck*(1-(1-(O17+P17*'Geometry'!$G$54+Q17*'Geometry'!$F$54)/C_eco)^C_n),C_alpha*C_fck),0)))*'Geometry'!$H$54*'Geometry'!$F$54+((MAX(MIN(S_1_Es*(O17+P17*'Geometry'!$G$55+Q17*'Geometry'!$F$55),S_1_fy),-S_1_fy))-(IF((O17+P17*'Geometry'!$G$55+Q17*'Geometry'!$F$55)&gt;0,IF((O17+P17*'Geometry'!$G$55+Q17*'Geometry'!$F$55)&lt;=C_eco,C_alpha*C_fck*(1-(1-(O17+P17*'Geometry'!$G$55+Q17*'Geometry'!$F$55)/C_eco)^C_n),C_alpha*C_fck),0)))*'Geometry'!$H$55*'Geometry'!$F$55+((MAX(MIN(S_1_Es*(O17+P17*'Geometry'!$G$56+Q17*'Geometry'!$F$56),S_1_fy),-S_1_fy))-(IF((O17+P17*'Geometry'!$G$56+Q17*'Geometry'!$F$56)&gt;0,IF((O17+P17*'Geometry'!$G$56+Q17*'Geometry'!$F$56)&lt;=C_eco,C_alpha*C_fck*(1-(1-(O17+P17*'Geometry'!$G$56+Q17*'Geometry'!$F$56)/C_eco)^C_n),C_alpha*C_fck),0)))*'Geometry'!$H$56*'Geometry'!$F$56+((MAX(MIN(S_1_Es*(O17+P17*'Geometry'!$G$57+Q17*'Geometry'!$F$57),S_1_fy),-S_1_fy))-(IF((O17+P17*'Geometry'!$G$57+Q17*'Geometry'!$F$57)&gt;0,IF((O17+P17*'Geometry'!$G$57+Q17*'Geometry'!$F$57)&lt;=C_eco,C_alpha*C_fck*(1-(1-(O17+P17*'Geometry'!$G$57+Q17*'Geometry'!$F$57)/C_eco)^C_n),C_alpha*C_fck),0)))*'Geometry'!$H$57*'Geometry'!$F$57)/1000000</f>
        <v>1694.2604154261505</v>
      </c>
      <c r="X17" s="10">
        <f>R17+U17</f>
        <v>720.3749921690714</v>
      </c>
      <c r="Y17" s="10">
        <f>S17+V17</f>
        <v>0.5038947024216988</v>
      </c>
      <c r="Z17" s="10">
        <f>T17+W17</f>
        <v>4345.860408315157</v>
      </c>
      <c r="AA17" s="7">
        <v>0.8499999999999999</v>
      </c>
      <c r="AB17" s="7">
        <v>0.8500000000000001</v>
      </c>
      <c r="AC17" s="10">
        <f>X17*AA17</f>
        <v>612.3187433437107</v>
      </c>
      <c r="AD17" s="10">
        <f>Y17*AB17</f>
        <v>0.4283104970584439</v>
      </c>
      <c r="AE17" s="10">
        <f>Z17*AB17</f>
        <v>3693.9813470678837</v>
      </c>
      <c r="AF17" s="7">
        <v>612.3187433437107</v>
      </c>
      <c r="AG17" s="7">
        <v>0.4283104970584439</v>
      </c>
      <c r="AH17" s="7">
        <v>3693.9813470678837</v>
      </c>
      <c r="AI17" s="15">
        <f>AC17-AF17</f>
        <v>0</v>
      </c>
      <c r="AJ17" s="15">
        <f>SQRT((AD17-AG17)^2+(AE17-AH17)^2)</f>
        <v>0</v>
      </c>
      <c r="AK17" s="7" t="s">
        <v>189</v>
      </c>
      <c r="AL17" s="7">
        <v>720.3749921690714</v>
      </c>
      <c r="AM17" s="7">
        <v>0.5038947024216988</v>
      </c>
      <c r="AN17" s="7">
        <v>4345.860408315157</v>
      </c>
      <c r="AO17" s="7">
        <v>4019.399136815556</v>
      </c>
      <c r="AP17" s="7">
        <v>0.5038947024216988</v>
      </c>
      <c r="AQ17" s="7">
        <v>2651.599992889006</v>
      </c>
      <c r="AR17" s="7">
        <v>-3299.0241446464847</v>
      </c>
      <c r="AS17" s="7">
        <v>0</v>
      </c>
      <c r="AT17" s="7">
        <v>1694.2604154261505</v>
      </c>
    </row>
    <row r="18" spans="1:46" x14ac:dyDescent="0.25">
      <c r="A18" s="7" t="s">
        <v>210</v>
      </c>
      <c r="B18" s="7">
        <v>1</v>
      </c>
      <c r="C18" s="18">
        <v>100</v>
      </c>
      <c r="D18" s="7" t="s">
        <v>277</v>
      </c>
      <c r="E18" s="7" t="s">
        <v>275</v>
      </c>
      <c r="F18" s="19">
        <v>100</v>
      </c>
      <c r="G18" s="7" t="s">
        <v>188</v>
      </c>
      <c r="H18" s="20">
        <v>7.5</v>
      </c>
      <c r="I18" s="10">
        <f>MAX(('Geometry'!$G$13*COS(RADIANS(F18))+'Geometry'!$F$13*SIN(RADIANS(F18))),('Geometry'!$G$14*COS(RADIANS(F18))+'Geometry'!$F$14*SIN(RADIANS(F18))),('Geometry'!$G$15*COS(RADIANS(F18))+'Geometry'!$F$15*SIN(RADIANS(F18))),('Geometry'!$G$16*COS(RADIANS(F18))+'Geometry'!$F$16*SIN(RADIANS(F18))),('Geometry'!$G$17*COS(RADIANS(F18))+'Geometry'!$F$17*SIN(RADIANS(F18))),('Geometry'!$G$18*COS(RADIANS(F18))+'Geometry'!$F$18*SIN(RADIANS(F18))),('Geometry'!$G$19*COS(RADIANS(F18))+'Geometry'!$F$19*SIN(RADIANS(F18))),('Geometry'!$G$20*COS(RADIANS(F18))+'Geometry'!$F$20*SIN(RADIANS(F18))))</f>
        <v>808.0650858259281</v>
      </c>
      <c r="J18" s="10">
        <f>MIN(('Geometry'!$G$40*COS(RADIANS(F18))+'Geometry'!$F$40*SIN(RADIANS(F18))),('Geometry'!$G$41*COS(RADIANS(F18))+'Geometry'!$F$41*SIN(RADIANS(F18))),('Geometry'!$G$42*COS(RADIANS(F18))+'Geometry'!$F$42*SIN(RADIANS(F18))),('Geometry'!$G$43*COS(RADIANS(F18))+'Geometry'!$F$43*SIN(RADIANS(F18))),('Geometry'!$G$44*COS(RADIANS(F18))+'Geometry'!$F$44*SIN(RADIANS(F18))),('Geometry'!$G$45*COS(RADIANS(F18))+'Geometry'!$F$45*SIN(RADIANS(F18))),('Geometry'!$G$46*COS(RADIANS(F18))+'Geometry'!$F$46*SIN(RADIANS(F18))),('Geometry'!$G$47*COS(RADIANS(F18))+'Geometry'!$F$47*SIN(RADIANS(F18))),('Geometry'!$G$48*COS(RADIANS(F18))+'Geometry'!$F$48*SIN(RADIANS(F18))),('Geometry'!$G$49*COS(RADIANS(F18))+'Geometry'!$F$49*SIN(RADIANS(F18))),('Geometry'!$G$50*COS(RADIANS(F18))+'Geometry'!$F$50*SIN(RADIANS(F18))),('Geometry'!$G$51*COS(RADIANS(F18))+'Geometry'!$F$51*SIN(RADIANS(F18))),('Geometry'!$G$52*COS(RADIANS(F18))+'Geometry'!$F$52*SIN(RADIANS(F18))),('Geometry'!$G$53*COS(RADIANS(F18))+'Geometry'!$F$53*SIN(RADIANS(F18))),('Geometry'!$G$54*COS(RADIANS(F18))+'Geometry'!$F$54*SIN(RADIANS(F18))),('Geometry'!$G$55*COS(RADIANS(F18))+'Geometry'!$F$55*SIN(RADIANS(F18))),('Geometry'!$G$56*COS(RADIANS(F18))+'Geometry'!$F$56*SIN(RADIANS(F18))),('Geometry'!$G$57*COS(RADIANS(F18))+'Geometry'!$F$57*SIN(RADIANS(F18))))</f>
        <v>-721.7637253483805</v>
      </c>
      <c r="K18" s="10">
        <f>I18-MIN(('Geometry'!$G$13*COS(RADIANS(F18))+'Geometry'!$F$13*SIN(RADIANS(F18))),('Geometry'!$G$14*COS(RADIANS(F18))+'Geometry'!$F$14*SIN(RADIANS(F18))),('Geometry'!$G$15*COS(RADIANS(F18))+'Geometry'!$F$15*SIN(RADIANS(F18))),('Geometry'!$G$16*COS(RADIANS(F18))+'Geometry'!$F$16*SIN(RADIANS(F18))),('Geometry'!$G$17*COS(RADIANS(F18))+'Geometry'!$F$17*SIN(RADIANS(F18))),('Geometry'!$G$18*COS(RADIANS(F18))+'Geometry'!$F$18*SIN(RADIANS(F18))),('Geometry'!$G$19*COS(RADIANS(F18))+'Geometry'!$F$19*SIN(RADIANS(F18))),('Geometry'!$G$20*COS(RADIANS(F18))+'Geometry'!$F$20*SIN(RADIANS(F18))))</f>
        <v>1616.1301716518562</v>
      </c>
      <c r="L18" s="15">
        <f>C_ecu</f>
        <v>0.0032999999999999982</v>
      </c>
      <c r="M18" s="15">
        <f>-H18*S_1_fy/S_1_Es</f>
        <v>-0.015</v>
      </c>
      <c r="N18" s="21">
        <f>IF(ABS(I18-J18)&lt;0.000000000001,0,(L18-M18)/(I18-J18))</f>
        <v>0.000011962122733165663</v>
      </c>
      <c r="O18" s="15">
        <f>L18-N18*I18</f>
        <v>-0.006366173733035799</v>
      </c>
      <c r="P18" s="21">
        <f>N18*COS(RADIANS(F18))</f>
        <v>-0.000002077200813642377</v>
      </c>
      <c r="Q18" s="21">
        <f>N18*SIN(RADIANS(F18))</f>
        <v>0.00001178039121010513</v>
      </c>
      <c r="R18" s="10">
        <f>SUMPRODUCT(C_alpha*C_fck*(1-(1-(((O18+P18*Mesh_Y+Q18*Mesh_X))*((O18+P18*Mesh_Y+Q18*Mesh_X)&gt;0)*((O18+P18*Mesh_Y+Q18*Mesh_X)&lt;C_eco)+C_eco*((O18+P18*Mesh_Y+Q18*Mesh_X)&gt;=C_eco))/C_eco)^C_n)*(((O18+P18*Mesh_Y+Q18*Mesh_X))&gt;0),Mesh_A)/1000</f>
        <v>3849.4881911873663</v>
      </c>
      <c r="S18" s="10">
        <f>SUMPRODUCT(C_alpha*C_fck*(1-(1-(((O18+P18*Mesh_Y+Q18*Mesh_X))*((O18+P18*Mesh_Y+Q18*Mesh_X)&gt;0)*((O18+P18*Mesh_Y+Q18*Mesh_X)&lt;C_eco)+C_eco*((O18+P18*Mesh_Y+Q18*Mesh_X)&gt;=C_eco))/C_eco)^C_n)*(((O18+P18*Mesh_Y+Q18*Mesh_X))&gt;0),Mesh_A,Mesh_Y)/1000000</f>
        <v>-480.887391479293</v>
      </c>
      <c r="T18" s="10">
        <f>SUMPRODUCT(C_alpha*C_fck*(1-(1-(((O18+P18*Mesh_Y+Q18*Mesh_X))*((O18+P18*Mesh_Y+Q18*Mesh_X)&gt;0)*((O18+P18*Mesh_Y+Q18*Mesh_X)&lt;C_eco)+C_eco*((O18+P18*Mesh_Y+Q18*Mesh_X)&gt;=C_eco))/C_eco)^C_n)*(((O18+P18*Mesh_Y+Q18*Mesh_X))&gt;0),Mesh_A,Mesh_X)/1000000</f>
        <v>2508.106840588501</v>
      </c>
      <c r="U18" s="10">
        <f>(((MAX(MIN(S_1_Es*(O18+P18*'Geometry'!$G$40+Q18*'Geometry'!$F$40),S_1_fy),-S_1_fy))-(IF((O18+P18*'Geometry'!$G$40+Q18*'Geometry'!$F$40)&gt;0,IF((O18+P18*'Geometry'!$G$40+Q18*'Geometry'!$F$40)&lt;=C_eco,C_alpha*C_fck*(1-(1-(O18+P18*'Geometry'!$G$40+Q18*'Geometry'!$F$40)/C_eco)^C_n),C_alpha*C_fck),0)))*'Geometry'!$H$40+((MAX(MIN(S_1_Es*(O18+P18*'Geometry'!$G$41+Q18*'Geometry'!$F$41),S_1_fy),-S_1_fy))-(IF((O18+P18*'Geometry'!$G$41+Q18*'Geometry'!$F$41)&gt;0,IF((O18+P18*'Geometry'!$G$41+Q18*'Geometry'!$F$41)&lt;=C_eco,C_alpha*C_fck*(1-(1-(O18+P18*'Geometry'!$G$41+Q18*'Geometry'!$F$41)/C_eco)^C_n),C_alpha*C_fck),0)))*'Geometry'!$H$41+((MAX(MIN(S_1_Es*(O18+P18*'Geometry'!$G$42+Q18*'Geometry'!$F$42),S_1_fy),-S_1_fy))-(IF((O18+P18*'Geometry'!$G$42+Q18*'Geometry'!$F$42)&gt;0,IF((O18+P18*'Geometry'!$G$42+Q18*'Geometry'!$F$42)&lt;=C_eco,C_alpha*C_fck*(1-(1-(O18+P18*'Geometry'!$G$42+Q18*'Geometry'!$F$42)/C_eco)^C_n),C_alpha*C_fck),0)))*'Geometry'!$H$42+((MAX(MIN(S_1_Es*(O18+P18*'Geometry'!$G$43+Q18*'Geometry'!$F$43),S_1_fy),-S_1_fy))-(IF((O18+P18*'Geometry'!$G$43+Q18*'Geometry'!$F$43)&gt;0,IF((O18+P18*'Geometry'!$G$43+Q18*'Geometry'!$F$43)&lt;=C_eco,C_alpha*C_fck*(1-(1-(O18+P18*'Geometry'!$G$43+Q18*'Geometry'!$F$43)/C_eco)^C_n),C_alpha*C_fck),0)))*'Geometry'!$H$43+((MAX(MIN(S_1_Es*(O18+P18*'Geometry'!$G$44+Q18*'Geometry'!$F$44),S_1_fy),-S_1_fy))-(IF((O18+P18*'Geometry'!$G$44+Q18*'Geometry'!$F$44)&gt;0,IF((O18+P18*'Geometry'!$G$44+Q18*'Geometry'!$F$44)&lt;=C_eco,C_alpha*C_fck*(1-(1-(O18+P18*'Geometry'!$G$44+Q18*'Geometry'!$F$44)/C_eco)^C_n),C_alpha*C_fck),0)))*'Geometry'!$H$44+((MAX(MIN(S_1_Es*(O18+P18*'Geometry'!$G$45+Q18*'Geometry'!$F$45),S_1_fy),-S_1_fy))-(IF((O18+P18*'Geometry'!$G$45+Q18*'Geometry'!$F$45)&gt;0,IF((O18+P18*'Geometry'!$G$45+Q18*'Geometry'!$F$45)&lt;=C_eco,C_alpha*C_fck*(1-(1-(O18+P18*'Geometry'!$G$45+Q18*'Geometry'!$F$45)/C_eco)^C_n),C_alpha*C_fck),0)))*'Geometry'!$H$45+((MAX(MIN(S_1_Es*(O18+P18*'Geometry'!$G$46+Q18*'Geometry'!$F$46),S_1_fy),-S_1_fy))-(IF((O18+P18*'Geometry'!$G$46+Q18*'Geometry'!$F$46)&gt;0,IF((O18+P18*'Geometry'!$G$46+Q18*'Geometry'!$F$46)&lt;=C_eco,C_alpha*C_fck*(1-(1-(O18+P18*'Geometry'!$G$46+Q18*'Geometry'!$F$46)/C_eco)^C_n),C_alpha*C_fck),0)))*'Geometry'!$H$46+((MAX(MIN(S_1_Es*(O18+P18*'Geometry'!$G$47+Q18*'Geometry'!$F$47),S_1_fy),-S_1_fy))-(IF((O18+P18*'Geometry'!$G$47+Q18*'Geometry'!$F$47)&gt;0,IF((O18+P18*'Geometry'!$G$47+Q18*'Geometry'!$F$47)&lt;=C_eco,C_alpha*C_fck*(1-(1-(O18+P18*'Geometry'!$G$47+Q18*'Geometry'!$F$47)/C_eco)^C_n),C_alpha*C_fck),0)))*'Geometry'!$H$47+((MAX(MIN(S_1_Es*(O18+P18*'Geometry'!$G$48+Q18*'Geometry'!$F$48),S_1_fy),-S_1_fy))-(IF((O18+P18*'Geometry'!$G$48+Q18*'Geometry'!$F$48)&gt;0,IF((O18+P18*'Geometry'!$G$48+Q18*'Geometry'!$F$48)&lt;=C_eco,C_alpha*C_fck*(1-(1-(O18+P18*'Geometry'!$G$48+Q18*'Geometry'!$F$48)/C_eco)^C_n),C_alpha*C_fck),0)))*'Geometry'!$H$48+((MAX(MIN(S_1_Es*(O18+P18*'Geometry'!$G$49+Q18*'Geometry'!$F$49),S_1_fy),-S_1_fy))-(IF((O18+P18*'Geometry'!$G$49+Q18*'Geometry'!$F$49)&gt;0,IF((O18+P18*'Geometry'!$G$49+Q18*'Geometry'!$F$49)&lt;=C_eco,C_alpha*C_fck*(1-(1-(O18+P18*'Geometry'!$G$49+Q18*'Geometry'!$F$49)/C_eco)^C_n),C_alpha*C_fck),0)))*'Geometry'!$H$49+((MAX(MIN(S_1_Es*(O18+P18*'Geometry'!$G$50+Q18*'Geometry'!$F$50),S_1_fy),-S_1_fy))-(IF((O18+P18*'Geometry'!$G$50+Q18*'Geometry'!$F$50)&gt;0,IF((O18+P18*'Geometry'!$G$50+Q18*'Geometry'!$F$50)&lt;=C_eco,C_alpha*C_fck*(1-(1-(O18+P18*'Geometry'!$G$50+Q18*'Geometry'!$F$50)/C_eco)^C_n),C_alpha*C_fck),0)))*'Geometry'!$H$50+((MAX(MIN(S_1_Es*(O18+P18*'Geometry'!$G$51+Q18*'Geometry'!$F$51),S_1_fy),-S_1_fy))-(IF((O18+P18*'Geometry'!$G$51+Q18*'Geometry'!$F$51)&gt;0,IF((O18+P18*'Geometry'!$G$51+Q18*'Geometry'!$F$51)&lt;=C_eco,C_alpha*C_fck*(1-(1-(O18+P18*'Geometry'!$G$51+Q18*'Geometry'!$F$51)/C_eco)^C_n),C_alpha*C_fck),0)))*'Geometry'!$H$51+((MAX(MIN(S_1_Es*(O18+P18*'Geometry'!$G$52+Q18*'Geometry'!$F$52),S_1_fy),-S_1_fy))-(IF((O18+P18*'Geometry'!$G$52+Q18*'Geometry'!$F$52)&gt;0,IF((O18+P18*'Geometry'!$G$52+Q18*'Geometry'!$F$52)&lt;=C_eco,C_alpha*C_fck*(1-(1-(O18+P18*'Geometry'!$G$52+Q18*'Geometry'!$F$52)/C_eco)^C_n),C_alpha*C_fck),0)))*'Geometry'!$H$52+((MAX(MIN(S_1_Es*(O18+P18*'Geometry'!$G$53+Q18*'Geometry'!$F$53),S_1_fy),-S_1_fy))-(IF((O18+P18*'Geometry'!$G$53+Q18*'Geometry'!$F$53)&gt;0,IF((O18+P18*'Geometry'!$G$53+Q18*'Geometry'!$F$53)&lt;=C_eco,C_alpha*C_fck*(1-(1-(O18+P18*'Geometry'!$G$53+Q18*'Geometry'!$F$53)/C_eco)^C_n),C_alpha*C_fck),0)))*'Geometry'!$H$53+((MAX(MIN(S_1_Es*(O18+P18*'Geometry'!$G$54+Q18*'Geometry'!$F$54),S_1_fy),-S_1_fy))-(IF((O18+P18*'Geometry'!$G$54+Q18*'Geometry'!$F$54)&gt;0,IF((O18+P18*'Geometry'!$G$54+Q18*'Geometry'!$F$54)&lt;=C_eco,C_alpha*C_fck*(1-(1-(O18+P18*'Geometry'!$G$54+Q18*'Geometry'!$F$54)/C_eco)^C_n),C_alpha*C_fck),0)))*'Geometry'!$H$54+((MAX(MIN(S_1_Es*(O18+P18*'Geometry'!$G$55+Q18*'Geometry'!$F$55),S_1_fy),-S_1_fy))-(IF((O18+P18*'Geometry'!$G$55+Q18*'Geometry'!$F$55)&gt;0,IF((O18+P18*'Geometry'!$G$55+Q18*'Geometry'!$F$55)&lt;=C_eco,C_alpha*C_fck*(1-(1-(O18+P18*'Geometry'!$G$55+Q18*'Geometry'!$F$55)/C_eco)^C_n),C_alpha*C_fck),0)))*'Geometry'!$H$55+((MAX(MIN(S_1_Es*(O18+P18*'Geometry'!$G$56+Q18*'Geometry'!$F$56),S_1_fy),-S_1_fy))-(IF((O18+P18*'Geometry'!$G$56+Q18*'Geometry'!$F$56)&gt;0,IF((O18+P18*'Geometry'!$G$56+Q18*'Geometry'!$F$56)&lt;=C_eco,C_alpha*C_fck*(1-(1-(O18+P18*'Geometry'!$G$56+Q18*'Geometry'!$F$56)/C_eco)^C_n),C_alpha*C_fck),0)))*'Geometry'!$H$56+((MAX(MIN(S_1_Es*(O18+P18*'Geometry'!$G$57+Q18*'Geometry'!$F$57),S_1_fy),-S_1_fy))-(IF((O18+P18*'Geometry'!$G$57+Q18*'Geometry'!$F$57)&gt;0,IF((O18+P18*'Geometry'!$G$57+Q18*'Geometry'!$F$57)&lt;=C_eco,C_alpha*C_fck*(1-(1-(O18+P18*'Geometry'!$G$57+Q18*'Geometry'!$F$57)/C_eco)^C_n),C_alpha*C_fck),0)))*'Geometry'!$H$57)/1000</f>
        <v>-3331.4267791258485</v>
      </c>
      <c r="V18" s="10">
        <f>(((MAX(MIN(S_1_Es*(O18+P18*'Geometry'!$G$40+Q18*'Geometry'!$F$40),S_1_fy),-S_1_fy))-(IF((O18+P18*'Geometry'!$G$40+Q18*'Geometry'!$F$40)&gt;0,IF((O18+P18*'Geometry'!$G$40+Q18*'Geometry'!$F$40)&lt;=C_eco,C_alpha*C_fck*(1-(1-(O18+P18*'Geometry'!$G$40+Q18*'Geometry'!$F$40)/C_eco)^C_n),C_alpha*C_fck),0)))*'Geometry'!$H$40*'Geometry'!$G$40+((MAX(MIN(S_1_Es*(O18+P18*'Geometry'!$G$41+Q18*'Geometry'!$F$41),S_1_fy),-S_1_fy))-(IF((O18+P18*'Geometry'!$G$41+Q18*'Geometry'!$F$41)&gt;0,IF((O18+P18*'Geometry'!$G$41+Q18*'Geometry'!$F$41)&lt;=C_eco,C_alpha*C_fck*(1-(1-(O18+P18*'Geometry'!$G$41+Q18*'Geometry'!$F$41)/C_eco)^C_n),C_alpha*C_fck),0)))*'Geometry'!$H$41*'Geometry'!$G$41+((MAX(MIN(S_1_Es*(O18+P18*'Geometry'!$G$42+Q18*'Geometry'!$F$42),S_1_fy),-S_1_fy))-(IF((O18+P18*'Geometry'!$G$42+Q18*'Geometry'!$F$42)&gt;0,IF((O18+P18*'Geometry'!$G$42+Q18*'Geometry'!$F$42)&lt;=C_eco,C_alpha*C_fck*(1-(1-(O18+P18*'Geometry'!$G$42+Q18*'Geometry'!$F$42)/C_eco)^C_n),C_alpha*C_fck),0)))*'Geometry'!$H$42*'Geometry'!$G$42+((MAX(MIN(S_1_Es*(O18+P18*'Geometry'!$G$43+Q18*'Geometry'!$F$43),S_1_fy),-S_1_fy))-(IF((O18+P18*'Geometry'!$G$43+Q18*'Geometry'!$F$43)&gt;0,IF((O18+P18*'Geometry'!$G$43+Q18*'Geometry'!$F$43)&lt;=C_eco,C_alpha*C_fck*(1-(1-(O18+P18*'Geometry'!$G$43+Q18*'Geometry'!$F$43)/C_eco)^C_n),C_alpha*C_fck),0)))*'Geometry'!$H$43*'Geometry'!$G$43+((MAX(MIN(S_1_Es*(O18+P18*'Geometry'!$G$44+Q18*'Geometry'!$F$44),S_1_fy),-S_1_fy))-(IF((O18+P18*'Geometry'!$G$44+Q18*'Geometry'!$F$44)&gt;0,IF((O18+P18*'Geometry'!$G$44+Q18*'Geometry'!$F$44)&lt;=C_eco,C_alpha*C_fck*(1-(1-(O18+P18*'Geometry'!$G$44+Q18*'Geometry'!$F$44)/C_eco)^C_n),C_alpha*C_fck),0)))*'Geometry'!$H$44*'Geometry'!$G$44+((MAX(MIN(S_1_Es*(O18+P18*'Geometry'!$G$45+Q18*'Geometry'!$F$45),S_1_fy),-S_1_fy))-(IF((O18+P18*'Geometry'!$G$45+Q18*'Geometry'!$F$45)&gt;0,IF((O18+P18*'Geometry'!$G$45+Q18*'Geometry'!$F$45)&lt;=C_eco,C_alpha*C_fck*(1-(1-(O18+P18*'Geometry'!$G$45+Q18*'Geometry'!$F$45)/C_eco)^C_n),C_alpha*C_fck),0)))*'Geometry'!$H$45*'Geometry'!$G$45+((MAX(MIN(S_1_Es*(O18+P18*'Geometry'!$G$46+Q18*'Geometry'!$F$46),S_1_fy),-S_1_fy))-(IF((O18+P18*'Geometry'!$G$46+Q18*'Geometry'!$F$46)&gt;0,IF((O18+P18*'Geometry'!$G$46+Q18*'Geometry'!$F$46)&lt;=C_eco,C_alpha*C_fck*(1-(1-(O18+P18*'Geometry'!$G$46+Q18*'Geometry'!$F$46)/C_eco)^C_n),C_alpha*C_fck),0)))*'Geometry'!$H$46*'Geometry'!$G$46+((MAX(MIN(S_1_Es*(O18+P18*'Geometry'!$G$47+Q18*'Geometry'!$F$47),S_1_fy),-S_1_fy))-(IF((O18+P18*'Geometry'!$G$47+Q18*'Geometry'!$F$47)&gt;0,IF((O18+P18*'Geometry'!$G$47+Q18*'Geometry'!$F$47)&lt;=C_eco,C_alpha*C_fck*(1-(1-(O18+P18*'Geometry'!$G$47+Q18*'Geometry'!$F$47)/C_eco)^C_n),C_alpha*C_fck),0)))*'Geometry'!$H$47*'Geometry'!$G$47+((MAX(MIN(S_1_Es*(O18+P18*'Geometry'!$G$48+Q18*'Geometry'!$F$48),S_1_fy),-S_1_fy))-(IF((O18+P18*'Geometry'!$G$48+Q18*'Geometry'!$F$48)&gt;0,IF((O18+P18*'Geometry'!$G$48+Q18*'Geometry'!$F$48)&lt;=C_eco,C_alpha*C_fck*(1-(1-(O18+P18*'Geometry'!$G$48+Q18*'Geometry'!$F$48)/C_eco)^C_n),C_alpha*C_fck),0)))*'Geometry'!$H$48*'Geometry'!$G$48+((MAX(MIN(S_1_Es*(O18+P18*'Geometry'!$G$49+Q18*'Geometry'!$F$49),S_1_fy),-S_1_fy))-(IF((O18+P18*'Geometry'!$G$49+Q18*'Geometry'!$F$49)&gt;0,IF((O18+P18*'Geometry'!$G$49+Q18*'Geometry'!$F$49)&lt;=C_eco,C_alpha*C_fck*(1-(1-(O18+P18*'Geometry'!$G$49+Q18*'Geometry'!$F$49)/C_eco)^C_n),C_alpha*C_fck),0)))*'Geometry'!$H$49*'Geometry'!$G$49+((MAX(MIN(S_1_Es*(O18+P18*'Geometry'!$G$50+Q18*'Geometry'!$F$50),S_1_fy),-S_1_fy))-(IF((O18+P18*'Geometry'!$G$50+Q18*'Geometry'!$F$50)&gt;0,IF((O18+P18*'Geometry'!$G$50+Q18*'Geometry'!$F$50)&lt;=C_eco,C_alpha*C_fck*(1-(1-(O18+P18*'Geometry'!$G$50+Q18*'Geometry'!$F$50)/C_eco)^C_n),C_alpha*C_fck),0)))*'Geometry'!$H$50*'Geometry'!$G$50+((MAX(MIN(S_1_Es*(O18+P18*'Geometry'!$G$51+Q18*'Geometry'!$F$51),S_1_fy),-S_1_fy))-(IF((O18+P18*'Geometry'!$G$51+Q18*'Geometry'!$F$51)&gt;0,IF((O18+P18*'Geometry'!$G$51+Q18*'Geometry'!$F$51)&lt;=C_eco,C_alpha*C_fck*(1-(1-(O18+P18*'Geometry'!$G$51+Q18*'Geometry'!$F$51)/C_eco)^C_n),C_alpha*C_fck),0)))*'Geometry'!$H$51*'Geometry'!$G$51+((MAX(MIN(S_1_Es*(O18+P18*'Geometry'!$G$52+Q18*'Geometry'!$F$52),S_1_fy),-S_1_fy))-(IF((O18+P18*'Geometry'!$G$52+Q18*'Geometry'!$F$52)&gt;0,IF((O18+P18*'Geometry'!$G$52+Q18*'Geometry'!$F$52)&lt;=C_eco,C_alpha*C_fck*(1-(1-(O18+P18*'Geometry'!$G$52+Q18*'Geometry'!$F$52)/C_eco)^C_n),C_alpha*C_fck),0)))*'Geometry'!$H$52*'Geometry'!$G$52+((MAX(MIN(S_1_Es*(O18+P18*'Geometry'!$G$53+Q18*'Geometry'!$F$53),S_1_fy),-S_1_fy))-(IF((O18+P18*'Geometry'!$G$53+Q18*'Geometry'!$F$53)&gt;0,IF((O18+P18*'Geometry'!$G$53+Q18*'Geometry'!$F$53)&lt;=C_eco,C_alpha*C_fck*(1-(1-(O18+P18*'Geometry'!$G$53+Q18*'Geometry'!$F$53)/C_eco)^C_n),C_alpha*C_fck),0)))*'Geometry'!$H$53*'Geometry'!$G$53+((MAX(MIN(S_1_Es*(O18+P18*'Geometry'!$G$54+Q18*'Geometry'!$F$54),S_1_fy),-S_1_fy))-(IF((O18+P18*'Geometry'!$G$54+Q18*'Geometry'!$F$54)&gt;0,IF((O18+P18*'Geometry'!$G$54+Q18*'Geometry'!$F$54)&lt;=C_eco,C_alpha*C_fck*(1-(1-(O18+P18*'Geometry'!$G$54+Q18*'Geometry'!$F$54)/C_eco)^C_n),C_alpha*C_fck),0)))*'Geometry'!$H$54*'Geometry'!$G$54+((MAX(MIN(S_1_Es*(O18+P18*'Geometry'!$G$55+Q18*'Geometry'!$F$55),S_1_fy),-S_1_fy))-(IF((O18+P18*'Geometry'!$G$55+Q18*'Geometry'!$F$55)&gt;0,IF((O18+P18*'Geometry'!$G$55+Q18*'Geometry'!$F$55)&lt;=C_eco,C_alpha*C_fck*(1-(1-(O18+P18*'Geometry'!$G$55+Q18*'Geometry'!$F$55)/C_eco)^C_n),C_alpha*C_fck),0)))*'Geometry'!$H$55*'Geometry'!$G$55+((MAX(MIN(S_1_Es*(O18+P18*'Geometry'!$G$56+Q18*'Geometry'!$F$56),S_1_fy),-S_1_fy))-(IF((O18+P18*'Geometry'!$G$56+Q18*'Geometry'!$F$56)&gt;0,IF((O18+P18*'Geometry'!$G$56+Q18*'Geometry'!$F$56)&lt;=C_eco,C_alpha*C_fck*(1-(1-(O18+P18*'Geometry'!$G$56+Q18*'Geometry'!$F$56)/C_eco)^C_n),C_alpha*C_fck),0)))*'Geometry'!$H$56*'Geometry'!$G$56+((MAX(MIN(S_1_Es*(O18+P18*'Geometry'!$G$57+Q18*'Geometry'!$F$57),S_1_fy),-S_1_fy))-(IF((O18+P18*'Geometry'!$G$57+Q18*'Geometry'!$F$57)&gt;0,IF((O18+P18*'Geometry'!$G$57+Q18*'Geometry'!$F$57)&lt;=C_eco,C_alpha*C_fck*(1-(1-(O18+P18*'Geometry'!$G$57+Q18*'Geometry'!$F$57)/C_eco)^C_n),C_alpha*C_fck),0)))*'Geometry'!$H$57*'Geometry'!$G$57)/1000000</f>
        <v>-175.63170627781145</v>
      </c>
      <c r="W18" s="10">
        <f>(((MAX(MIN(S_1_Es*(O18+P18*'Geometry'!$G$40+Q18*'Geometry'!$F$40),S_1_fy),-S_1_fy))-(IF((O18+P18*'Geometry'!$G$40+Q18*'Geometry'!$F$40)&gt;0,IF((O18+P18*'Geometry'!$G$40+Q18*'Geometry'!$F$40)&lt;=C_eco,C_alpha*C_fck*(1-(1-(O18+P18*'Geometry'!$G$40+Q18*'Geometry'!$F$40)/C_eco)^C_n),C_alpha*C_fck),0)))*'Geometry'!$H$40*'Geometry'!$F$40+((MAX(MIN(S_1_Es*(O18+P18*'Geometry'!$G$41+Q18*'Geometry'!$F$41),S_1_fy),-S_1_fy))-(IF((O18+P18*'Geometry'!$G$41+Q18*'Geometry'!$F$41)&gt;0,IF((O18+P18*'Geometry'!$G$41+Q18*'Geometry'!$F$41)&lt;=C_eco,C_alpha*C_fck*(1-(1-(O18+P18*'Geometry'!$G$41+Q18*'Geometry'!$F$41)/C_eco)^C_n),C_alpha*C_fck),0)))*'Geometry'!$H$41*'Geometry'!$F$41+((MAX(MIN(S_1_Es*(O18+P18*'Geometry'!$G$42+Q18*'Geometry'!$F$42),S_1_fy),-S_1_fy))-(IF((O18+P18*'Geometry'!$G$42+Q18*'Geometry'!$F$42)&gt;0,IF((O18+P18*'Geometry'!$G$42+Q18*'Geometry'!$F$42)&lt;=C_eco,C_alpha*C_fck*(1-(1-(O18+P18*'Geometry'!$G$42+Q18*'Geometry'!$F$42)/C_eco)^C_n),C_alpha*C_fck),0)))*'Geometry'!$H$42*'Geometry'!$F$42+((MAX(MIN(S_1_Es*(O18+P18*'Geometry'!$G$43+Q18*'Geometry'!$F$43),S_1_fy),-S_1_fy))-(IF((O18+P18*'Geometry'!$G$43+Q18*'Geometry'!$F$43)&gt;0,IF((O18+P18*'Geometry'!$G$43+Q18*'Geometry'!$F$43)&lt;=C_eco,C_alpha*C_fck*(1-(1-(O18+P18*'Geometry'!$G$43+Q18*'Geometry'!$F$43)/C_eco)^C_n),C_alpha*C_fck),0)))*'Geometry'!$H$43*'Geometry'!$F$43+((MAX(MIN(S_1_Es*(O18+P18*'Geometry'!$G$44+Q18*'Geometry'!$F$44),S_1_fy),-S_1_fy))-(IF((O18+P18*'Geometry'!$G$44+Q18*'Geometry'!$F$44)&gt;0,IF((O18+P18*'Geometry'!$G$44+Q18*'Geometry'!$F$44)&lt;=C_eco,C_alpha*C_fck*(1-(1-(O18+P18*'Geometry'!$G$44+Q18*'Geometry'!$F$44)/C_eco)^C_n),C_alpha*C_fck),0)))*'Geometry'!$H$44*'Geometry'!$F$44+((MAX(MIN(S_1_Es*(O18+P18*'Geometry'!$G$45+Q18*'Geometry'!$F$45),S_1_fy),-S_1_fy))-(IF((O18+P18*'Geometry'!$G$45+Q18*'Geometry'!$F$45)&gt;0,IF((O18+P18*'Geometry'!$G$45+Q18*'Geometry'!$F$45)&lt;=C_eco,C_alpha*C_fck*(1-(1-(O18+P18*'Geometry'!$G$45+Q18*'Geometry'!$F$45)/C_eco)^C_n),C_alpha*C_fck),0)))*'Geometry'!$H$45*'Geometry'!$F$45+((MAX(MIN(S_1_Es*(O18+P18*'Geometry'!$G$46+Q18*'Geometry'!$F$46),S_1_fy),-S_1_fy))-(IF((O18+P18*'Geometry'!$G$46+Q18*'Geometry'!$F$46)&gt;0,IF((O18+P18*'Geometry'!$G$46+Q18*'Geometry'!$F$46)&lt;=C_eco,C_alpha*C_fck*(1-(1-(O18+P18*'Geometry'!$G$46+Q18*'Geometry'!$F$46)/C_eco)^C_n),C_alpha*C_fck),0)))*'Geometry'!$H$46*'Geometry'!$F$46+((MAX(MIN(S_1_Es*(O18+P18*'Geometry'!$G$47+Q18*'Geometry'!$F$47),S_1_fy),-S_1_fy))-(IF((O18+P18*'Geometry'!$G$47+Q18*'Geometry'!$F$47)&gt;0,IF((O18+P18*'Geometry'!$G$47+Q18*'Geometry'!$F$47)&lt;=C_eco,C_alpha*C_fck*(1-(1-(O18+P18*'Geometry'!$G$47+Q18*'Geometry'!$F$47)/C_eco)^C_n),C_alpha*C_fck),0)))*'Geometry'!$H$47*'Geometry'!$F$47+((MAX(MIN(S_1_Es*(O18+P18*'Geometry'!$G$48+Q18*'Geometry'!$F$48),S_1_fy),-S_1_fy))-(IF((O18+P18*'Geometry'!$G$48+Q18*'Geometry'!$F$48)&gt;0,IF((O18+P18*'Geometry'!$G$48+Q18*'Geometry'!$F$48)&lt;=C_eco,C_alpha*C_fck*(1-(1-(O18+P18*'Geometry'!$G$48+Q18*'Geometry'!$F$48)/C_eco)^C_n),C_alpha*C_fck),0)))*'Geometry'!$H$48*'Geometry'!$F$48+((MAX(MIN(S_1_Es*(O18+P18*'Geometry'!$G$49+Q18*'Geometry'!$F$49),S_1_fy),-S_1_fy))-(IF((O18+P18*'Geometry'!$G$49+Q18*'Geometry'!$F$49)&gt;0,IF((O18+P18*'Geometry'!$G$49+Q18*'Geometry'!$F$49)&lt;=C_eco,C_alpha*C_fck*(1-(1-(O18+P18*'Geometry'!$G$49+Q18*'Geometry'!$F$49)/C_eco)^C_n),C_alpha*C_fck),0)))*'Geometry'!$H$49*'Geometry'!$F$49+((MAX(MIN(S_1_Es*(O18+P18*'Geometry'!$G$50+Q18*'Geometry'!$F$50),S_1_fy),-S_1_fy))-(IF((O18+P18*'Geometry'!$G$50+Q18*'Geometry'!$F$50)&gt;0,IF((O18+P18*'Geometry'!$G$50+Q18*'Geometry'!$F$50)&lt;=C_eco,C_alpha*C_fck*(1-(1-(O18+P18*'Geometry'!$G$50+Q18*'Geometry'!$F$50)/C_eco)^C_n),C_alpha*C_fck),0)))*'Geometry'!$H$50*'Geometry'!$F$50+((MAX(MIN(S_1_Es*(O18+P18*'Geometry'!$G$51+Q18*'Geometry'!$F$51),S_1_fy),-S_1_fy))-(IF((O18+P18*'Geometry'!$G$51+Q18*'Geometry'!$F$51)&gt;0,IF((O18+P18*'Geometry'!$G$51+Q18*'Geometry'!$F$51)&lt;=C_eco,C_alpha*C_fck*(1-(1-(O18+P18*'Geometry'!$G$51+Q18*'Geometry'!$F$51)/C_eco)^C_n),C_alpha*C_fck),0)))*'Geometry'!$H$51*'Geometry'!$F$51+((MAX(MIN(S_1_Es*(O18+P18*'Geometry'!$G$52+Q18*'Geometry'!$F$52),S_1_fy),-S_1_fy))-(IF((O18+P18*'Geometry'!$G$52+Q18*'Geometry'!$F$52)&gt;0,IF((O18+P18*'Geometry'!$G$52+Q18*'Geometry'!$F$52)&lt;=C_eco,C_alpha*C_fck*(1-(1-(O18+P18*'Geometry'!$G$52+Q18*'Geometry'!$F$52)/C_eco)^C_n),C_alpha*C_fck),0)))*'Geometry'!$H$52*'Geometry'!$F$52+((MAX(MIN(S_1_Es*(O18+P18*'Geometry'!$G$53+Q18*'Geometry'!$F$53),S_1_fy),-S_1_fy))-(IF((O18+P18*'Geometry'!$G$53+Q18*'Geometry'!$F$53)&gt;0,IF((O18+P18*'Geometry'!$G$53+Q18*'Geometry'!$F$53)&lt;=C_eco,C_alpha*C_fck*(1-(1-(O18+P18*'Geometry'!$G$53+Q18*'Geometry'!$F$53)/C_eco)^C_n),C_alpha*C_fck),0)))*'Geometry'!$H$53*'Geometry'!$F$53+((MAX(MIN(S_1_Es*(O18+P18*'Geometry'!$G$54+Q18*'Geometry'!$F$54),S_1_fy),-S_1_fy))-(IF((O18+P18*'Geometry'!$G$54+Q18*'Geometry'!$F$54)&gt;0,IF((O18+P18*'Geometry'!$G$54+Q18*'Geometry'!$F$54)&lt;=C_eco,C_alpha*C_fck*(1-(1-(O18+P18*'Geometry'!$G$54+Q18*'Geometry'!$F$54)/C_eco)^C_n),C_alpha*C_fck),0)))*'Geometry'!$H$54*'Geometry'!$F$54+((MAX(MIN(S_1_Es*(O18+P18*'Geometry'!$G$55+Q18*'Geometry'!$F$55),S_1_fy),-S_1_fy))-(IF((O18+P18*'Geometry'!$G$55+Q18*'Geometry'!$F$55)&gt;0,IF((O18+P18*'Geometry'!$G$55+Q18*'Geometry'!$F$55)&lt;=C_eco,C_alpha*C_fck*(1-(1-(O18+P18*'Geometry'!$G$55+Q18*'Geometry'!$F$55)/C_eco)^C_n),C_alpha*C_fck),0)))*'Geometry'!$H$55*'Geometry'!$F$55+((MAX(MIN(S_1_Es*(O18+P18*'Geometry'!$G$56+Q18*'Geometry'!$F$56),S_1_fy),-S_1_fy))-(IF((O18+P18*'Geometry'!$G$56+Q18*'Geometry'!$F$56)&gt;0,IF((O18+P18*'Geometry'!$G$56+Q18*'Geometry'!$F$56)&lt;=C_eco,C_alpha*C_fck*(1-(1-(O18+P18*'Geometry'!$G$56+Q18*'Geometry'!$F$56)/C_eco)^C_n),C_alpha*C_fck),0)))*'Geometry'!$H$56*'Geometry'!$F$56+((MAX(MIN(S_1_Es*(O18+P18*'Geometry'!$G$57+Q18*'Geometry'!$F$57),S_1_fy),-S_1_fy))-(IF((O18+P18*'Geometry'!$G$57+Q18*'Geometry'!$F$57)&gt;0,IF((O18+P18*'Geometry'!$G$57+Q18*'Geometry'!$F$57)&lt;=C_eco,C_alpha*C_fck*(1-(1-(O18+P18*'Geometry'!$G$57+Q18*'Geometry'!$F$57)/C_eco)^C_n),C_alpha*C_fck),0)))*'Geometry'!$H$57*'Geometry'!$F$57)/1000000</f>
        <v>1607.0613634058739</v>
      </c>
      <c r="X18" s="10">
        <f>R18+U18</f>
        <v>518.061412061518</v>
      </c>
      <c r="Y18" s="10">
        <f>S18+V18</f>
        <v>-656.5190977571044</v>
      </c>
      <c r="Z18" s="10">
        <f>T18+W18</f>
        <v>4115.168203994374</v>
      </c>
      <c r="AA18" s="7">
        <v>0.85</v>
      </c>
      <c r="AB18" s="7">
        <v>0.85</v>
      </c>
      <c r="AC18" s="10">
        <f>X18*AA18</f>
        <v>440.35220025229034</v>
      </c>
      <c r="AD18" s="10">
        <f>Y18*AB18</f>
        <v>-558.0412330935387</v>
      </c>
      <c r="AE18" s="10">
        <f>Z18*AB18</f>
        <v>3497.892973395218</v>
      </c>
      <c r="AF18" s="7">
        <v>440.35220025229034</v>
      </c>
      <c r="AG18" s="7">
        <v>-558.0412330935387</v>
      </c>
      <c r="AH18" s="7">
        <v>3497.892973395218</v>
      </c>
      <c r="AI18" s="15">
        <f>AC18-AF18</f>
        <v>0</v>
      </c>
      <c r="AJ18" s="15">
        <f>SQRT((AD18-AG18)^2+(AE18-AH18)^2)</f>
        <v>0</v>
      </c>
      <c r="AK18" s="7" t="s">
        <v>189</v>
      </c>
      <c r="AL18" s="7">
        <v>518.061412061518</v>
      </c>
      <c r="AM18" s="7">
        <v>-656.5190977571044</v>
      </c>
      <c r="AN18" s="7">
        <v>4115.168203994374</v>
      </c>
      <c r="AO18" s="7">
        <v>3849.4881911873663</v>
      </c>
      <c r="AP18" s="7">
        <v>-480.887391479293</v>
      </c>
      <c r="AQ18" s="7">
        <v>2508.106840588501</v>
      </c>
      <c r="AR18" s="7">
        <v>-3331.4267791258485</v>
      </c>
      <c r="AS18" s="7">
        <v>-175.63170627781145</v>
      </c>
      <c r="AT18" s="7">
        <v>1607.0613634058739</v>
      </c>
    </row>
    <row r="19" spans="1:46" x14ac:dyDescent="0.25">
      <c r="A19" s="7" t="s">
        <v>212</v>
      </c>
      <c r="B19" s="7">
        <v>1</v>
      </c>
      <c r="C19" s="18">
        <v>110</v>
      </c>
      <c r="D19" s="7" t="s">
        <v>278</v>
      </c>
      <c r="E19" s="7" t="s">
        <v>267</v>
      </c>
      <c r="F19" s="19">
        <v>110</v>
      </c>
      <c r="G19" s="7" t="s">
        <v>188</v>
      </c>
      <c r="H19" s="20">
        <v>5</v>
      </c>
      <c r="I19" s="10">
        <f>MAX(('Geometry'!$G$13*COS(RADIANS(F19))+'Geometry'!$F$13*SIN(RADIANS(F19))),('Geometry'!$G$14*COS(RADIANS(F19))+'Geometry'!$F$14*SIN(RADIANS(F19))),('Geometry'!$G$15*COS(RADIANS(F19))+'Geometry'!$F$15*SIN(RADIANS(F19))),('Geometry'!$G$16*COS(RADIANS(F19))+'Geometry'!$F$16*SIN(RADIANS(F19))),('Geometry'!$G$17*COS(RADIANS(F19))+'Geometry'!$F$17*SIN(RADIANS(F19))),('Geometry'!$G$18*COS(RADIANS(F19))+'Geometry'!$F$18*SIN(RADIANS(F19))),('Geometry'!$G$19*COS(RADIANS(F19))+'Geometry'!$F$19*SIN(RADIANS(F19))),('Geometry'!$G$20*COS(RADIANS(F19))+'Geometry'!$F$20*SIN(RADIANS(F19))))</f>
        <v>841.5775229196988</v>
      </c>
      <c r="J19" s="10">
        <f>MIN(('Geometry'!$G$40*COS(RADIANS(F19))+'Geometry'!$F$40*SIN(RADIANS(F19))),('Geometry'!$G$41*COS(RADIANS(F19))+'Geometry'!$F$41*SIN(RADIANS(F19))),('Geometry'!$G$42*COS(RADIANS(F19))+'Geometry'!$F$42*SIN(RADIANS(F19))),('Geometry'!$G$43*COS(RADIANS(F19))+'Geometry'!$F$43*SIN(RADIANS(F19))),('Geometry'!$G$44*COS(RADIANS(F19))+'Geometry'!$F$44*SIN(RADIANS(F19))),('Geometry'!$G$45*COS(RADIANS(F19))+'Geometry'!$F$45*SIN(RADIANS(F19))),('Geometry'!$G$46*COS(RADIANS(F19))+'Geometry'!$F$46*SIN(RADIANS(F19))),('Geometry'!$G$47*COS(RADIANS(F19))+'Geometry'!$F$47*SIN(RADIANS(F19))),('Geometry'!$G$48*COS(RADIANS(F19))+'Geometry'!$F$48*SIN(RADIANS(F19))),('Geometry'!$G$49*COS(RADIANS(F19))+'Geometry'!$F$49*SIN(RADIANS(F19))),('Geometry'!$G$50*COS(RADIANS(F19))+'Geometry'!$F$50*SIN(RADIANS(F19))),('Geometry'!$G$51*COS(RADIANS(F19))+'Geometry'!$F$51*SIN(RADIANS(F19))),('Geometry'!$G$52*COS(RADIANS(F19))+'Geometry'!$F$52*SIN(RADIANS(F19))),('Geometry'!$G$53*COS(RADIANS(F19))+'Geometry'!$F$53*SIN(RADIANS(F19))),('Geometry'!$G$54*COS(RADIANS(F19))+'Geometry'!$F$54*SIN(RADIANS(F19))),('Geometry'!$G$55*COS(RADIANS(F19))+'Geometry'!$F$55*SIN(RADIANS(F19))),('Geometry'!$G$56*COS(RADIANS(F19))+'Geometry'!$F$56*SIN(RADIANS(F19))),('Geometry'!$G$57*COS(RADIANS(F19))+'Geometry'!$F$57*SIN(RADIANS(F19))))</f>
        <v>-741.5970251321183</v>
      </c>
      <c r="K19" s="10">
        <f>I19-MIN(('Geometry'!$G$13*COS(RADIANS(F19))+'Geometry'!$F$13*SIN(RADIANS(F19))),('Geometry'!$G$14*COS(RADIANS(F19))+'Geometry'!$F$14*SIN(RADIANS(F19))),('Geometry'!$G$15*COS(RADIANS(F19))+'Geometry'!$F$15*SIN(RADIANS(F19))),('Geometry'!$G$16*COS(RADIANS(F19))+'Geometry'!$F$16*SIN(RADIANS(F19))),('Geometry'!$G$17*COS(RADIANS(F19))+'Geometry'!$F$17*SIN(RADIANS(F19))),('Geometry'!$G$18*COS(RADIANS(F19))+'Geometry'!$F$18*SIN(RADIANS(F19))),('Geometry'!$G$19*COS(RADIANS(F19))+'Geometry'!$F$19*SIN(RADIANS(F19))),('Geometry'!$G$20*COS(RADIANS(F19))+'Geometry'!$F$20*SIN(RADIANS(F19))))</f>
        <v>1683.1550458393976</v>
      </c>
      <c r="L19" s="15">
        <f>C_ecu</f>
        <v>0.003300000000000001</v>
      </c>
      <c r="M19" s="15">
        <f>-H19*S_1_fy/S_1_Es</f>
        <v>-0.01</v>
      </c>
      <c r="N19" s="21">
        <f>IF(ABS(I19-J19)&lt;0.000000000001,0,(L19-M19)/(I19-J19))</f>
        <v>0.000008400842482192742</v>
      </c>
      <c r="O19" s="15">
        <f>L19-N19*I19</f>
        <v>-0.0037699602066023413</v>
      </c>
      <c r="P19" s="21">
        <f>N19*COS(RADIANS(F19))</f>
        <v>-0.0000028732573498159264</v>
      </c>
      <c r="Q19" s="21">
        <f>N19*SIN(RADIANS(F19))</f>
        <v>0.000007894209688901294</v>
      </c>
      <c r="R19" s="10">
        <f>SUMPRODUCT(C_alpha*C_fck*(1-(1-(((O19+P19*Mesh_Y+Q19*Mesh_X))*((O19+P19*Mesh_Y+Q19*Mesh_X)&gt;0)*((O19+P19*Mesh_Y+Q19*Mesh_X)&lt;C_eco)+C_eco*((O19+P19*Mesh_Y+Q19*Mesh_X)&gt;=C_eco))/C_eco)^C_n)*(((O19+P19*Mesh_Y+Q19*Mesh_X))&gt;0),Mesh_A)/1000</f>
        <v>4628.4564993404</v>
      </c>
      <c r="S19" s="10">
        <f>SUMPRODUCT(C_alpha*C_fck*(1-(1-(((O19+P19*Mesh_Y+Q19*Mesh_X))*((O19+P19*Mesh_Y+Q19*Mesh_X)&gt;0)*((O19+P19*Mesh_Y+Q19*Mesh_X)&lt;C_eco)+C_eco*((O19+P19*Mesh_Y+Q19*Mesh_X)&gt;=C_eco))/C_eco)^C_n)*(((O19+P19*Mesh_Y+Q19*Mesh_X))&gt;0),Mesh_A,Mesh_Y)/1000000</f>
        <v>-904.4910208441067</v>
      </c>
      <c r="T19" s="10">
        <f>SUMPRODUCT(C_alpha*C_fck*(1-(1-(((O19+P19*Mesh_Y+Q19*Mesh_X))*((O19+P19*Mesh_Y+Q19*Mesh_X)&gt;0)*((O19+P19*Mesh_Y+Q19*Mesh_X)&lt;C_eco)+C_eco*((O19+P19*Mesh_Y+Q19*Mesh_X)&gt;=C_eco))/C_eco)^C_n)*(((O19+P19*Mesh_Y+Q19*Mesh_X))&gt;0),Mesh_A,Mesh_X)/1000000</f>
        <v>2846.7028070890547</v>
      </c>
      <c r="U19" s="10">
        <f>(((MAX(MIN(S_1_Es*(O19+P19*'Geometry'!$G$40+Q19*'Geometry'!$F$40),S_1_fy),-S_1_fy))-(IF((O19+P19*'Geometry'!$G$40+Q19*'Geometry'!$F$40)&gt;0,IF((O19+P19*'Geometry'!$G$40+Q19*'Geometry'!$F$40)&lt;=C_eco,C_alpha*C_fck*(1-(1-(O19+P19*'Geometry'!$G$40+Q19*'Geometry'!$F$40)/C_eco)^C_n),C_alpha*C_fck),0)))*'Geometry'!$H$40+((MAX(MIN(S_1_Es*(O19+P19*'Geometry'!$G$41+Q19*'Geometry'!$F$41),S_1_fy),-S_1_fy))-(IF((O19+P19*'Geometry'!$G$41+Q19*'Geometry'!$F$41)&gt;0,IF((O19+P19*'Geometry'!$G$41+Q19*'Geometry'!$F$41)&lt;=C_eco,C_alpha*C_fck*(1-(1-(O19+P19*'Geometry'!$G$41+Q19*'Geometry'!$F$41)/C_eco)^C_n),C_alpha*C_fck),0)))*'Geometry'!$H$41+((MAX(MIN(S_1_Es*(O19+P19*'Geometry'!$G$42+Q19*'Geometry'!$F$42),S_1_fy),-S_1_fy))-(IF((O19+P19*'Geometry'!$G$42+Q19*'Geometry'!$F$42)&gt;0,IF((O19+P19*'Geometry'!$G$42+Q19*'Geometry'!$F$42)&lt;=C_eco,C_alpha*C_fck*(1-(1-(O19+P19*'Geometry'!$G$42+Q19*'Geometry'!$F$42)/C_eco)^C_n),C_alpha*C_fck),0)))*'Geometry'!$H$42+((MAX(MIN(S_1_Es*(O19+P19*'Geometry'!$G$43+Q19*'Geometry'!$F$43),S_1_fy),-S_1_fy))-(IF((O19+P19*'Geometry'!$G$43+Q19*'Geometry'!$F$43)&gt;0,IF((O19+P19*'Geometry'!$G$43+Q19*'Geometry'!$F$43)&lt;=C_eco,C_alpha*C_fck*(1-(1-(O19+P19*'Geometry'!$G$43+Q19*'Geometry'!$F$43)/C_eco)^C_n),C_alpha*C_fck),0)))*'Geometry'!$H$43+((MAX(MIN(S_1_Es*(O19+P19*'Geometry'!$G$44+Q19*'Geometry'!$F$44),S_1_fy),-S_1_fy))-(IF((O19+P19*'Geometry'!$G$44+Q19*'Geometry'!$F$44)&gt;0,IF((O19+P19*'Geometry'!$G$44+Q19*'Geometry'!$F$44)&lt;=C_eco,C_alpha*C_fck*(1-(1-(O19+P19*'Geometry'!$G$44+Q19*'Geometry'!$F$44)/C_eco)^C_n),C_alpha*C_fck),0)))*'Geometry'!$H$44+((MAX(MIN(S_1_Es*(O19+P19*'Geometry'!$G$45+Q19*'Geometry'!$F$45),S_1_fy),-S_1_fy))-(IF((O19+P19*'Geometry'!$G$45+Q19*'Geometry'!$F$45)&gt;0,IF((O19+P19*'Geometry'!$G$45+Q19*'Geometry'!$F$45)&lt;=C_eco,C_alpha*C_fck*(1-(1-(O19+P19*'Geometry'!$G$45+Q19*'Geometry'!$F$45)/C_eco)^C_n),C_alpha*C_fck),0)))*'Geometry'!$H$45+((MAX(MIN(S_1_Es*(O19+P19*'Geometry'!$G$46+Q19*'Geometry'!$F$46),S_1_fy),-S_1_fy))-(IF((O19+P19*'Geometry'!$G$46+Q19*'Geometry'!$F$46)&gt;0,IF((O19+P19*'Geometry'!$G$46+Q19*'Geometry'!$F$46)&lt;=C_eco,C_alpha*C_fck*(1-(1-(O19+P19*'Geometry'!$G$46+Q19*'Geometry'!$F$46)/C_eco)^C_n),C_alpha*C_fck),0)))*'Geometry'!$H$46+((MAX(MIN(S_1_Es*(O19+P19*'Geometry'!$G$47+Q19*'Geometry'!$F$47),S_1_fy),-S_1_fy))-(IF((O19+P19*'Geometry'!$G$47+Q19*'Geometry'!$F$47)&gt;0,IF((O19+P19*'Geometry'!$G$47+Q19*'Geometry'!$F$47)&lt;=C_eco,C_alpha*C_fck*(1-(1-(O19+P19*'Geometry'!$G$47+Q19*'Geometry'!$F$47)/C_eco)^C_n),C_alpha*C_fck),0)))*'Geometry'!$H$47+((MAX(MIN(S_1_Es*(O19+P19*'Geometry'!$G$48+Q19*'Geometry'!$F$48),S_1_fy),-S_1_fy))-(IF((O19+P19*'Geometry'!$G$48+Q19*'Geometry'!$F$48)&gt;0,IF((O19+P19*'Geometry'!$G$48+Q19*'Geometry'!$F$48)&lt;=C_eco,C_alpha*C_fck*(1-(1-(O19+P19*'Geometry'!$G$48+Q19*'Geometry'!$F$48)/C_eco)^C_n),C_alpha*C_fck),0)))*'Geometry'!$H$48+((MAX(MIN(S_1_Es*(O19+P19*'Geometry'!$G$49+Q19*'Geometry'!$F$49),S_1_fy),-S_1_fy))-(IF((O19+P19*'Geometry'!$G$49+Q19*'Geometry'!$F$49)&gt;0,IF((O19+P19*'Geometry'!$G$49+Q19*'Geometry'!$F$49)&lt;=C_eco,C_alpha*C_fck*(1-(1-(O19+P19*'Geometry'!$G$49+Q19*'Geometry'!$F$49)/C_eco)^C_n),C_alpha*C_fck),0)))*'Geometry'!$H$49+((MAX(MIN(S_1_Es*(O19+P19*'Geometry'!$G$50+Q19*'Geometry'!$F$50),S_1_fy),-S_1_fy))-(IF((O19+P19*'Geometry'!$G$50+Q19*'Geometry'!$F$50)&gt;0,IF((O19+P19*'Geometry'!$G$50+Q19*'Geometry'!$F$50)&lt;=C_eco,C_alpha*C_fck*(1-(1-(O19+P19*'Geometry'!$G$50+Q19*'Geometry'!$F$50)/C_eco)^C_n),C_alpha*C_fck),0)))*'Geometry'!$H$50+((MAX(MIN(S_1_Es*(O19+P19*'Geometry'!$G$51+Q19*'Geometry'!$F$51),S_1_fy),-S_1_fy))-(IF((O19+P19*'Geometry'!$G$51+Q19*'Geometry'!$F$51)&gt;0,IF((O19+P19*'Geometry'!$G$51+Q19*'Geometry'!$F$51)&lt;=C_eco,C_alpha*C_fck*(1-(1-(O19+P19*'Geometry'!$G$51+Q19*'Geometry'!$F$51)/C_eco)^C_n),C_alpha*C_fck),0)))*'Geometry'!$H$51+((MAX(MIN(S_1_Es*(O19+P19*'Geometry'!$G$52+Q19*'Geometry'!$F$52),S_1_fy),-S_1_fy))-(IF((O19+P19*'Geometry'!$G$52+Q19*'Geometry'!$F$52)&gt;0,IF((O19+P19*'Geometry'!$G$52+Q19*'Geometry'!$F$52)&lt;=C_eco,C_alpha*C_fck*(1-(1-(O19+P19*'Geometry'!$G$52+Q19*'Geometry'!$F$52)/C_eco)^C_n),C_alpha*C_fck),0)))*'Geometry'!$H$52+((MAX(MIN(S_1_Es*(O19+P19*'Geometry'!$G$53+Q19*'Geometry'!$F$53),S_1_fy),-S_1_fy))-(IF((O19+P19*'Geometry'!$G$53+Q19*'Geometry'!$F$53)&gt;0,IF((O19+P19*'Geometry'!$G$53+Q19*'Geometry'!$F$53)&lt;=C_eco,C_alpha*C_fck*(1-(1-(O19+P19*'Geometry'!$G$53+Q19*'Geometry'!$F$53)/C_eco)^C_n),C_alpha*C_fck),0)))*'Geometry'!$H$53+((MAX(MIN(S_1_Es*(O19+P19*'Geometry'!$G$54+Q19*'Geometry'!$F$54),S_1_fy),-S_1_fy))-(IF((O19+P19*'Geometry'!$G$54+Q19*'Geometry'!$F$54)&gt;0,IF((O19+P19*'Geometry'!$G$54+Q19*'Geometry'!$F$54)&lt;=C_eco,C_alpha*C_fck*(1-(1-(O19+P19*'Geometry'!$G$54+Q19*'Geometry'!$F$54)/C_eco)^C_n),C_alpha*C_fck),0)))*'Geometry'!$H$54+((MAX(MIN(S_1_Es*(O19+P19*'Geometry'!$G$55+Q19*'Geometry'!$F$55),S_1_fy),-S_1_fy))-(IF((O19+P19*'Geometry'!$G$55+Q19*'Geometry'!$F$55)&gt;0,IF((O19+P19*'Geometry'!$G$55+Q19*'Geometry'!$F$55)&lt;=C_eco,C_alpha*C_fck*(1-(1-(O19+P19*'Geometry'!$G$55+Q19*'Geometry'!$F$55)/C_eco)^C_n),C_alpha*C_fck),0)))*'Geometry'!$H$55+((MAX(MIN(S_1_Es*(O19+P19*'Geometry'!$G$56+Q19*'Geometry'!$F$56),S_1_fy),-S_1_fy))-(IF((O19+P19*'Geometry'!$G$56+Q19*'Geometry'!$F$56)&gt;0,IF((O19+P19*'Geometry'!$G$56+Q19*'Geometry'!$F$56)&lt;=C_eco,C_alpha*C_fck*(1-(1-(O19+P19*'Geometry'!$G$56+Q19*'Geometry'!$F$56)/C_eco)^C_n),C_alpha*C_fck),0)))*'Geometry'!$H$56+((MAX(MIN(S_1_Es*(O19+P19*'Geometry'!$G$57+Q19*'Geometry'!$F$57),S_1_fy),-S_1_fy))-(IF((O19+P19*'Geometry'!$G$57+Q19*'Geometry'!$F$57)&gt;0,IF((O19+P19*'Geometry'!$G$57+Q19*'Geometry'!$F$57)&lt;=C_eco,C_alpha*C_fck*(1-(1-(O19+P19*'Geometry'!$G$57+Q19*'Geometry'!$F$57)/C_eco)^C_n),C_alpha*C_fck),0)))*'Geometry'!$H$57)/1000</f>
        <v>-2952.9729124307833</v>
      </c>
      <c r="V19" s="10">
        <f>(((MAX(MIN(S_1_Es*(O19+P19*'Geometry'!$G$40+Q19*'Geometry'!$F$40),S_1_fy),-S_1_fy))-(IF((O19+P19*'Geometry'!$G$40+Q19*'Geometry'!$F$40)&gt;0,IF((O19+P19*'Geometry'!$G$40+Q19*'Geometry'!$F$40)&lt;=C_eco,C_alpha*C_fck*(1-(1-(O19+P19*'Geometry'!$G$40+Q19*'Geometry'!$F$40)/C_eco)^C_n),C_alpha*C_fck),0)))*'Geometry'!$H$40*'Geometry'!$G$40+((MAX(MIN(S_1_Es*(O19+P19*'Geometry'!$G$41+Q19*'Geometry'!$F$41),S_1_fy),-S_1_fy))-(IF((O19+P19*'Geometry'!$G$41+Q19*'Geometry'!$F$41)&gt;0,IF((O19+P19*'Geometry'!$G$41+Q19*'Geometry'!$F$41)&lt;=C_eco,C_alpha*C_fck*(1-(1-(O19+P19*'Geometry'!$G$41+Q19*'Geometry'!$F$41)/C_eco)^C_n),C_alpha*C_fck),0)))*'Geometry'!$H$41*'Geometry'!$G$41+((MAX(MIN(S_1_Es*(O19+P19*'Geometry'!$G$42+Q19*'Geometry'!$F$42),S_1_fy),-S_1_fy))-(IF((O19+P19*'Geometry'!$G$42+Q19*'Geometry'!$F$42)&gt;0,IF((O19+P19*'Geometry'!$G$42+Q19*'Geometry'!$F$42)&lt;=C_eco,C_alpha*C_fck*(1-(1-(O19+P19*'Geometry'!$G$42+Q19*'Geometry'!$F$42)/C_eco)^C_n),C_alpha*C_fck),0)))*'Geometry'!$H$42*'Geometry'!$G$42+((MAX(MIN(S_1_Es*(O19+P19*'Geometry'!$G$43+Q19*'Geometry'!$F$43),S_1_fy),-S_1_fy))-(IF((O19+P19*'Geometry'!$G$43+Q19*'Geometry'!$F$43)&gt;0,IF((O19+P19*'Geometry'!$G$43+Q19*'Geometry'!$F$43)&lt;=C_eco,C_alpha*C_fck*(1-(1-(O19+P19*'Geometry'!$G$43+Q19*'Geometry'!$F$43)/C_eco)^C_n),C_alpha*C_fck),0)))*'Geometry'!$H$43*'Geometry'!$G$43+((MAX(MIN(S_1_Es*(O19+P19*'Geometry'!$G$44+Q19*'Geometry'!$F$44),S_1_fy),-S_1_fy))-(IF((O19+P19*'Geometry'!$G$44+Q19*'Geometry'!$F$44)&gt;0,IF((O19+P19*'Geometry'!$G$44+Q19*'Geometry'!$F$44)&lt;=C_eco,C_alpha*C_fck*(1-(1-(O19+P19*'Geometry'!$G$44+Q19*'Geometry'!$F$44)/C_eco)^C_n),C_alpha*C_fck),0)))*'Geometry'!$H$44*'Geometry'!$G$44+((MAX(MIN(S_1_Es*(O19+P19*'Geometry'!$G$45+Q19*'Geometry'!$F$45),S_1_fy),-S_1_fy))-(IF((O19+P19*'Geometry'!$G$45+Q19*'Geometry'!$F$45)&gt;0,IF((O19+P19*'Geometry'!$G$45+Q19*'Geometry'!$F$45)&lt;=C_eco,C_alpha*C_fck*(1-(1-(O19+P19*'Geometry'!$G$45+Q19*'Geometry'!$F$45)/C_eco)^C_n),C_alpha*C_fck),0)))*'Geometry'!$H$45*'Geometry'!$G$45+((MAX(MIN(S_1_Es*(O19+P19*'Geometry'!$G$46+Q19*'Geometry'!$F$46),S_1_fy),-S_1_fy))-(IF((O19+P19*'Geometry'!$G$46+Q19*'Geometry'!$F$46)&gt;0,IF((O19+P19*'Geometry'!$G$46+Q19*'Geometry'!$F$46)&lt;=C_eco,C_alpha*C_fck*(1-(1-(O19+P19*'Geometry'!$G$46+Q19*'Geometry'!$F$46)/C_eco)^C_n),C_alpha*C_fck),0)))*'Geometry'!$H$46*'Geometry'!$G$46+((MAX(MIN(S_1_Es*(O19+P19*'Geometry'!$G$47+Q19*'Geometry'!$F$47),S_1_fy),-S_1_fy))-(IF((O19+P19*'Geometry'!$G$47+Q19*'Geometry'!$F$47)&gt;0,IF((O19+P19*'Geometry'!$G$47+Q19*'Geometry'!$F$47)&lt;=C_eco,C_alpha*C_fck*(1-(1-(O19+P19*'Geometry'!$G$47+Q19*'Geometry'!$F$47)/C_eco)^C_n),C_alpha*C_fck),0)))*'Geometry'!$H$47*'Geometry'!$G$47+((MAX(MIN(S_1_Es*(O19+P19*'Geometry'!$G$48+Q19*'Geometry'!$F$48),S_1_fy),-S_1_fy))-(IF((O19+P19*'Geometry'!$G$48+Q19*'Geometry'!$F$48)&gt;0,IF((O19+P19*'Geometry'!$G$48+Q19*'Geometry'!$F$48)&lt;=C_eco,C_alpha*C_fck*(1-(1-(O19+P19*'Geometry'!$G$48+Q19*'Geometry'!$F$48)/C_eco)^C_n),C_alpha*C_fck),0)))*'Geometry'!$H$48*'Geometry'!$G$48+((MAX(MIN(S_1_Es*(O19+P19*'Geometry'!$G$49+Q19*'Geometry'!$F$49),S_1_fy),-S_1_fy))-(IF((O19+P19*'Geometry'!$G$49+Q19*'Geometry'!$F$49)&gt;0,IF((O19+P19*'Geometry'!$G$49+Q19*'Geometry'!$F$49)&lt;=C_eco,C_alpha*C_fck*(1-(1-(O19+P19*'Geometry'!$G$49+Q19*'Geometry'!$F$49)/C_eco)^C_n),C_alpha*C_fck),0)))*'Geometry'!$H$49*'Geometry'!$G$49+((MAX(MIN(S_1_Es*(O19+P19*'Geometry'!$G$50+Q19*'Geometry'!$F$50),S_1_fy),-S_1_fy))-(IF((O19+P19*'Geometry'!$G$50+Q19*'Geometry'!$F$50)&gt;0,IF((O19+P19*'Geometry'!$G$50+Q19*'Geometry'!$F$50)&lt;=C_eco,C_alpha*C_fck*(1-(1-(O19+P19*'Geometry'!$G$50+Q19*'Geometry'!$F$50)/C_eco)^C_n),C_alpha*C_fck),0)))*'Geometry'!$H$50*'Geometry'!$G$50+((MAX(MIN(S_1_Es*(O19+P19*'Geometry'!$G$51+Q19*'Geometry'!$F$51),S_1_fy),-S_1_fy))-(IF((O19+P19*'Geometry'!$G$51+Q19*'Geometry'!$F$51)&gt;0,IF((O19+P19*'Geometry'!$G$51+Q19*'Geometry'!$F$51)&lt;=C_eco,C_alpha*C_fck*(1-(1-(O19+P19*'Geometry'!$G$51+Q19*'Geometry'!$F$51)/C_eco)^C_n),C_alpha*C_fck),0)))*'Geometry'!$H$51*'Geometry'!$G$51+((MAX(MIN(S_1_Es*(O19+P19*'Geometry'!$G$52+Q19*'Geometry'!$F$52),S_1_fy),-S_1_fy))-(IF((O19+P19*'Geometry'!$G$52+Q19*'Geometry'!$F$52)&gt;0,IF((O19+P19*'Geometry'!$G$52+Q19*'Geometry'!$F$52)&lt;=C_eco,C_alpha*C_fck*(1-(1-(O19+P19*'Geometry'!$G$52+Q19*'Geometry'!$F$52)/C_eco)^C_n),C_alpha*C_fck),0)))*'Geometry'!$H$52*'Geometry'!$G$52+((MAX(MIN(S_1_Es*(O19+P19*'Geometry'!$G$53+Q19*'Geometry'!$F$53),S_1_fy),-S_1_fy))-(IF((O19+P19*'Geometry'!$G$53+Q19*'Geometry'!$F$53)&gt;0,IF((O19+P19*'Geometry'!$G$53+Q19*'Geometry'!$F$53)&lt;=C_eco,C_alpha*C_fck*(1-(1-(O19+P19*'Geometry'!$G$53+Q19*'Geometry'!$F$53)/C_eco)^C_n),C_alpha*C_fck),0)))*'Geometry'!$H$53*'Geometry'!$G$53+((MAX(MIN(S_1_Es*(O19+P19*'Geometry'!$G$54+Q19*'Geometry'!$F$54),S_1_fy),-S_1_fy))-(IF((O19+P19*'Geometry'!$G$54+Q19*'Geometry'!$F$54)&gt;0,IF((O19+P19*'Geometry'!$G$54+Q19*'Geometry'!$F$54)&lt;=C_eco,C_alpha*C_fck*(1-(1-(O19+P19*'Geometry'!$G$54+Q19*'Geometry'!$F$54)/C_eco)^C_n),C_alpha*C_fck),0)))*'Geometry'!$H$54*'Geometry'!$G$54+((MAX(MIN(S_1_Es*(O19+P19*'Geometry'!$G$55+Q19*'Geometry'!$F$55),S_1_fy),-S_1_fy))-(IF((O19+P19*'Geometry'!$G$55+Q19*'Geometry'!$F$55)&gt;0,IF((O19+P19*'Geometry'!$G$55+Q19*'Geometry'!$F$55)&lt;=C_eco,C_alpha*C_fck*(1-(1-(O19+P19*'Geometry'!$G$55+Q19*'Geometry'!$F$55)/C_eco)^C_n),C_alpha*C_fck),0)))*'Geometry'!$H$55*'Geometry'!$G$55+((MAX(MIN(S_1_Es*(O19+P19*'Geometry'!$G$56+Q19*'Geometry'!$F$56),S_1_fy),-S_1_fy))-(IF((O19+P19*'Geometry'!$G$56+Q19*'Geometry'!$F$56)&gt;0,IF((O19+P19*'Geometry'!$G$56+Q19*'Geometry'!$F$56)&lt;=C_eco,C_alpha*C_fck*(1-(1-(O19+P19*'Geometry'!$G$56+Q19*'Geometry'!$F$56)/C_eco)^C_n),C_alpha*C_fck),0)))*'Geometry'!$H$56*'Geometry'!$G$56+((MAX(MIN(S_1_Es*(O19+P19*'Geometry'!$G$57+Q19*'Geometry'!$F$57),S_1_fy),-S_1_fy))-(IF((O19+P19*'Geometry'!$G$57+Q19*'Geometry'!$F$57)&gt;0,IF((O19+P19*'Geometry'!$G$57+Q19*'Geometry'!$F$57)&lt;=C_eco,C_alpha*C_fck*(1-(1-(O19+P19*'Geometry'!$G$57+Q19*'Geometry'!$F$57)/C_eco)^C_n),C_alpha*C_fck),0)))*'Geometry'!$H$57*'Geometry'!$G$57)/1000000</f>
        <v>-421.5469876057078</v>
      </c>
      <c r="W19" s="10">
        <f>(((MAX(MIN(S_1_Es*(O19+P19*'Geometry'!$G$40+Q19*'Geometry'!$F$40),S_1_fy),-S_1_fy))-(IF((O19+P19*'Geometry'!$G$40+Q19*'Geometry'!$F$40)&gt;0,IF((O19+P19*'Geometry'!$G$40+Q19*'Geometry'!$F$40)&lt;=C_eco,C_alpha*C_fck*(1-(1-(O19+P19*'Geometry'!$G$40+Q19*'Geometry'!$F$40)/C_eco)^C_n),C_alpha*C_fck),0)))*'Geometry'!$H$40*'Geometry'!$F$40+((MAX(MIN(S_1_Es*(O19+P19*'Geometry'!$G$41+Q19*'Geometry'!$F$41),S_1_fy),-S_1_fy))-(IF((O19+P19*'Geometry'!$G$41+Q19*'Geometry'!$F$41)&gt;0,IF((O19+P19*'Geometry'!$G$41+Q19*'Geometry'!$F$41)&lt;=C_eco,C_alpha*C_fck*(1-(1-(O19+P19*'Geometry'!$G$41+Q19*'Geometry'!$F$41)/C_eco)^C_n),C_alpha*C_fck),0)))*'Geometry'!$H$41*'Geometry'!$F$41+((MAX(MIN(S_1_Es*(O19+P19*'Geometry'!$G$42+Q19*'Geometry'!$F$42),S_1_fy),-S_1_fy))-(IF((O19+P19*'Geometry'!$G$42+Q19*'Geometry'!$F$42)&gt;0,IF((O19+P19*'Geometry'!$G$42+Q19*'Geometry'!$F$42)&lt;=C_eco,C_alpha*C_fck*(1-(1-(O19+P19*'Geometry'!$G$42+Q19*'Geometry'!$F$42)/C_eco)^C_n),C_alpha*C_fck),0)))*'Geometry'!$H$42*'Geometry'!$F$42+((MAX(MIN(S_1_Es*(O19+P19*'Geometry'!$G$43+Q19*'Geometry'!$F$43),S_1_fy),-S_1_fy))-(IF((O19+P19*'Geometry'!$G$43+Q19*'Geometry'!$F$43)&gt;0,IF((O19+P19*'Geometry'!$G$43+Q19*'Geometry'!$F$43)&lt;=C_eco,C_alpha*C_fck*(1-(1-(O19+P19*'Geometry'!$G$43+Q19*'Geometry'!$F$43)/C_eco)^C_n),C_alpha*C_fck),0)))*'Geometry'!$H$43*'Geometry'!$F$43+((MAX(MIN(S_1_Es*(O19+P19*'Geometry'!$G$44+Q19*'Geometry'!$F$44),S_1_fy),-S_1_fy))-(IF((O19+P19*'Geometry'!$G$44+Q19*'Geometry'!$F$44)&gt;0,IF((O19+P19*'Geometry'!$G$44+Q19*'Geometry'!$F$44)&lt;=C_eco,C_alpha*C_fck*(1-(1-(O19+P19*'Geometry'!$G$44+Q19*'Geometry'!$F$44)/C_eco)^C_n),C_alpha*C_fck),0)))*'Geometry'!$H$44*'Geometry'!$F$44+((MAX(MIN(S_1_Es*(O19+P19*'Geometry'!$G$45+Q19*'Geometry'!$F$45),S_1_fy),-S_1_fy))-(IF((O19+P19*'Geometry'!$G$45+Q19*'Geometry'!$F$45)&gt;0,IF((O19+P19*'Geometry'!$G$45+Q19*'Geometry'!$F$45)&lt;=C_eco,C_alpha*C_fck*(1-(1-(O19+P19*'Geometry'!$G$45+Q19*'Geometry'!$F$45)/C_eco)^C_n),C_alpha*C_fck),0)))*'Geometry'!$H$45*'Geometry'!$F$45+((MAX(MIN(S_1_Es*(O19+P19*'Geometry'!$G$46+Q19*'Geometry'!$F$46),S_1_fy),-S_1_fy))-(IF((O19+P19*'Geometry'!$G$46+Q19*'Geometry'!$F$46)&gt;0,IF((O19+P19*'Geometry'!$G$46+Q19*'Geometry'!$F$46)&lt;=C_eco,C_alpha*C_fck*(1-(1-(O19+P19*'Geometry'!$G$46+Q19*'Geometry'!$F$46)/C_eco)^C_n),C_alpha*C_fck),0)))*'Geometry'!$H$46*'Geometry'!$F$46+((MAX(MIN(S_1_Es*(O19+P19*'Geometry'!$G$47+Q19*'Geometry'!$F$47),S_1_fy),-S_1_fy))-(IF((O19+P19*'Geometry'!$G$47+Q19*'Geometry'!$F$47)&gt;0,IF((O19+P19*'Geometry'!$G$47+Q19*'Geometry'!$F$47)&lt;=C_eco,C_alpha*C_fck*(1-(1-(O19+P19*'Geometry'!$G$47+Q19*'Geometry'!$F$47)/C_eco)^C_n),C_alpha*C_fck),0)))*'Geometry'!$H$47*'Geometry'!$F$47+((MAX(MIN(S_1_Es*(O19+P19*'Geometry'!$G$48+Q19*'Geometry'!$F$48),S_1_fy),-S_1_fy))-(IF((O19+P19*'Geometry'!$G$48+Q19*'Geometry'!$F$48)&gt;0,IF((O19+P19*'Geometry'!$G$48+Q19*'Geometry'!$F$48)&lt;=C_eco,C_alpha*C_fck*(1-(1-(O19+P19*'Geometry'!$G$48+Q19*'Geometry'!$F$48)/C_eco)^C_n),C_alpha*C_fck),0)))*'Geometry'!$H$48*'Geometry'!$F$48+((MAX(MIN(S_1_Es*(O19+P19*'Geometry'!$G$49+Q19*'Geometry'!$F$49),S_1_fy),-S_1_fy))-(IF((O19+P19*'Geometry'!$G$49+Q19*'Geometry'!$F$49)&gt;0,IF((O19+P19*'Geometry'!$G$49+Q19*'Geometry'!$F$49)&lt;=C_eco,C_alpha*C_fck*(1-(1-(O19+P19*'Geometry'!$G$49+Q19*'Geometry'!$F$49)/C_eco)^C_n),C_alpha*C_fck),0)))*'Geometry'!$H$49*'Geometry'!$F$49+((MAX(MIN(S_1_Es*(O19+P19*'Geometry'!$G$50+Q19*'Geometry'!$F$50),S_1_fy),-S_1_fy))-(IF((O19+P19*'Geometry'!$G$50+Q19*'Geometry'!$F$50)&gt;0,IF((O19+P19*'Geometry'!$G$50+Q19*'Geometry'!$F$50)&lt;=C_eco,C_alpha*C_fck*(1-(1-(O19+P19*'Geometry'!$G$50+Q19*'Geometry'!$F$50)/C_eco)^C_n),C_alpha*C_fck),0)))*'Geometry'!$H$50*'Geometry'!$F$50+((MAX(MIN(S_1_Es*(O19+P19*'Geometry'!$G$51+Q19*'Geometry'!$F$51),S_1_fy),-S_1_fy))-(IF((O19+P19*'Geometry'!$G$51+Q19*'Geometry'!$F$51)&gt;0,IF((O19+P19*'Geometry'!$G$51+Q19*'Geometry'!$F$51)&lt;=C_eco,C_alpha*C_fck*(1-(1-(O19+P19*'Geometry'!$G$51+Q19*'Geometry'!$F$51)/C_eco)^C_n),C_alpha*C_fck),0)))*'Geometry'!$H$51*'Geometry'!$F$51+((MAX(MIN(S_1_Es*(O19+P19*'Geometry'!$G$52+Q19*'Geometry'!$F$52),S_1_fy),-S_1_fy))-(IF((O19+P19*'Geometry'!$G$52+Q19*'Geometry'!$F$52)&gt;0,IF((O19+P19*'Geometry'!$G$52+Q19*'Geometry'!$F$52)&lt;=C_eco,C_alpha*C_fck*(1-(1-(O19+P19*'Geometry'!$G$52+Q19*'Geometry'!$F$52)/C_eco)^C_n),C_alpha*C_fck),0)))*'Geometry'!$H$52*'Geometry'!$F$52+((MAX(MIN(S_1_Es*(O19+P19*'Geometry'!$G$53+Q19*'Geometry'!$F$53),S_1_fy),-S_1_fy))-(IF((O19+P19*'Geometry'!$G$53+Q19*'Geometry'!$F$53)&gt;0,IF((O19+P19*'Geometry'!$G$53+Q19*'Geometry'!$F$53)&lt;=C_eco,C_alpha*C_fck*(1-(1-(O19+P19*'Geometry'!$G$53+Q19*'Geometry'!$F$53)/C_eco)^C_n),C_alpha*C_fck),0)))*'Geometry'!$H$53*'Geometry'!$F$53+((MAX(MIN(S_1_Es*(O19+P19*'Geometry'!$G$54+Q19*'Geometry'!$F$54),S_1_fy),-S_1_fy))-(IF((O19+P19*'Geometry'!$G$54+Q19*'Geometry'!$F$54)&gt;0,IF((O19+P19*'Geometry'!$G$54+Q19*'Geometry'!$F$54)&lt;=C_eco,C_alpha*C_fck*(1-(1-(O19+P19*'Geometry'!$G$54+Q19*'Geometry'!$F$54)/C_eco)^C_n),C_alpha*C_fck),0)))*'Geometry'!$H$54*'Geometry'!$F$54+((MAX(MIN(S_1_Es*(O19+P19*'Geometry'!$G$55+Q19*'Geometry'!$F$55),S_1_fy),-S_1_fy))-(IF((O19+P19*'Geometry'!$G$55+Q19*'Geometry'!$F$55)&gt;0,IF((O19+P19*'Geometry'!$G$55+Q19*'Geometry'!$F$55)&lt;=C_eco,C_alpha*C_fck*(1-(1-(O19+P19*'Geometry'!$G$55+Q19*'Geometry'!$F$55)/C_eco)^C_n),C_alpha*C_fck),0)))*'Geometry'!$H$55*'Geometry'!$F$55+((MAX(MIN(S_1_Es*(O19+P19*'Geometry'!$G$56+Q19*'Geometry'!$F$56),S_1_fy),-S_1_fy))-(IF((O19+P19*'Geometry'!$G$56+Q19*'Geometry'!$F$56)&gt;0,IF((O19+P19*'Geometry'!$G$56+Q19*'Geometry'!$F$56)&lt;=C_eco,C_alpha*C_fck*(1-(1-(O19+P19*'Geometry'!$G$56+Q19*'Geometry'!$F$56)/C_eco)^C_n),C_alpha*C_fck),0)))*'Geometry'!$H$56*'Geometry'!$F$56+((MAX(MIN(S_1_Es*(O19+P19*'Geometry'!$G$57+Q19*'Geometry'!$F$57),S_1_fy),-S_1_fy))-(IF((O19+P19*'Geometry'!$G$57+Q19*'Geometry'!$F$57)&gt;0,IF((O19+P19*'Geometry'!$G$57+Q19*'Geometry'!$F$57)&lt;=C_eco,C_alpha*C_fck*(1-(1-(O19+P19*'Geometry'!$G$57+Q19*'Geometry'!$F$57)/C_eco)^C_n),C_alpha*C_fck),0)))*'Geometry'!$H$57*'Geometry'!$F$57)/1000000</f>
        <v>1699.710476357681</v>
      </c>
      <c r="X19" s="10">
        <f>R19+U19</f>
        <v>1675.4835869096169</v>
      </c>
      <c r="Y19" s="10">
        <f>S19+V19</f>
        <v>-1326.0380084498145</v>
      </c>
      <c r="Z19" s="10">
        <f>T19+W19</f>
        <v>4546.4132834467355</v>
      </c>
      <c r="AA19" s="7">
        <v>0.85</v>
      </c>
      <c r="AB19" s="7">
        <v>0.8499999999999999</v>
      </c>
      <c r="AC19" s="10">
        <f>X19*AA19</f>
        <v>1424.1610488731742</v>
      </c>
      <c r="AD19" s="10">
        <f>Y19*AB19</f>
        <v>-1127.1323071823424</v>
      </c>
      <c r="AE19" s="10">
        <f>Z19*AB19</f>
        <v>3864.451290929725</v>
      </c>
      <c r="AF19" s="7">
        <v>1424.1610488731742</v>
      </c>
      <c r="AG19" s="7">
        <v>-1127.1323071823424</v>
      </c>
      <c r="AH19" s="7">
        <v>3864.451290929725</v>
      </c>
      <c r="AI19" s="15">
        <f>AC19-AF19</f>
        <v>0</v>
      </c>
      <c r="AJ19" s="15">
        <f>SQRT((AD19-AG19)^2+(AE19-AH19)^2)</f>
        <v>0</v>
      </c>
      <c r="AK19" s="7" t="s">
        <v>189</v>
      </c>
      <c r="AL19" s="7">
        <v>1675.4835869096169</v>
      </c>
      <c r="AM19" s="7">
        <v>-1326.0380084498145</v>
      </c>
      <c r="AN19" s="7">
        <v>4546.4132834467355</v>
      </c>
      <c r="AO19" s="7">
        <v>4628.4564993404</v>
      </c>
      <c r="AP19" s="7">
        <v>-904.4910208441067</v>
      </c>
      <c r="AQ19" s="7">
        <v>2846.7028070890547</v>
      </c>
      <c r="AR19" s="7">
        <v>-2952.9729124307833</v>
      </c>
      <c r="AS19" s="7">
        <v>-421.5469876057078</v>
      </c>
      <c r="AT19" s="7">
        <v>1699.710476357681</v>
      </c>
    </row>
    <row r="20" spans="1:46" x14ac:dyDescent="0.25">
      <c r="A20" s="7" t="s">
        <v>214</v>
      </c>
      <c r="B20" s="7">
        <v>1</v>
      </c>
      <c r="C20" s="18">
        <v>120</v>
      </c>
      <c r="D20" s="7" t="s">
        <v>279</v>
      </c>
      <c r="E20" s="7" t="s">
        <v>267</v>
      </c>
      <c r="F20" s="19">
        <v>120</v>
      </c>
      <c r="G20" s="7" t="s">
        <v>188</v>
      </c>
      <c r="H20" s="20">
        <v>4.999999999999999</v>
      </c>
      <c r="I20" s="10">
        <f>MAX(('Geometry'!$G$13*COS(RADIANS(F20))+'Geometry'!$F$13*SIN(RADIANS(F20))),('Geometry'!$G$14*COS(RADIANS(F20))+'Geometry'!$F$14*SIN(RADIANS(F20))),('Geometry'!$G$15*COS(RADIANS(F20))+'Geometry'!$F$15*SIN(RADIANS(F20))),('Geometry'!$G$16*COS(RADIANS(F20))+'Geometry'!$F$16*SIN(RADIANS(F20))),('Geometry'!$G$17*COS(RADIANS(F20))+'Geometry'!$F$17*SIN(RADIANS(F20))),('Geometry'!$G$18*COS(RADIANS(F20))+'Geometry'!$F$18*SIN(RADIANS(F20))),('Geometry'!$G$19*COS(RADIANS(F20))+'Geometry'!$F$19*SIN(RADIANS(F20))),('Geometry'!$G$20*COS(RADIANS(F20))+'Geometry'!$F$20*SIN(RADIANS(F20))))</f>
        <v>849.5190528383289</v>
      </c>
      <c r="J20" s="10">
        <f>MIN(('Geometry'!$G$40*COS(RADIANS(F20))+'Geometry'!$F$40*SIN(RADIANS(F20))),('Geometry'!$G$41*COS(RADIANS(F20))+'Geometry'!$F$41*SIN(RADIANS(F20))),('Geometry'!$G$42*COS(RADIANS(F20))+'Geometry'!$F$42*SIN(RADIANS(F20))),('Geometry'!$G$43*COS(RADIANS(F20))+'Geometry'!$F$43*SIN(RADIANS(F20))),('Geometry'!$G$44*COS(RADIANS(F20))+'Geometry'!$F$44*SIN(RADIANS(F20))),('Geometry'!$G$45*COS(RADIANS(F20))+'Geometry'!$F$45*SIN(RADIANS(F20))),('Geometry'!$G$46*COS(RADIANS(F20))+'Geometry'!$F$46*SIN(RADIANS(F20))),('Geometry'!$G$47*COS(RADIANS(F20))+'Geometry'!$F$47*SIN(RADIANS(F20))),('Geometry'!$G$48*COS(RADIANS(F20))+'Geometry'!$F$48*SIN(RADIANS(F20))),('Geometry'!$G$49*COS(RADIANS(F20))+'Geometry'!$F$49*SIN(RADIANS(F20))),('Geometry'!$G$50*COS(RADIANS(F20))+'Geometry'!$F$50*SIN(RADIANS(F20))),('Geometry'!$G$51*COS(RADIANS(F20))+'Geometry'!$F$51*SIN(RADIANS(F20))),('Geometry'!$G$52*COS(RADIANS(F20))+'Geometry'!$F$52*SIN(RADIANS(F20))),('Geometry'!$G$53*COS(RADIANS(F20))+'Geometry'!$F$53*SIN(RADIANS(F20))),('Geometry'!$G$54*COS(RADIANS(F20))+'Geometry'!$F$54*SIN(RADIANS(F20))),('Geometry'!$G$55*COS(RADIANS(F20))+'Geometry'!$F$55*SIN(RADIANS(F20))),('Geometry'!$G$56*COS(RADIANS(F20))+'Geometry'!$F$56*SIN(RADIANS(F20))),('Geometry'!$G$57*COS(RADIANS(F20))+'Geometry'!$F$57*SIN(RADIANS(F20))))</f>
        <v>-738.8972745734184</v>
      </c>
      <c r="K20" s="10">
        <f>I20-MIN(('Geometry'!$G$13*COS(RADIANS(F20))+'Geometry'!$F$13*SIN(RADIANS(F20))),('Geometry'!$G$14*COS(RADIANS(F20))+'Geometry'!$F$14*SIN(RADIANS(F20))),('Geometry'!$G$15*COS(RADIANS(F20))+'Geometry'!$F$15*SIN(RADIANS(F20))),('Geometry'!$G$16*COS(RADIANS(F20))+'Geometry'!$F$16*SIN(RADIANS(F20))),('Geometry'!$G$17*COS(RADIANS(F20))+'Geometry'!$F$17*SIN(RADIANS(F20))),('Geometry'!$G$18*COS(RADIANS(F20))+'Geometry'!$F$18*SIN(RADIANS(F20))),('Geometry'!$G$19*COS(RADIANS(F20))+'Geometry'!$F$19*SIN(RADIANS(F20))),('Geometry'!$G$20*COS(RADIANS(F20))+'Geometry'!$F$20*SIN(RADIANS(F20))))</f>
        <v>1699.0381056766578</v>
      </c>
      <c r="L20" s="15">
        <f>C_ecu</f>
        <v>0.0033</v>
      </c>
      <c r="M20" s="15">
        <f>-H20*S_1_fy/S_1_Es</f>
        <v>-0.009999999999999998</v>
      </c>
      <c r="N20" s="21">
        <f>IF(ABS(I20-J20)&lt;0.000000000001,0,(L20-M20)/(I20-J20))</f>
        <v>0.000008373119673021587</v>
      </c>
      <c r="O20" s="15">
        <f>L20-N20*I20</f>
        <v>-0.003813124693927276</v>
      </c>
      <c r="P20" s="21">
        <f>N20*COS(RADIANS(F20))</f>
        <v>-0.000004186559836510792</v>
      </c>
      <c r="Q20" s="21">
        <f>N20*SIN(RADIANS(F20))</f>
        <v>0.000007251334345763947</v>
      </c>
      <c r="R20" s="10">
        <f>SUMPRODUCT(C_alpha*C_fck*(1-(1-(((O20+P20*Mesh_Y+Q20*Mesh_X))*((O20+P20*Mesh_Y+Q20*Mesh_X)&gt;0)*((O20+P20*Mesh_Y+Q20*Mesh_X)&lt;C_eco)+C_eco*((O20+P20*Mesh_Y+Q20*Mesh_X)&gt;=C_eco))/C_eco)^C_n)*(((O20+P20*Mesh_Y+Q20*Mesh_X))&gt;0),Mesh_A)/1000</f>
        <v>4087.6508584311937</v>
      </c>
      <c r="S20" s="10">
        <f>SUMPRODUCT(C_alpha*C_fck*(1-(1-(((O20+P20*Mesh_Y+Q20*Mesh_X))*((O20+P20*Mesh_Y+Q20*Mesh_X)&gt;0)*((O20+P20*Mesh_Y+Q20*Mesh_X)&lt;C_eco)+C_eco*((O20+P20*Mesh_Y+Q20*Mesh_X)&gt;=C_eco))/C_eco)^C_n)*(((O20+P20*Mesh_Y+Q20*Mesh_X))&gt;0),Mesh_A,Mesh_Y)/1000000</f>
        <v>-1201.8269624499953</v>
      </c>
      <c r="T20" s="10">
        <f>SUMPRODUCT(C_alpha*C_fck*(1-(1-(((O20+P20*Mesh_Y+Q20*Mesh_X))*((O20+P20*Mesh_Y+Q20*Mesh_X)&gt;0)*((O20+P20*Mesh_Y+Q20*Mesh_X)&lt;C_eco)+C_eco*((O20+P20*Mesh_Y+Q20*Mesh_X)&gt;=C_eco))/C_eco)^C_n)*(((O20+P20*Mesh_Y+Q20*Mesh_X))&gt;0),Mesh_A,Mesh_X)/1000000</f>
        <v>2399.1971852877086</v>
      </c>
      <c r="U20" s="10">
        <f>(((MAX(MIN(S_1_Es*(O20+P20*'Geometry'!$G$40+Q20*'Geometry'!$F$40),S_1_fy),-S_1_fy))-(IF((O20+P20*'Geometry'!$G$40+Q20*'Geometry'!$F$40)&gt;0,IF((O20+P20*'Geometry'!$G$40+Q20*'Geometry'!$F$40)&lt;=C_eco,C_alpha*C_fck*(1-(1-(O20+P20*'Geometry'!$G$40+Q20*'Geometry'!$F$40)/C_eco)^C_n),C_alpha*C_fck),0)))*'Geometry'!$H$40+((MAX(MIN(S_1_Es*(O20+P20*'Geometry'!$G$41+Q20*'Geometry'!$F$41),S_1_fy),-S_1_fy))-(IF((O20+P20*'Geometry'!$G$41+Q20*'Geometry'!$F$41)&gt;0,IF((O20+P20*'Geometry'!$G$41+Q20*'Geometry'!$F$41)&lt;=C_eco,C_alpha*C_fck*(1-(1-(O20+P20*'Geometry'!$G$41+Q20*'Geometry'!$F$41)/C_eco)^C_n),C_alpha*C_fck),0)))*'Geometry'!$H$41+((MAX(MIN(S_1_Es*(O20+P20*'Geometry'!$G$42+Q20*'Geometry'!$F$42),S_1_fy),-S_1_fy))-(IF((O20+P20*'Geometry'!$G$42+Q20*'Geometry'!$F$42)&gt;0,IF((O20+P20*'Geometry'!$G$42+Q20*'Geometry'!$F$42)&lt;=C_eco,C_alpha*C_fck*(1-(1-(O20+P20*'Geometry'!$G$42+Q20*'Geometry'!$F$42)/C_eco)^C_n),C_alpha*C_fck),0)))*'Geometry'!$H$42+((MAX(MIN(S_1_Es*(O20+P20*'Geometry'!$G$43+Q20*'Geometry'!$F$43),S_1_fy),-S_1_fy))-(IF((O20+P20*'Geometry'!$G$43+Q20*'Geometry'!$F$43)&gt;0,IF((O20+P20*'Geometry'!$G$43+Q20*'Geometry'!$F$43)&lt;=C_eco,C_alpha*C_fck*(1-(1-(O20+P20*'Geometry'!$G$43+Q20*'Geometry'!$F$43)/C_eco)^C_n),C_alpha*C_fck),0)))*'Geometry'!$H$43+((MAX(MIN(S_1_Es*(O20+P20*'Geometry'!$G$44+Q20*'Geometry'!$F$44),S_1_fy),-S_1_fy))-(IF((O20+P20*'Geometry'!$G$44+Q20*'Geometry'!$F$44)&gt;0,IF((O20+P20*'Geometry'!$G$44+Q20*'Geometry'!$F$44)&lt;=C_eco,C_alpha*C_fck*(1-(1-(O20+P20*'Geometry'!$G$44+Q20*'Geometry'!$F$44)/C_eco)^C_n),C_alpha*C_fck),0)))*'Geometry'!$H$44+((MAX(MIN(S_1_Es*(O20+P20*'Geometry'!$G$45+Q20*'Geometry'!$F$45),S_1_fy),-S_1_fy))-(IF((O20+P20*'Geometry'!$G$45+Q20*'Geometry'!$F$45)&gt;0,IF((O20+P20*'Geometry'!$G$45+Q20*'Geometry'!$F$45)&lt;=C_eco,C_alpha*C_fck*(1-(1-(O20+P20*'Geometry'!$G$45+Q20*'Geometry'!$F$45)/C_eco)^C_n),C_alpha*C_fck),0)))*'Geometry'!$H$45+((MAX(MIN(S_1_Es*(O20+P20*'Geometry'!$G$46+Q20*'Geometry'!$F$46),S_1_fy),-S_1_fy))-(IF((O20+P20*'Geometry'!$G$46+Q20*'Geometry'!$F$46)&gt;0,IF((O20+P20*'Geometry'!$G$46+Q20*'Geometry'!$F$46)&lt;=C_eco,C_alpha*C_fck*(1-(1-(O20+P20*'Geometry'!$G$46+Q20*'Geometry'!$F$46)/C_eco)^C_n),C_alpha*C_fck),0)))*'Geometry'!$H$46+((MAX(MIN(S_1_Es*(O20+P20*'Geometry'!$G$47+Q20*'Geometry'!$F$47),S_1_fy),-S_1_fy))-(IF((O20+P20*'Geometry'!$G$47+Q20*'Geometry'!$F$47)&gt;0,IF((O20+P20*'Geometry'!$G$47+Q20*'Geometry'!$F$47)&lt;=C_eco,C_alpha*C_fck*(1-(1-(O20+P20*'Geometry'!$G$47+Q20*'Geometry'!$F$47)/C_eco)^C_n),C_alpha*C_fck),0)))*'Geometry'!$H$47+((MAX(MIN(S_1_Es*(O20+P20*'Geometry'!$G$48+Q20*'Geometry'!$F$48),S_1_fy),-S_1_fy))-(IF((O20+P20*'Geometry'!$G$48+Q20*'Geometry'!$F$48)&gt;0,IF((O20+P20*'Geometry'!$G$48+Q20*'Geometry'!$F$48)&lt;=C_eco,C_alpha*C_fck*(1-(1-(O20+P20*'Geometry'!$G$48+Q20*'Geometry'!$F$48)/C_eco)^C_n),C_alpha*C_fck),0)))*'Geometry'!$H$48+((MAX(MIN(S_1_Es*(O20+P20*'Geometry'!$G$49+Q20*'Geometry'!$F$49),S_1_fy),-S_1_fy))-(IF((O20+P20*'Geometry'!$G$49+Q20*'Geometry'!$F$49)&gt;0,IF((O20+P20*'Geometry'!$G$49+Q20*'Geometry'!$F$49)&lt;=C_eco,C_alpha*C_fck*(1-(1-(O20+P20*'Geometry'!$G$49+Q20*'Geometry'!$F$49)/C_eco)^C_n),C_alpha*C_fck),0)))*'Geometry'!$H$49+((MAX(MIN(S_1_Es*(O20+P20*'Geometry'!$G$50+Q20*'Geometry'!$F$50),S_1_fy),-S_1_fy))-(IF((O20+P20*'Geometry'!$G$50+Q20*'Geometry'!$F$50)&gt;0,IF((O20+P20*'Geometry'!$G$50+Q20*'Geometry'!$F$50)&lt;=C_eco,C_alpha*C_fck*(1-(1-(O20+P20*'Geometry'!$G$50+Q20*'Geometry'!$F$50)/C_eco)^C_n),C_alpha*C_fck),0)))*'Geometry'!$H$50+((MAX(MIN(S_1_Es*(O20+P20*'Geometry'!$G$51+Q20*'Geometry'!$F$51),S_1_fy),-S_1_fy))-(IF((O20+P20*'Geometry'!$G$51+Q20*'Geometry'!$F$51)&gt;0,IF((O20+P20*'Geometry'!$G$51+Q20*'Geometry'!$F$51)&lt;=C_eco,C_alpha*C_fck*(1-(1-(O20+P20*'Geometry'!$G$51+Q20*'Geometry'!$F$51)/C_eco)^C_n),C_alpha*C_fck),0)))*'Geometry'!$H$51+((MAX(MIN(S_1_Es*(O20+P20*'Geometry'!$G$52+Q20*'Geometry'!$F$52),S_1_fy),-S_1_fy))-(IF((O20+P20*'Geometry'!$G$52+Q20*'Geometry'!$F$52)&gt;0,IF((O20+P20*'Geometry'!$G$52+Q20*'Geometry'!$F$52)&lt;=C_eco,C_alpha*C_fck*(1-(1-(O20+P20*'Geometry'!$G$52+Q20*'Geometry'!$F$52)/C_eco)^C_n),C_alpha*C_fck),0)))*'Geometry'!$H$52+((MAX(MIN(S_1_Es*(O20+P20*'Geometry'!$G$53+Q20*'Geometry'!$F$53),S_1_fy),-S_1_fy))-(IF((O20+P20*'Geometry'!$G$53+Q20*'Geometry'!$F$53)&gt;0,IF((O20+P20*'Geometry'!$G$53+Q20*'Geometry'!$F$53)&lt;=C_eco,C_alpha*C_fck*(1-(1-(O20+P20*'Geometry'!$G$53+Q20*'Geometry'!$F$53)/C_eco)^C_n),C_alpha*C_fck),0)))*'Geometry'!$H$53+((MAX(MIN(S_1_Es*(O20+P20*'Geometry'!$G$54+Q20*'Geometry'!$F$54),S_1_fy),-S_1_fy))-(IF((O20+P20*'Geometry'!$G$54+Q20*'Geometry'!$F$54)&gt;0,IF((O20+P20*'Geometry'!$G$54+Q20*'Geometry'!$F$54)&lt;=C_eco,C_alpha*C_fck*(1-(1-(O20+P20*'Geometry'!$G$54+Q20*'Geometry'!$F$54)/C_eco)^C_n),C_alpha*C_fck),0)))*'Geometry'!$H$54+((MAX(MIN(S_1_Es*(O20+P20*'Geometry'!$G$55+Q20*'Geometry'!$F$55),S_1_fy),-S_1_fy))-(IF((O20+P20*'Geometry'!$G$55+Q20*'Geometry'!$F$55)&gt;0,IF((O20+P20*'Geometry'!$G$55+Q20*'Geometry'!$F$55)&lt;=C_eco,C_alpha*C_fck*(1-(1-(O20+P20*'Geometry'!$G$55+Q20*'Geometry'!$F$55)/C_eco)^C_n),C_alpha*C_fck),0)))*'Geometry'!$H$55+((MAX(MIN(S_1_Es*(O20+P20*'Geometry'!$G$56+Q20*'Geometry'!$F$56),S_1_fy),-S_1_fy))-(IF((O20+P20*'Geometry'!$G$56+Q20*'Geometry'!$F$56)&gt;0,IF((O20+P20*'Geometry'!$G$56+Q20*'Geometry'!$F$56)&lt;=C_eco,C_alpha*C_fck*(1-(1-(O20+P20*'Geometry'!$G$56+Q20*'Geometry'!$F$56)/C_eco)^C_n),C_alpha*C_fck),0)))*'Geometry'!$H$56+((MAX(MIN(S_1_Es*(O20+P20*'Geometry'!$G$57+Q20*'Geometry'!$F$57),S_1_fy),-S_1_fy))-(IF((O20+P20*'Geometry'!$G$57+Q20*'Geometry'!$F$57)&gt;0,IF((O20+P20*'Geometry'!$G$57+Q20*'Geometry'!$F$57)&lt;=C_eco,C_alpha*C_fck*(1-(1-(O20+P20*'Geometry'!$G$57+Q20*'Geometry'!$F$57)/C_eco)^C_n),C_alpha*C_fck),0)))*'Geometry'!$H$57)/1000</f>
        <v>-3018.8938954931523</v>
      </c>
      <c r="V20" s="10">
        <f>(((MAX(MIN(S_1_Es*(O20+P20*'Geometry'!$G$40+Q20*'Geometry'!$F$40),S_1_fy),-S_1_fy))-(IF((O20+P20*'Geometry'!$G$40+Q20*'Geometry'!$F$40)&gt;0,IF((O20+P20*'Geometry'!$G$40+Q20*'Geometry'!$F$40)&lt;=C_eco,C_alpha*C_fck*(1-(1-(O20+P20*'Geometry'!$G$40+Q20*'Geometry'!$F$40)/C_eco)^C_n),C_alpha*C_fck),0)))*'Geometry'!$H$40*'Geometry'!$G$40+((MAX(MIN(S_1_Es*(O20+P20*'Geometry'!$G$41+Q20*'Geometry'!$F$41),S_1_fy),-S_1_fy))-(IF((O20+P20*'Geometry'!$G$41+Q20*'Geometry'!$F$41)&gt;0,IF((O20+P20*'Geometry'!$G$41+Q20*'Geometry'!$F$41)&lt;=C_eco,C_alpha*C_fck*(1-(1-(O20+P20*'Geometry'!$G$41+Q20*'Geometry'!$F$41)/C_eco)^C_n),C_alpha*C_fck),0)))*'Geometry'!$H$41*'Geometry'!$G$41+((MAX(MIN(S_1_Es*(O20+P20*'Geometry'!$G$42+Q20*'Geometry'!$F$42),S_1_fy),-S_1_fy))-(IF((O20+P20*'Geometry'!$G$42+Q20*'Geometry'!$F$42)&gt;0,IF((O20+P20*'Geometry'!$G$42+Q20*'Geometry'!$F$42)&lt;=C_eco,C_alpha*C_fck*(1-(1-(O20+P20*'Geometry'!$G$42+Q20*'Geometry'!$F$42)/C_eco)^C_n),C_alpha*C_fck),0)))*'Geometry'!$H$42*'Geometry'!$G$42+((MAX(MIN(S_1_Es*(O20+P20*'Geometry'!$G$43+Q20*'Geometry'!$F$43),S_1_fy),-S_1_fy))-(IF((O20+P20*'Geometry'!$G$43+Q20*'Geometry'!$F$43)&gt;0,IF((O20+P20*'Geometry'!$G$43+Q20*'Geometry'!$F$43)&lt;=C_eco,C_alpha*C_fck*(1-(1-(O20+P20*'Geometry'!$G$43+Q20*'Geometry'!$F$43)/C_eco)^C_n),C_alpha*C_fck),0)))*'Geometry'!$H$43*'Geometry'!$G$43+((MAX(MIN(S_1_Es*(O20+P20*'Geometry'!$G$44+Q20*'Geometry'!$F$44),S_1_fy),-S_1_fy))-(IF((O20+P20*'Geometry'!$G$44+Q20*'Geometry'!$F$44)&gt;0,IF((O20+P20*'Geometry'!$G$44+Q20*'Geometry'!$F$44)&lt;=C_eco,C_alpha*C_fck*(1-(1-(O20+P20*'Geometry'!$G$44+Q20*'Geometry'!$F$44)/C_eco)^C_n),C_alpha*C_fck),0)))*'Geometry'!$H$44*'Geometry'!$G$44+((MAX(MIN(S_1_Es*(O20+P20*'Geometry'!$G$45+Q20*'Geometry'!$F$45),S_1_fy),-S_1_fy))-(IF((O20+P20*'Geometry'!$G$45+Q20*'Geometry'!$F$45)&gt;0,IF((O20+P20*'Geometry'!$G$45+Q20*'Geometry'!$F$45)&lt;=C_eco,C_alpha*C_fck*(1-(1-(O20+P20*'Geometry'!$G$45+Q20*'Geometry'!$F$45)/C_eco)^C_n),C_alpha*C_fck),0)))*'Geometry'!$H$45*'Geometry'!$G$45+((MAX(MIN(S_1_Es*(O20+P20*'Geometry'!$G$46+Q20*'Geometry'!$F$46),S_1_fy),-S_1_fy))-(IF((O20+P20*'Geometry'!$G$46+Q20*'Geometry'!$F$46)&gt;0,IF((O20+P20*'Geometry'!$G$46+Q20*'Geometry'!$F$46)&lt;=C_eco,C_alpha*C_fck*(1-(1-(O20+P20*'Geometry'!$G$46+Q20*'Geometry'!$F$46)/C_eco)^C_n),C_alpha*C_fck),0)))*'Geometry'!$H$46*'Geometry'!$G$46+((MAX(MIN(S_1_Es*(O20+P20*'Geometry'!$G$47+Q20*'Geometry'!$F$47),S_1_fy),-S_1_fy))-(IF((O20+P20*'Geometry'!$G$47+Q20*'Geometry'!$F$47)&gt;0,IF((O20+P20*'Geometry'!$G$47+Q20*'Geometry'!$F$47)&lt;=C_eco,C_alpha*C_fck*(1-(1-(O20+P20*'Geometry'!$G$47+Q20*'Geometry'!$F$47)/C_eco)^C_n),C_alpha*C_fck),0)))*'Geometry'!$H$47*'Geometry'!$G$47+((MAX(MIN(S_1_Es*(O20+P20*'Geometry'!$G$48+Q20*'Geometry'!$F$48),S_1_fy),-S_1_fy))-(IF((O20+P20*'Geometry'!$G$48+Q20*'Geometry'!$F$48)&gt;0,IF((O20+P20*'Geometry'!$G$48+Q20*'Geometry'!$F$48)&lt;=C_eco,C_alpha*C_fck*(1-(1-(O20+P20*'Geometry'!$G$48+Q20*'Geometry'!$F$48)/C_eco)^C_n),C_alpha*C_fck),0)))*'Geometry'!$H$48*'Geometry'!$G$48+((MAX(MIN(S_1_Es*(O20+P20*'Geometry'!$G$49+Q20*'Geometry'!$F$49),S_1_fy),-S_1_fy))-(IF((O20+P20*'Geometry'!$G$49+Q20*'Geometry'!$F$49)&gt;0,IF((O20+P20*'Geometry'!$G$49+Q20*'Geometry'!$F$49)&lt;=C_eco,C_alpha*C_fck*(1-(1-(O20+P20*'Geometry'!$G$49+Q20*'Geometry'!$F$49)/C_eco)^C_n),C_alpha*C_fck),0)))*'Geometry'!$H$49*'Geometry'!$G$49+((MAX(MIN(S_1_Es*(O20+P20*'Geometry'!$G$50+Q20*'Geometry'!$F$50),S_1_fy),-S_1_fy))-(IF((O20+P20*'Geometry'!$G$50+Q20*'Geometry'!$F$50)&gt;0,IF((O20+P20*'Geometry'!$G$50+Q20*'Geometry'!$F$50)&lt;=C_eco,C_alpha*C_fck*(1-(1-(O20+P20*'Geometry'!$G$50+Q20*'Geometry'!$F$50)/C_eco)^C_n),C_alpha*C_fck),0)))*'Geometry'!$H$50*'Geometry'!$G$50+((MAX(MIN(S_1_Es*(O20+P20*'Geometry'!$G$51+Q20*'Geometry'!$F$51),S_1_fy),-S_1_fy))-(IF((O20+P20*'Geometry'!$G$51+Q20*'Geometry'!$F$51)&gt;0,IF((O20+P20*'Geometry'!$G$51+Q20*'Geometry'!$F$51)&lt;=C_eco,C_alpha*C_fck*(1-(1-(O20+P20*'Geometry'!$G$51+Q20*'Geometry'!$F$51)/C_eco)^C_n),C_alpha*C_fck),0)))*'Geometry'!$H$51*'Geometry'!$G$51+((MAX(MIN(S_1_Es*(O20+P20*'Geometry'!$G$52+Q20*'Geometry'!$F$52),S_1_fy),-S_1_fy))-(IF((O20+P20*'Geometry'!$G$52+Q20*'Geometry'!$F$52)&gt;0,IF((O20+P20*'Geometry'!$G$52+Q20*'Geometry'!$F$52)&lt;=C_eco,C_alpha*C_fck*(1-(1-(O20+P20*'Geometry'!$G$52+Q20*'Geometry'!$F$52)/C_eco)^C_n),C_alpha*C_fck),0)))*'Geometry'!$H$52*'Geometry'!$G$52+((MAX(MIN(S_1_Es*(O20+P20*'Geometry'!$G$53+Q20*'Geometry'!$F$53),S_1_fy),-S_1_fy))-(IF((O20+P20*'Geometry'!$G$53+Q20*'Geometry'!$F$53)&gt;0,IF((O20+P20*'Geometry'!$G$53+Q20*'Geometry'!$F$53)&lt;=C_eco,C_alpha*C_fck*(1-(1-(O20+P20*'Geometry'!$G$53+Q20*'Geometry'!$F$53)/C_eco)^C_n),C_alpha*C_fck),0)))*'Geometry'!$H$53*'Geometry'!$G$53+((MAX(MIN(S_1_Es*(O20+P20*'Geometry'!$G$54+Q20*'Geometry'!$F$54),S_1_fy),-S_1_fy))-(IF((O20+P20*'Geometry'!$G$54+Q20*'Geometry'!$F$54)&gt;0,IF((O20+P20*'Geometry'!$G$54+Q20*'Geometry'!$F$54)&lt;=C_eco,C_alpha*C_fck*(1-(1-(O20+P20*'Geometry'!$G$54+Q20*'Geometry'!$F$54)/C_eco)^C_n),C_alpha*C_fck),0)))*'Geometry'!$H$54*'Geometry'!$G$54+((MAX(MIN(S_1_Es*(O20+P20*'Geometry'!$G$55+Q20*'Geometry'!$F$55),S_1_fy),-S_1_fy))-(IF((O20+P20*'Geometry'!$G$55+Q20*'Geometry'!$F$55)&gt;0,IF((O20+P20*'Geometry'!$G$55+Q20*'Geometry'!$F$55)&lt;=C_eco,C_alpha*C_fck*(1-(1-(O20+P20*'Geometry'!$G$55+Q20*'Geometry'!$F$55)/C_eco)^C_n),C_alpha*C_fck),0)))*'Geometry'!$H$55*'Geometry'!$G$55+((MAX(MIN(S_1_Es*(O20+P20*'Geometry'!$G$56+Q20*'Geometry'!$F$56),S_1_fy),-S_1_fy))-(IF((O20+P20*'Geometry'!$G$56+Q20*'Geometry'!$F$56)&gt;0,IF((O20+P20*'Geometry'!$G$56+Q20*'Geometry'!$F$56)&lt;=C_eco,C_alpha*C_fck*(1-(1-(O20+P20*'Geometry'!$G$56+Q20*'Geometry'!$F$56)/C_eco)^C_n),C_alpha*C_fck),0)))*'Geometry'!$H$56*'Geometry'!$G$56+((MAX(MIN(S_1_Es*(O20+P20*'Geometry'!$G$57+Q20*'Geometry'!$F$57),S_1_fy),-S_1_fy))-(IF((O20+P20*'Geometry'!$G$57+Q20*'Geometry'!$F$57)&gt;0,IF((O20+P20*'Geometry'!$G$57+Q20*'Geometry'!$F$57)&lt;=C_eco,C_alpha*C_fck*(1-(1-(O20+P20*'Geometry'!$G$57+Q20*'Geometry'!$F$57)/C_eco)^C_n),C_alpha*C_fck),0)))*'Geometry'!$H$57*'Geometry'!$G$57)/1000000</f>
        <v>-574.8525604600514</v>
      </c>
      <c r="W20" s="10">
        <f>(((MAX(MIN(S_1_Es*(O20+P20*'Geometry'!$G$40+Q20*'Geometry'!$F$40),S_1_fy),-S_1_fy))-(IF((O20+P20*'Geometry'!$G$40+Q20*'Geometry'!$F$40)&gt;0,IF((O20+P20*'Geometry'!$G$40+Q20*'Geometry'!$F$40)&lt;=C_eco,C_alpha*C_fck*(1-(1-(O20+P20*'Geometry'!$G$40+Q20*'Geometry'!$F$40)/C_eco)^C_n),C_alpha*C_fck),0)))*'Geometry'!$H$40*'Geometry'!$F$40+((MAX(MIN(S_1_Es*(O20+P20*'Geometry'!$G$41+Q20*'Geometry'!$F$41),S_1_fy),-S_1_fy))-(IF((O20+P20*'Geometry'!$G$41+Q20*'Geometry'!$F$41)&gt;0,IF((O20+P20*'Geometry'!$G$41+Q20*'Geometry'!$F$41)&lt;=C_eco,C_alpha*C_fck*(1-(1-(O20+P20*'Geometry'!$G$41+Q20*'Geometry'!$F$41)/C_eco)^C_n),C_alpha*C_fck),0)))*'Geometry'!$H$41*'Geometry'!$F$41+((MAX(MIN(S_1_Es*(O20+P20*'Geometry'!$G$42+Q20*'Geometry'!$F$42),S_1_fy),-S_1_fy))-(IF((O20+P20*'Geometry'!$G$42+Q20*'Geometry'!$F$42)&gt;0,IF((O20+P20*'Geometry'!$G$42+Q20*'Geometry'!$F$42)&lt;=C_eco,C_alpha*C_fck*(1-(1-(O20+P20*'Geometry'!$G$42+Q20*'Geometry'!$F$42)/C_eco)^C_n),C_alpha*C_fck),0)))*'Geometry'!$H$42*'Geometry'!$F$42+((MAX(MIN(S_1_Es*(O20+P20*'Geometry'!$G$43+Q20*'Geometry'!$F$43),S_1_fy),-S_1_fy))-(IF((O20+P20*'Geometry'!$G$43+Q20*'Geometry'!$F$43)&gt;0,IF((O20+P20*'Geometry'!$G$43+Q20*'Geometry'!$F$43)&lt;=C_eco,C_alpha*C_fck*(1-(1-(O20+P20*'Geometry'!$G$43+Q20*'Geometry'!$F$43)/C_eco)^C_n),C_alpha*C_fck),0)))*'Geometry'!$H$43*'Geometry'!$F$43+((MAX(MIN(S_1_Es*(O20+P20*'Geometry'!$G$44+Q20*'Geometry'!$F$44),S_1_fy),-S_1_fy))-(IF((O20+P20*'Geometry'!$G$44+Q20*'Geometry'!$F$44)&gt;0,IF((O20+P20*'Geometry'!$G$44+Q20*'Geometry'!$F$44)&lt;=C_eco,C_alpha*C_fck*(1-(1-(O20+P20*'Geometry'!$G$44+Q20*'Geometry'!$F$44)/C_eco)^C_n),C_alpha*C_fck),0)))*'Geometry'!$H$44*'Geometry'!$F$44+((MAX(MIN(S_1_Es*(O20+P20*'Geometry'!$G$45+Q20*'Geometry'!$F$45),S_1_fy),-S_1_fy))-(IF((O20+P20*'Geometry'!$G$45+Q20*'Geometry'!$F$45)&gt;0,IF((O20+P20*'Geometry'!$G$45+Q20*'Geometry'!$F$45)&lt;=C_eco,C_alpha*C_fck*(1-(1-(O20+P20*'Geometry'!$G$45+Q20*'Geometry'!$F$45)/C_eco)^C_n),C_alpha*C_fck),0)))*'Geometry'!$H$45*'Geometry'!$F$45+((MAX(MIN(S_1_Es*(O20+P20*'Geometry'!$G$46+Q20*'Geometry'!$F$46),S_1_fy),-S_1_fy))-(IF((O20+P20*'Geometry'!$G$46+Q20*'Geometry'!$F$46)&gt;0,IF((O20+P20*'Geometry'!$G$46+Q20*'Geometry'!$F$46)&lt;=C_eco,C_alpha*C_fck*(1-(1-(O20+P20*'Geometry'!$G$46+Q20*'Geometry'!$F$46)/C_eco)^C_n),C_alpha*C_fck),0)))*'Geometry'!$H$46*'Geometry'!$F$46+((MAX(MIN(S_1_Es*(O20+P20*'Geometry'!$G$47+Q20*'Geometry'!$F$47),S_1_fy),-S_1_fy))-(IF((O20+P20*'Geometry'!$G$47+Q20*'Geometry'!$F$47)&gt;0,IF((O20+P20*'Geometry'!$G$47+Q20*'Geometry'!$F$47)&lt;=C_eco,C_alpha*C_fck*(1-(1-(O20+P20*'Geometry'!$G$47+Q20*'Geometry'!$F$47)/C_eco)^C_n),C_alpha*C_fck),0)))*'Geometry'!$H$47*'Geometry'!$F$47+((MAX(MIN(S_1_Es*(O20+P20*'Geometry'!$G$48+Q20*'Geometry'!$F$48),S_1_fy),-S_1_fy))-(IF((O20+P20*'Geometry'!$G$48+Q20*'Geometry'!$F$48)&gt;0,IF((O20+P20*'Geometry'!$G$48+Q20*'Geometry'!$F$48)&lt;=C_eco,C_alpha*C_fck*(1-(1-(O20+P20*'Geometry'!$G$48+Q20*'Geometry'!$F$48)/C_eco)^C_n),C_alpha*C_fck),0)))*'Geometry'!$H$48*'Geometry'!$F$48+((MAX(MIN(S_1_Es*(O20+P20*'Geometry'!$G$49+Q20*'Geometry'!$F$49),S_1_fy),-S_1_fy))-(IF((O20+P20*'Geometry'!$G$49+Q20*'Geometry'!$F$49)&gt;0,IF((O20+P20*'Geometry'!$G$49+Q20*'Geometry'!$F$49)&lt;=C_eco,C_alpha*C_fck*(1-(1-(O20+P20*'Geometry'!$G$49+Q20*'Geometry'!$F$49)/C_eco)^C_n),C_alpha*C_fck),0)))*'Geometry'!$H$49*'Geometry'!$F$49+((MAX(MIN(S_1_Es*(O20+P20*'Geometry'!$G$50+Q20*'Geometry'!$F$50),S_1_fy),-S_1_fy))-(IF((O20+P20*'Geometry'!$G$50+Q20*'Geometry'!$F$50)&gt;0,IF((O20+P20*'Geometry'!$G$50+Q20*'Geometry'!$F$50)&lt;=C_eco,C_alpha*C_fck*(1-(1-(O20+P20*'Geometry'!$G$50+Q20*'Geometry'!$F$50)/C_eco)^C_n),C_alpha*C_fck),0)))*'Geometry'!$H$50*'Geometry'!$F$50+((MAX(MIN(S_1_Es*(O20+P20*'Geometry'!$G$51+Q20*'Geometry'!$F$51),S_1_fy),-S_1_fy))-(IF((O20+P20*'Geometry'!$G$51+Q20*'Geometry'!$F$51)&gt;0,IF((O20+P20*'Geometry'!$G$51+Q20*'Geometry'!$F$51)&lt;=C_eco,C_alpha*C_fck*(1-(1-(O20+P20*'Geometry'!$G$51+Q20*'Geometry'!$F$51)/C_eco)^C_n),C_alpha*C_fck),0)))*'Geometry'!$H$51*'Geometry'!$F$51+((MAX(MIN(S_1_Es*(O20+P20*'Geometry'!$G$52+Q20*'Geometry'!$F$52),S_1_fy),-S_1_fy))-(IF((O20+P20*'Geometry'!$G$52+Q20*'Geometry'!$F$52)&gt;0,IF((O20+P20*'Geometry'!$G$52+Q20*'Geometry'!$F$52)&lt;=C_eco,C_alpha*C_fck*(1-(1-(O20+P20*'Geometry'!$G$52+Q20*'Geometry'!$F$52)/C_eco)^C_n),C_alpha*C_fck),0)))*'Geometry'!$H$52*'Geometry'!$F$52+((MAX(MIN(S_1_Es*(O20+P20*'Geometry'!$G$53+Q20*'Geometry'!$F$53),S_1_fy),-S_1_fy))-(IF((O20+P20*'Geometry'!$G$53+Q20*'Geometry'!$F$53)&gt;0,IF((O20+P20*'Geometry'!$G$53+Q20*'Geometry'!$F$53)&lt;=C_eco,C_alpha*C_fck*(1-(1-(O20+P20*'Geometry'!$G$53+Q20*'Geometry'!$F$53)/C_eco)^C_n),C_alpha*C_fck),0)))*'Geometry'!$H$53*'Geometry'!$F$53+((MAX(MIN(S_1_Es*(O20+P20*'Geometry'!$G$54+Q20*'Geometry'!$F$54),S_1_fy),-S_1_fy))-(IF((O20+P20*'Geometry'!$G$54+Q20*'Geometry'!$F$54)&gt;0,IF((O20+P20*'Geometry'!$G$54+Q20*'Geometry'!$F$54)&lt;=C_eco,C_alpha*C_fck*(1-(1-(O20+P20*'Geometry'!$G$54+Q20*'Geometry'!$F$54)/C_eco)^C_n),C_alpha*C_fck),0)))*'Geometry'!$H$54*'Geometry'!$F$54+((MAX(MIN(S_1_Es*(O20+P20*'Geometry'!$G$55+Q20*'Geometry'!$F$55),S_1_fy),-S_1_fy))-(IF((O20+P20*'Geometry'!$G$55+Q20*'Geometry'!$F$55)&gt;0,IF((O20+P20*'Geometry'!$G$55+Q20*'Geometry'!$F$55)&lt;=C_eco,C_alpha*C_fck*(1-(1-(O20+P20*'Geometry'!$G$55+Q20*'Geometry'!$F$55)/C_eco)^C_n),C_alpha*C_fck),0)))*'Geometry'!$H$55*'Geometry'!$F$55+((MAX(MIN(S_1_Es*(O20+P20*'Geometry'!$G$56+Q20*'Geometry'!$F$56),S_1_fy),-S_1_fy))-(IF((O20+P20*'Geometry'!$G$56+Q20*'Geometry'!$F$56)&gt;0,IF((O20+P20*'Geometry'!$G$56+Q20*'Geometry'!$F$56)&lt;=C_eco,C_alpha*C_fck*(1-(1-(O20+P20*'Geometry'!$G$56+Q20*'Geometry'!$F$56)/C_eco)^C_n),C_alpha*C_fck),0)))*'Geometry'!$H$56*'Geometry'!$F$56+((MAX(MIN(S_1_Es*(O20+P20*'Geometry'!$G$57+Q20*'Geometry'!$F$57),S_1_fy),-S_1_fy))-(IF((O20+P20*'Geometry'!$G$57+Q20*'Geometry'!$F$57)&gt;0,IF((O20+P20*'Geometry'!$G$57+Q20*'Geometry'!$F$57)&lt;=C_eco,C_alpha*C_fck*(1-(1-(O20+P20*'Geometry'!$G$57+Q20*'Geometry'!$F$57)/C_eco)^C_n),C_alpha*C_fck),0)))*'Geometry'!$H$57*'Geometry'!$F$57)/1000000</f>
        <v>1553.2130605944985</v>
      </c>
      <c r="X20" s="10">
        <f>R20+U20</f>
        <v>1068.7569629380414</v>
      </c>
      <c r="Y20" s="10">
        <f>S20+V20</f>
        <v>-1776.6795229100467</v>
      </c>
      <c r="Z20" s="10">
        <f>T20+W20</f>
        <v>3952.4102458822076</v>
      </c>
      <c r="AA20" s="7">
        <v>0.85</v>
      </c>
      <c r="AB20" s="7">
        <v>0.85</v>
      </c>
      <c r="AC20" s="10">
        <f>X20*AA20</f>
        <v>908.4434184973352</v>
      </c>
      <c r="AD20" s="10">
        <f>Y20*AB20</f>
        <v>-1510.1775944735396</v>
      </c>
      <c r="AE20" s="10">
        <f>Z20*AB20</f>
        <v>3359.548708999876</v>
      </c>
      <c r="AF20" s="7">
        <v>908.4434184973352</v>
      </c>
      <c r="AG20" s="7">
        <v>-1510.1775944735396</v>
      </c>
      <c r="AH20" s="7">
        <v>3359.548708999876</v>
      </c>
      <c r="AI20" s="15">
        <f>AC20-AF20</f>
        <v>0</v>
      </c>
      <c r="AJ20" s="15">
        <f>SQRT((AD20-AG20)^2+(AE20-AH20)^2)</f>
        <v>0</v>
      </c>
      <c r="AK20" s="7" t="s">
        <v>189</v>
      </c>
      <c r="AL20" s="7">
        <v>1068.7569629380414</v>
      </c>
      <c r="AM20" s="7">
        <v>-1776.6795229100467</v>
      </c>
      <c r="AN20" s="7">
        <v>3952.4102458822076</v>
      </c>
      <c r="AO20" s="7">
        <v>4087.6508584311937</v>
      </c>
      <c r="AP20" s="7">
        <v>-1201.8269624499953</v>
      </c>
      <c r="AQ20" s="7">
        <v>2399.1971852877086</v>
      </c>
      <c r="AR20" s="7">
        <v>-3018.8938954931523</v>
      </c>
      <c r="AS20" s="7">
        <v>-574.8525604600514</v>
      </c>
      <c r="AT20" s="7">
        <v>1553.2130605944985</v>
      </c>
    </row>
    <row r="21" spans="1:46" x14ac:dyDescent="0.25">
      <c r="A21" s="7" t="s">
        <v>216</v>
      </c>
      <c r="B21" s="7">
        <v>1</v>
      </c>
      <c r="C21" s="18">
        <v>130</v>
      </c>
      <c r="D21" s="7" t="s">
        <v>280</v>
      </c>
      <c r="E21" s="7" t="s">
        <v>267</v>
      </c>
      <c r="F21" s="19">
        <v>130</v>
      </c>
      <c r="G21" s="7" t="s">
        <v>188</v>
      </c>
      <c r="H21" s="20">
        <v>4.999999999999999</v>
      </c>
      <c r="I21" s="10">
        <f>MAX(('Geometry'!$G$13*COS(RADIANS(F21))+'Geometry'!$F$13*SIN(RADIANS(F21))),('Geometry'!$G$14*COS(RADIANS(F21))+'Geometry'!$F$14*SIN(RADIANS(F21))),('Geometry'!$G$15*COS(RADIANS(F21))+'Geometry'!$F$15*SIN(RADIANS(F21))),('Geometry'!$G$16*COS(RADIANS(F21))+'Geometry'!$F$16*SIN(RADIANS(F21))),('Geometry'!$G$17*COS(RADIANS(F21))+'Geometry'!$F$17*SIN(RADIANS(F21))),('Geometry'!$G$18*COS(RADIANS(F21))+'Geometry'!$F$18*SIN(RADIANS(F21))),('Geometry'!$G$19*COS(RADIANS(F21))+'Geometry'!$F$19*SIN(RADIANS(F21))),('Geometry'!$G$20*COS(RADIANS(F21))+'Geometry'!$F$20*SIN(RADIANS(F21))))</f>
        <v>831.6483762138494</v>
      </c>
      <c r="J21" s="10">
        <f>MIN(('Geometry'!$G$40*COS(RADIANS(F21))+'Geometry'!$F$40*SIN(RADIANS(F21))),('Geometry'!$G$41*COS(RADIANS(F21))+'Geometry'!$F$41*SIN(RADIANS(F21))),('Geometry'!$G$42*COS(RADIANS(F21))+'Geometry'!$F$42*SIN(RADIANS(F21))),('Geometry'!$G$43*COS(RADIANS(F21))+'Geometry'!$F$43*SIN(RADIANS(F21))),('Geometry'!$G$44*COS(RADIANS(F21))+'Geometry'!$F$44*SIN(RADIANS(F21))),('Geometry'!$G$45*COS(RADIANS(F21))+'Geometry'!$F$45*SIN(RADIANS(F21))),('Geometry'!$G$46*COS(RADIANS(F21))+'Geometry'!$F$46*SIN(RADIANS(F21))),('Geometry'!$G$47*COS(RADIANS(F21))+'Geometry'!$F$47*SIN(RADIANS(F21))),('Geometry'!$G$48*COS(RADIANS(F21))+'Geometry'!$F$48*SIN(RADIANS(F21))),('Geometry'!$G$49*COS(RADIANS(F21))+'Geometry'!$F$49*SIN(RADIANS(F21))),('Geometry'!$G$50*COS(RADIANS(F21))+'Geometry'!$F$50*SIN(RADIANS(F21))),('Geometry'!$G$51*COS(RADIANS(F21))+'Geometry'!$F$51*SIN(RADIANS(F21))),('Geometry'!$G$52*COS(RADIANS(F21))+'Geometry'!$F$52*SIN(RADIANS(F21))),('Geometry'!$G$53*COS(RADIANS(F21))+'Geometry'!$F$53*SIN(RADIANS(F21))),('Geometry'!$G$54*COS(RADIANS(F21))+'Geometry'!$F$54*SIN(RADIANS(F21))),('Geometry'!$G$55*COS(RADIANS(F21))+'Geometry'!$F$55*SIN(RADIANS(F21))),('Geometry'!$G$56*COS(RADIANS(F21))+'Geometry'!$F$56*SIN(RADIANS(F21))),('Geometry'!$G$57*COS(RADIANS(F21))+'Geometry'!$F$57*SIN(RADIANS(F21))))</f>
        <v>-713.7465042268668</v>
      </c>
      <c r="K21" s="10">
        <f>I21-MIN(('Geometry'!$G$13*COS(RADIANS(F21))+'Geometry'!$F$13*SIN(RADIANS(F21))),('Geometry'!$G$14*COS(RADIANS(F21))+'Geometry'!$F$14*SIN(RADIANS(F21))),('Geometry'!$G$15*COS(RADIANS(F21))+'Geometry'!$F$15*SIN(RADIANS(F21))),('Geometry'!$G$16*COS(RADIANS(F21))+'Geometry'!$F$16*SIN(RADIANS(F21))),('Geometry'!$G$17*COS(RADIANS(F21))+'Geometry'!$F$17*SIN(RADIANS(F21))),('Geometry'!$G$18*COS(RADIANS(F21))+'Geometry'!$F$18*SIN(RADIANS(F21))),('Geometry'!$G$19*COS(RADIANS(F21))+'Geometry'!$F$19*SIN(RADIANS(F21))),('Geometry'!$G$20*COS(RADIANS(F21))+'Geometry'!$F$20*SIN(RADIANS(F21))))</f>
        <v>1663.2967524276987</v>
      </c>
      <c r="L21" s="15">
        <f>C_ecu</f>
        <v>0.0033</v>
      </c>
      <c r="M21" s="15">
        <f>-H21*S_1_fy/S_1_Es</f>
        <v>-0.009999999999999998</v>
      </c>
      <c r="N21" s="21">
        <f>IF(ABS(I21-J21)&lt;0.000000000001,0,(L21-M21)/(I21-J21))</f>
        <v>0.000008606214611120687</v>
      </c>
      <c r="O21" s="15">
        <f>L21-N21*I21</f>
        <v>-0.0038573444066864245</v>
      </c>
      <c r="P21" s="21">
        <f>N21*COS(RADIANS(F21))</f>
        <v>-0.000005531968118331637</v>
      </c>
      <c r="Q21" s="21">
        <f>N21*SIN(RADIANS(F21))</f>
        <v>0.000006592742879138359</v>
      </c>
      <c r="R21" s="10">
        <f>SUMPRODUCT(C_alpha*C_fck*(1-(1-(((O21+P21*Mesh_Y+Q21*Mesh_X))*((O21+P21*Mesh_Y+Q21*Mesh_X)&gt;0)*((O21+P21*Mesh_Y+Q21*Mesh_X)&lt;C_eco)+C_eco*((O21+P21*Mesh_Y+Q21*Mesh_X)&gt;=C_eco))/C_eco)^C_n)*(((O21+P21*Mesh_Y+Q21*Mesh_X))&gt;0),Mesh_A)/1000</f>
        <v>3883.596725134615</v>
      </c>
      <c r="S21" s="10">
        <f>SUMPRODUCT(C_alpha*C_fck*(1-(1-(((O21+P21*Mesh_Y+Q21*Mesh_X))*((O21+P21*Mesh_Y+Q21*Mesh_X)&gt;0)*((O21+P21*Mesh_Y+Q21*Mesh_X)&lt;C_eco)+C_eco*((O21+P21*Mesh_Y+Q21*Mesh_X)&gt;=C_eco))/C_eco)^C_n)*(((O21+P21*Mesh_Y+Q21*Mesh_X))&gt;0),Mesh_A,Mesh_Y)/1000000</f>
        <v>-1383.1840220607528</v>
      </c>
      <c r="T21" s="10">
        <f>SUMPRODUCT(C_alpha*C_fck*(1-(1-(((O21+P21*Mesh_Y+Q21*Mesh_X))*((O21+P21*Mesh_Y+Q21*Mesh_X)&gt;0)*((O21+P21*Mesh_Y+Q21*Mesh_X)&lt;C_eco)+C_eco*((O21+P21*Mesh_Y+Q21*Mesh_X)&gt;=C_eco))/C_eco)^C_n)*(((O21+P21*Mesh_Y+Q21*Mesh_X))&gt;0),Mesh_A,Mesh_X)/1000000</f>
        <v>2151.2948426607145</v>
      </c>
      <c r="U21" s="10">
        <f>(((MAX(MIN(S_1_Es*(O21+P21*'Geometry'!$G$40+Q21*'Geometry'!$F$40),S_1_fy),-S_1_fy))-(IF((O21+P21*'Geometry'!$G$40+Q21*'Geometry'!$F$40)&gt;0,IF((O21+P21*'Geometry'!$G$40+Q21*'Geometry'!$F$40)&lt;=C_eco,C_alpha*C_fck*(1-(1-(O21+P21*'Geometry'!$G$40+Q21*'Geometry'!$F$40)/C_eco)^C_n),C_alpha*C_fck),0)))*'Geometry'!$H$40+((MAX(MIN(S_1_Es*(O21+P21*'Geometry'!$G$41+Q21*'Geometry'!$F$41),S_1_fy),-S_1_fy))-(IF((O21+P21*'Geometry'!$G$41+Q21*'Geometry'!$F$41)&gt;0,IF((O21+P21*'Geometry'!$G$41+Q21*'Geometry'!$F$41)&lt;=C_eco,C_alpha*C_fck*(1-(1-(O21+P21*'Geometry'!$G$41+Q21*'Geometry'!$F$41)/C_eco)^C_n),C_alpha*C_fck),0)))*'Geometry'!$H$41+((MAX(MIN(S_1_Es*(O21+P21*'Geometry'!$G$42+Q21*'Geometry'!$F$42),S_1_fy),-S_1_fy))-(IF((O21+P21*'Geometry'!$G$42+Q21*'Geometry'!$F$42)&gt;0,IF((O21+P21*'Geometry'!$G$42+Q21*'Geometry'!$F$42)&lt;=C_eco,C_alpha*C_fck*(1-(1-(O21+P21*'Geometry'!$G$42+Q21*'Geometry'!$F$42)/C_eco)^C_n),C_alpha*C_fck),0)))*'Geometry'!$H$42+((MAX(MIN(S_1_Es*(O21+P21*'Geometry'!$G$43+Q21*'Geometry'!$F$43),S_1_fy),-S_1_fy))-(IF((O21+P21*'Geometry'!$G$43+Q21*'Geometry'!$F$43)&gt;0,IF((O21+P21*'Geometry'!$G$43+Q21*'Geometry'!$F$43)&lt;=C_eco,C_alpha*C_fck*(1-(1-(O21+P21*'Geometry'!$G$43+Q21*'Geometry'!$F$43)/C_eco)^C_n),C_alpha*C_fck),0)))*'Geometry'!$H$43+((MAX(MIN(S_1_Es*(O21+P21*'Geometry'!$G$44+Q21*'Geometry'!$F$44),S_1_fy),-S_1_fy))-(IF((O21+P21*'Geometry'!$G$44+Q21*'Geometry'!$F$44)&gt;0,IF((O21+P21*'Geometry'!$G$44+Q21*'Geometry'!$F$44)&lt;=C_eco,C_alpha*C_fck*(1-(1-(O21+P21*'Geometry'!$G$44+Q21*'Geometry'!$F$44)/C_eco)^C_n),C_alpha*C_fck),0)))*'Geometry'!$H$44+((MAX(MIN(S_1_Es*(O21+P21*'Geometry'!$G$45+Q21*'Geometry'!$F$45),S_1_fy),-S_1_fy))-(IF((O21+P21*'Geometry'!$G$45+Q21*'Geometry'!$F$45)&gt;0,IF((O21+P21*'Geometry'!$G$45+Q21*'Geometry'!$F$45)&lt;=C_eco,C_alpha*C_fck*(1-(1-(O21+P21*'Geometry'!$G$45+Q21*'Geometry'!$F$45)/C_eco)^C_n),C_alpha*C_fck),0)))*'Geometry'!$H$45+((MAX(MIN(S_1_Es*(O21+P21*'Geometry'!$G$46+Q21*'Geometry'!$F$46),S_1_fy),-S_1_fy))-(IF((O21+P21*'Geometry'!$G$46+Q21*'Geometry'!$F$46)&gt;0,IF((O21+P21*'Geometry'!$G$46+Q21*'Geometry'!$F$46)&lt;=C_eco,C_alpha*C_fck*(1-(1-(O21+P21*'Geometry'!$G$46+Q21*'Geometry'!$F$46)/C_eco)^C_n),C_alpha*C_fck),0)))*'Geometry'!$H$46+((MAX(MIN(S_1_Es*(O21+P21*'Geometry'!$G$47+Q21*'Geometry'!$F$47),S_1_fy),-S_1_fy))-(IF((O21+P21*'Geometry'!$G$47+Q21*'Geometry'!$F$47)&gt;0,IF((O21+P21*'Geometry'!$G$47+Q21*'Geometry'!$F$47)&lt;=C_eco,C_alpha*C_fck*(1-(1-(O21+P21*'Geometry'!$G$47+Q21*'Geometry'!$F$47)/C_eco)^C_n),C_alpha*C_fck),0)))*'Geometry'!$H$47+((MAX(MIN(S_1_Es*(O21+P21*'Geometry'!$G$48+Q21*'Geometry'!$F$48),S_1_fy),-S_1_fy))-(IF((O21+P21*'Geometry'!$G$48+Q21*'Geometry'!$F$48)&gt;0,IF((O21+P21*'Geometry'!$G$48+Q21*'Geometry'!$F$48)&lt;=C_eco,C_alpha*C_fck*(1-(1-(O21+P21*'Geometry'!$G$48+Q21*'Geometry'!$F$48)/C_eco)^C_n),C_alpha*C_fck),0)))*'Geometry'!$H$48+((MAX(MIN(S_1_Es*(O21+P21*'Geometry'!$G$49+Q21*'Geometry'!$F$49),S_1_fy),-S_1_fy))-(IF((O21+P21*'Geometry'!$G$49+Q21*'Geometry'!$F$49)&gt;0,IF((O21+P21*'Geometry'!$G$49+Q21*'Geometry'!$F$49)&lt;=C_eco,C_alpha*C_fck*(1-(1-(O21+P21*'Geometry'!$G$49+Q21*'Geometry'!$F$49)/C_eco)^C_n),C_alpha*C_fck),0)))*'Geometry'!$H$49+((MAX(MIN(S_1_Es*(O21+P21*'Geometry'!$G$50+Q21*'Geometry'!$F$50),S_1_fy),-S_1_fy))-(IF((O21+P21*'Geometry'!$G$50+Q21*'Geometry'!$F$50)&gt;0,IF((O21+P21*'Geometry'!$G$50+Q21*'Geometry'!$F$50)&lt;=C_eco,C_alpha*C_fck*(1-(1-(O21+P21*'Geometry'!$G$50+Q21*'Geometry'!$F$50)/C_eco)^C_n),C_alpha*C_fck),0)))*'Geometry'!$H$50+((MAX(MIN(S_1_Es*(O21+P21*'Geometry'!$G$51+Q21*'Geometry'!$F$51),S_1_fy),-S_1_fy))-(IF((O21+P21*'Geometry'!$G$51+Q21*'Geometry'!$F$51)&gt;0,IF((O21+P21*'Geometry'!$G$51+Q21*'Geometry'!$F$51)&lt;=C_eco,C_alpha*C_fck*(1-(1-(O21+P21*'Geometry'!$G$51+Q21*'Geometry'!$F$51)/C_eco)^C_n),C_alpha*C_fck),0)))*'Geometry'!$H$51+((MAX(MIN(S_1_Es*(O21+P21*'Geometry'!$G$52+Q21*'Geometry'!$F$52),S_1_fy),-S_1_fy))-(IF((O21+P21*'Geometry'!$G$52+Q21*'Geometry'!$F$52)&gt;0,IF((O21+P21*'Geometry'!$G$52+Q21*'Geometry'!$F$52)&lt;=C_eco,C_alpha*C_fck*(1-(1-(O21+P21*'Geometry'!$G$52+Q21*'Geometry'!$F$52)/C_eco)^C_n),C_alpha*C_fck),0)))*'Geometry'!$H$52+((MAX(MIN(S_1_Es*(O21+P21*'Geometry'!$G$53+Q21*'Geometry'!$F$53),S_1_fy),-S_1_fy))-(IF((O21+P21*'Geometry'!$G$53+Q21*'Geometry'!$F$53)&gt;0,IF((O21+P21*'Geometry'!$G$53+Q21*'Geometry'!$F$53)&lt;=C_eco,C_alpha*C_fck*(1-(1-(O21+P21*'Geometry'!$G$53+Q21*'Geometry'!$F$53)/C_eco)^C_n),C_alpha*C_fck),0)))*'Geometry'!$H$53+((MAX(MIN(S_1_Es*(O21+P21*'Geometry'!$G$54+Q21*'Geometry'!$F$54),S_1_fy),-S_1_fy))-(IF((O21+P21*'Geometry'!$G$54+Q21*'Geometry'!$F$54)&gt;0,IF((O21+P21*'Geometry'!$G$54+Q21*'Geometry'!$F$54)&lt;=C_eco,C_alpha*C_fck*(1-(1-(O21+P21*'Geometry'!$G$54+Q21*'Geometry'!$F$54)/C_eco)^C_n),C_alpha*C_fck),0)))*'Geometry'!$H$54+((MAX(MIN(S_1_Es*(O21+P21*'Geometry'!$G$55+Q21*'Geometry'!$F$55),S_1_fy),-S_1_fy))-(IF((O21+P21*'Geometry'!$G$55+Q21*'Geometry'!$F$55)&gt;0,IF((O21+P21*'Geometry'!$G$55+Q21*'Geometry'!$F$55)&lt;=C_eco,C_alpha*C_fck*(1-(1-(O21+P21*'Geometry'!$G$55+Q21*'Geometry'!$F$55)/C_eco)^C_n),C_alpha*C_fck),0)))*'Geometry'!$H$55+((MAX(MIN(S_1_Es*(O21+P21*'Geometry'!$G$56+Q21*'Geometry'!$F$56),S_1_fy),-S_1_fy))-(IF((O21+P21*'Geometry'!$G$56+Q21*'Geometry'!$F$56)&gt;0,IF((O21+P21*'Geometry'!$G$56+Q21*'Geometry'!$F$56)&lt;=C_eco,C_alpha*C_fck*(1-(1-(O21+P21*'Geometry'!$G$56+Q21*'Geometry'!$F$56)/C_eco)^C_n),C_alpha*C_fck),0)))*'Geometry'!$H$56+((MAX(MIN(S_1_Es*(O21+P21*'Geometry'!$G$57+Q21*'Geometry'!$F$57),S_1_fy),-S_1_fy))-(IF((O21+P21*'Geometry'!$G$57+Q21*'Geometry'!$F$57)&gt;0,IF((O21+P21*'Geometry'!$G$57+Q21*'Geometry'!$F$57)&lt;=C_eco,C_alpha*C_fck*(1-(1-(O21+P21*'Geometry'!$G$57+Q21*'Geometry'!$F$57)/C_eco)^C_n),C_alpha*C_fck),0)))*'Geometry'!$H$57)/1000</f>
        <v>-3058.6548071700227</v>
      </c>
      <c r="V21" s="10">
        <f>(((MAX(MIN(S_1_Es*(O21+P21*'Geometry'!$G$40+Q21*'Geometry'!$F$40),S_1_fy),-S_1_fy))-(IF((O21+P21*'Geometry'!$G$40+Q21*'Geometry'!$F$40)&gt;0,IF((O21+P21*'Geometry'!$G$40+Q21*'Geometry'!$F$40)&lt;=C_eco,C_alpha*C_fck*(1-(1-(O21+P21*'Geometry'!$G$40+Q21*'Geometry'!$F$40)/C_eco)^C_n),C_alpha*C_fck),0)))*'Geometry'!$H$40*'Geometry'!$G$40+((MAX(MIN(S_1_Es*(O21+P21*'Geometry'!$G$41+Q21*'Geometry'!$F$41),S_1_fy),-S_1_fy))-(IF((O21+P21*'Geometry'!$G$41+Q21*'Geometry'!$F$41)&gt;0,IF((O21+P21*'Geometry'!$G$41+Q21*'Geometry'!$F$41)&lt;=C_eco,C_alpha*C_fck*(1-(1-(O21+P21*'Geometry'!$G$41+Q21*'Geometry'!$F$41)/C_eco)^C_n),C_alpha*C_fck),0)))*'Geometry'!$H$41*'Geometry'!$G$41+((MAX(MIN(S_1_Es*(O21+P21*'Geometry'!$G$42+Q21*'Geometry'!$F$42),S_1_fy),-S_1_fy))-(IF((O21+P21*'Geometry'!$G$42+Q21*'Geometry'!$F$42)&gt;0,IF((O21+P21*'Geometry'!$G$42+Q21*'Geometry'!$F$42)&lt;=C_eco,C_alpha*C_fck*(1-(1-(O21+P21*'Geometry'!$G$42+Q21*'Geometry'!$F$42)/C_eco)^C_n),C_alpha*C_fck),0)))*'Geometry'!$H$42*'Geometry'!$G$42+((MAX(MIN(S_1_Es*(O21+P21*'Geometry'!$G$43+Q21*'Geometry'!$F$43),S_1_fy),-S_1_fy))-(IF((O21+P21*'Geometry'!$G$43+Q21*'Geometry'!$F$43)&gt;0,IF((O21+P21*'Geometry'!$G$43+Q21*'Geometry'!$F$43)&lt;=C_eco,C_alpha*C_fck*(1-(1-(O21+P21*'Geometry'!$G$43+Q21*'Geometry'!$F$43)/C_eco)^C_n),C_alpha*C_fck),0)))*'Geometry'!$H$43*'Geometry'!$G$43+((MAX(MIN(S_1_Es*(O21+P21*'Geometry'!$G$44+Q21*'Geometry'!$F$44),S_1_fy),-S_1_fy))-(IF((O21+P21*'Geometry'!$G$44+Q21*'Geometry'!$F$44)&gt;0,IF((O21+P21*'Geometry'!$G$44+Q21*'Geometry'!$F$44)&lt;=C_eco,C_alpha*C_fck*(1-(1-(O21+P21*'Geometry'!$G$44+Q21*'Geometry'!$F$44)/C_eco)^C_n),C_alpha*C_fck),0)))*'Geometry'!$H$44*'Geometry'!$G$44+((MAX(MIN(S_1_Es*(O21+P21*'Geometry'!$G$45+Q21*'Geometry'!$F$45),S_1_fy),-S_1_fy))-(IF((O21+P21*'Geometry'!$G$45+Q21*'Geometry'!$F$45)&gt;0,IF((O21+P21*'Geometry'!$G$45+Q21*'Geometry'!$F$45)&lt;=C_eco,C_alpha*C_fck*(1-(1-(O21+P21*'Geometry'!$G$45+Q21*'Geometry'!$F$45)/C_eco)^C_n),C_alpha*C_fck),0)))*'Geometry'!$H$45*'Geometry'!$G$45+((MAX(MIN(S_1_Es*(O21+P21*'Geometry'!$G$46+Q21*'Geometry'!$F$46),S_1_fy),-S_1_fy))-(IF((O21+P21*'Geometry'!$G$46+Q21*'Geometry'!$F$46)&gt;0,IF((O21+P21*'Geometry'!$G$46+Q21*'Geometry'!$F$46)&lt;=C_eco,C_alpha*C_fck*(1-(1-(O21+P21*'Geometry'!$G$46+Q21*'Geometry'!$F$46)/C_eco)^C_n),C_alpha*C_fck),0)))*'Geometry'!$H$46*'Geometry'!$G$46+((MAX(MIN(S_1_Es*(O21+P21*'Geometry'!$G$47+Q21*'Geometry'!$F$47),S_1_fy),-S_1_fy))-(IF((O21+P21*'Geometry'!$G$47+Q21*'Geometry'!$F$47)&gt;0,IF((O21+P21*'Geometry'!$G$47+Q21*'Geometry'!$F$47)&lt;=C_eco,C_alpha*C_fck*(1-(1-(O21+P21*'Geometry'!$G$47+Q21*'Geometry'!$F$47)/C_eco)^C_n),C_alpha*C_fck),0)))*'Geometry'!$H$47*'Geometry'!$G$47+((MAX(MIN(S_1_Es*(O21+P21*'Geometry'!$G$48+Q21*'Geometry'!$F$48),S_1_fy),-S_1_fy))-(IF((O21+P21*'Geometry'!$G$48+Q21*'Geometry'!$F$48)&gt;0,IF((O21+P21*'Geometry'!$G$48+Q21*'Geometry'!$F$48)&lt;=C_eco,C_alpha*C_fck*(1-(1-(O21+P21*'Geometry'!$G$48+Q21*'Geometry'!$F$48)/C_eco)^C_n),C_alpha*C_fck),0)))*'Geometry'!$H$48*'Geometry'!$G$48+((MAX(MIN(S_1_Es*(O21+P21*'Geometry'!$G$49+Q21*'Geometry'!$F$49),S_1_fy),-S_1_fy))-(IF((O21+P21*'Geometry'!$G$49+Q21*'Geometry'!$F$49)&gt;0,IF((O21+P21*'Geometry'!$G$49+Q21*'Geometry'!$F$49)&lt;=C_eco,C_alpha*C_fck*(1-(1-(O21+P21*'Geometry'!$G$49+Q21*'Geometry'!$F$49)/C_eco)^C_n),C_alpha*C_fck),0)))*'Geometry'!$H$49*'Geometry'!$G$49+((MAX(MIN(S_1_Es*(O21+P21*'Geometry'!$G$50+Q21*'Geometry'!$F$50),S_1_fy),-S_1_fy))-(IF((O21+P21*'Geometry'!$G$50+Q21*'Geometry'!$F$50)&gt;0,IF((O21+P21*'Geometry'!$G$50+Q21*'Geometry'!$F$50)&lt;=C_eco,C_alpha*C_fck*(1-(1-(O21+P21*'Geometry'!$G$50+Q21*'Geometry'!$F$50)/C_eco)^C_n),C_alpha*C_fck),0)))*'Geometry'!$H$50*'Geometry'!$G$50+((MAX(MIN(S_1_Es*(O21+P21*'Geometry'!$G$51+Q21*'Geometry'!$F$51),S_1_fy),-S_1_fy))-(IF((O21+P21*'Geometry'!$G$51+Q21*'Geometry'!$F$51)&gt;0,IF((O21+P21*'Geometry'!$G$51+Q21*'Geometry'!$F$51)&lt;=C_eco,C_alpha*C_fck*(1-(1-(O21+P21*'Geometry'!$G$51+Q21*'Geometry'!$F$51)/C_eco)^C_n),C_alpha*C_fck),0)))*'Geometry'!$H$51*'Geometry'!$G$51+((MAX(MIN(S_1_Es*(O21+P21*'Geometry'!$G$52+Q21*'Geometry'!$F$52),S_1_fy),-S_1_fy))-(IF((O21+P21*'Geometry'!$G$52+Q21*'Geometry'!$F$52)&gt;0,IF((O21+P21*'Geometry'!$G$52+Q21*'Geometry'!$F$52)&lt;=C_eco,C_alpha*C_fck*(1-(1-(O21+P21*'Geometry'!$G$52+Q21*'Geometry'!$F$52)/C_eco)^C_n),C_alpha*C_fck),0)))*'Geometry'!$H$52*'Geometry'!$G$52+((MAX(MIN(S_1_Es*(O21+P21*'Geometry'!$G$53+Q21*'Geometry'!$F$53),S_1_fy),-S_1_fy))-(IF((O21+P21*'Geometry'!$G$53+Q21*'Geometry'!$F$53)&gt;0,IF((O21+P21*'Geometry'!$G$53+Q21*'Geometry'!$F$53)&lt;=C_eco,C_alpha*C_fck*(1-(1-(O21+P21*'Geometry'!$G$53+Q21*'Geometry'!$F$53)/C_eco)^C_n),C_alpha*C_fck),0)))*'Geometry'!$H$53*'Geometry'!$G$53+((MAX(MIN(S_1_Es*(O21+P21*'Geometry'!$G$54+Q21*'Geometry'!$F$54),S_1_fy),-S_1_fy))-(IF((O21+P21*'Geometry'!$G$54+Q21*'Geometry'!$F$54)&gt;0,IF((O21+P21*'Geometry'!$G$54+Q21*'Geometry'!$F$54)&lt;=C_eco,C_alpha*C_fck*(1-(1-(O21+P21*'Geometry'!$G$54+Q21*'Geometry'!$F$54)/C_eco)^C_n),C_alpha*C_fck),0)))*'Geometry'!$H$54*'Geometry'!$G$54+((MAX(MIN(S_1_Es*(O21+P21*'Geometry'!$G$55+Q21*'Geometry'!$F$55),S_1_fy),-S_1_fy))-(IF((O21+P21*'Geometry'!$G$55+Q21*'Geometry'!$F$55)&gt;0,IF((O21+P21*'Geometry'!$G$55+Q21*'Geometry'!$F$55)&lt;=C_eco,C_alpha*C_fck*(1-(1-(O21+P21*'Geometry'!$G$55+Q21*'Geometry'!$F$55)/C_eco)^C_n),C_alpha*C_fck),0)))*'Geometry'!$H$55*'Geometry'!$G$55+((MAX(MIN(S_1_Es*(O21+P21*'Geometry'!$G$56+Q21*'Geometry'!$F$56),S_1_fy),-S_1_fy))-(IF((O21+P21*'Geometry'!$G$56+Q21*'Geometry'!$F$56)&gt;0,IF((O21+P21*'Geometry'!$G$56+Q21*'Geometry'!$F$56)&lt;=C_eco,C_alpha*C_fck*(1-(1-(O21+P21*'Geometry'!$G$56+Q21*'Geometry'!$F$56)/C_eco)^C_n),C_alpha*C_fck),0)))*'Geometry'!$H$56*'Geometry'!$G$56+((MAX(MIN(S_1_Es*(O21+P21*'Geometry'!$G$57+Q21*'Geometry'!$F$57),S_1_fy),-S_1_fy))-(IF((O21+P21*'Geometry'!$G$57+Q21*'Geometry'!$F$57)&gt;0,IF((O21+P21*'Geometry'!$G$57+Q21*'Geometry'!$F$57)&lt;=C_eco,C_alpha*C_fck*(1-(1-(O21+P21*'Geometry'!$G$57+Q21*'Geometry'!$F$57)/C_eco)^C_n),C_alpha*C_fck),0)))*'Geometry'!$H$57*'Geometry'!$G$57)/1000000</f>
        <v>-754.0360780596263</v>
      </c>
      <c r="W21" s="10">
        <f>(((MAX(MIN(S_1_Es*(O21+P21*'Geometry'!$G$40+Q21*'Geometry'!$F$40),S_1_fy),-S_1_fy))-(IF((O21+P21*'Geometry'!$G$40+Q21*'Geometry'!$F$40)&gt;0,IF((O21+P21*'Geometry'!$G$40+Q21*'Geometry'!$F$40)&lt;=C_eco,C_alpha*C_fck*(1-(1-(O21+P21*'Geometry'!$G$40+Q21*'Geometry'!$F$40)/C_eco)^C_n),C_alpha*C_fck),0)))*'Geometry'!$H$40*'Geometry'!$F$40+((MAX(MIN(S_1_Es*(O21+P21*'Geometry'!$G$41+Q21*'Geometry'!$F$41),S_1_fy),-S_1_fy))-(IF((O21+P21*'Geometry'!$G$41+Q21*'Geometry'!$F$41)&gt;0,IF((O21+P21*'Geometry'!$G$41+Q21*'Geometry'!$F$41)&lt;=C_eco,C_alpha*C_fck*(1-(1-(O21+P21*'Geometry'!$G$41+Q21*'Geometry'!$F$41)/C_eco)^C_n),C_alpha*C_fck),0)))*'Geometry'!$H$41*'Geometry'!$F$41+((MAX(MIN(S_1_Es*(O21+P21*'Geometry'!$G$42+Q21*'Geometry'!$F$42),S_1_fy),-S_1_fy))-(IF((O21+P21*'Geometry'!$G$42+Q21*'Geometry'!$F$42)&gt;0,IF((O21+P21*'Geometry'!$G$42+Q21*'Geometry'!$F$42)&lt;=C_eco,C_alpha*C_fck*(1-(1-(O21+P21*'Geometry'!$G$42+Q21*'Geometry'!$F$42)/C_eco)^C_n),C_alpha*C_fck),0)))*'Geometry'!$H$42*'Geometry'!$F$42+((MAX(MIN(S_1_Es*(O21+P21*'Geometry'!$G$43+Q21*'Geometry'!$F$43),S_1_fy),-S_1_fy))-(IF((O21+P21*'Geometry'!$G$43+Q21*'Geometry'!$F$43)&gt;0,IF((O21+P21*'Geometry'!$G$43+Q21*'Geometry'!$F$43)&lt;=C_eco,C_alpha*C_fck*(1-(1-(O21+P21*'Geometry'!$G$43+Q21*'Geometry'!$F$43)/C_eco)^C_n),C_alpha*C_fck),0)))*'Geometry'!$H$43*'Geometry'!$F$43+((MAX(MIN(S_1_Es*(O21+P21*'Geometry'!$G$44+Q21*'Geometry'!$F$44),S_1_fy),-S_1_fy))-(IF((O21+P21*'Geometry'!$G$44+Q21*'Geometry'!$F$44)&gt;0,IF((O21+P21*'Geometry'!$G$44+Q21*'Geometry'!$F$44)&lt;=C_eco,C_alpha*C_fck*(1-(1-(O21+P21*'Geometry'!$G$44+Q21*'Geometry'!$F$44)/C_eco)^C_n),C_alpha*C_fck),0)))*'Geometry'!$H$44*'Geometry'!$F$44+((MAX(MIN(S_1_Es*(O21+P21*'Geometry'!$G$45+Q21*'Geometry'!$F$45),S_1_fy),-S_1_fy))-(IF((O21+P21*'Geometry'!$G$45+Q21*'Geometry'!$F$45)&gt;0,IF((O21+P21*'Geometry'!$G$45+Q21*'Geometry'!$F$45)&lt;=C_eco,C_alpha*C_fck*(1-(1-(O21+P21*'Geometry'!$G$45+Q21*'Geometry'!$F$45)/C_eco)^C_n),C_alpha*C_fck),0)))*'Geometry'!$H$45*'Geometry'!$F$45+((MAX(MIN(S_1_Es*(O21+P21*'Geometry'!$G$46+Q21*'Geometry'!$F$46),S_1_fy),-S_1_fy))-(IF((O21+P21*'Geometry'!$G$46+Q21*'Geometry'!$F$46)&gt;0,IF((O21+P21*'Geometry'!$G$46+Q21*'Geometry'!$F$46)&lt;=C_eco,C_alpha*C_fck*(1-(1-(O21+P21*'Geometry'!$G$46+Q21*'Geometry'!$F$46)/C_eco)^C_n),C_alpha*C_fck),0)))*'Geometry'!$H$46*'Geometry'!$F$46+((MAX(MIN(S_1_Es*(O21+P21*'Geometry'!$G$47+Q21*'Geometry'!$F$47),S_1_fy),-S_1_fy))-(IF((O21+P21*'Geometry'!$G$47+Q21*'Geometry'!$F$47)&gt;0,IF((O21+P21*'Geometry'!$G$47+Q21*'Geometry'!$F$47)&lt;=C_eco,C_alpha*C_fck*(1-(1-(O21+P21*'Geometry'!$G$47+Q21*'Geometry'!$F$47)/C_eco)^C_n),C_alpha*C_fck),0)))*'Geometry'!$H$47*'Geometry'!$F$47+((MAX(MIN(S_1_Es*(O21+P21*'Geometry'!$G$48+Q21*'Geometry'!$F$48),S_1_fy),-S_1_fy))-(IF((O21+P21*'Geometry'!$G$48+Q21*'Geometry'!$F$48)&gt;0,IF((O21+P21*'Geometry'!$G$48+Q21*'Geometry'!$F$48)&lt;=C_eco,C_alpha*C_fck*(1-(1-(O21+P21*'Geometry'!$G$48+Q21*'Geometry'!$F$48)/C_eco)^C_n),C_alpha*C_fck),0)))*'Geometry'!$H$48*'Geometry'!$F$48+((MAX(MIN(S_1_Es*(O21+P21*'Geometry'!$G$49+Q21*'Geometry'!$F$49),S_1_fy),-S_1_fy))-(IF((O21+P21*'Geometry'!$G$49+Q21*'Geometry'!$F$49)&gt;0,IF((O21+P21*'Geometry'!$G$49+Q21*'Geometry'!$F$49)&lt;=C_eco,C_alpha*C_fck*(1-(1-(O21+P21*'Geometry'!$G$49+Q21*'Geometry'!$F$49)/C_eco)^C_n),C_alpha*C_fck),0)))*'Geometry'!$H$49*'Geometry'!$F$49+((MAX(MIN(S_1_Es*(O21+P21*'Geometry'!$G$50+Q21*'Geometry'!$F$50),S_1_fy),-S_1_fy))-(IF((O21+P21*'Geometry'!$G$50+Q21*'Geometry'!$F$50)&gt;0,IF((O21+P21*'Geometry'!$G$50+Q21*'Geometry'!$F$50)&lt;=C_eco,C_alpha*C_fck*(1-(1-(O21+P21*'Geometry'!$G$50+Q21*'Geometry'!$F$50)/C_eco)^C_n),C_alpha*C_fck),0)))*'Geometry'!$H$50*'Geometry'!$F$50+((MAX(MIN(S_1_Es*(O21+P21*'Geometry'!$G$51+Q21*'Geometry'!$F$51),S_1_fy),-S_1_fy))-(IF((O21+P21*'Geometry'!$G$51+Q21*'Geometry'!$F$51)&gt;0,IF((O21+P21*'Geometry'!$G$51+Q21*'Geometry'!$F$51)&lt;=C_eco,C_alpha*C_fck*(1-(1-(O21+P21*'Geometry'!$G$51+Q21*'Geometry'!$F$51)/C_eco)^C_n),C_alpha*C_fck),0)))*'Geometry'!$H$51*'Geometry'!$F$51+((MAX(MIN(S_1_Es*(O21+P21*'Geometry'!$G$52+Q21*'Geometry'!$F$52),S_1_fy),-S_1_fy))-(IF((O21+P21*'Geometry'!$G$52+Q21*'Geometry'!$F$52)&gt;0,IF((O21+P21*'Geometry'!$G$52+Q21*'Geometry'!$F$52)&lt;=C_eco,C_alpha*C_fck*(1-(1-(O21+P21*'Geometry'!$G$52+Q21*'Geometry'!$F$52)/C_eco)^C_n),C_alpha*C_fck),0)))*'Geometry'!$H$52*'Geometry'!$F$52+((MAX(MIN(S_1_Es*(O21+P21*'Geometry'!$G$53+Q21*'Geometry'!$F$53),S_1_fy),-S_1_fy))-(IF((O21+P21*'Geometry'!$G$53+Q21*'Geometry'!$F$53)&gt;0,IF((O21+P21*'Geometry'!$G$53+Q21*'Geometry'!$F$53)&lt;=C_eco,C_alpha*C_fck*(1-(1-(O21+P21*'Geometry'!$G$53+Q21*'Geometry'!$F$53)/C_eco)^C_n),C_alpha*C_fck),0)))*'Geometry'!$H$53*'Geometry'!$F$53+((MAX(MIN(S_1_Es*(O21+P21*'Geometry'!$G$54+Q21*'Geometry'!$F$54),S_1_fy),-S_1_fy))-(IF((O21+P21*'Geometry'!$G$54+Q21*'Geometry'!$F$54)&gt;0,IF((O21+P21*'Geometry'!$G$54+Q21*'Geometry'!$F$54)&lt;=C_eco,C_alpha*C_fck*(1-(1-(O21+P21*'Geometry'!$G$54+Q21*'Geometry'!$F$54)/C_eco)^C_n),C_alpha*C_fck),0)))*'Geometry'!$H$54*'Geometry'!$F$54+((MAX(MIN(S_1_Es*(O21+P21*'Geometry'!$G$55+Q21*'Geometry'!$F$55),S_1_fy),-S_1_fy))-(IF((O21+P21*'Geometry'!$G$55+Q21*'Geometry'!$F$55)&gt;0,IF((O21+P21*'Geometry'!$G$55+Q21*'Geometry'!$F$55)&lt;=C_eco,C_alpha*C_fck*(1-(1-(O21+P21*'Geometry'!$G$55+Q21*'Geometry'!$F$55)/C_eco)^C_n),C_alpha*C_fck),0)))*'Geometry'!$H$55*'Geometry'!$F$55+((MAX(MIN(S_1_Es*(O21+P21*'Geometry'!$G$56+Q21*'Geometry'!$F$56),S_1_fy),-S_1_fy))-(IF((O21+P21*'Geometry'!$G$56+Q21*'Geometry'!$F$56)&gt;0,IF((O21+P21*'Geometry'!$G$56+Q21*'Geometry'!$F$56)&lt;=C_eco,C_alpha*C_fck*(1-(1-(O21+P21*'Geometry'!$G$56+Q21*'Geometry'!$F$56)/C_eco)^C_n),C_alpha*C_fck),0)))*'Geometry'!$H$56*'Geometry'!$F$56+((MAX(MIN(S_1_Es*(O21+P21*'Geometry'!$G$57+Q21*'Geometry'!$F$57),S_1_fy),-S_1_fy))-(IF((O21+P21*'Geometry'!$G$57+Q21*'Geometry'!$F$57)&gt;0,IF((O21+P21*'Geometry'!$G$57+Q21*'Geometry'!$F$57)&lt;=C_eco,C_alpha*C_fck*(1-(1-(O21+P21*'Geometry'!$G$57+Q21*'Geometry'!$F$57)/C_eco)^C_n),C_alpha*C_fck),0)))*'Geometry'!$H$57*'Geometry'!$F$57)/1000000</f>
        <v>1397.3507270864889</v>
      </c>
      <c r="X21" s="10">
        <f>R21+U21</f>
        <v>824.9419179645926</v>
      </c>
      <c r="Y21" s="10">
        <f>S21+V21</f>
        <v>-2137.2201001203794</v>
      </c>
      <c r="Z21" s="10">
        <f>T21+W21</f>
        <v>3548.645569747204</v>
      </c>
      <c r="AA21" s="7">
        <v>0.85</v>
      </c>
      <c r="AB21" s="7">
        <v>0.8500000000000001</v>
      </c>
      <c r="AC21" s="10">
        <f>X21*AA21</f>
        <v>701.2006302699037</v>
      </c>
      <c r="AD21" s="10">
        <f>Y21*AB21</f>
        <v>-1816.6370851023223</v>
      </c>
      <c r="AE21" s="10">
        <f>Z21*AB21</f>
        <v>3016.3487342851236</v>
      </c>
      <c r="AF21" s="7">
        <v>701.2006302699037</v>
      </c>
      <c r="AG21" s="7">
        <v>-1816.6370851023223</v>
      </c>
      <c r="AH21" s="7">
        <v>3016.3487342851236</v>
      </c>
      <c r="AI21" s="15">
        <f>AC21-AF21</f>
        <v>0</v>
      </c>
      <c r="AJ21" s="15">
        <f>SQRT((AD21-AG21)^2+(AE21-AH21)^2)</f>
        <v>0</v>
      </c>
      <c r="AK21" s="7" t="s">
        <v>189</v>
      </c>
      <c r="AL21" s="7">
        <v>824.9419179645926</v>
      </c>
      <c r="AM21" s="7">
        <v>-2137.2201001203794</v>
      </c>
      <c r="AN21" s="7">
        <v>3548.645569747204</v>
      </c>
      <c r="AO21" s="7">
        <v>3883.596725134615</v>
      </c>
      <c r="AP21" s="7">
        <v>-1383.1840220607528</v>
      </c>
      <c r="AQ21" s="7">
        <v>2151.2948426607145</v>
      </c>
      <c r="AR21" s="7">
        <v>-3058.6548071700227</v>
      </c>
      <c r="AS21" s="7">
        <v>-754.0360780596263</v>
      </c>
      <c r="AT21" s="7">
        <v>1397.3507270864889</v>
      </c>
    </row>
    <row r="22" spans="1:46" x14ac:dyDescent="0.25">
      <c r="A22" s="7" t="s">
        <v>218</v>
      </c>
      <c r="B22" s="7">
        <v>1</v>
      </c>
      <c r="C22" s="18">
        <v>140</v>
      </c>
      <c r="D22" s="7" t="s">
        <v>281</v>
      </c>
      <c r="E22" s="7" t="s">
        <v>267</v>
      </c>
      <c r="F22" s="19">
        <v>140</v>
      </c>
      <c r="G22" s="7" t="s">
        <v>188</v>
      </c>
      <c r="H22" s="20">
        <v>4.999999999999999</v>
      </c>
      <c r="I22" s="10">
        <f>MAX(('Geometry'!$G$13*COS(RADIANS(F22))+'Geometry'!$F$13*SIN(RADIANS(F22))),('Geometry'!$G$14*COS(RADIANS(F22))+'Geometry'!$F$14*SIN(RADIANS(F22))),('Geometry'!$G$15*COS(RADIANS(F22))+'Geometry'!$F$15*SIN(RADIANS(F22))),('Geometry'!$G$16*COS(RADIANS(F22))+'Geometry'!$F$16*SIN(RADIANS(F22))),('Geometry'!$G$17*COS(RADIANS(F22))+'Geometry'!$F$17*SIN(RADIANS(F22))),('Geometry'!$G$18*COS(RADIANS(F22))+'Geometry'!$F$18*SIN(RADIANS(F22))),('Geometry'!$G$19*COS(RADIANS(F22))+'Geometry'!$F$19*SIN(RADIANS(F22))),('Geometry'!$G$20*COS(RADIANS(F22))+'Geometry'!$F$20*SIN(RADIANS(F22))))</f>
        <v>813.1598511989835</v>
      </c>
      <c r="J22" s="10">
        <f>MIN(('Geometry'!$G$40*COS(RADIANS(F22))+'Geometry'!$F$40*SIN(RADIANS(F22))),('Geometry'!$G$41*COS(RADIANS(F22))+'Geometry'!$F$41*SIN(RADIANS(F22))),('Geometry'!$G$42*COS(RADIANS(F22))+'Geometry'!$F$42*SIN(RADIANS(F22))),('Geometry'!$G$43*COS(RADIANS(F22))+'Geometry'!$F$43*SIN(RADIANS(F22))),('Geometry'!$G$44*COS(RADIANS(F22))+'Geometry'!$F$44*SIN(RADIANS(F22))),('Geometry'!$G$45*COS(RADIANS(F22))+'Geometry'!$F$45*SIN(RADIANS(F22))),('Geometry'!$G$46*COS(RADIANS(F22))+'Geometry'!$F$46*SIN(RADIANS(F22))),('Geometry'!$G$47*COS(RADIANS(F22))+'Geometry'!$F$47*SIN(RADIANS(F22))),('Geometry'!$G$48*COS(RADIANS(F22))+'Geometry'!$F$48*SIN(RADIANS(F22))),('Geometry'!$G$49*COS(RADIANS(F22))+'Geometry'!$F$49*SIN(RADIANS(F22))),('Geometry'!$G$50*COS(RADIANS(F22))+'Geometry'!$F$50*SIN(RADIANS(F22))),('Geometry'!$G$51*COS(RADIANS(F22))+'Geometry'!$F$51*SIN(RADIANS(F22))),('Geometry'!$G$52*COS(RADIANS(F22))+'Geometry'!$F$52*SIN(RADIANS(F22))),('Geometry'!$G$53*COS(RADIANS(F22))+'Geometry'!$F$53*SIN(RADIANS(F22))),('Geometry'!$G$54*COS(RADIANS(F22))+'Geometry'!$F$54*SIN(RADIANS(F22))),('Geometry'!$G$55*COS(RADIANS(F22))+'Geometry'!$F$55*SIN(RADIANS(F22))),('Geometry'!$G$56*COS(RADIANS(F22))+'Geometry'!$F$56*SIN(RADIANS(F22))),('Geometry'!$G$57*COS(RADIANS(F22))+'Geometry'!$F$57*SIN(RADIANS(F22))))</f>
        <v>-666.9089075225402</v>
      </c>
      <c r="K22" s="10">
        <f>I22-MIN(('Geometry'!$G$13*COS(RADIANS(F22))+'Geometry'!$F$13*SIN(RADIANS(F22))),('Geometry'!$G$14*COS(RADIANS(F22))+'Geometry'!$F$14*SIN(RADIANS(F22))),('Geometry'!$G$15*COS(RADIANS(F22))+'Geometry'!$F$15*SIN(RADIANS(F22))),('Geometry'!$G$16*COS(RADIANS(F22))+'Geometry'!$F$16*SIN(RADIANS(F22))),('Geometry'!$G$17*COS(RADIANS(F22))+'Geometry'!$F$17*SIN(RADIANS(F22))),('Geometry'!$G$18*COS(RADIANS(F22))+'Geometry'!$F$18*SIN(RADIANS(F22))),('Geometry'!$G$19*COS(RADIANS(F22))+'Geometry'!$F$19*SIN(RADIANS(F22))),('Geometry'!$G$20*COS(RADIANS(F22))+'Geometry'!$F$20*SIN(RADIANS(F22))))</f>
        <v>1626.319702397967</v>
      </c>
      <c r="L22" s="15">
        <f>C_ecu</f>
        <v>0.0033</v>
      </c>
      <c r="M22" s="15">
        <f>-H22*S_1_fy/S_1_Es</f>
        <v>-0.009999999999999998</v>
      </c>
      <c r="N22" s="21">
        <f>IF(ABS(I22-J22)&lt;0.000000000001,0,(L22-M22)/(I22-J22))</f>
        <v>0.00000898606900634027</v>
      </c>
      <c r="O22" s="15">
        <f>L22-N22*I22</f>
        <v>-0.0040071105360594515</v>
      </c>
      <c r="P22" s="21">
        <f>N22*COS(RADIANS(F22))</f>
        <v>-0.00000688372822779064</v>
      </c>
      <c r="Q22" s="21">
        <f>N22*SIN(RADIANS(F22))</f>
        <v>0.000005776133817063759</v>
      </c>
      <c r="R22" s="10">
        <f>SUMPRODUCT(C_alpha*C_fck*(1-(1-(((O22+P22*Mesh_Y+Q22*Mesh_X))*((O22+P22*Mesh_Y+Q22*Mesh_X)&gt;0)*((O22+P22*Mesh_Y+Q22*Mesh_X)&lt;C_eco)+C_eco*((O22+P22*Mesh_Y+Q22*Mesh_X)&gt;=C_eco))/C_eco)^C_n)*(((O22+P22*Mesh_Y+Q22*Mesh_X))&gt;0),Mesh_A)/1000</f>
        <v>3700.0091567967934</v>
      </c>
      <c r="S22" s="10">
        <f>SUMPRODUCT(C_alpha*C_fck*(1-(1-(((O22+P22*Mesh_Y+Q22*Mesh_X))*((O22+P22*Mesh_Y+Q22*Mesh_X)&gt;0)*((O22+P22*Mesh_Y+Q22*Mesh_X)&lt;C_eco)+C_eco*((O22+P22*Mesh_Y+Q22*Mesh_X)&gt;=C_eco))/C_eco)^C_n)*(((O22+P22*Mesh_Y+Q22*Mesh_X))&gt;0),Mesh_A,Mesh_Y)/1000000</f>
        <v>-1506.738285734828</v>
      </c>
      <c r="T22" s="10">
        <f>SUMPRODUCT(C_alpha*C_fck*(1-(1-(((O22+P22*Mesh_Y+Q22*Mesh_X))*((O22+P22*Mesh_Y+Q22*Mesh_X)&gt;0)*((O22+P22*Mesh_Y+Q22*Mesh_X)&lt;C_eco)+C_eco*((O22+P22*Mesh_Y+Q22*Mesh_X)&gt;=C_eco))/C_eco)^C_n)*(((O22+P22*Mesh_Y+Q22*Mesh_X))&gt;0),Mesh_A,Mesh_X)/1000000</f>
        <v>1894.6816901332181</v>
      </c>
      <c r="U22" s="10">
        <f>(((MAX(MIN(S_1_Es*(O22+P22*'Geometry'!$G$40+Q22*'Geometry'!$F$40),S_1_fy),-S_1_fy))-(IF((O22+P22*'Geometry'!$G$40+Q22*'Geometry'!$F$40)&gt;0,IF((O22+P22*'Geometry'!$G$40+Q22*'Geometry'!$F$40)&lt;=C_eco,C_alpha*C_fck*(1-(1-(O22+P22*'Geometry'!$G$40+Q22*'Geometry'!$F$40)/C_eco)^C_n),C_alpha*C_fck),0)))*'Geometry'!$H$40+((MAX(MIN(S_1_Es*(O22+P22*'Geometry'!$G$41+Q22*'Geometry'!$F$41),S_1_fy),-S_1_fy))-(IF((O22+P22*'Geometry'!$G$41+Q22*'Geometry'!$F$41)&gt;0,IF((O22+P22*'Geometry'!$G$41+Q22*'Geometry'!$F$41)&lt;=C_eco,C_alpha*C_fck*(1-(1-(O22+P22*'Geometry'!$G$41+Q22*'Geometry'!$F$41)/C_eco)^C_n),C_alpha*C_fck),0)))*'Geometry'!$H$41+((MAX(MIN(S_1_Es*(O22+P22*'Geometry'!$G$42+Q22*'Geometry'!$F$42),S_1_fy),-S_1_fy))-(IF((O22+P22*'Geometry'!$G$42+Q22*'Geometry'!$F$42)&gt;0,IF((O22+P22*'Geometry'!$G$42+Q22*'Geometry'!$F$42)&lt;=C_eco,C_alpha*C_fck*(1-(1-(O22+P22*'Geometry'!$G$42+Q22*'Geometry'!$F$42)/C_eco)^C_n),C_alpha*C_fck),0)))*'Geometry'!$H$42+((MAX(MIN(S_1_Es*(O22+P22*'Geometry'!$G$43+Q22*'Geometry'!$F$43),S_1_fy),-S_1_fy))-(IF((O22+P22*'Geometry'!$G$43+Q22*'Geometry'!$F$43)&gt;0,IF((O22+P22*'Geometry'!$G$43+Q22*'Geometry'!$F$43)&lt;=C_eco,C_alpha*C_fck*(1-(1-(O22+P22*'Geometry'!$G$43+Q22*'Geometry'!$F$43)/C_eco)^C_n),C_alpha*C_fck),0)))*'Geometry'!$H$43+((MAX(MIN(S_1_Es*(O22+P22*'Geometry'!$G$44+Q22*'Geometry'!$F$44),S_1_fy),-S_1_fy))-(IF((O22+P22*'Geometry'!$G$44+Q22*'Geometry'!$F$44)&gt;0,IF((O22+P22*'Geometry'!$G$44+Q22*'Geometry'!$F$44)&lt;=C_eco,C_alpha*C_fck*(1-(1-(O22+P22*'Geometry'!$G$44+Q22*'Geometry'!$F$44)/C_eco)^C_n),C_alpha*C_fck),0)))*'Geometry'!$H$44+((MAX(MIN(S_1_Es*(O22+P22*'Geometry'!$G$45+Q22*'Geometry'!$F$45),S_1_fy),-S_1_fy))-(IF((O22+P22*'Geometry'!$G$45+Q22*'Geometry'!$F$45)&gt;0,IF((O22+P22*'Geometry'!$G$45+Q22*'Geometry'!$F$45)&lt;=C_eco,C_alpha*C_fck*(1-(1-(O22+P22*'Geometry'!$G$45+Q22*'Geometry'!$F$45)/C_eco)^C_n),C_alpha*C_fck),0)))*'Geometry'!$H$45+((MAX(MIN(S_1_Es*(O22+P22*'Geometry'!$G$46+Q22*'Geometry'!$F$46),S_1_fy),-S_1_fy))-(IF((O22+P22*'Geometry'!$G$46+Q22*'Geometry'!$F$46)&gt;0,IF((O22+P22*'Geometry'!$G$46+Q22*'Geometry'!$F$46)&lt;=C_eco,C_alpha*C_fck*(1-(1-(O22+P22*'Geometry'!$G$46+Q22*'Geometry'!$F$46)/C_eco)^C_n),C_alpha*C_fck),0)))*'Geometry'!$H$46+((MAX(MIN(S_1_Es*(O22+P22*'Geometry'!$G$47+Q22*'Geometry'!$F$47),S_1_fy),-S_1_fy))-(IF((O22+P22*'Geometry'!$G$47+Q22*'Geometry'!$F$47)&gt;0,IF((O22+P22*'Geometry'!$G$47+Q22*'Geometry'!$F$47)&lt;=C_eco,C_alpha*C_fck*(1-(1-(O22+P22*'Geometry'!$G$47+Q22*'Geometry'!$F$47)/C_eco)^C_n),C_alpha*C_fck),0)))*'Geometry'!$H$47+((MAX(MIN(S_1_Es*(O22+P22*'Geometry'!$G$48+Q22*'Geometry'!$F$48),S_1_fy),-S_1_fy))-(IF((O22+P22*'Geometry'!$G$48+Q22*'Geometry'!$F$48)&gt;0,IF((O22+P22*'Geometry'!$G$48+Q22*'Geometry'!$F$48)&lt;=C_eco,C_alpha*C_fck*(1-(1-(O22+P22*'Geometry'!$G$48+Q22*'Geometry'!$F$48)/C_eco)^C_n),C_alpha*C_fck),0)))*'Geometry'!$H$48+((MAX(MIN(S_1_Es*(O22+P22*'Geometry'!$G$49+Q22*'Geometry'!$F$49),S_1_fy),-S_1_fy))-(IF((O22+P22*'Geometry'!$G$49+Q22*'Geometry'!$F$49)&gt;0,IF((O22+P22*'Geometry'!$G$49+Q22*'Geometry'!$F$49)&lt;=C_eco,C_alpha*C_fck*(1-(1-(O22+P22*'Geometry'!$G$49+Q22*'Geometry'!$F$49)/C_eco)^C_n),C_alpha*C_fck),0)))*'Geometry'!$H$49+((MAX(MIN(S_1_Es*(O22+P22*'Geometry'!$G$50+Q22*'Geometry'!$F$50),S_1_fy),-S_1_fy))-(IF((O22+P22*'Geometry'!$G$50+Q22*'Geometry'!$F$50)&gt;0,IF((O22+P22*'Geometry'!$G$50+Q22*'Geometry'!$F$50)&lt;=C_eco,C_alpha*C_fck*(1-(1-(O22+P22*'Geometry'!$G$50+Q22*'Geometry'!$F$50)/C_eco)^C_n),C_alpha*C_fck),0)))*'Geometry'!$H$50+((MAX(MIN(S_1_Es*(O22+P22*'Geometry'!$G$51+Q22*'Geometry'!$F$51),S_1_fy),-S_1_fy))-(IF((O22+P22*'Geometry'!$G$51+Q22*'Geometry'!$F$51)&gt;0,IF((O22+P22*'Geometry'!$G$51+Q22*'Geometry'!$F$51)&lt;=C_eco,C_alpha*C_fck*(1-(1-(O22+P22*'Geometry'!$G$51+Q22*'Geometry'!$F$51)/C_eco)^C_n),C_alpha*C_fck),0)))*'Geometry'!$H$51+((MAX(MIN(S_1_Es*(O22+P22*'Geometry'!$G$52+Q22*'Geometry'!$F$52),S_1_fy),-S_1_fy))-(IF((O22+P22*'Geometry'!$G$52+Q22*'Geometry'!$F$52)&gt;0,IF((O22+P22*'Geometry'!$G$52+Q22*'Geometry'!$F$52)&lt;=C_eco,C_alpha*C_fck*(1-(1-(O22+P22*'Geometry'!$G$52+Q22*'Geometry'!$F$52)/C_eco)^C_n),C_alpha*C_fck),0)))*'Geometry'!$H$52+((MAX(MIN(S_1_Es*(O22+P22*'Geometry'!$G$53+Q22*'Geometry'!$F$53),S_1_fy),-S_1_fy))-(IF((O22+P22*'Geometry'!$G$53+Q22*'Geometry'!$F$53)&gt;0,IF((O22+P22*'Geometry'!$G$53+Q22*'Geometry'!$F$53)&lt;=C_eco,C_alpha*C_fck*(1-(1-(O22+P22*'Geometry'!$G$53+Q22*'Geometry'!$F$53)/C_eco)^C_n),C_alpha*C_fck),0)))*'Geometry'!$H$53+((MAX(MIN(S_1_Es*(O22+P22*'Geometry'!$G$54+Q22*'Geometry'!$F$54),S_1_fy),-S_1_fy))-(IF((O22+P22*'Geometry'!$G$54+Q22*'Geometry'!$F$54)&gt;0,IF((O22+P22*'Geometry'!$G$54+Q22*'Geometry'!$F$54)&lt;=C_eco,C_alpha*C_fck*(1-(1-(O22+P22*'Geometry'!$G$54+Q22*'Geometry'!$F$54)/C_eco)^C_n),C_alpha*C_fck),0)))*'Geometry'!$H$54+((MAX(MIN(S_1_Es*(O22+P22*'Geometry'!$G$55+Q22*'Geometry'!$F$55),S_1_fy),-S_1_fy))-(IF((O22+P22*'Geometry'!$G$55+Q22*'Geometry'!$F$55)&gt;0,IF((O22+P22*'Geometry'!$G$55+Q22*'Geometry'!$F$55)&lt;=C_eco,C_alpha*C_fck*(1-(1-(O22+P22*'Geometry'!$G$55+Q22*'Geometry'!$F$55)/C_eco)^C_n),C_alpha*C_fck),0)))*'Geometry'!$H$55+((MAX(MIN(S_1_Es*(O22+P22*'Geometry'!$G$56+Q22*'Geometry'!$F$56),S_1_fy),-S_1_fy))-(IF((O22+P22*'Geometry'!$G$56+Q22*'Geometry'!$F$56)&gt;0,IF((O22+P22*'Geometry'!$G$56+Q22*'Geometry'!$F$56)&lt;=C_eco,C_alpha*C_fck*(1-(1-(O22+P22*'Geometry'!$G$56+Q22*'Geometry'!$F$56)/C_eco)^C_n),C_alpha*C_fck),0)))*'Geometry'!$H$56+((MAX(MIN(S_1_Es*(O22+P22*'Geometry'!$G$57+Q22*'Geometry'!$F$57),S_1_fy),-S_1_fy))-(IF((O22+P22*'Geometry'!$G$57+Q22*'Geometry'!$F$57)&gt;0,IF((O22+P22*'Geometry'!$G$57+Q22*'Geometry'!$F$57)&lt;=C_eco,C_alpha*C_fck*(1-(1-(O22+P22*'Geometry'!$G$57+Q22*'Geometry'!$F$57)/C_eco)^C_n),C_alpha*C_fck),0)))*'Geometry'!$H$57)/1000</f>
        <v>-3168.649808131141</v>
      </c>
      <c r="V22" s="10">
        <f>(((MAX(MIN(S_1_Es*(O22+P22*'Geometry'!$G$40+Q22*'Geometry'!$F$40),S_1_fy),-S_1_fy))-(IF((O22+P22*'Geometry'!$G$40+Q22*'Geometry'!$F$40)&gt;0,IF((O22+P22*'Geometry'!$G$40+Q22*'Geometry'!$F$40)&lt;=C_eco,C_alpha*C_fck*(1-(1-(O22+P22*'Geometry'!$G$40+Q22*'Geometry'!$F$40)/C_eco)^C_n),C_alpha*C_fck),0)))*'Geometry'!$H$40*'Geometry'!$G$40+((MAX(MIN(S_1_Es*(O22+P22*'Geometry'!$G$41+Q22*'Geometry'!$F$41),S_1_fy),-S_1_fy))-(IF((O22+P22*'Geometry'!$G$41+Q22*'Geometry'!$F$41)&gt;0,IF((O22+P22*'Geometry'!$G$41+Q22*'Geometry'!$F$41)&lt;=C_eco,C_alpha*C_fck*(1-(1-(O22+P22*'Geometry'!$G$41+Q22*'Geometry'!$F$41)/C_eco)^C_n),C_alpha*C_fck),0)))*'Geometry'!$H$41*'Geometry'!$G$41+((MAX(MIN(S_1_Es*(O22+P22*'Geometry'!$G$42+Q22*'Geometry'!$F$42),S_1_fy),-S_1_fy))-(IF((O22+P22*'Geometry'!$G$42+Q22*'Geometry'!$F$42)&gt;0,IF((O22+P22*'Geometry'!$G$42+Q22*'Geometry'!$F$42)&lt;=C_eco,C_alpha*C_fck*(1-(1-(O22+P22*'Geometry'!$G$42+Q22*'Geometry'!$F$42)/C_eco)^C_n),C_alpha*C_fck),0)))*'Geometry'!$H$42*'Geometry'!$G$42+((MAX(MIN(S_1_Es*(O22+P22*'Geometry'!$G$43+Q22*'Geometry'!$F$43),S_1_fy),-S_1_fy))-(IF((O22+P22*'Geometry'!$G$43+Q22*'Geometry'!$F$43)&gt;0,IF((O22+P22*'Geometry'!$G$43+Q22*'Geometry'!$F$43)&lt;=C_eco,C_alpha*C_fck*(1-(1-(O22+P22*'Geometry'!$G$43+Q22*'Geometry'!$F$43)/C_eco)^C_n),C_alpha*C_fck),0)))*'Geometry'!$H$43*'Geometry'!$G$43+((MAX(MIN(S_1_Es*(O22+P22*'Geometry'!$G$44+Q22*'Geometry'!$F$44),S_1_fy),-S_1_fy))-(IF((O22+P22*'Geometry'!$G$44+Q22*'Geometry'!$F$44)&gt;0,IF((O22+P22*'Geometry'!$G$44+Q22*'Geometry'!$F$44)&lt;=C_eco,C_alpha*C_fck*(1-(1-(O22+P22*'Geometry'!$G$44+Q22*'Geometry'!$F$44)/C_eco)^C_n),C_alpha*C_fck),0)))*'Geometry'!$H$44*'Geometry'!$G$44+((MAX(MIN(S_1_Es*(O22+P22*'Geometry'!$G$45+Q22*'Geometry'!$F$45),S_1_fy),-S_1_fy))-(IF((O22+P22*'Geometry'!$G$45+Q22*'Geometry'!$F$45)&gt;0,IF((O22+P22*'Geometry'!$G$45+Q22*'Geometry'!$F$45)&lt;=C_eco,C_alpha*C_fck*(1-(1-(O22+P22*'Geometry'!$G$45+Q22*'Geometry'!$F$45)/C_eco)^C_n),C_alpha*C_fck),0)))*'Geometry'!$H$45*'Geometry'!$G$45+((MAX(MIN(S_1_Es*(O22+P22*'Geometry'!$G$46+Q22*'Geometry'!$F$46),S_1_fy),-S_1_fy))-(IF((O22+P22*'Geometry'!$G$46+Q22*'Geometry'!$F$46)&gt;0,IF((O22+P22*'Geometry'!$G$46+Q22*'Geometry'!$F$46)&lt;=C_eco,C_alpha*C_fck*(1-(1-(O22+P22*'Geometry'!$G$46+Q22*'Geometry'!$F$46)/C_eco)^C_n),C_alpha*C_fck),0)))*'Geometry'!$H$46*'Geometry'!$G$46+((MAX(MIN(S_1_Es*(O22+P22*'Geometry'!$G$47+Q22*'Geometry'!$F$47),S_1_fy),-S_1_fy))-(IF((O22+P22*'Geometry'!$G$47+Q22*'Geometry'!$F$47)&gt;0,IF((O22+P22*'Geometry'!$G$47+Q22*'Geometry'!$F$47)&lt;=C_eco,C_alpha*C_fck*(1-(1-(O22+P22*'Geometry'!$G$47+Q22*'Geometry'!$F$47)/C_eco)^C_n),C_alpha*C_fck),0)))*'Geometry'!$H$47*'Geometry'!$G$47+((MAX(MIN(S_1_Es*(O22+P22*'Geometry'!$G$48+Q22*'Geometry'!$F$48),S_1_fy),-S_1_fy))-(IF((O22+P22*'Geometry'!$G$48+Q22*'Geometry'!$F$48)&gt;0,IF((O22+P22*'Geometry'!$G$48+Q22*'Geometry'!$F$48)&lt;=C_eco,C_alpha*C_fck*(1-(1-(O22+P22*'Geometry'!$G$48+Q22*'Geometry'!$F$48)/C_eco)^C_n),C_alpha*C_fck),0)))*'Geometry'!$H$48*'Geometry'!$G$48+((MAX(MIN(S_1_Es*(O22+P22*'Geometry'!$G$49+Q22*'Geometry'!$F$49),S_1_fy),-S_1_fy))-(IF((O22+P22*'Geometry'!$G$49+Q22*'Geometry'!$F$49)&gt;0,IF((O22+P22*'Geometry'!$G$49+Q22*'Geometry'!$F$49)&lt;=C_eco,C_alpha*C_fck*(1-(1-(O22+P22*'Geometry'!$G$49+Q22*'Geometry'!$F$49)/C_eco)^C_n),C_alpha*C_fck),0)))*'Geometry'!$H$49*'Geometry'!$G$49+((MAX(MIN(S_1_Es*(O22+P22*'Geometry'!$G$50+Q22*'Geometry'!$F$50),S_1_fy),-S_1_fy))-(IF((O22+P22*'Geometry'!$G$50+Q22*'Geometry'!$F$50)&gt;0,IF((O22+P22*'Geometry'!$G$50+Q22*'Geometry'!$F$50)&lt;=C_eco,C_alpha*C_fck*(1-(1-(O22+P22*'Geometry'!$G$50+Q22*'Geometry'!$F$50)/C_eco)^C_n),C_alpha*C_fck),0)))*'Geometry'!$H$50*'Geometry'!$G$50+((MAX(MIN(S_1_Es*(O22+P22*'Geometry'!$G$51+Q22*'Geometry'!$F$51),S_1_fy),-S_1_fy))-(IF((O22+P22*'Geometry'!$G$51+Q22*'Geometry'!$F$51)&gt;0,IF((O22+P22*'Geometry'!$G$51+Q22*'Geometry'!$F$51)&lt;=C_eco,C_alpha*C_fck*(1-(1-(O22+P22*'Geometry'!$G$51+Q22*'Geometry'!$F$51)/C_eco)^C_n),C_alpha*C_fck),0)))*'Geometry'!$H$51*'Geometry'!$G$51+((MAX(MIN(S_1_Es*(O22+P22*'Geometry'!$G$52+Q22*'Geometry'!$F$52),S_1_fy),-S_1_fy))-(IF((O22+P22*'Geometry'!$G$52+Q22*'Geometry'!$F$52)&gt;0,IF((O22+P22*'Geometry'!$G$52+Q22*'Geometry'!$F$52)&lt;=C_eco,C_alpha*C_fck*(1-(1-(O22+P22*'Geometry'!$G$52+Q22*'Geometry'!$F$52)/C_eco)^C_n),C_alpha*C_fck),0)))*'Geometry'!$H$52*'Geometry'!$G$52+((MAX(MIN(S_1_Es*(O22+P22*'Geometry'!$G$53+Q22*'Geometry'!$F$53),S_1_fy),-S_1_fy))-(IF((O22+P22*'Geometry'!$G$53+Q22*'Geometry'!$F$53)&gt;0,IF((O22+P22*'Geometry'!$G$53+Q22*'Geometry'!$F$53)&lt;=C_eco,C_alpha*C_fck*(1-(1-(O22+P22*'Geometry'!$G$53+Q22*'Geometry'!$F$53)/C_eco)^C_n),C_alpha*C_fck),0)))*'Geometry'!$H$53*'Geometry'!$G$53+((MAX(MIN(S_1_Es*(O22+P22*'Geometry'!$G$54+Q22*'Geometry'!$F$54),S_1_fy),-S_1_fy))-(IF((O22+P22*'Geometry'!$G$54+Q22*'Geometry'!$F$54)&gt;0,IF((O22+P22*'Geometry'!$G$54+Q22*'Geometry'!$F$54)&lt;=C_eco,C_alpha*C_fck*(1-(1-(O22+P22*'Geometry'!$G$54+Q22*'Geometry'!$F$54)/C_eco)^C_n),C_alpha*C_fck),0)))*'Geometry'!$H$54*'Geometry'!$G$54+((MAX(MIN(S_1_Es*(O22+P22*'Geometry'!$G$55+Q22*'Geometry'!$F$55),S_1_fy),-S_1_fy))-(IF((O22+P22*'Geometry'!$G$55+Q22*'Geometry'!$F$55)&gt;0,IF((O22+P22*'Geometry'!$G$55+Q22*'Geometry'!$F$55)&lt;=C_eco,C_alpha*C_fck*(1-(1-(O22+P22*'Geometry'!$G$55+Q22*'Geometry'!$F$55)/C_eco)^C_n),C_alpha*C_fck),0)))*'Geometry'!$H$55*'Geometry'!$G$55+((MAX(MIN(S_1_Es*(O22+P22*'Geometry'!$G$56+Q22*'Geometry'!$F$56),S_1_fy),-S_1_fy))-(IF((O22+P22*'Geometry'!$G$56+Q22*'Geometry'!$F$56)&gt;0,IF((O22+P22*'Geometry'!$G$56+Q22*'Geometry'!$F$56)&lt;=C_eco,C_alpha*C_fck*(1-(1-(O22+P22*'Geometry'!$G$56+Q22*'Geometry'!$F$56)/C_eco)^C_n),C_alpha*C_fck),0)))*'Geometry'!$H$56*'Geometry'!$G$56+((MAX(MIN(S_1_Es*(O22+P22*'Geometry'!$G$57+Q22*'Geometry'!$F$57),S_1_fy),-S_1_fy))-(IF((O22+P22*'Geometry'!$G$57+Q22*'Geometry'!$F$57)&gt;0,IF((O22+P22*'Geometry'!$G$57+Q22*'Geometry'!$F$57)&lt;=C_eco,C_alpha*C_fck*(1-(1-(O22+P22*'Geometry'!$G$57+Q22*'Geometry'!$F$57)/C_eco)^C_n),C_alpha*C_fck),0)))*'Geometry'!$H$57*'Geometry'!$G$57)/1000000</f>
        <v>-946.1104538385998</v>
      </c>
      <c r="W22" s="10">
        <f>(((MAX(MIN(S_1_Es*(O22+P22*'Geometry'!$G$40+Q22*'Geometry'!$F$40),S_1_fy),-S_1_fy))-(IF((O22+P22*'Geometry'!$G$40+Q22*'Geometry'!$F$40)&gt;0,IF((O22+P22*'Geometry'!$G$40+Q22*'Geometry'!$F$40)&lt;=C_eco,C_alpha*C_fck*(1-(1-(O22+P22*'Geometry'!$G$40+Q22*'Geometry'!$F$40)/C_eco)^C_n),C_alpha*C_fck),0)))*'Geometry'!$H$40*'Geometry'!$F$40+((MAX(MIN(S_1_Es*(O22+P22*'Geometry'!$G$41+Q22*'Geometry'!$F$41),S_1_fy),-S_1_fy))-(IF((O22+P22*'Geometry'!$G$41+Q22*'Geometry'!$F$41)&gt;0,IF((O22+P22*'Geometry'!$G$41+Q22*'Geometry'!$F$41)&lt;=C_eco,C_alpha*C_fck*(1-(1-(O22+P22*'Geometry'!$G$41+Q22*'Geometry'!$F$41)/C_eco)^C_n),C_alpha*C_fck),0)))*'Geometry'!$H$41*'Geometry'!$F$41+((MAX(MIN(S_1_Es*(O22+P22*'Geometry'!$G$42+Q22*'Geometry'!$F$42),S_1_fy),-S_1_fy))-(IF((O22+P22*'Geometry'!$G$42+Q22*'Geometry'!$F$42)&gt;0,IF((O22+P22*'Geometry'!$G$42+Q22*'Geometry'!$F$42)&lt;=C_eco,C_alpha*C_fck*(1-(1-(O22+P22*'Geometry'!$G$42+Q22*'Geometry'!$F$42)/C_eco)^C_n),C_alpha*C_fck),0)))*'Geometry'!$H$42*'Geometry'!$F$42+((MAX(MIN(S_1_Es*(O22+P22*'Geometry'!$G$43+Q22*'Geometry'!$F$43),S_1_fy),-S_1_fy))-(IF((O22+P22*'Geometry'!$G$43+Q22*'Geometry'!$F$43)&gt;0,IF((O22+P22*'Geometry'!$G$43+Q22*'Geometry'!$F$43)&lt;=C_eco,C_alpha*C_fck*(1-(1-(O22+P22*'Geometry'!$G$43+Q22*'Geometry'!$F$43)/C_eco)^C_n),C_alpha*C_fck),0)))*'Geometry'!$H$43*'Geometry'!$F$43+((MAX(MIN(S_1_Es*(O22+P22*'Geometry'!$G$44+Q22*'Geometry'!$F$44),S_1_fy),-S_1_fy))-(IF((O22+P22*'Geometry'!$G$44+Q22*'Geometry'!$F$44)&gt;0,IF((O22+P22*'Geometry'!$G$44+Q22*'Geometry'!$F$44)&lt;=C_eco,C_alpha*C_fck*(1-(1-(O22+P22*'Geometry'!$G$44+Q22*'Geometry'!$F$44)/C_eco)^C_n),C_alpha*C_fck),0)))*'Geometry'!$H$44*'Geometry'!$F$44+((MAX(MIN(S_1_Es*(O22+P22*'Geometry'!$G$45+Q22*'Geometry'!$F$45),S_1_fy),-S_1_fy))-(IF((O22+P22*'Geometry'!$G$45+Q22*'Geometry'!$F$45)&gt;0,IF((O22+P22*'Geometry'!$G$45+Q22*'Geometry'!$F$45)&lt;=C_eco,C_alpha*C_fck*(1-(1-(O22+P22*'Geometry'!$G$45+Q22*'Geometry'!$F$45)/C_eco)^C_n),C_alpha*C_fck),0)))*'Geometry'!$H$45*'Geometry'!$F$45+((MAX(MIN(S_1_Es*(O22+P22*'Geometry'!$G$46+Q22*'Geometry'!$F$46),S_1_fy),-S_1_fy))-(IF((O22+P22*'Geometry'!$G$46+Q22*'Geometry'!$F$46)&gt;0,IF((O22+P22*'Geometry'!$G$46+Q22*'Geometry'!$F$46)&lt;=C_eco,C_alpha*C_fck*(1-(1-(O22+P22*'Geometry'!$G$46+Q22*'Geometry'!$F$46)/C_eco)^C_n),C_alpha*C_fck),0)))*'Geometry'!$H$46*'Geometry'!$F$46+((MAX(MIN(S_1_Es*(O22+P22*'Geometry'!$G$47+Q22*'Geometry'!$F$47),S_1_fy),-S_1_fy))-(IF((O22+P22*'Geometry'!$G$47+Q22*'Geometry'!$F$47)&gt;0,IF((O22+P22*'Geometry'!$G$47+Q22*'Geometry'!$F$47)&lt;=C_eco,C_alpha*C_fck*(1-(1-(O22+P22*'Geometry'!$G$47+Q22*'Geometry'!$F$47)/C_eco)^C_n),C_alpha*C_fck),0)))*'Geometry'!$H$47*'Geometry'!$F$47+((MAX(MIN(S_1_Es*(O22+P22*'Geometry'!$G$48+Q22*'Geometry'!$F$48),S_1_fy),-S_1_fy))-(IF((O22+P22*'Geometry'!$G$48+Q22*'Geometry'!$F$48)&gt;0,IF((O22+P22*'Geometry'!$G$48+Q22*'Geometry'!$F$48)&lt;=C_eco,C_alpha*C_fck*(1-(1-(O22+P22*'Geometry'!$G$48+Q22*'Geometry'!$F$48)/C_eco)^C_n),C_alpha*C_fck),0)))*'Geometry'!$H$48*'Geometry'!$F$48+((MAX(MIN(S_1_Es*(O22+P22*'Geometry'!$G$49+Q22*'Geometry'!$F$49),S_1_fy),-S_1_fy))-(IF((O22+P22*'Geometry'!$G$49+Q22*'Geometry'!$F$49)&gt;0,IF((O22+P22*'Geometry'!$G$49+Q22*'Geometry'!$F$49)&lt;=C_eco,C_alpha*C_fck*(1-(1-(O22+P22*'Geometry'!$G$49+Q22*'Geometry'!$F$49)/C_eco)^C_n),C_alpha*C_fck),0)))*'Geometry'!$H$49*'Geometry'!$F$49+((MAX(MIN(S_1_Es*(O22+P22*'Geometry'!$G$50+Q22*'Geometry'!$F$50),S_1_fy),-S_1_fy))-(IF((O22+P22*'Geometry'!$G$50+Q22*'Geometry'!$F$50)&gt;0,IF((O22+P22*'Geometry'!$G$50+Q22*'Geometry'!$F$50)&lt;=C_eco,C_alpha*C_fck*(1-(1-(O22+P22*'Geometry'!$G$50+Q22*'Geometry'!$F$50)/C_eco)^C_n),C_alpha*C_fck),0)))*'Geometry'!$H$50*'Geometry'!$F$50+((MAX(MIN(S_1_Es*(O22+P22*'Geometry'!$G$51+Q22*'Geometry'!$F$51),S_1_fy),-S_1_fy))-(IF((O22+P22*'Geometry'!$G$51+Q22*'Geometry'!$F$51)&gt;0,IF((O22+P22*'Geometry'!$G$51+Q22*'Geometry'!$F$51)&lt;=C_eco,C_alpha*C_fck*(1-(1-(O22+P22*'Geometry'!$G$51+Q22*'Geometry'!$F$51)/C_eco)^C_n),C_alpha*C_fck),0)))*'Geometry'!$H$51*'Geometry'!$F$51+((MAX(MIN(S_1_Es*(O22+P22*'Geometry'!$G$52+Q22*'Geometry'!$F$52),S_1_fy),-S_1_fy))-(IF((O22+P22*'Geometry'!$G$52+Q22*'Geometry'!$F$52)&gt;0,IF((O22+P22*'Geometry'!$G$52+Q22*'Geometry'!$F$52)&lt;=C_eco,C_alpha*C_fck*(1-(1-(O22+P22*'Geometry'!$G$52+Q22*'Geometry'!$F$52)/C_eco)^C_n),C_alpha*C_fck),0)))*'Geometry'!$H$52*'Geometry'!$F$52+((MAX(MIN(S_1_Es*(O22+P22*'Geometry'!$G$53+Q22*'Geometry'!$F$53),S_1_fy),-S_1_fy))-(IF((O22+P22*'Geometry'!$G$53+Q22*'Geometry'!$F$53)&gt;0,IF((O22+P22*'Geometry'!$G$53+Q22*'Geometry'!$F$53)&lt;=C_eco,C_alpha*C_fck*(1-(1-(O22+P22*'Geometry'!$G$53+Q22*'Geometry'!$F$53)/C_eco)^C_n),C_alpha*C_fck),0)))*'Geometry'!$H$53*'Geometry'!$F$53+((MAX(MIN(S_1_Es*(O22+P22*'Geometry'!$G$54+Q22*'Geometry'!$F$54),S_1_fy),-S_1_fy))-(IF((O22+P22*'Geometry'!$G$54+Q22*'Geometry'!$F$54)&gt;0,IF((O22+P22*'Geometry'!$G$54+Q22*'Geometry'!$F$54)&lt;=C_eco,C_alpha*C_fck*(1-(1-(O22+P22*'Geometry'!$G$54+Q22*'Geometry'!$F$54)/C_eco)^C_n),C_alpha*C_fck),0)))*'Geometry'!$H$54*'Geometry'!$F$54+((MAX(MIN(S_1_Es*(O22+P22*'Geometry'!$G$55+Q22*'Geometry'!$F$55),S_1_fy),-S_1_fy))-(IF((O22+P22*'Geometry'!$G$55+Q22*'Geometry'!$F$55)&gt;0,IF((O22+P22*'Geometry'!$G$55+Q22*'Geometry'!$F$55)&lt;=C_eco,C_alpha*C_fck*(1-(1-(O22+P22*'Geometry'!$G$55+Q22*'Geometry'!$F$55)/C_eco)^C_n),C_alpha*C_fck),0)))*'Geometry'!$H$55*'Geometry'!$F$55+((MAX(MIN(S_1_Es*(O22+P22*'Geometry'!$G$56+Q22*'Geometry'!$F$56),S_1_fy),-S_1_fy))-(IF((O22+P22*'Geometry'!$G$56+Q22*'Geometry'!$F$56)&gt;0,IF((O22+P22*'Geometry'!$G$56+Q22*'Geometry'!$F$56)&lt;=C_eco,C_alpha*C_fck*(1-(1-(O22+P22*'Geometry'!$G$56+Q22*'Geometry'!$F$56)/C_eco)^C_n),C_alpha*C_fck),0)))*'Geometry'!$H$56*'Geometry'!$F$56+((MAX(MIN(S_1_Es*(O22+P22*'Geometry'!$G$57+Q22*'Geometry'!$F$57),S_1_fy),-S_1_fy))-(IF((O22+P22*'Geometry'!$G$57+Q22*'Geometry'!$F$57)&gt;0,IF((O22+P22*'Geometry'!$G$57+Q22*'Geometry'!$F$57)&lt;=C_eco,C_alpha*C_fck*(1-(1-(O22+P22*'Geometry'!$G$57+Q22*'Geometry'!$F$57)/C_eco)^C_n),C_alpha*C_fck),0)))*'Geometry'!$H$57*'Geometry'!$F$57)/1000000</f>
        <v>1152.7299567919633</v>
      </c>
      <c r="X22" s="10">
        <f>R22+U22</f>
        <v>531.3593486656523</v>
      </c>
      <c r="Y22" s="10">
        <f>S22+V22</f>
        <v>-2452.848739573428</v>
      </c>
      <c r="Z22" s="10">
        <f>T22+W22</f>
        <v>3047.4116469251812</v>
      </c>
      <c r="AA22" s="7">
        <v>0.85</v>
      </c>
      <c r="AB22" s="7">
        <v>0.8499999999999999</v>
      </c>
      <c r="AC22" s="10">
        <f>X22*AA22</f>
        <v>451.6554463658045</v>
      </c>
      <c r="AD22" s="10">
        <f>Y22*AB22</f>
        <v>-2084.9214286374136</v>
      </c>
      <c r="AE22" s="10">
        <f>Z22*AB22</f>
        <v>2590.299899886404</v>
      </c>
      <c r="AF22" s="7">
        <v>451.6554463658045</v>
      </c>
      <c r="AG22" s="7">
        <v>-2084.9214286374136</v>
      </c>
      <c r="AH22" s="7">
        <v>2590.299899886404</v>
      </c>
      <c r="AI22" s="15">
        <f>AC22-AF22</f>
        <v>0</v>
      </c>
      <c r="AJ22" s="15">
        <f>SQRT((AD22-AG22)^2+(AE22-AH22)^2)</f>
        <v>0</v>
      </c>
      <c r="AK22" s="7" t="s">
        <v>189</v>
      </c>
      <c r="AL22" s="7">
        <v>531.3593486656523</v>
      </c>
      <c r="AM22" s="7">
        <v>-2452.848739573428</v>
      </c>
      <c r="AN22" s="7">
        <v>3047.4116469251812</v>
      </c>
      <c r="AO22" s="7">
        <v>3700.0091567967934</v>
      </c>
      <c r="AP22" s="7">
        <v>-1506.738285734828</v>
      </c>
      <c r="AQ22" s="7">
        <v>1894.6816901332181</v>
      </c>
      <c r="AR22" s="7">
        <v>-3168.649808131141</v>
      </c>
      <c r="AS22" s="7">
        <v>-946.1104538385998</v>
      </c>
      <c r="AT22" s="7">
        <v>1152.7299567919633</v>
      </c>
    </row>
    <row r="23" spans="1:46" x14ac:dyDescent="0.25">
      <c r="A23" s="7" t="s">
        <v>220</v>
      </c>
      <c r="B23" s="7">
        <v>1</v>
      </c>
      <c r="C23" s="18">
        <v>150</v>
      </c>
      <c r="D23" s="7" t="s">
        <v>282</v>
      </c>
      <c r="E23" s="7" t="s">
        <v>267</v>
      </c>
      <c r="F23" s="19">
        <v>150</v>
      </c>
      <c r="G23" s="7" t="s">
        <v>188</v>
      </c>
      <c r="H23" s="20">
        <v>4.999999999999999</v>
      </c>
      <c r="I23" s="10">
        <f>MAX(('Geometry'!$G$13*COS(RADIANS(F23))+'Geometry'!$F$13*SIN(RADIANS(F23))),('Geometry'!$G$14*COS(RADIANS(F23))+'Geometry'!$F$14*SIN(RADIANS(F23))),('Geometry'!$G$15*COS(RADIANS(F23))+'Geometry'!$F$15*SIN(RADIANS(F23))),('Geometry'!$G$16*COS(RADIANS(F23))+'Geometry'!$F$16*SIN(RADIANS(F23))),('Geometry'!$G$17*COS(RADIANS(F23))+'Geometry'!$F$17*SIN(RADIANS(F23))),('Geometry'!$G$18*COS(RADIANS(F23))+'Geometry'!$F$18*SIN(RADIANS(F23))),('Geometry'!$G$19*COS(RADIANS(F23))+'Geometry'!$F$19*SIN(RADIANS(F23))),('Geometry'!$G$20*COS(RADIANS(F23))+'Geometry'!$F$20*SIN(RADIANS(F23))))</f>
        <v>794.6152422706632</v>
      </c>
      <c r="J23" s="10">
        <f>MIN(('Geometry'!$G$40*COS(RADIANS(F23))+'Geometry'!$F$40*SIN(RADIANS(F23))),('Geometry'!$G$41*COS(RADIANS(F23))+'Geometry'!$F$41*SIN(RADIANS(F23))),('Geometry'!$G$42*COS(RADIANS(F23))+'Geometry'!$F$42*SIN(RADIANS(F23))),('Geometry'!$G$43*COS(RADIANS(F23))+'Geometry'!$F$43*SIN(RADIANS(F23))),('Geometry'!$G$44*COS(RADIANS(F23))+'Geometry'!$F$44*SIN(RADIANS(F23))),('Geometry'!$G$45*COS(RADIANS(F23))+'Geometry'!$F$45*SIN(RADIANS(F23))),('Geometry'!$G$46*COS(RADIANS(F23))+'Geometry'!$F$46*SIN(RADIANS(F23))),('Geometry'!$G$47*COS(RADIANS(F23))+'Geometry'!$F$47*SIN(RADIANS(F23))),('Geometry'!$G$48*COS(RADIANS(F23))+'Geometry'!$F$48*SIN(RADIANS(F23))),('Geometry'!$G$49*COS(RADIANS(F23))+'Geometry'!$F$49*SIN(RADIANS(F23))),('Geometry'!$G$50*COS(RADIANS(F23))+'Geometry'!$F$50*SIN(RADIANS(F23))),('Geometry'!$G$51*COS(RADIANS(F23))+'Geometry'!$F$51*SIN(RADIANS(F23))),('Geometry'!$G$52*COS(RADIANS(F23))+'Geometry'!$F$52*SIN(RADIANS(F23))),('Geometry'!$G$53*COS(RADIANS(F23))+'Geometry'!$F$53*SIN(RADIANS(F23))),('Geometry'!$G$54*COS(RADIANS(F23))+'Geometry'!$F$54*SIN(RADIANS(F23))),('Geometry'!$G$55*COS(RADIANS(F23))+'Geometry'!$F$55*SIN(RADIANS(F23))),('Geometry'!$G$56*COS(RADIANS(F23))+'Geometry'!$F$56*SIN(RADIANS(F23))),('Geometry'!$G$57*COS(RADIANS(F23))+'Geometry'!$F$57*SIN(RADIANS(F23))))</f>
        <v>-658.9934640057525</v>
      </c>
      <c r="K23" s="10">
        <f>I23-MIN(('Geometry'!$G$13*COS(RADIANS(F23))+'Geometry'!$F$13*SIN(RADIANS(F23))),('Geometry'!$G$14*COS(RADIANS(F23))+'Geometry'!$F$14*SIN(RADIANS(F23))),('Geometry'!$G$15*COS(RADIANS(F23))+'Geometry'!$F$15*SIN(RADIANS(F23))),('Geometry'!$G$16*COS(RADIANS(F23))+'Geometry'!$F$16*SIN(RADIANS(F23))),('Geometry'!$G$17*COS(RADIANS(F23))+'Geometry'!$F$17*SIN(RADIANS(F23))),('Geometry'!$G$18*COS(RADIANS(F23))+'Geometry'!$F$18*SIN(RADIANS(F23))),('Geometry'!$G$19*COS(RADIANS(F23))+'Geometry'!$F$19*SIN(RADIANS(F23))),('Geometry'!$G$20*COS(RADIANS(F23))+'Geometry'!$F$20*SIN(RADIANS(F23))))</f>
        <v>1589.2304845413264</v>
      </c>
      <c r="L23" s="15">
        <f>C_ecu</f>
        <v>0.0033</v>
      </c>
      <c r="M23" s="15">
        <f>-H23*S_1_fy/S_1_Es</f>
        <v>-0.009999999999999998</v>
      </c>
      <c r="N23" s="21">
        <f>IF(ABS(I23-J23)&lt;0.000000000001,0,(L23-M23)/(I23-J23))</f>
        <v>0.00000914964250184595</v>
      </c>
      <c r="O23" s="15">
        <f>L23-N23*I23</f>
        <v>-0.003970445393294277</v>
      </c>
      <c r="P23" s="21">
        <f>N23*COS(RADIANS(F23))</f>
        <v>-0.000007923822842144399</v>
      </c>
      <c r="Q23" s="21">
        <f>N23*SIN(RADIANS(F23))</f>
        <v>0.000004574821250922978</v>
      </c>
      <c r="R23" s="10">
        <f>SUMPRODUCT(C_alpha*C_fck*(1-(1-(((O23+P23*Mesh_Y+Q23*Mesh_X))*((O23+P23*Mesh_Y+Q23*Mesh_X)&gt;0)*((O23+P23*Mesh_Y+Q23*Mesh_X)&lt;C_eco)+C_eco*((O23+P23*Mesh_Y+Q23*Mesh_X)&gt;=C_eco))/C_eco)^C_n)*(((O23+P23*Mesh_Y+Q23*Mesh_X))&gt;0),Mesh_A)/1000</f>
        <v>3641.415957994167</v>
      </c>
      <c r="S23" s="10">
        <f>SUMPRODUCT(C_alpha*C_fck*(1-(1-(((O23+P23*Mesh_Y+Q23*Mesh_X))*((O23+P23*Mesh_Y+Q23*Mesh_X)&gt;0)*((O23+P23*Mesh_Y+Q23*Mesh_X)&lt;C_eco)+C_eco*((O23+P23*Mesh_Y+Q23*Mesh_X)&gt;=C_eco))/C_eco)^C_n)*(((O23+P23*Mesh_Y+Q23*Mesh_X))&gt;0),Mesh_A,Mesh_Y)/1000000</f>
        <v>-1616.2764722115858</v>
      </c>
      <c r="T23" s="10">
        <f>SUMPRODUCT(C_alpha*C_fck*(1-(1-(((O23+P23*Mesh_Y+Q23*Mesh_X))*((O23+P23*Mesh_Y+Q23*Mesh_X)&gt;0)*((O23+P23*Mesh_Y+Q23*Mesh_X)&lt;C_eco)+C_eco*((O23+P23*Mesh_Y+Q23*Mesh_X)&gt;=C_eco))/C_eco)^C_n)*(((O23+P23*Mesh_Y+Q23*Mesh_X))&gt;0),Mesh_A,Mesh_X)/1000000</f>
        <v>1675.634340127561</v>
      </c>
      <c r="U23" s="10">
        <f>(((MAX(MIN(S_1_Es*(O23+P23*'Geometry'!$G$40+Q23*'Geometry'!$F$40),S_1_fy),-S_1_fy))-(IF((O23+P23*'Geometry'!$G$40+Q23*'Geometry'!$F$40)&gt;0,IF((O23+P23*'Geometry'!$G$40+Q23*'Geometry'!$F$40)&lt;=C_eco,C_alpha*C_fck*(1-(1-(O23+P23*'Geometry'!$G$40+Q23*'Geometry'!$F$40)/C_eco)^C_n),C_alpha*C_fck),0)))*'Geometry'!$H$40+((MAX(MIN(S_1_Es*(O23+P23*'Geometry'!$G$41+Q23*'Geometry'!$F$41),S_1_fy),-S_1_fy))-(IF((O23+P23*'Geometry'!$G$41+Q23*'Geometry'!$F$41)&gt;0,IF((O23+P23*'Geometry'!$G$41+Q23*'Geometry'!$F$41)&lt;=C_eco,C_alpha*C_fck*(1-(1-(O23+P23*'Geometry'!$G$41+Q23*'Geometry'!$F$41)/C_eco)^C_n),C_alpha*C_fck),0)))*'Geometry'!$H$41+((MAX(MIN(S_1_Es*(O23+P23*'Geometry'!$G$42+Q23*'Geometry'!$F$42),S_1_fy),-S_1_fy))-(IF((O23+P23*'Geometry'!$G$42+Q23*'Geometry'!$F$42)&gt;0,IF((O23+P23*'Geometry'!$G$42+Q23*'Geometry'!$F$42)&lt;=C_eco,C_alpha*C_fck*(1-(1-(O23+P23*'Geometry'!$G$42+Q23*'Geometry'!$F$42)/C_eco)^C_n),C_alpha*C_fck),0)))*'Geometry'!$H$42+((MAX(MIN(S_1_Es*(O23+P23*'Geometry'!$G$43+Q23*'Geometry'!$F$43),S_1_fy),-S_1_fy))-(IF((O23+P23*'Geometry'!$G$43+Q23*'Geometry'!$F$43)&gt;0,IF((O23+P23*'Geometry'!$G$43+Q23*'Geometry'!$F$43)&lt;=C_eco,C_alpha*C_fck*(1-(1-(O23+P23*'Geometry'!$G$43+Q23*'Geometry'!$F$43)/C_eco)^C_n),C_alpha*C_fck),0)))*'Geometry'!$H$43+((MAX(MIN(S_1_Es*(O23+P23*'Geometry'!$G$44+Q23*'Geometry'!$F$44),S_1_fy),-S_1_fy))-(IF((O23+P23*'Geometry'!$G$44+Q23*'Geometry'!$F$44)&gt;0,IF((O23+P23*'Geometry'!$G$44+Q23*'Geometry'!$F$44)&lt;=C_eco,C_alpha*C_fck*(1-(1-(O23+P23*'Geometry'!$G$44+Q23*'Geometry'!$F$44)/C_eco)^C_n),C_alpha*C_fck),0)))*'Geometry'!$H$44+((MAX(MIN(S_1_Es*(O23+P23*'Geometry'!$G$45+Q23*'Geometry'!$F$45),S_1_fy),-S_1_fy))-(IF((O23+P23*'Geometry'!$G$45+Q23*'Geometry'!$F$45)&gt;0,IF((O23+P23*'Geometry'!$G$45+Q23*'Geometry'!$F$45)&lt;=C_eco,C_alpha*C_fck*(1-(1-(O23+P23*'Geometry'!$G$45+Q23*'Geometry'!$F$45)/C_eco)^C_n),C_alpha*C_fck),0)))*'Geometry'!$H$45+((MAX(MIN(S_1_Es*(O23+P23*'Geometry'!$G$46+Q23*'Geometry'!$F$46),S_1_fy),-S_1_fy))-(IF((O23+P23*'Geometry'!$G$46+Q23*'Geometry'!$F$46)&gt;0,IF((O23+P23*'Geometry'!$G$46+Q23*'Geometry'!$F$46)&lt;=C_eco,C_alpha*C_fck*(1-(1-(O23+P23*'Geometry'!$G$46+Q23*'Geometry'!$F$46)/C_eco)^C_n),C_alpha*C_fck),0)))*'Geometry'!$H$46+((MAX(MIN(S_1_Es*(O23+P23*'Geometry'!$G$47+Q23*'Geometry'!$F$47),S_1_fy),-S_1_fy))-(IF((O23+P23*'Geometry'!$G$47+Q23*'Geometry'!$F$47)&gt;0,IF((O23+P23*'Geometry'!$G$47+Q23*'Geometry'!$F$47)&lt;=C_eco,C_alpha*C_fck*(1-(1-(O23+P23*'Geometry'!$G$47+Q23*'Geometry'!$F$47)/C_eco)^C_n),C_alpha*C_fck),0)))*'Geometry'!$H$47+((MAX(MIN(S_1_Es*(O23+P23*'Geometry'!$G$48+Q23*'Geometry'!$F$48),S_1_fy),-S_1_fy))-(IF((O23+P23*'Geometry'!$G$48+Q23*'Geometry'!$F$48)&gt;0,IF((O23+P23*'Geometry'!$G$48+Q23*'Geometry'!$F$48)&lt;=C_eco,C_alpha*C_fck*(1-(1-(O23+P23*'Geometry'!$G$48+Q23*'Geometry'!$F$48)/C_eco)^C_n),C_alpha*C_fck),0)))*'Geometry'!$H$48+((MAX(MIN(S_1_Es*(O23+P23*'Geometry'!$G$49+Q23*'Geometry'!$F$49),S_1_fy),-S_1_fy))-(IF((O23+P23*'Geometry'!$G$49+Q23*'Geometry'!$F$49)&gt;0,IF((O23+P23*'Geometry'!$G$49+Q23*'Geometry'!$F$49)&lt;=C_eco,C_alpha*C_fck*(1-(1-(O23+P23*'Geometry'!$G$49+Q23*'Geometry'!$F$49)/C_eco)^C_n),C_alpha*C_fck),0)))*'Geometry'!$H$49+((MAX(MIN(S_1_Es*(O23+P23*'Geometry'!$G$50+Q23*'Geometry'!$F$50),S_1_fy),-S_1_fy))-(IF((O23+P23*'Geometry'!$G$50+Q23*'Geometry'!$F$50)&gt;0,IF((O23+P23*'Geometry'!$G$50+Q23*'Geometry'!$F$50)&lt;=C_eco,C_alpha*C_fck*(1-(1-(O23+P23*'Geometry'!$G$50+Q23*'Geometry'!$F$50)/C_eco)^C_n),C_alpha*C_fck),0)))*'Geometry'!$H$50+((MAX(MIN(S_1_Es*(O23+P23*'Geometry'!$G$51+Q23*'Geometry'!$F$51),S_1_fy),-S_1_fy))-(IF((O23+P23*'Geometry'!$G$51+Q23*'Geometry'!$F$51)&gt;0,IF((O23+P23*'Geometry'!$G$51+Q23*'Geometry'!$F$51)&lt;=C_eco,C_alpha*C_fck*(1-(1-(O23+P23*'Geometry'!$G$51+Q23*'Geometry'!$F$51)/C_eco)^C_n),C_alpha*C_fck),0)))*'Geometry'!$H$51+((MAX(MIN(S_1_Es*(O23+P23*'Geometry'!$G$52+Q23*'Geometry'!$F$52),S_1_fy),-S_1_fy))-(IF((O23+P23*'Geometry'!$G$52+Q23*'Geometry'!$F$52)&gt;0,IF((O23+P23*'Geometry'!$G$52+Q23*'Geometry'!$F$52)&lt;=C_eco,C_alpha*C_fck*(1-(1-(O23+P23*'Geometry'!$G$52+Q23*'Geometry'!$F$52)/C_eco)^C_n),C_alpha*C_fck),0)))*'Geometry'!$H$52+((MAX(MIN(S_1_Es*(O23+P23*'Geometry'!$G$53+Q23*'Geometry'!$F$53),S_1_fy),-S_1_fy))-(IF((O23+P23*'Geometry'!$G$53+Q23*'Geometry'!$F$53)&gt;0,IF((O23+P23*'Geometry'!$G$53+Q23*'Geometry'!$F$53)&lt;=C_eco,C_alpha*C_fck*(1-(1-(O23+P23*'Geometry'!$G$53+Q23*'Geometry'!$F$53)/C_eco)^C_n),C_alpha*C_fck),0)))*'Geometry'!$H$53+((MAX(MIN(S_1_Es*(O23+P23*'Geometry'!$G$54+Q23*'Geometry'!$F$54),S_1_fy),-S_1_fy))-(IF((O23+P23*'Geometry'!$G$54+Q23*'Geometry'!$F$54)&gt;0,IF((O23+P23*'Geometry'!$G$54+Q23*'Geometry'!$F$54)&lt;=C_eco,C_alpha*C_fck*(1-(1-(O23+P23*'Geometry'!$G$54+Q23*'Geometry'!$F$54)/C_eco)^C_n),C_alpha*C_fck),0)))*'Geometry'!$H$54+((MAX(MIN(S_1_Es*(O23+P23*'Geometry'!$G$55+Q23*'Geometry'!$F$55),S_1_fy),-S_1_fy))-(IF((O23+P23*'Geometry'!$G$55+Q23*'Geometry'!$F$55)&gt;0,IF((O23+P23*'Geometry'!$G$55+Q23*'Geometry'!$F$55)&lt;=C_eco,C_alpha*C_fck*(1-(1-(O23+P23*'Geometry'!$G$55+Q23*'Geometry'!$F$55)/C_eco)^C_n),C_alpha*C_fck),0)))*'Geometry'!$H$55+((MAX(MIN(S_1_Es*(O23+P23*'Geometry'!$G$56+Q23*'Geometry'!$F$56),S_1_fy),-S_1_fy))-(IF((O23+P23*'Geometry'!$G$56+Q23*'Geometry'!$F$56)&gt;0,IF((O23+P23*'Geometry'!$G$56+Q23*'Geometry'!$F$56)&lt;=C_eco,C_alpha*C_fck*(1-(1-(O23+P23*'Geometry'!$G$56+Q23*'Geometry'!$F$56)/C_eco)^C_n),C_alpha*C_fck),0)))*'Geometry'!$H$56+((MAX(MIN(S_1_Es*(O23+P23*'Geometry'!$G$57+Q23*'Geometry'!$F$57),S_1_fy),-S_1_fy))-(IF((O23+P23*'Geometry'!$G$57+Q23*'Geometry'!$F$57)&gt;0,IF((O23+P23*'Geometry'!$G$57+Q23*'Geometry'!$F$57)&lt;=C_eco,C_alpha*C_fck*(1-(1-(O23+P23*'Geometry'!$G$57+Q23*'Geometry'!$F$57)/C_eco)^C_n),C_alpha*C_fck),0)))*'Geometry'!$H$57)/1000</f>
        <v>-3135.6073900923475</v>
      </c>
      <c r="V23" s="10">
        <f>(((MAX(MIN(S_1_Es*(O23+P23*'Geometry'!$G$40+Q23*'Geometry'!$F$40),S_1_fy),-S_1_fy))-(IF((O23+P23*'Geometry'!$G$40+Q23*'Geometry'!$F$40)&gt;0,IF((O23+P23*'Geometry'!$G$40+Q23*'Geometry'!$F$40)&lt;=C_eco,C_alpha*C_fck*(1-(1-(O23+P23*'Geometry'!$G$40+Q23*'Geometry'!$F$40)/C_eco)^C_n),C_alpha*C_fck),0)))*'Geometry'!$H$40*'Geometry'!$G$40+((MAX(MIN(S_1_Es*(O23+P23*'Geometry'!$G$41+Q23*'Geometry'!$F$41),S_1_fy),-S_1_fy))-(IF((O23+P23*'Geometry'!$G$41+Q23*'Geometry'!$F$41)&gt;0,IF((O23+P23*'Geometry'!$G$41+Q23*'Geometry'!$F$41)&lt;=C_eco,C_alpha*C_fck*(1-(1-(O23+P23*'Geometry'!$G$41+Q23*'Geometry'!$F$41)/C_eco)^C_n),C_alpha*C_fck),0)))*'Geometry'!$H$41*'Geometry'!$G$41+((MAX(MIN(S_1_Es*(O23+P23*'Geometry'!$G$42+Q23*'Geometry'!$F$42),S_1_fy),-S_1_fy))-(IF((O23+P23*'Geometry'!$G$42+Q23*'Geometry'!$F$42)&gt;0,IF((O23+P23*'Geometry'!$G$42+Q23*'Geometry'!$F$42)&lt;=C_eco,C_alpha*C_fck*(1-(1-(O23+P23*'Geometry'!$G$42+Q23*'Geometry'!$F$42)/C_eco)^C_n),C_alpha*C_fck),0)))*'Geometry'!$H$42*'Geometry'!$G$42+((MAX(MIN(S_1_Es*(O23+P23*'Geometry'!$G$43+Q23*'Geometry'!$F$43),S_1_fy),-S_1_fy))-(IF((O23+P23*'Geometry'!$G$43+Q23*'Geometry'!$F$43)&gt;0,IF((O23+P23*'Geometry'!$G$43+Q23*'Geometry'!$F$43)&lt;=C_eco,C_alpha*C_fck*(1-(1-(O23+P23*'Geometry'!$G$43+Q23*'Geometry'!$F$43)/C_eco)^C_n),C_alpha*C_fck),0)))*'Geometry'!$H$43*'Geometry'!$G$43+((MAX(MIN(S_1_Es*(O23+P23*'Geometry'!$G$44+Q23*'Geometry'!$F$44),S_1_fy),-S_1_fy))-(IF((O23+P23*'Geometry'!$G$44+Q23*'Geometry'!$F$44)&gt;0,IF((O23+P23*'Geometry'!$G$44+Q23*'Geometry'!$F$44)&lt;=C_eco,C_alpha*C_fck*(1-(1-(O23+P23*'Geometry'!$G$44+Q23*'Geometry'!$F$44)/C_eco)^C_n),C_alpha*C_fck),0)))*'Geometry'!$H$44*'Geometry'!$G$44+((MAX(MIN(S_1_Es*(O23+P23*'Geometry'!$G$45+Q23*'Geometry'!$F$45),S_1_fy),-S_1_fy))-(IF((O23+P23*'Geometry'!$G$45+Q23*'Geometry'!$F$45)&gt;0,IF((O23+P23*'Geometry'!$G$45+Q23*'Geometry'!$F$45)&lt;=C_eco,C_alpha*C_fck*(1-(1-(O23+P23*'Geometry'!$G$45+Q23*'Geometry'!$F$45)/C_eco)^C_n),C_alpha*C_fck),0)))*'Geometry'!$H$45*'Geometry'!$G$45+((MAX(MIN(S_1_Es*(O23+P23*'Geometry'!$G$46+Q23*'Geometry'!$F$46),S_1_fy),-S_1_fy))-(IF((O23+P23*'Geometry'!$G$46+Q23*'Geometry'!$F$46)&gt;0,IF((O23+P23*'Geometry'!$G$46+Q23*'Geometry'!$F$46)&lt;=C_eco,C_alpha*C_fck*(1-(1-(O23+P23*'Geometry'!$G$46+Q23*'Geometry'!$F$46)/C_eco)^C_n),C_alpha*C_fck),0)))*'Geometry'!$H$46*'Geometry'!$G$46+((MAX(MIN(S_1_Es*(O23+P23*'Geometry'!$G$47+Q23*'Geometry'!$F$47),S_1_fy),-S_1_fy))-(IF((O23+P23*'Geometry'!$G$47+Q23*'Geometry'!$F$47)&gt;0,IF((O23+P23*'Geometry'!$G$47+Q23*'Geometry'!$F$47)&lt;=C_eco,C_alpha*C_fck*(1-(1-(O23+P23*'Geometry'!$G$47+Q23*'Geometry'!$F$47)/C_eco)^C_n),C_alpha*C_fck),0)))*'Geometry'!$H$47*'Geometry'!$G$47+((MAX(MIN(S_1_Es*(O23+P23*'Geometry'!$G$48+Q23*'Geometry'!$F$48),S_1_fy),-S_1_fy))-(IF((O23+P23*'Geometry'!$G$48+Q23*'Geometry'!$F$48)&gt;0,IF((O23+P23*'Geometry'!$G$48+Q23*'Geometry'!$F$48)&lt;=C_eco,C_alpha*C_fck*(1-(1-(O23+P23*'Geometry'!$G$48+Q23*'Geometry'!$F$48)/C_eco)^C_n),C_alpha*C_fck),0)))*'Geometry'!$H$48*'Geometry'!$G$48+((MAX(MIN(S_1_Es*(O23+P23*'Geometry'!$G$49+Q23*'Geometry'!$F$49),S_1_fy),-S_1_fy))-(IF((O23+P23*'Geometry'!$G$49+Q23*'Geometry'!$F$49)&gt;0,IF((O23+P23*'Geometry'!$G$49+Q23*'Geometry'!$F$49)&lt;=C_eco,C_alpha*C_fck*(1-(1-(O23+P23*'Geometry'!$G$49+Q23*'Geometry'!$F$49)/C_eco)^C_n),C_alpha*C_fck),0)))*'Geometry'!$H$49*'Geometry'!$G$49+((MAX(MIN(S_1_Es*(O23+P23*'Geometry'!$G$50+Q23*'Geometry'!$F$50),S_1_fy),-S_1_fy))-(IF((O23+P23*'Geometry'!$G$50+Q23*'Geometry'!$F$50)&gt;0,IF((O23+P23*'Geometry'!$G$50+Q23*'Geometry'!$F$50)&lt;=C_eco,C_alpha*C_fck*(1-(1-(O23+P23*'Geometry'!$G$50+Q23*'Geometry'!$F$50)/C_eco)^C_n),C_alpha*C_fck),0)))*'Geometry'!$H$50*'Geometry'!$G$50+((MAX(MIN(S_1_Es*(O23+P23*'Geometry'!$G$51+Q23*'Geometry'!$F$51),S_1_fy),-S_1_fy))-(IF((O23+P23*'Geometry'!$G$51+Q23*'Geometry'!$F$51)&gt;0,IF((O23+P23*'Geometry'!$G$51+Q23*'Geometry'!$F$51)&lt;=C_eco,C_alpha*C_fck*(1-(1-(O23+P23*'Geometry'!$G$51+Q23*'Geometry'!$F$51)/C_eco)^C_n),C_alpha*C_fck),0)))*'Geometry'!$H$51*'Geometry'!$G$51+((MAX(MIN(S_1_Es*(O23+P23*'Geometry'!$G$52+Q23*'Geometry'!$F$52),S_1_fy),-S_1_fy))-(IF((O23+P23*'Geometry'!$G$52+Q23*'Geometry'!$F$52)&gt;0,IF((O23+P23*'Geometry'!$G$52+Q23*'Geometry'!$F$52)&lt;=C_eco,C_alpha*C_fck*(1-(1-(O23+P23*'Geometry'!$G$52+Q23*'Geometry'!$F$52)/C_eco)^C_n),C_alpha*C_fck),0)))*'Geometry'!$H$52*'Geometry'!$G$52+((MAX(MIN(S_1_Es*(O23+P23*'Geometry'!$G$53+Q23*'Geometry'!$F$53),S_1_fy),-S_1_fy))-(IF((O23+P23*'Geometry'!$G$53+Q23*'Geometry'!$F$53)&gt;0,IF((O23+P23*'Geometry'!$G$53+Q23*'Geometry'!$F$53)&lt;=C_eco,C_alpha*C_fck*(1-(1-(O23+P23*'Geometry'!$G$53+Q23*'Geometry'!$F$53)/C_eco)^C_n),C_alpha*C_fck),0)))*'Geometry'!$H$53*'Geometry'!$G$53+((MAX(MIN(S_1_Es*(O23+P23*'Geometry'!$G$54+Q23*'Geometry'!$F$54),S_1_fy),-S_1_fy))-(IF((O23+P23*'Geometry'!$G$54+Q23*'Geometry'!$F$54)&gt;0,IF((O23+P23*'Geometry'!$G$54+Q23*'Geometry'!$F$54)&lt;=C_eco,C_alpha*C_fck*(1-(1-(O23+P23*'Geometry'!$G$54+Q23*'Geometry'!$F$54)/C_eco)^C_n),C_alpha*C_fck),0)))*'Geometry'!$H$54*'Geometry'!$G$54+((MAX(MIN(S_1_Es*(O23+P23*'Geometry'!$G$55+Q23*'Geometry'!$F$55),S_1_fy),-S_1_fy))-(IF((O23+P23*'Geometry'!$G$55+Q23*'Geometry'!$F$55)&gt;0,IF((O23+P23*'Geometry'!$G$55+Q23*'Geometry'!$F$55)&lt;=C_eco,C_alpha*C_fck*(1-(1-(O23+P23*'Geometry'!$G$55+Q23*'Geometry'!$F$55)/C_eco)^C_n),C_alpha*C_fck),0)))*'Geometry'!$H$55*'Geometry'!$G$55+((MAX(MIN(S_1_Es*(O23+P23*'Geometry'!$G$56+Q23*'Geometry'!$F$56),S_1_fy),-S_1_fy))-(IF((O23+P23*'Geometry'!$G$56+Q23*'Geometry'!$F$56)&gt;0,IF((O23+P23*'Geometry'!$G$56+Q23*'Geometry'!$F$56)&lt;=C_eco,C_alpha*C_fck*(1-(1-(O23+P23*'Geometry'!$G$56+Q23*'Geometry'!$F$56)/C_eco)^C_n),C_alpha*C_fck),0)))*'Geometry'!$H$56*'Geometry'!$G$56+((MAX(MIN(S_1_Es*(O23+P23*'Geometry'!$G$57+Q23*'Geometry'!$F$57),S_1_fy),-S_1_fy))-(IF((O23+P23*'Geometry'!$G$57+Q23*'Geometry'!$F$57)&gt;0,IF((O23+P23*'Geometry'!$G$57+Q23*'Geometry'!$F$57)&lt;=C_eco,C_alpha*C_fck*(1-(1-(O23+P23*'Geometry'!$G$57+Q23*'Geometry'!$F$57)/C_eco)^C_n),C_alpha*C_fck),0)))*'Geometry'!$H$57*'Geometry'!$G$57)/1000000</f>
        <v>-1112.4920342398718</v>
      </c>
      <c r="W23" s="10">
        <f>(((MAX(MIN(S_1_Es*(O23+P23*'Geometry'!$G$40+Q23*'Geometry'!$F$40),S_1_fy),-S_1_fy))-(IF((O23+P23*'Geometry'!$G$40+Q23*'Geometry'!$F$40)&gt;0,IF((O23+P23*'Geometry'!$G$40+Q23*'Geometry'!$F$40)&lt;=C_eco,C_alpha*C_fck*(1-(1-(O23+P23*'Geometry'!$G$40+Q23*'Geometry'!$F$40)/C_eco)^C_n),C_alpha*C_fck),0)))*'Geometry'!$H$40*'Geometry'!$F$40+((MAX(MIN(S_1_Es*(O23+P23*'Geometry'!$G$41+Q23*'Geometry'!$F$41),S_1_fy),-S_1_fy))-(IF((O23+P23*'Geometry'!$G$41+Q23*'Geometry'!$F$41)&gt;0,IF((O23+P23*'Geometry'!$G$41+Q23*'Geometry'!$F$41)&lt;=C_eco,C_alpha*C_fck*(1-(1-(O23+P23*'Geometry'!$G$41+Q23*'Geometry'!$F$41)/C_eco)^C_n),C_alpha*C_fck),0)))*'Geometry'!$H$41*'Geometry'!$F$41+((MAX(MIN(S_1_Es*(O23+P23*'Geometry'!$G$42+Q23*'Geometry'!$F$42),S_1_fy),-S_1_fy))-(IF((O23+P23*'Geometry'!$G$42+Q23*'Geometry'!$F$42)&gt;0,IF((O23+P23*'Geometry'!$G$42+Q23*'Geometry'!$F$42)&lt;=C_eco,C_alpha*C_fck*(1-(1-(O23+P23*'Geometry'!$G$42+Q23*'Geometry'!$F$42)/C_eco)^C_n),C_alpha*C_fck),0)))*'Geometry'!$H$42*'Geometry'!$F$42+((MAX(MIN(S_1_Es*(O23+P23*'Geometry'!$G$43+Q23*'Geometry'!$F$43),S_1_fy),-S_1_fy))-(IF((O23+P23*'Geometry'!$G$43+Q23*'Geometry'!$F$43)&gt;0,IF((O23+P23*'Geometry'!$G$43+Q23*'Geometry'!$F$43)&lt;=C_eco,C_alpha*C_fck*(1-(1-(O23+P23*'Geometry'!$G$43+Q23*'Geometry'!$F$43)/C_eco)^C_n),C_alpha*C_fck),0)))*'Geometry'!$H$43*'Geometry'!$F$43+((MAX(MIN(S_1_Es*(O23+P23*'Geometry'!$G$44+Q23*'Geometry'!$F$44),S_1_fy),-S_1_fy))-(IF((O23+P23*'Geometry'!$G$44+Q23*'Geometry'!$F$44)&gt;0,IF((O23+P23*'Geometry'!$G$44+Q23*'Geometry'!$F$44)&lt;=C_eco,C_alpha*C_fck*(1-(1-(O23+P23*'Geometry'!$G$44+Q23*'Geometry'!$F$44)/C_eco)^C_n),C_alpha*C_fck),0)))*'Geometry'!$H$44*'Geometry'!$F$44+((MAX(MIN(S_1_Es*(O23+P23*'Geometry'!$G$45+Q23*'Geometry'!$F$45),S_1_fy),-S_1_fy))-(IF((O23+P23*'Geometry'!$G$45+Q23*'Geometry'!$F$45)&gt;0,IF((O23+P23*'Geometry'!$G$45+Q23*'Geometry'!$F$45)&lt;=C_eco,C_alpha*C_fck*(1-(1-(O23+P23*'Geometry'!$G$45+Q23*'Geometry'!$F$45)/C_eco)^C_n),C_alpha*C_fck),0)))*'Geometry'!$H$45*'Geometry'!$F$45+((MAX(MIN(S_1_Es*(O23+P23*'Geometry'!$G$46+Q23*'Geometry'!$F$46),S_1_fy),-S_1_fy))-(IF((O23+P23*'Geometry'!$G$46+Q23*'Geometry'!$F$46)&gt;0,IF((O23+P23*'Geometry'!$G$46+Q23*'Geometry'!$F$46)&lt;=C_eco,C_alpha*C_fck*(1-(1-(O23+P23*'Geometry'!$G$46+Q23*'Geometry'!$F$46)/C_eco)^C_n),C_alpha*C_fck),0)))*'Geometry'!$H$46*'Geometry'!$F$46+((MAX(MIN(S_1_Es*(O23+P23*'Geometry'!$G$47+Q23*'Geometry'!$F$47),S_1_fy),-S_1_fy))-(IF((O23+P23*'Geometry'!$G$47+Q23*'Geometry'!$F$47)&gt;0,IF((O23+P23*'Geometry'!$G$47+Q23*'Geometry'!$F$47)&lt;=C_eco,C_alpha*C_fck*(1-(1-(O23+P23*'Geometry'!$G$47+Q23*'Geometry'!$F$47)/C_eco)^C_n),C_alpha*C_fck),0)))*'Geometry'!$H$47*'Geometry'!$F$47+((MAX(MIN(S_1_Es*(O23+P23*'Geometry'!$G$48+Q23*'Geometry'!$F$48),S_1_fy),-S_1_fy))-(IF((O23+P23*'Geometry'!$G$48+Q23*'Geometry'!$F$48)&gt;0,IF((O23+P23*'Geometry'!$G$48+Q23*'Geometry'!$F$48)&lt;=C_eco,C_alpha*C_fck*(1-(1-(O23+P23*'Geometry'!$G$48+Q23*'Geometry'!$F$48)/C_eco)^C_n),C_alpha*C_fck),0)))*'Geometry'!$H$48*'Geometry'!$F$48+((MAX(MIN(S_1_Es*(O23+P23*'Geometry'!$G$49+Q23*'Geometry'!$F$49),S_1_fy),-S_1_fy))-(IF((O23+P23*'Geometry'!$G$49+Q23*'Geometry'!$F$49)&gt;0,IF((O23+P23*'Geometry'!$G$49+Q23*'Geometry'!$F$49)&lt;=C_eco,C_alpha*C_fck*(1-(1-(O23+P23*'Geometry'!$G$49+Q23*'Geometry'!$F$49)/C_eco)^C_n),C_alpha*C_fck),0)))*'Geometry'!$H$49*'Geometry'!$F$49+((MAX(MIN(S_1_Es*(O23+P23*'Geometry'!$G$50+Q23*'Geometry'!$F$50),S_1_fy),-S_1_fy))-(IF((O23+P23*'Geometry'!$G$50+Q23*'Geometry'!$F$50)&gt;0,IF((O23+P23*'Geometry'!$G$50+Q23*'Geometry'!$F$50)&lt;=C_eco,C_alpha*C_fck*(1-(1-(O23+P23*'Geometry'!$G$50+Q23*'Geometry'!$F$50)/C_eco)^C_n),C_alpha*C_fck),0)))*'Geometry'!$H$50*'Geometry'!$F$50+((MAX(MIN(S_1_Es*(O23+P23*'Geometry'!$G$51+Q23*'Geometry'!$F$51),S_1_fy),-S_1_fy))-(IF((O23+P23*'Geometry'!$G$51+Q23*'Geometry'!$F$51)&gt;0,IF((O23+P23*'Geometry'!$G$51+Q23*'Geometry'!$F$51)&lt;=C_eco,C_alpha*C_fck*(1-(1-(O23+P23*'Geometry'!$G$51+Q23*'Geometry'!$F$51)/C_eco)^C_n),C_alpha*C_fck),0)))*'Geometry'!$H$51*'Geometry'!$F$51+((MAX(MIN(S_1_Es*(O23+P23*'Geometry'!$G$52+Q23*'Geometry'!$F$52),S_1_fy),-S_1_fy))-(IF((O23+P23*'Geometry'!$G$52+Q23*'Geometry'!$F$52)&gt;0,IF((O23+P23*'Geometry'!$G$52+Q23*'Geometry'!$F$52)&lt;=C_eco,C_alpha*C_fck*(1-(1-(O23+P23*'Geometry'!$G$52+Q23*'Geometry'!$F$52)/C_eco)^C_n),C_alpha*C_fck),0)))*'Geometry'!$H$52*'Geometry'!$F$52+((MAX(MIN(S_1_Es*(O23+P23*'Geometry'!$G$53+Q23*'Geometry'!$F$53),S_1_fy),-S_1_fy))-(IF((O23+P23*'Geometry'!$G$53+Q23*'Geometry'!$F$53)&gt;0,IF((O23+P23*'Geometry'!$G$53+Q23*'Geometry'!$F$53)&lt;=C_eco,C_alpha*C_fck*(1-(1-(O23+P23*'Geometry'!$G$53+Q23*'Geometry'!$F$53)/C_eco)^C_n),C_alpha*C_fck),0)))*'Geometry'!$H$53*'Geometry'!$F$53+((MAX(MIN(S_1_Es*(O23+P23*'Geometry'!$G$54+Q23*'Geometry'!$F$54),S_1_fy),-S_1_fy))-(IF((O23+P23*'Geometry'!$G$54+Q23*'Geometry'!$F$54)&gt;0,IF((O23+P23*'Geometry'!$G$54+Q23*'Geometry'!$F$54)&lt;=C_eco,C_alpha*C_fck*(1-(1-(O23+P23*'Geometry'!$G$54+Q23*'Geometry'!$F$54)/C_eco)^C_n),C_alpha*C_fck),0)))*'Geometry'!$H$54*'Geometry'!$F$54+((MAX(MIN(S_1_Es*(O23+P23*'Geometry'!$G$55+Q23*'Geometry'!$F$55),S_1_fy),-S_1_fy))-(IF((O23+P23*'Geometry'!$G$55+Q23*'Geometry'!$F$55)&gt;0,IF((O23+P23*'Geometry'!$G$55+Q23*'Geometry'!$F$55)&lt;=C_eco,C_alpha*C_fck*(1-(1-(O23+P23*'Geometry'!$G$55+Q23*'Geometry'!$F$55)/C_eco)^C_n),C_alpha*C_fck),0)))*'Geometry'!$H$55*'Geometry'!$F$55+((MAX(MIN(S_1_Es*(O23+P23*'Geometry'!$G$56+Q23*'Geometry'!$F$56),S_1_fy),-S_1_fy))-(IF((O23+P23*'Geometry'!$G$56+Q23*'Geometry'!$F$56)&gt;0,IF((O23+P23*'Geometry'!$G$56+Q23*'Geometry'!$F$56)&lt;=C_eco,C_alpha*C_fck*(1-(1-(O23+P23*'Geometry'!$G$56+Q23*'Geometry'!$F$56)/C_eco)^C_n),C_alpha*C_fck),0)))*'Geometry'!$H$56*'Geometry'!$F$56+((MAX(MIN(S_1_Es*(O23+P23*'Geometry'!$G$57+Q23*'Geometry'!$F$57),S_1_fy),-S_1_fy))-(IF((O23+P23*'Geometry'!$G$57+Q23*'Geometry'!$F$57)&gt;0,IF((O23+P23*'Geometry'!$G$57+Q23*'Geometry'!$F$57)&lt;=C_eco,C_alpha*C_fck*(1-(1-(O23+P23*'Geometry'!$G$57+Q23*'Geometry'!$F$57)/C_eco)^C_n),C_alpha*C_fck),0)))*'Geometry'!$H$57*'Geometry'!$F$57)/1000000</f>
        <v>900.0725685380961</v>
      </c>
      <c r="X23" s="10">
        <f>R23+U23</f>
        <v>505.80856790181997</v>
      </c>
      <c r="Y23" s="10">
        <f>S23+V23</f>
        <v>-2728.7685064514576</v>
      </c>
      <c r="Z23" s="10">
        <f>T23+W23</f>
        <v>2575.706908665657</v>
      </c>
      <c r="AA23" s="7">
        <v>0.85</v>
      </c>
      <c r="AB23" s="7">
        <v>0.8500000000000001</v>
      </c>
      <c r="AC23" s="10">
        <f>X23*AA23</f>
        <v>429.937282716547</v>
      </c>
      <c r="AD23" s="10">
        <f>Y23*AB23</f>
        <v>-2319.453230483739</v>
      </c>
      <c r="AE23" s="10">
        <f>Z23*AB23</f>
        <v>2189.3508723658083</v>
      </c>
      <c r="AF23" s="7">
        <v>429.937282716547</v>
      </c>
      <c r="AG23" s="7">
        <v>-2319.453230483739</v>
      </c>
      <c r="AH23" s="7">
        <v>2189.3508723658083</v>
      </c>
      <c r="AI23" s="15">
        <f>AC23-AF23</f>
        <v>0</v>
      </c>
      <c r="AJ23" s="15">
        <f>SQRT((AD23-AG23)^2+(AE23-AH23)^2)</f>
        <v>0</v>
      </c>
      <c r="AK23" s="7" t="s">
        <v>189</v>
      </c>
      <c r="AL23" s="7">
        <v>505.80856790181997</v>
      </c>
      <c r="AM23" s="7">
        <v>-2728.7685064514576</v>
      </c>
      <c r="AN23" s="7">
        <v>2575.706908665657</v>
      </c>
      <c r="AO23" s="7">
        <v>3641.415957994167</v>
      </c>
      <c r="AP23" s="7">
        <v>-1616.2764722115858</v>
      </c>
      <c r="AQ23" s="7">
        <v>1675.634340127561</v>
      </c>
      <c r="AR23" s="7">
        <v>-3135.6073900923475</v>
      </c>
      <c r="AS23" s="7">
        <v>-1112.4920342398718</v>
      </c>
      <c r="AT23" s="7">
        <v>900.0725685380961</v>
      </c>
    </row>
    <row r="24" spans="1:46" x14ac:dyDescent="0.25">
      <c r="A24" s="7" t="s">
        <v>222</v>
      </c>
      <c r="B24" s="7">
        <v>1</v>
      </c>
      <c r="C24" s="18">
        <v>160</v>
      </c>
      <c r="D24" s="7" t="s">
        <v>283</v>
      </c>
      <c r="E24" s="7" t="s">
        <v>267</v>
      </c>
      <c r="F24" s="19">
        <v>160</v>
      </c>
      <c r="G24" s="7" t="s">
        <v>188</v>
      </c>
      <c r="H24" s="20">
        <v>4.999999999999999</v>
      </c>
      <c r="I24" s="10">
        <f>MAX(('Geometry'!$G$13*COS(RADIANS(F24))+'Geometry'!$F$13*SIN(RADIANS(F24))),('Geometry'!$G$14*COS(RADIANS(F24))+'Geometry'!$F$14*SIN(RADIANS(F24))),('Geometry'!$G$15*COS(RADIANS(F24))+'Geometry'!$F$15*SIN(RADIANS(F24))),('Geometry'!$G$16*COS(RADIANS(F24))+'Geometry'!$F$16*SIN(RADIANS(F24))),('Geometry'!$G$17*COS(RADIANS(F24))+'Geometry'!$F$17*SIN(RADIANS(F24))),('Geometry'!$G$18*COS(RADIANS(F24))+'Geometry'!$F$18*SIN(RADIANS(F24))),('Geometry'!$G$19*COS(RADIANS(F24))+'Geometry'!$F$19*SIN(RADIANS(F24))),('Geometry'!$G$20*COS(RADIANS(F24))+'Geometry'!$F$20*SIN(RADIANS(F24))))</f>
        <v>751.9266513006629</v>
      </c>
      <c r="J24" s="10">
        <f>MIN(('Geometry'!$G$40*COS(RADIANS(F24))+'Geometry'!$F$40*SIN(RADIANS(F24))),('Geometry'!$G$41*COS(RADIANS(F24))+'Geometry'!$F$41*SIN(RADIANS(F24))),('Geometry'!$G$42*COS(RADIANS(F24))+'Geometry'!$F$42*SIN(RADIANS(F24))),('Geometry'!$G$43*COS(RADIANS(F24))+'Geometry'!$F$43*SIN(RADIANS(F24))),('Geometry'!$G$44*COS(RADIANS(F24))+'Geometry'!$F$44*SIN(RADIANS(F24))),('Geometry'!$G$45*COS(RADIANS(F24))+'Geometry'!$F$45*SIN(RADIANS(F24))),('Geometry'!$G$46*COS(RADIANS(F24))+'Geometry'!$F$46*SIN(RADIANS(F24))),('Geometry'!$G$47*COS(RADIANS(F24))+'Geometry'!$F$47*SIN(RADIANS(F24))),('Geometry'!$G$48*COS(RADIANS(F24))+'Geometry'!$F$48*SIN(RADIANS(F24))),('Geometry'!$G$49*COS(RADIANS(F24))+'Geometry'!$F$49*SIN(RADIANS(F24))),('Geometry'!$G$50*COS(RADIANS(F24))+'Geometry'!$F$50*SIN(RADIANS(F24))),('Geometry'!$G$51*COS(RADIANS(F24))+'Geometry'!$F$51*SIN(RADIANS(F24))),('Geometry'!$G$52*COS(RADIANS(F24))+'Geometry'!$F$52*SIN(RADIANS(F24))),('Geometry'!$G$53*COS(RADIANS(F24))+'Geometry'!$F$53*SIN(RADIANS(F24))),('Geometry'!$G$54*COS(RADIANS(F24))+'Geometry'!$F$54*SIN(RADIANS(F24))),('Geometry'!$G$55*COS(RADIANS(F24))+'Geometry'!$F$55*SIN(RADIANS(F24))),('Geometry'!$G$56*COS(RADIANS(F24))+'Geometry'!$F$56*SIN(RADIANS(F24))),('Geometry'!$G$57*COS(RADIANS(F24))+'Geometry'!$F$57*SIN(RADIANS(F24))))</f>
        <v>-634.845146346799</v>
      </c>
      <c r="K24" s="10">
        <f>I24-MIN(('Geometry'!$G$13*COS(RADIANS(F24))+'Geometry'!$F$13*SIN(RADIANS(F24))),('Geometry'!$G$14*COS(RADIANS(F24))+'Geometry'!$F$14*SIN(RADIANS(F24))),('Geometry'!$G$15*COS(RADIANS(F24))+'Geometry'!$F$15*SIN(RADIANS(F24))),('Geometry'!$G$16*COS(RADIANS(F24))+'Geometry'!$F$16*SIN(RADIANS(F24))),('Geometry'!$G$17*COS(RADIANS(F24))+'Geometry'!$F$17*SIN(RADIANS(F24))),('Geometry'!$G$18*COS(RADIANS(F24))+'Geometry'!$F$18*SIN(RADIANS(F24))),('Geometry'!$G$19*COS(RADIANS(F24))+'Geometry'!$F$19*SIN(RADIANS(F24))),('Geometry'!$G$20*COS(RADIANS(F24))+'Geometry'!$F$20*SIN(RADIANS(F24))))</f>
        <v>1503.8533026013258</v>
      </c>
      <c r="L24" s="15">
        <f>C_ecu</f>
        <v>0.0033</v>
      </c>
      <c r="M24" s="15">
        <f>-H24*S_1_fy/S_1_Es</f>
        <v>-0.009999999999999998</v>
      </c>
      <c r="N24" s="21">
        <f>IF(ABS(I24-J24)&lt;0.000000000001,0,(L24-M24)/(I24-J24))</f>
        <v>0.000009590619035202689</v>
      </c>
      <c r="O24" s="15">
        <f>L24-N24*I24</f>
        <v>-0.003911442055040353</v>
      </c>
      <c r="P24" s="21">
        <f>N24*COS(RADIANS(F24))</f>
        <v>-0.000009012233936148835</v>
      </c>
      <c r="Q24" s="21">
        <f>N24*SIN(RADIANS(F24))</f>
        <v>0.000003280184897001912</v>
      </c>
      <c r="R24" s="10">
        <f>SUMPRODUCT(C_alpha*C_fck*(1-(1-(((O24+P24*Mesh_Y+Q24*Mesh_X))*((O24+P24*Mesh_Y+Q24*Mesh_X)&gt;0)*((O24+P24*Mesh_Y+Q24*Mesh_X)&lt;C_eco)+C_eco*((O24+P24*Mesh_Y+Q24*Mesh_X)&gt;=C_eco))/C_eco)^C_n)*(((O24+P24*Mesh_Y+Q24*Mesh_X))&gt;0),Mesh_A)/1000</f>
        <v>3972.274601961057</v>
      </c>
      <c r="S24" s="10">
        <f>SUMPRODUCT(C_alpha*C_fck*(1-(1-(((O24+P24*Mesh_Y+Q24*Mesh_X))*((O24+P24*Mesh_Y+Q24*Mesh_X)&gt;0)*((O24+P24*Mesh_Y+Q24*Mesh_X)&lt;C_eco)+C_eco*((O24+P24*Mesh_Y+Q24*Mesh_X)&gt;=C_eco))/C_eco)^C_n)*(((O24+P24*Mesh_Y+Q24*Mesh_X))&gt;0),Mesh_A,Mesh_Y)/1000000</f>
        <v>-1885.672945839753</v>
      </c>
      <c r="T24" s="10">
        <f>SUMPRODUCT(C_alpha*C_fck*(1-(1-(((O24+P24*Mesh_Y+Q24*Mesh_X))*((O24+P24*Mesh_Y+Q24*Mesh_X)&gt;0)*((O24+P24*Mesh_Y+Q24*Mesh_X)&lt;C_eco)+C_eco*((O24+P24*Mesh_Y+Q24*Mesh_X)&gt;=C_eco))/C_eco)^C_n)*(((O24+P24*Mesh_Y+Q24*Mesh_X))&gt;0),Mesh_A,Mesh_X)/1000000</f>
        <v>1454.386248961936</v>
      </c>
      <c r="U24" s="10">
        <f>(((MAX(MIN(S_1_Es*(O24+P24*'Geometry'!$G$40+Q24*'Geometry'!$F$40),S_1_fy),-S_1_fy))-(IF((O24+P24*'Geometry'!$G$40+Q24*'Geometry'!$F$40)&gt;0,IF((O24+P24*'Geometry'!$G$40+Q24*'Geometry'!$F$40)&lt;=C_eco,C_alpha*C_fck*(1-(1-(O24+P24*'Geometry'!$G$40+Q24*'Geometry'!$F$40)/C_eco)^C_n),C_alpha*C_fck),0)))*'Geometry'!$H$40+((MAX(MIN(S_1_Es*(O24+P24*'Geometry'!$G$41+Q24*'Geometry'!$F$41),S_1_fy),-S_1_fy))-(IF((O24+P24*'Geometry'!$G$41+Q24*'Geometry'!$F$41)&gt;0,IF((O24+P24*'Geometry'!$G$41+Q24*'Geometry'!$F$41)&lt;=C_eco,C_alpha*C_fck*(1-(1-(O24+P24*'Geometry'!$G$41+Q24*'Geometry'!$F$41)/C_eco)^C_n),C_alpha*C_fck),0)))*'Geometry'!$H$41+((MAX(MIN(S_1_Es*(O24+P24*'Geometry'!$G$42+Q24*'Geometry'!$F$42),S_1_fy),-S_1_fy))-(IF((O24+P24*'Geometry'!$G$42+Q24*'Geometry'!$F$42)&gt;0,IF((O24+P24*'Geometry'!$G$42+Q24*'Geometry'!$F$42)&lt;=C_eco,C_alpha*C_fck*(1-(1-(O24+P24*'Geometry'!$G$42+Q24*'Geometry'!$F$42)/C_eco)^C_n),C_alpha*C_fck),0)))*'Geometry'!$H$42+((MAX(MIN(S_1_Es*(O24+P24*'Geometry'!$G$43+Q24*'Geometry'!$F$43),S_1_fy),-S_1_fy))-(IF((O24+P24*'Geometry'!$G$43+Q24*'Geometry'!$F$43)&gt;0,IF((O24+P24*'Geometry'!$G$43+Q24*'Geometry'!$F$43)&lt;=C_eco,C_alpha*C_fck*(1-(1-(O24+P24*'Geometry'!$G$43+Q24*'Geometry'!$F$43)/C_eco)^C_n),C_alpha*C_fck),0)))*'Geometry'!$H$43+((MAX(MIN(S_1_Es*(O24+P24*'Geometry'!$G$44+Q24*'Geometry'!$F$44),S_1_fy),-S_1_fy))-(IF((O24+P24*'Geometry'!$G$44+Q24*'Geometry'!$F$44)&gt;0,IF((O24+P24*'Geometry'!$G$44+Q24*'Geometry'!$F$44)&lt;=C_eco,C_alpha*C_fck*(1-(1-(O24+P24*'Geometry'!$G$44+Q24*'Geometry'!$F$44)/C_eco)^C_n),C_alpha*C_fck),0)))*'Geometry'!$H$44+((MAX(MIN(S_1_Es*(O24+P24*'Geometry'!$G$45+Q24*'Geometry'!$F$45),S_1_fy),-S_1_fy))-(IF((O24+P24*'Geometry'!$G$45+Q24*'Geometry'!$F$45)&gt;0,IF((O24+P24*'Geometry'!$G$45+Q24*'Geometry'!$F$45)&lt;=C_eco,C_alpha*C_fck*(1-(1-(O24+P24*'Geometry'!$G$45+Q24*'Geometry'!$F$45)/C_eco)^C_n),C_alpha*C_fck),0)))*'Geometry'!$H$45+((MAX(MIN(S_1_Es*(O24+P24*'Geometry'!$G$46+Q24*'Geometry'!$F$46),S_1_fy),-S_1_fy))-(IF((O24+P24*'Geometry'!$G$46+Q24*'Geometry'!$F$46)&gt;0,IF((O24+P24*'Geometry'!$G$46+Q24*'Geometry'!$F$46)&lt;=C_eco,C_alpha*C_fck*(1-(1-(O24+P24*'Geometry'!$G$46+Q24*'Geometry'!$F$46)/C_eco)^C_n),C_alpha*C_fck),0)))*'Geometry'!$H$46+((MAX(MIN(S_1_Es*(O24+P24*'Geometry'!$G$47+Q24*'Geometry'!$F$47),S_1_fy),-S_1_fy))-(IF((O24+P24*'Geometry'!$G$47+Q24*'Geometry'!$F$47)&gt;0,IF((O24+P24*'Geometry'!$G$47+Q24*'Geometry'!$F$47)&lt;=C_eco,C_alpha*C_fck*(1-(1-(O24+P24*'Geometry'!$G$47+Q24*'Geometry'!$F$47)/C_eco)^C_n),C_alpha*C_fck),0)))*'Geometry'!$H$47+((MAX(MIN(S_1_Es*(O24+P24*'Geometry'!$G$48+Q24*'Geometry'!$F$48),S_1_fy),-S_1_fy))-(IF((O24+P24*'Geometry'!$G$48+Q24*'Geometry'!$F$48)&gt;0,IF((O24+P24*'Geometry'!$G$48+Q24*'Geometry'!$F$48)&lt;=C_eco,C_alpha*C_fck*(1-(1-(O24+P24*'Geometry'!$G$48+Q24*'Geometry'!$F$48)/C_eco)^C_n),C_alpha*C_fck),0)))*'Geometry'!$H$48+((MAX(MIN(S_1_Es*(O24+P24*'Geometry'!$G$49+Q24*'Geometry'!$F$49),S_1_fy),-S_1_fy))-(IF((O24+P24*'Geometry'!$G$49+Q24*'Geometry'!$F$49)&gt;0,IF((O24+P24*'Geometry'!$G$49+Q24*'Geometry'!$F$49)&lt;=C_eco,C_alpha*C_fck*(1-(1-(O24+P24*'Geometry'!$G$49+Q24*'Geometry'!$F$49)/C_eco)^C_n),C_alpha*C_fck),0)))*'Geometry'!$H$49+((MAX(MIN(S_1_Es*(O24+P24*'Geometry'!$G$50+Q24*'Geometry'!$F$50),S_1_fy),-S_1_fy))-(IF((O24+P24*'Geometry'!$G$50+Q24*'Geometry'!$F$50)&gt;0,IF((O24+P24*'Geometry'!$G$50+Q24*'Geometry'!$F$50)&lt;=C_eco,C_alpha*C_fck*(1-(1-(O24+P24*'Geometry'!$G$50+Q24*'Geometry'!$F$50)/C_eco)^C_n),C_alpha*C_fck),0)))*'Geometry'!$H$50+((MAX(MIN(S_1_Es*(O24+P24*'Geometry'!$G$51+Q24*'Geometry'!$F$51),S_1_fy),-S_1_fy))-(IF((O24+P24*'Geometry'!$G$51+Q24*'Geometry'!$F$51)&gt;0,IF((O24+P24*'Geometry'!$G$51+Q24*'Geometry'!$F$51)&lt;=C_eco,C_alpha*C_fck*(1-(1-(O24+P24*'Geometry'!$G$51+Q24*'Geometry'!$F$51)/C_eco)^C_n),C_alpha*C_fck),0)))*'Geometry'!$H$51+((MAX(MIN(S_1_Es*(O24+P24*'Geometry'!$G$52+Q24*'Geometry'!$F$52),S_1_fy),-S_1_fy))-(IF((O24+P24*'Geometry'!$G$52+Q24*'Geometry'!$F$52)&gt;0,IF((O24+P24*'Geometry'!$G$52+Q24*'Geometry'!$F$52)&lt;=C_eco,C_alpha*C_fck*(1-(1-(O24+P24*'Geometry'!$G$52+Q24*'Geometry'!$F$52)/C_eco)^C_n),C_alpha*C_fck),0)))*'Geometry'!$H$52+((MAX(MIN(S_1_Es*(O24+P24*'Geometry'!$G$53+Q24*'Geometry'!$F$53),S_1_fy),-S_1_fy))-(IF((O24+P24*'Geometry'!$G$53+Q24*'Geometry'!$F$53)&gt;0,IF((O24+P24*'Geometry'!$G$53+Q24*'Geometry'!$F$53)&lt;=C_eco,C_alpha*C_fck*(1-(1-(O24+P24*'Geometry'!$G$53+Q24*'Geometry'!$F$53)/C_eco)^C_n),C_alpha*C_fck),0)))*'Geometry'!$H$53+((MAX(MIN(S_1_Es*(O24+P24*'Geometry'!$G$54+Q24*'Geometry'!$F$54),S_1_fy),-S_1_fy))-(IF((O24+P24*'Geometry'!$G$54+Q24*'Geometry'!$F$54)&gt;0,IF((O24+P24*'Geometry'!$G$54+Q24*'Geometry'!$F$54)&lt;=C_eco,C_alpha*C_fck*(1-(1-(O24+P24*'Geometry'!$G$54+Q24*'Geometry'!$F$54)/C_eco)^C_n),C_alpha*C_fck),0)))*'Geometry'!$H$54+((MAX(MIN(S_1_Es*(O24+P24*'Geometry'!$G$55+Q24*'Geometry'!$F$55),S_1_fy),-S_1_fy))-(IF((O24+P24*'Geometry'!$G$55+Q24*'Geometry'!$F$55)&gt;0,IF((O24+P24*'Geometry'!$G$55+Q24*'Geometry'!$F$55)&lt;=C_eco,C_alpha*C_fck*(1-(1-(O24+P24*'Geometry'!$G$55+Q24*'Geometry'!$F$55)/C_eco)^C_n),C_alpha*C_fck),0)))*'Geometry'!$H$55+((MAX(MIN(S_1_Es*(O24+P24*'Geometry'!$G$56+Q24*'Geometry'!$F$56),S_1_fy),-S_1_fy))-(IF((O24+P24*'Geometry'!$G$56+Q24*'Geometry'!$F$56)&gt;0,IF((O24+P24*'Geometry'!$G$56+Q24*'Geometry'!$F$56)&lt;=C_eco,C_alpha*C_fck*(1-(1-(O24+P24*'Geometry'!$G$56+Q24*'Geometry'!$F$56)/C_eco)^C_n),C_alpha*C_fck),0)))*'Geometry'!$H$56+((MAX(MIN(S_1_Es*(O24+P24*'Geometry'!$G$57+Q24*'Geometry'!$F$57),S_1_fy),-S_1_fy))-(IF((O24+P24*'Geometry'!$G$57+Q24*'Geometry'!$F$57)&gt;0,IF((O24+P24*'Geometry'!$G$57+Q24*'Geometry'!$F$57)&lt;=C_eco,C_alpha*C_fck*(1-(1-(O24+P24*'Geometry'!$G$57+Q24*'Geometry'!$F$57)/C_eco)^C_n),C_alpha*C_fck),0)))*'Geometry'!$H$57)/1000</f>
        <v>-2905.7936463799892</v>
      </c>
      <c r="V24" s="10">
        <f>(((MAX(MIN(S_1_Es*(O24+P24*'Geometry'!$G$40+Q24*'Geometry'!$F$40),S_1_fy),-S_1_fy))-(IF((O24+P24*'Geometry'!$G$40+Q24*'Geometry'!$F$40)&gt;0,IF((O24+P24*'Geometry'!$G$40+Q24*'Geometry'!$F$40)&lt;=C_eco,C_alpha*C_fck*(1-(1-(O24+P24*'Geometry'!$G$40+Q24*'Geometry'!$F$40)/C_eco)^C_n),C_alpha*C_fck),0)))*'Geometry'!$H$40*'Geometry'!$G$40+((MAX(MIN(S_1_Es*(O24+P24*'Geometry'!$G$41+Q24*'Geometry'!$F$41),S_1_fy),-S_1_fy))-(IF((O24+P24*'Geometry'!$G$41+Q24*'Geometry'!$F$41)&gt;0,IF((O24+P24*'Geometry'!$G$41+Q24*'Geometry'!$F$41)&lt;=C_eco,C_alpha*C_fck*(1-(1-(O24+P24*'Geometry'!$G$41+Q24*'Geometry'!$F$41)/C_eco)^C_n),C_alpha*C_fck),0)))*'Geometry'!$H$41*'Geometry'!$G$41+((MAX(MIN(S_1_Es*(O24+P24*'Geometry'!$G$42+Q24*'Geometry'!$F$42),S_1_fy),-S_1_fy))-(IF((O24+P24*'Geometry'!$G$42+Q24*'Geometry'!$F$42)&gt;0,IF((O24+P24*'Geometry'!$G$42+Q24*'Geometry'!$F$42)&lt;=C_eco,C_alpha*C_fck*(1-(1-(O24+P24*'Geometry'!$G$42+Q24*'Geometry'!$F$42)/C_eco)^C_n),C_alpha*C_fck),0)))*'Geometry'!$H$42*'Geometry'!$G$42+((MAX(MIN(S_1_Es*(O24+P24*'Geometry'!$G$43+Q24*'Geometry'!$F$43),S_1_fy),-S_1_fy))-(IF((O24+P24*'Geometry'!$G$43+Q24*'Geometry'!$F$43)&gt;0,IF((O24+P24*'Geometry'!$G$43+Q24*'Geometry'!$F$43)&lt;=C_eco,C_alpha*C_fck*(1-(1-(O24+P24*'Geometry'!$G$43+Q24*'Geometry'!$F$43)/C_eco)^C_n),C_alpha*C_fck),0)))*'Geometry'!$H$43*'Geometry'!$G$43+((MAX(MIN(S_1_Es*(O24+P24*'Geometry'!$G$44+Q24*'Geometry'!$F$44),S_1_fy),-S_1_fy))-(IF((O24+P24*'Geometry'!$G$44+Q24*'Geometry'!$F$44)&gt;0,IF((O24+P24*'Geometry'!$G$44+Q24*'Geometry'!$F$44)&lt;=C_eco,C_alpha*C_fck*(1-(1-(O24+P24*'Geometry'!$G$44+Q24*'Geometry'!$F$44)/C_eco)^C_n),C_alpha*C_fck),0)))*'Geometry'!$H$44*'Geometry'!$G$44+((MAX(MIN(S_1_Es*(O24+P24*'Geometry'!$G$45+Q24*'Geometry'!$F$45),S_1_fy),-S_1_fy))-(IF((O24+P24*'Geometry'!$G$45+Q24*'Geometry'!$F$45)&gt;0,IF((O24+P24*'Geometry'!$G$45+Q24*'Geometry'!$F$45)&lt;=C_eco,C_alpha*C_fck*(1-(1-(O24+P24*'Geometry'!$G$45+Q24*'Geometry'!$F$45)/C_eco)^C_n),C_alpha*C_fck),0)))*'Geometry'!$H$45*'Geometry'!$G$45+((MAX(MIN(S_1_Es*(O24+P24*'Geometry'!$G$46+Q24*'Geometry'!$F$46),S_1_fy),-S_1_fy))-(IF((O24+P24*'Geometry'!$G$46+Q24*'Geometry'!$F$46)&gt;0,IF((O24+P24*'Geometry'!$G$46+Q24*'Geometry'!$F$46)&lt;=C_eco,C_alpha*C_fck*(1-(1-(O24+P24*'Geometry'!$G$46+Q24*'Geometry'!$F$46)/C_eco)^C_n),C_alpha*C_fck),0)))*'Geometry'!$H$46*'Geometry'!$G$46+((MAX(MIN(S_1_Es*(O24+P24*'Geometry'!$G$47+Q24*'Geometry'!$F$47),S_1_fy),-S_1_fy))-(IF((O24+P24*'Geometry'!$G$47+Q24*'Geometry'!$F$47)&gt;0,IF((O24+P24*'Geometry'!$G$47+Q24*'Geometry'!$F$47)&lt;=C_eco,C_alpha*C_fck*(1-(1-(O24+P24*'Geometry'!$G$47+Q24*'Geometry'!$F$47)/C_eco)^C_n),C_alpha*C_fck),0)))*'Geometry'!$H$47*'Geometry'!$G$47+((MAX(MIN(S_1_Es*(O24+P24*'Geometry'!$G$48+Q24*'Geometry'!$F$48),S_1_fy),-S_1_fy))-(IF((O24+P24*'Geometry'!$G$48+Q24*'Geometry'!$F$48)&gt;0,IF((O24+P24*'Geometry'!$G$48+Q24*'Geometry'!$F$48)&lt;=C_eco,C_alpha*C_fck*(1-(1-(O24+P24*'Geometry'!$G$48+Q24*'Geometry'!$F$48)/C_eco)^C_n),C_alpha*C_fck),0)))*'Geometry'!$H$48*'Geometry'!$G$48+((MAX(MIN(S_1_Es*(O24+P24*'Geometry'!$G$49+Q24*'Geometry'!$F$49),S_1_fy),-S_1_fy))-(IF((O24+P24*'Geometry'!$G$49+Q24*'Geometry'!$F$49)&gt;0,IF((O24+P24*'Geometry'!$G$49+Q24*'Geometry'!$F$49)&lt;=C_eco,C_alpha*C_fck*(1-(1-(O24+P24*'Geometry'!$G$49+Q24*'Geometry'!$F$49)/C_eco)^C_n),C_alpha*C_fck),0)))*'Geometry'!$H$49*'Geometry'!$G$49+((MAX(MIN(S_1_Es*(O24+P24*'Geometry'!$G$50+Q24*'Geometry'!$F$50),S_1_fy),-S_1_fy))-(IF((O24+P24*'Geometry'!$G$50+Q24*'Geometry'!$F$50)&gt;0,IF((O24+P24*'Geometry'!$G$50+Q24*'Geometry'!$F$50)&lt;=C_eco,C_alpha*C_fck*(1-(1-(O24+P24*'Geometry'!$G$50+Q24*'Geometry'!$F$50)/C_eco)^C_n),C_alpha*C_fck),0)))*'Geometry'!$H$50*'Geometry'!$G$50+((MAX(MIN(S_1_Es*(O24+P24*'Geometry'!$G$51+Q24*'Geometry'!$F$51),S_1_fy),-S_1_fy))-(IF((O24+P24*'Geometry'!$G$51+Q24*'Geometry'!$F$51)&gt;0,IF((O24+P24*'Geometry'!$G$51+Q24*'Geometry'!$F$51)&lt;=C_eco,C_alpha*C_fck*(1-(1-(O24+P24*'Geometry'!$G$51+Q24*'Geometry'!$F$51)/C_eco)^C_n),C_alpha*C_fck),0)))*'Geometry'!$H$51*'Geometry'!$G$51+((MAX(MIN(S_1_Es*(O24+P24*'Geometry'!$G$52+Q24*'Geometry'!$F$52),S_1_fy),-S_1_fy))-(IF((O24+P24*'Geometry'!$G$52+Q24*'Geometry'!$F$52)&gt;0,IF((O24+P24*'Geometry'!$G$52+Q24*'Geometry'!$F$52)&lt;=C_eco,C_alpha*C_fck*(1-(1-(O24+P24*'Geometry'!$G$52+Q24*'Geometry'!$F$52)/C_eco)^C_n),C_alpha*C_fck),0)))*'Geometry'!$H$52*'Geometry'!$G$52+((MAX(MIN(S_1_Es*(O24+P24*'Geometry'!$G$53+Q24*'Geometry'!$F$53),S_1_fy),-S_1_fy))-(IF((O24+P24*'Geometry'!$G$53+Q24*'Geometry'!$F$53)&gt;0,IF((O24+P24*'Geometry'!$G$53+Q24*'Geometry'!$F$53)&lt;=C_eco,C_alpha*C_fck*(1-(1-(O24+P24*'Geometry'!$G$53+Q24*'Geometry'!$F$53)/C_eco)^C_n),C_alpha*C_fck),0)))*'Geometry'!$H$53*'Geometry'!$G$53+((MAX(MIN(S_1_Es*(O24+P24*'Geometry'!$G$54+Q24*'Geometry'!$F$54),S_1_fy),-S_1_fy))-(IF((O24+P24*'Geometry'!$G$54+Q24*'Geometry'!$F$54)&gt;0,IF((O24+P24*'Geometry'!$G$54+Q24*'Geometry'!$F$54)&lt;=C_eco,C_alpha*C_fck*(1-(1-(O24+P24*'Geometry'!$G$54+Q24*'Geometry'!$F$54)/C_eco)^C_n),C_alpha*C_fck),0)))*'Geometry'!$H$54*'Geometry'!$G$54+((MAX(MIN(S_1_Es*(O24+P24*'Geometry'!$G$55+Q24*'Geometry'!$F$55),S_1_fy),-S_1_fy))-(IF((O24+P24*'Geometry'!$G$55+Q24*'Geometry'!$F$55)&gt;0,IF((O24+P24*'Geometry'!$G$55+Q24*'Geometry'!$F$55)&lt;=C_eco,C_alpha*C_fck*(1-(1-(O24+P24*'Geometry'!$G$55+Q24*'Geometry'!$F$55)/C_eco)^C_n),C_alpha*C_fck),0)))*'Geometry'!$H$55*'Geometry'!$G$55+((MAX(MIN(S_1_Es*(O24+P24*'Geometry'!$G$56+Q24*'Geometry'!$F$56),S_1_fy),-S_1_fy))-(IF((O24+P24*'Geometry'!$G$56+Q24*'Geometry'!$F$56)&gt;0,IF((O24+P24*'Geometry'!$G$56+Q24*'Geometry'!$F$56)&lt;=C_eco,C_alpha*C_fck*(1-(1-(O24+P24*'Geometry'!$G$56+Q24*'Geometry'!$F$56)/C_eco)^C_n),C_alpha*C_fck),0)))*'Geometry'!$H$56*'Geometry'!$G$56+((MAX(MIN(S_1_Es*(O24+P24*'Geometry'!$G$57+Q24*'Geometry'!$F$57),S_1_fy),-S_1_fy))-(IF((O24+P24*'Geometry'!$G$57+Q24*'Geometry'!$F$57)&gt;0,IF((O24+P24*'Geometry'!$G$57+Q24*'Geometry'!$F$57)&lt;=C_eco,C_alpha*C_fck*(1-(1-(O24+P24*'Geometry'!$G$57+Q24*'Geometry'!$F$57)/C_eco)^C_n),C_alpha*C_fck),0)))*'Geometry'!$H$57*'Geometry'!$G$57)/1000000</f>
        <v>-1336.2985200922124</v>
      </c>
      <c r="W24" s="10">
        <f>(((MAX(MIN(S_1_Es*(O24+P24*'Geometry'!$G$40+Q24*'Geometry'!$F$40),S_1_fy),-S_1_fy))-(IF((O24+P24*'Geometry'!$G$40+Q24*'Geometry'!$F$40)&gt;0,IF((O24+P24*'Geometry'!$G$40+Q24*'Geometry'!$F$40)&lt;=C_eco,C_alpha*C_fck*(1-(1-(O24+P24*'Geometry'!$G$40+Q24*'Geometry'!$F$40)/C_eco)^C_n),C_alpha*C_fck),0)))*'Geometry'!$H$40*'Geometry'!$F$40+((MAX(MIN(S_1_Es*(O24+P24*'Geometry'!$G$41+Q24*'Geometry'!$F$41),S_1_fy),-S_1_fy))-(IF((O24+P24*'Geometry'!$G$41+Q24*'Geometry'!$F$41)&gt;0,IF((O24+P24*'Geometry'!$G$41+Q24*'Geometry'!$F$41)&lt;=C_eco,C_alpha*C_fck*(1-(1-(O24+P24*'Geometry'!$G$41+Q24*'Geometry'!$F$41)/C_eco)^C_n),C_alpha*C_fck),0)))*'Geometry'!$H$41*'Geometry'!$F$41+((MAX(MIN(S_1_Es*(O24+P24*'Geometry'!$G$42+Q24*'Geometry'!$F$42),S_1_fy),-S_1_fy))-(IF((O24+P24*'Geometry'!$G$42+Q24*'Geometry'!$F$42)&gt;0,IF((O24+P24*'Geometry'!$G$42+Q24*'Geometry'!$F$42)&lt;=C_eco,C_alpha*C_fck*(1-(1-(O24+P24*'Geometry'!$G$42+Q24*'Geometry'!$F$42)/C_eco)^C_n),C_alpha*C_fck),0)))*'Geometry'!$H$42*'Geometry'!$F$42+((MAX(MIN(S_1_Es*(O24+P24*'Geometry'!$G$43+Q24*'Geometry'!$F$43),S_1_fy),-S_1_fy))-(IF((O24+P24*'Geometry'!$G$43+Q24*'Geometry'!$F$43)&gt;0,IF((O24+P24*'Geometry'!$G$43+Q24*'Geometry'!$F$43)&lt;=C_eco,C_alpha*C_fck*(1-(1-(O24+P24*'Geometry'!$G$43+Q24*'Geometry'!$F$43)/C_eco)^C_n),C_alpha*C_fck),0)))*'Geometry'!$H$43*'Geometry'!$F$43+((MAX(MIN(S_1_Es*(O24+P24*'Geometry'!$G$44+Q24*'Geometry'!$F$44),S_1_fy),-S_1_fy))-(IF((O24+P24*'Geometry'!$G$44+Q24*'Geometry'!$F$44)&gt;0,IF((O24+P24*'Geometry'!$G$44+Q24*'Geometry'!$F$44)&lt;=C_eco,C_alpha*C_fck*(1-(1-(O24+P24*'Geometry'!$G$44+Q24*'Geometry'!$F$44)/C_eco)^C_n),C_alpha*C_fck),0)))*'Geometry'!$H$44*'Geometry'!$F$44+((MAX(MIN(S_1_Es*(O24+P24*'Geometry'!$G$45+Q24*'Geometry'!$F$45),S_1_fy),-S_1_fy))-(IF((O24+P24*'Geometry'!$G$45+Q24*'Geometry'!$F$45)&gt;0,IF((O24+P24*'Geometry'!$G$45+Q24*'Geometry'!$F$45)&lt;=C_eco,C_alpha*C_fck*(1-(1-(O24+P24*'Geometry'!$G$45+Q24*'Geometry'!$F$45)/C_eco)^C_n),C_alpha*C_fck),0)))*'Geometry'!$H$45*'Geometry'!$F$45+((MAX(MIN(S_1_Es*(O24+P24*'Geometry'!$G$46+Q24*'Geometry'!$F$46),S_1_fy),-S_1_fy))-(IF((O24+P24*'Geometry'!$G$46+Q24*'Geometry'!$F$46)&gt;0,IF((O24+P24*'Geometry'!$G$46+Q24*'Geometry'!$F$46)&lt;=C_eco,C_alpha*C_fck*(1-(1-(O24+P24*'Geometry'!$G$46+Q24*'Geometry'!$F$46)/C_eco)^C_n),C_alpha*C_fck),0)))*'Geometry'!$H$46*'Geometry'!$F$46+((MAX(MIN(S_1_Es*(O24+P24*'Geometry'!$G$47+Q24*'Geometry'!$F$47),S_1_fy),-S_1_fy))-(IF((O24+P24*'Geometry'!$G$47+Q24*'Geometry'!$F$47)&gt;0,IF((O24+P24*'Geometry'!$G$47+Q24*'Geometry'!$F$47)&lt;=C_eco,C_alpha*C_fck*(1-(1-(O24+P24*'Geometry'!$G$47+Q24*'Geometry'!$F$47)/C_eco)^C_n),C_alpha*C_fck),0)))*'Geometry'!$H$47*'Geometry'!$F$47+((MAX(MIN(S_1_Es*(O24+P24*'Geometry'!$G$48+Q24*'Geometry'!$F$48),S_1_fy),-S_1_fy))-(IF((O24+P24*'Geometry'!$G$48+Q24*'Geometry'!$F$48)&gt;0,IF((O24+P24*'Geometry'!$G$48+Q24*'Geometry'!$F$48)&lt;=C_eco,C_alpha*C_fck*(1-(1-(O24+P24*'Geometry'!$G$48+Q24*'Geometry'!$F$48)/C_eco)^C_n),C_alpha*C_fck),0)))*'Geometry'!$H$48*'Geometry'!$F$48+((MAX(MIN(S_1_Es*(O24+P24*'Geometry'!$G$49+Q24*'Geometry'!$F$49),S_1_fy),-S_1_fy))-(IF((O24+P24*'Geometry'!$G$49+Q24*'Geometry'!$F$49)&gt;0,IF((O24+P24*'Geometry'!$G$49+Q24*'Geometry'!$F$49)&lt;=C_eco,C_alpha*C_fck*(1-(1-(O24+P24*'Geometry'!$G$49+Q24*'Geometry'!$F$49)/C_eco)^C_n),C_alpha*C_fck),0)))*'Geometry'!$H$49*'Geometry'!$F$49+((MAX(MIN(S_1_Es*(O24+P24*'Geometry'!$G$50+Q24*'Geometry'!$F$50),S_1_fy),-S_1_fy))-(IF((O24+P24*'Geometry'!$G$50+Q24*'Geometry'!$F$50)&gt;0,IF((O24+P24*'Geometry'!$G$50+Q24*'Geometry'!$F$50)&lt;=C_eco,C_alpha*C_fck*(1-(1-(O24+P24*'Geometry'!$G$50+Q24*'Geometry'!$F$50)/C_eco)^C_n),C_alpha*C_fck),0)))*'Geometry'!$H$50*'Geometry'!$F$50+((MAX(MIN(S_1_Es*(O24+P24*'Geometry'!$G$51+Q24*'Geometry'!$F$51),S_1_fy),-S_1_fy))-(IF((O24+P24*'Geometry'!$G$51+Q24*'Geometry'!$F$51)&gt;0,IF((O24+P24*'Geometry'!$G$51+Q24*'Geometry'!$F$51)&lt;=C_eco,C_alpha*C_fck*(1-(1-(O24+P24*'Geometry'!$G$51+Q24*'Geometry'!$F$51)/C_eco)^C_n),C_alpha*C_fck),0)))*'Geometry'!$H$51*'Geometry'!$F$51+((MAX(MIN(S_1_Es*(O24+P24*'Geometry'!$G$52+Q24*'Geometry'!$F$52),S_1_fy),-S_1_fy))-(IF((O24+P24*'Geometry'!$G$52+Q24*'Geometry'!$F$52)&gt;0,IF((O24+P24*'Geometry'!$G$52+Q24*'Geometry'!$F$52)&lt;=C_eco,C_alpha*C_fck*(1-(1-(O24+P24*'Geometry'!$G$52+Q24*'Geometry'!$F$52)/C_eco)^C_n),C_alpha*C_fck),0)))*'Geometry'!$H$52*'Geometry'!$F$52+((MAX(MIN(S_1_Es*(O24+P24*'Geometry'!$G$53+Q24*'Geometry'!$F$53),S_1_fy),-S_1_fy))-(IF((O24+P24*'Geometry'!$G$53+Q24*'Geometry'!$F$53)&gt;0,IF((O24+P24*'Geometry'!$G$53+Q24*'Geometry'!$F$53)&lt;=C_eco,C_alpha*C_fck*(1-(1-(O24+P24*'Geometry'!$G$53+Q24*'Geometry'!$F$53)/C_eco)^C_n),C_alpha*C_fck),0)))*'Geometry'!$H$53*'Geometry'!$F$53+((MAX(MIN(S_1_Es*(O24+P24*'Geometry'!$G$54+Q24*'Geometry'!$F$54),S_1_fy),-S_1_fy))-(IF((O24+P24*'Geometry'!$G$54+Q24*'Geometry'!$F$54)&gt;0,IF((O24+P24*'Geometry'!$G$54+Q24*'Geometry'!$F$54)&lt;=C_eco,C_alpha*C_fck*(1-(1-(O24+P24*'Geometry'!$G$54+Q24*'Geometry'!$F$54)/C_eco)^C_n),C_alpha*C_fck),0)))*'Geometry'!$H$54*'Geometry'!$F$54+((MAX(MIN(S_1_Es*(O24+P24*'Geometry'!$G$55+Q24*'Geometry'!$F$55),S_1_fy),-S_1_fy))-(IF((O24+P24*'Geometry'!$G$55+Q24*'Geometry'!$F$55)&gt;0,IF((O24+P24*'Geometry'!$G$55+Q24*'Geometry'!$F$55)&lt;=C_eco,C_alpha*C_fck*(1-(1-(O24+P24*'Geometry'!$G$55+Q24*'Geometry'!$F$55)/C_eco)^C_n),C_alpha*C_fck),0)))*'Geometry'!$H$55*'Geometry'!$F$55+((MAX(MIN(S_1_Es*(O24+P24*'Geometry'!$G$56+Q24*'Geometry'!$F$56),S_1_fy),-S_1_fy))-(IF((O24+P24*'Geometry'!$G$56+Q24*'Geometry'!$F$56)&gt;0,IF((O24+P24*'Geometry'!$G$56+Q24*'Geometry'!$F$56)&lt;=C_eco,C_alpha*C_fck*(1-(1-(O24+P24*'Geometry'!$G$56+Q24*'Geometry'!$F$56)/C_eco)^C_n),C_alpha*C_fck),0)))*'Geometry'!$H$56*'Geometry'!$F$56+((MAX(MIN(S_1_Es*(O24+P24*'Geometry'!$G$57+Q24*'Geometry'!$F$57),S_1_fy),-S_1_fy))-(IF((O24+P24*'Geometry'!$G$57+Q24*'Geometry'!$F$57)&gt;0,IF((O24+P24*'Geometry'!$G$57+Q24*'Geometry'!$F$57)&lt;=C_eco,C_alpha*C_fck*(1-(1-(O24+P24*'Geometry'!$G$57+Q24*'Geometry'!$F$57)/C_eco)^C_n),C_alpha*C_fck),0)))*'Geometry'!$H$57*'Geometry'!$F$57)/1000000</f>
        <v>641.8736796483138</v>
      </c>
      <c r="X24" s="10">
        <f>R24+U24</f>
        <v>1066.480955581068</v>
      </c>
      <c r="Y24" s="10">
        <f>S24+V24</f>
        <v>-3221.9714659319657</v>
      </c>
      <c r="Z24" s="10">
        <f>T24+W24</f>
        <v>2096.25992861025</v>
      </c>
      <c r="AA24" s="7">
        <v>0.85</v>
      </c>
      <c r="AB24" s="7">
        <v>0.8500000000000001</v>
      </c>
      <c r="AC24" s="10">
        <f>X24*AA24</f>
        <v>906.5088122439079</v>
      </c>
      <c r="AD24" s="10">
        <f>Y24*AB24</f>
        <v>-2738.675746042171</v>
      </c>
      <c r="AE24" s="10">
        <f>Z24*AB24</f>
        <v>1781.8209393187121</v>
      </c>
      <c r="AF24" s="7">
        <v>906.5088122439079</v>
      </c>
      <c r="AG24" s="7">
        <v>-2738.675746042171</v>
      </c>
      <c r="AH24" s="7">
        <v>1781.8209393187121</v>
      </c>
      <c r="AI24" s="15">
        <f>AC24-AF24</f>
        <v>0</v>
      </c>
      <c r="AJ24" s="15">
        <f>SQRT((AD24-AG24)^2+(AE24-AH24)^2)</f>
        <v>0</v>
      </c>
      <c r="AK24" s="7" t="s">
        <v>189</v>
      </c>
      <c r="AL24" s="7">
        <v>1066.480955581068</v>
      </c>
      <c r="AM24" s="7">
        <v>-3221.9714659319657</v>
      </c>
      <c r="AN24" s="7">
        <v>2096.25992861025</v>
      </c>
      <c r="AO24" s="7">
        <v>3972.274601961057</v>
      </c>
      <c r="AP24" s="7">
        <v>-1885.672945839753</v>
      </c>
      <c r="AQ24" s="7">
        <v>1454.386248961936</v>
      </c>
      <c r="AR24" s="7">
        <v>-2905.7936463799892</v>
      </c>
      <c r="AS24" s="7">
        <v>-1336.2985200922124</v>
      </c>
      <c r="AT24" s="7">
        <v>641.8736796483138</v>
      </c>
    </row>
    <row r="25" spans="1:46" x14ac:dyDescent="0.25">
      <c r="A25" s="7" t="s">
        <v>224</v>
      </c>
      <c r="B25" s="7">
        <v>1</v>
      </c>
      <c r="C25" s="18">
        <v>170</v>
      </c>
      <c r="D25" s="7" t="s">
        <v>284</v>
      </c>
      <c r="E25" s="7" t="s">
        <v>267</v>
      </c>
      <c r="F25" s="19">
        <v>170</v>
      </c>
      <c r="G25" s="7" t="s">
        <v>188</v>
      </c>
      <c r="H25" s="20">
        <v>4.999999999999999</v>
      </c>
      <c r="I25" s="10">
        <f>MAX(('Geometry'!$G$13*COS(RADIANS(F25))+'Geometry'!$F$13*SIN(RADIANS(F25))),('Geometry'!$G$14*COS(RADIANS(F25))+'Geometry'!$F$14*SIN(RADIANS(F25))),('Geometry'!$G$15*COS(RADIANS(F25))+'Geometry'!$F$15*SIN(RADIANS(F25))),('Geometry'!$G$16*COS(RADIANS(F25))+'Geometry'!$F$16*SIN(RADIANS(F25))),('Geometry'!$G$17*COS(RADIANS(F25))+'Geometry'!$F$17*SIN(RADIANS(F25))),('Geometry'!$G$18*COS(RADIANS(F25))+'Geometry'!$F$18*SIN(RADIANS(F25))),('Geometry'!$G$19*COS(RADIANS(F25))+'Geometry'!$F$19*SIN(RADIANS(F25))),('Geometry'!$G$20*COS(RADIANS(F25))+'Geometry'!$F$20*SIN(RADIANS(F25))))</f>
        <v>686.3911495241364</v>
      </c>
      <c r="J25" s="10">
        <f>MIN(('Geometry'!$G$40*COS(RADIANS(F25))+'Geometry'!$F$40*SIN(RADIANS(F25))),('Geometry'!$G$41*COS(RADIANS(F25))+'Geometry'!$F$41*SIN(RADIANS(F25))),('Geometry'!$G$42*COS(RADIANS(F25))+'Geometry'!$F$42*SIN(RADIANS(F25))),('Geometry'!$G$43*COS(RADIANS(F25))+'Geometry'!$F$43*SIN(RADIANS(F25))),('Geometry'!$G$44*COS(RADIANS(F25))+'Geometry'!$F$44*SIN(RADIANS(F25))),('Geometry'!$G$45*COS(RADIANS(F25))+'Geometry'!$F$45*SIN(RADIANS(F25))),('Geometry'!$G$46*COS(RADIANS(F25))+'Geometry'!$F$46*SIN(RADIANS(F25))),('Geometry'!$G$47*COS(RADIANS(F25))+'Geometry'!$F$47*SIN(RADIANS(F25))),('Geometry'!$G$48*COS(RADIANS(F25))+'Geometry'!$F$48*SIN(RADIANS(F25))),('Geometry'!$G$49*COS(RADIANS(F25))+'Geometry'!$F$49*SIN(RADIANS(F25))),('Geometry'!$G$50*COS(RADIANS(F25))+'Geometry'!$F$50*SIN(RADIANS(F25))),('Geometry'!$G$51*COS(RADIANS(F25))+'Geometry'!$F$51*SIN(RADIANS(F25))),('Geometry'!$G$52*COS(RADIANS(F25))+'Geometry'!$F$52*SIN(RADIANS(F25))),('Geometry'!$G$53*COS(RADIANS(F25))+'Geometry'!$F$53*SIN(RADIANS(F25))),('Geometry'!$G$54*COS(RADIANS(F25))+'Geometry'!$F$54*SIN(RADIANS(F25))),('Geometry'!$G$55*COS(RADIANS(F25))+'Geometry'!$F$55*SIN(RADIANS(F25))),('Geometry'!$G$56*COS(RADIANS(F25))+'Geometry'!$F$56*SIN(RADIANS(F25))),('Geometry'!$G$57*COS(RADIANS(F25))+'Geometry'!$F$57*SIN(RADIANS(F25))))</f>
        <v>-591.4073801632424</v>
      </c>
      <c r="K25" s="10">
        <f>I25-MIN(('Geometry'!$G$13*COS(RADIANS(F25))+'Geometry'!$F$13*SIN(RADIANS(F25))),('Geometry'!$G$14*COS(RADIANS(F25))+'Geometry'!$F$14*SIN(RADIANS(F25))),('Geometry'!$G$15*COS(RADIANS(F25))+'Geometry'!$F$15*SIN(RADIANS(F25))),('Geometry'!$G$16*COS(RADIANS(F25))+'Geometry'!$F$16*SIN(RADIANS(F25))),('Geometry'!$G$17*COS(RADIANS(F25))+'Geometry'!$F$17*SIN(RADIANS(F25))),('Geometry'!$G$18*COS(RADIANS(F25))+'Geometry'!$F$18*SIN(RADIANS(F25))),('Geometry'!$G$19*COS(RADIANS(F25))+'Geometry'!$F$19*SIN(RADIANS(F25))),('Geometry'!$G$20*COS(RADIANS(F25))+'Geometry'!$F$20*SIN(RADIANS(F25))))</f>
        <v>1372.7822990482728</v>
      </c>
      <c r="L25" s="15">
        <f>C_ecu</f>
        <v>0.0032999999999999982</v>
      </c>
      <c r="M25" s="15">
        <f>-H25*S_1_fy/S_1_Es</f>
        <v>-0.009999999999999998</v>
      </c>
      <c r="N25" s="21">
        <f>IF(ABS(I25-J25)&lt;0.000000000001,0,(L25-M25)/(I25-J25))</f>
        <v>0.000010408526611197404</v>
      </c>
      <c r="O25" s="15">
        <f>L25-N25*I25</f>
        <v>-0.0038443205455123515</v>
      </c>
      <c r="P25" s="21">
        <f>N25*COS(RADIANS(F25))</f>
        <v>-0.000010250397704141089</v>
      </c>
      <c r="Q25" s="21">
        <f>N25*SIN(RADIANS(F25))</f>
        <v>0.0000018074216782321788</v>
      </c>
      <c r="R25" s="10">
        <f>SUMPRODUCT(C_alpha*C_fck*(1-(1-(((O25+P25*Mesh_Y+Q25*Mesh_X))*((O25+P25*Mesh_Y+Q25*Mesh_X)&gt;0)*((O25+P25*Mesh_Y+Q25*Mesh_X)&lt;C_eco)+C_eco*((O25+P25*Mesh_Y+Q25*Mesh_X)&gt;=C_eco))/C_eco)^C_n)*(((O25+P25*Mesh_Y+Q25*Mesh_X))&gt;0),Mesh_A)/1000</f>
        <v>5227.613505340526</v>
      </c>
      <c r="S25" s="10">
        <f>SUMPRODUCT(C_alpha*C_fck*(1-(1-(((O25+P25*Mesh_Y+Q25*Mesh_X))*((O25+P25*Mesh_Y+Q25*Mesh_X)&gt;0)*((O25+P25*Mesh_Y+Q25*Mesh_X)&lt;C_eco)+C_eco*((O25+P25*Mesh_Y+Q25*Mesh_X)&gt;=C_eco))/C_eco)^C_n)*(((O25+P25*Mesh_Y+Q25*Mesh_X))&gt;0),Mesh_A,Mesh_Y)/1000000</f>
        <v>-2588.4130117339096</v>
      </c>
      <c r="T25" s="10">
        <f>SUMPRODUCT(C_alpha*C_fck*(1-(1-(((O25+P25*Mesh_Y+Q25*Mesh_X))*((O25+P25*Mesh_Y+Q25*Mesh_X)&gt;0)*((O25+P25*Mesh_Y+Q25*Mesh_X)&lt;C_eco)+C_eco*((O25+P25*Mesh_Y+Q25*Mesh_X)&gt;=C_eco))/C_eco)^C_n)*(((O25+P25*Mesh_Y+Q25*Mesh_X))&gt;0),Mesh_A,Mesh_X)/1000000</f>
        <v>933.6377727480057</v>
      </c>
      <c r="U25" s="10">
        <f>(((MAX(MIN(S_1_Es*(O25+P25*'Geometry'!$G$40+Q25*'Geometry'!$F$40),S_1_fy),-S_1_fy))-(IF((O25+P25*'Geometry'!$G$40+Q25*'Geometry'!$F$40)&gt;0,IF((O25+P25*'Geometry'!$G$40+Q25*'Geometry'!$F$40)&lt;=C_eco,C_alpha*C_fck*(1-(1-(O25+P25*'Geometry'!$G$40+Q25*'Geometry'!$F$40)/C_eco)^C_n),C_alpha*C_fck),0)))*'Geometry'!$H$40+((MAX(MIN(S_1_Es*(O25+P25*'Geometry'!$G$41+Q25*'Geometry'!$F$41),S_1_fy),-S_1_fy))-(IF((O25+P25*'Geometry'!$G$41+Q25*'Geometry'!$F$41)&gt;0,IF((O25+P25*'Geometry'!$G$41+Q25*'Geometry'!$F$41)&lt;=C_eco,C_alpha*C_fck*(1-(1-(O25+P25*'Geometry'!$G$41+Q25*'Geometry'!$F$41)/C_eco)^C_n),C_alpha*C_fck),0)))*'Geometry'!$H$41+((MAX(MIN(S_1_Es*(O25+P25*'Geometry'!$G$42+Q25*'Geometry'!$F$42),S_1_fy),-S_1_fy))-(IF((O25+P25*'Geometry'!$G$42+Q25*'Geometry'!$F$42)&gt;0,IF((O25+P25*'Geometry'!$G$42+Q25*'Geometry'!$F$42)&lt;=C_eco,C_alpha*C_fck*(1-(1-(O25+P25*'Geometry'!$G$42+Q25*'Geometry'!$F$42)/C_eco)^C_n),C_alpha*C_fck),0)))*'Geometry'!$H$42+((MAX(MIN(S_1_Es*(O25+P25*'Geometry'!$G$43+Q25*'Geometry'!$F$43),S_1_fy),-S_1_fy))-(IF((O25+P25*'Geometry'!$G$43+Q25*'Geometry'!$F$43)&gt;0,IF((O25+P25*'Geometry'!$G$43+Q25*'Geometry'!$F$43)&lt;=C_eco,C_alpha*C_fck*(1-(1-(O25+P25*'Geometry'!$G$43+Q25*'Geometry'!$F$43)/C_eco)^C_n),C_alpha*C_fck),0)))*'Geometry'!$H$43+((MAX(MIN(S_1_Es*(O25+P25*'Geometry'!$G$44+Q25*'Geometry'!$F$44),S_1_fy),-S_1_fy))-(IF((O25+P25*'Geometry'!$G$44+Q25*'Geometry'!$F$44)&gt;0,IF((O25+P25*'Geometry'!$G$44+Q25*'Geometry'!$F$44)&lt;=C_eco,C_alpha*C_fck*(1-(1-(O25+P25*'Geometry'!$G$44+Q25*'Geometry'!$F$44)/C_eco)^C_n),C_alpha*C_fck),0)))*'Geometry'!$H$44+((MAX(MIN(S_1_Es*(O25+P25*'Geometry'!$G$45+Q25*'Geometry'!$F$45),S_1_fy),-S_1_fy))-(IF((O25+P25*'Geometry'!$G$45+Q25*'Geometry'!$F$45)&gt;0,IF((O25+P25*'Geometry'!$G$45+Q25*'Geometry'!$F$45)&lt;=C_eco,C_alpha*C_fck*(1-(1-(O25+P25*'Geometry'!$G$45+Q25*'Geometry'!$F$45)/C_eco)^C_n),C_alpha*C_fck),0)))*'Geometry'!$H$45+((MAX(MIN(S_1_Es*(O25+P25*'Geometry'!$G$46+Q25*'Geometry'!$F$46),S_1_fy),-S_1_fy))-(IF((O25+P25*'Geometry'!$G$46+Q25*'Geometry'!$F$46)&gt;0,IF((O25+P25*'Geometry'!$G$46+Q25*'Geometry'!$F$46)&lt;=C_eco,C_alpha*C_fck*(1-(1-(O25+P25*'Geometry'!$G$46+Q25*'Geometry'!$F$46)/C_eco)^C_n),C_alpha*C_fck),0)))*'Geometry'!$H$46+((MAX(MIN(S_1_Es*(O25+P25*'Geometry'!$G$47+Q25*'Geometry'!$F$47),S_1_fy),-S_1_fy))-(IF((O25+P25*'Geometry'!$G$47+Q25*'Geometry'!$F$47)&gt;0,IF((O25+P25*'Geometry'!$G$47+Q25*'Geometry'!$F$47)&lt;=C_eco,C_alpha*C_fck*(1-(1-(O25+P25*'Geometry'!$G$47+Q25*'Geometry'!$F$47)/C_eco)^C_n),C_alpha*C_fck),0)))*'Geometry'!$H$47+((MAX(MIN(S_1_Es*(O25+P25*'Geometry'!$G$48+Q25*'Geometry'!$F$48),S_1_fy),-S_1_fy))-(IF((O25+P25*'Geometry'!$G$48+Q25*'Geometry'!$F$48)&gt;0,IF((O25+P25*'Geometry'!$G$48+Q25*'Geometry'!$F$48)&lt;=C_eco,C_alpha*C_fck*(1-(1-(O25+P25*'Geometry'!$G$48+Q25*'Geometry'!$F$48)/C_eco)^C_n),C_alpha*C_fck),0)))*'Geometry'!$H$48+((MAX(MIN(S_1_Es*(O25+P25*'Geometry'!$G$49+Q25*'Geometry'!$F$49),S_1_fy),-S_1_fy))-(IF((O25+P25*'Geometry'!$G$49+Q25*'Geometry'!$F$49)&gt;0,IF((O25+P25*'Geometry'!$G$49+Q25*'Geometry'!$F$49)&lt;=C_eco,C_alpha*C_fck*(1-(1-(O25+P25*'Geometry'!$G$49+Q25*'Geometry'!$F$49)/C_eco)^C_n),C_alpha*C_fck),0)))*'Geometry'!$H$49+((MAX(MIN(S_1_Es*(O25+P25*'Geometry'!$G$50+Q25*'Geometry'!$F$50),S_1_fy),-S_1_fy))-(IF((O25+P25*'Geometry'!$G$50+Q25*'Geometry'!$F$50)&gt;0,IF((O25+P25*'Geometry'!$G$50+Q25*'Geometry'!$F$50)&lt;=C_eco,C_alpha*C_fck*(1-(1-(O25+P25*'Geometry'!$G$50+Q25*'Geometry'!$F$50)/C_eco)^C_n),C_alpha*C_fck),0)))*'Geometry'!$H$50+((MAX(MIN(S_1_Es*(O25+P25*'Geometry'!$G$51+Q25*'Geometry'!$F$51),S_1_fy),-S_1_fy))-(IF((O25+P25*'Geometry'!$G$51+Q25*'Geometry'!$F$51)&gt;0,IF((O25+P25*'Geometry'!$G$51+Q25*'Geometry'!$F$51)&lt;=C_eco,C_alpha*C_fck*(1-(1-(O25+P25*'Geometry'!$G$51+Q25*'Geometry'!$F$51)/C_eco)^C_n),C_alpha*C_fck),0)))*'Geometry'!$H$51+((MAX(MIN(S_1_Es*(O25+P25*'Geometry'!$G$52+Q25*'Geometry'!$F$52),S_1_fy),-S_1_fy))-(IF((O25+P25*'Geometry'!$G$52+Q25*'Geometry'!$F$52)&gt;0,IF((O25+P25*'Geometry'!$G$52+Q25*'Geometry'!$F$52)&lt;=C_eco,C_alpha*C_fck*(1-(1-(O25+P25*'Geometry'!$G$52+Q25*'Geometry'!$F$52)/C_eco)^C_n),C_alpha*C_fck),0)))*'Geometry'!$H$52+((MAX(MIN(S_1_Es*(O25+P25*'Geometry'!$G$53+Q25*'Geometry'!$F$53),S_1_fy),-S_1_fy))-(IF((O25+P25*'Geometry'!$G$53+Q25*'Geometry'!$F$53)&gt;0,IF((O25+P25*'Geometry'!$G$53+Q25*'Geometry'!$F$53)&lt;=C_eco,C_alpha*C_fck*(1-(1-(O25+P25*'Geometry'!$G$53+Q25*'Geometry'!$F$53)/C_eco)^C_n),C_alpha*C_fck),0)))*'Geometry'!$H$53+((MAX(MIN(S_1_Es*(O25+P25*'Geometry'!$G$54+Q25*'Geometry'!$F$54),S_1_fy),-S_1_fy))-(IF((O25+P25*'Geometry'!$G$54+Q25*'Geometry'!$F$54)&gt;0,IF((O25+P25*'Geometry'!$G$54+Q25*'Geometry'!$F$54)&lt;=C_eco,C_alpha*C_fck*(1-(1-(O25+P25*'Geometry'!$G$54+Q25*'Geometry'!$F$54)/C_eco)^C_n),C_alpha*C_fck),0)))*'Geometry'!$H$54+((MAX(MIN(S_1_Es*(O25+P25*'Geometry'!$G$55+Q25*'Geometry'!$F$55),S_1_fy),-S_1_fy))-(IF((O25+P25*'Geometry'!$G$55+Q25*'Geometry'!$F$55)&gt;0,IF((O25+P25*'Geometry'!$G$55+Q25*'Geometry'!$F$55)&lt;=C_eco,C_alpha*C_fck*(1-(1-(O25+P25*'Geometry'!$G$55+Q25*'Geometry'!$F$55)/C_eco)^C_n),C_alpha*C_fck),0)))*'Geometry'!$H$55+((MAX(MIN(S_1_Es*(O25+P25*'Geometry'!$G$56+Q25*'Geometry'!$F$56),S_1_fy),-S_1_fy))-(IF((O25+P25*'Geometry'!$G$56+Q25*'Geometry'!$F$56)&gt;0,IF((O25+P25*'Geometry'!$G$56+Q25*'Geometry'!$F$56)&lt;=C_eco,C_alpha*C_fck*(1-(1-(O25+P25*'Geometry'!$G$56+Q25*'Geometry'!$F$56)/C_eco)^C_n),C_alpha*C_fck),0)))*'Geometry'!$H$56+((MAX(MIN(S_1_Es*(O25+P25*'Geometry'!$G$57+Q25*'Geometry'!$F$57),S_1_fy),-S_1_fy))-(IF((O25+P25*'Geometry'!$G$57+Q25*'Geometry'!$F$57)&gt;0,IF((O25+P25*'Geometry'!$G$57+Q25*'Geometry'!$F$57)&lt;=C_eco,C_alpha*C_fck*(1-(1-(O25+P25*'Geometry'!$G$57+Q25*'Geometry'!$F$57)/C_eco)^C_n),C_alpha*C_fck),0)))*'Geometry'!$H$57)/1000</f>
        <v>-2593.1956485452174</v>
      </c>
      <c r="V25" s="10">
        <f>(((MAX(MIN(S_1_Es*(O25+P25*'Geometry'!$G$40+Q25*'Geometry'!$F$40),S_1_fy),-S_1_fy))-(IF((O25+P25*'Geometry'!$G$40+Q25*'Geometry'!$F$40)&gt;0,IF((O25+P25*'Geometry'!$G$40+Q25*'Geometry'!$F$40)&lt;=C_eco,C_alpha*C_fck*(1-(1-(O25+P25*'Geometry'!$G$40+Q25*'Geometry'!$F$40)/C_eco)^C_n),C_alpha*C_fck),0)))*'Geometry'!$H$40*'Geometry'!$G$40+((MAX(MIN(S_1_Es*(O25+P25*'Geometry'!$G$41+Q25*'Geometry'!$F$41),S_1_fy),-S_1_fy))-(IF((O25+P25*'Geometry'!$G$41+Q25*'Geometry'!$F$41)&gt;0,IF((O25+P25*'Geometry'!$G$41+Q25*'Geometry'!$F$41)&lt;=C_eco,C_alpha*C_fck*(1-(1-(O25+P25*'Geometry'!$G$41+Q25*'Geometry'!$F$41)/C_eco)^C_n),C_alpha*C_fck),0)))*'Geometry'!$H$41*'Geometry'!$G$41+((MAX(MIN(S_1_Es*(O25+P25*'Geometry'!$G$42+Q25*'Geometry'!$F$42),S_1_fy),-S_1_fy))-(IF((O25+P25*'Geometry'!$G$42+Q25*'Geometry'!$F$42)&gt;0,IF((O25+P25*'Geometry'!$G$42+Q25*'Geometry'!$F$42)&lt;=C_eco,C_alpha*C_fck*(1-(1-(O25+P25*'Geometry'!$G$42+Q25*'Geometry'!$F$42)/C_eco)^C_n),C_alpha*C_fck),0)))*'Geometry'!$H$42*'Geometry'!$G$42+((MAX(MIN(S_1_Es*(O25+P25*'Geometry'!$G$43+Q25*'Geometry'!$F$43),S_1_fy),-S_1_fy))-(IF((O25+P25*'Geometry'!$G$43+Q25*'Geometry'!$F$43)&gt;0,IF((O25+P25*'Geometry'!$G$43+Q25*'Geometry'!$F$43)&lt;=C_eco,C_alpha*C_fck*(1-(1-(O25+P25*'Geometry'!$G$43+Q25*'Geometry'!$F$43)/C_eco)^C_n),C_alpha*C_fck),0)))*'Geometry'!$H$43*'Geometry'!$G$43+((MAX(MIN(S_1_Es*(O25+P25*'Geometry'!$G$44+Q25*'Geometry'!$F$44),S_1_fy),-S_1_fy))-(IF((O25+P25*'Geometry'!$G$44+Q25*'Geometry'!$F$44)&gt;0,IF((O25+P25*'Geometry'!$G$44+Q25*'Geometry'!$F$44)&lt;=C_eco,C_alpha*C_fck*(1-(1-(O25+P25*'Geometry'!$G$44+Q25*'Geometry'!$F$44)/C_eco)^C_n),C_alpha*C_fck),0)))*'Geometry'!$H$44*'Geometry'!$G$44+((MAX(MIN(S_1_Es*(O25+P25*'Geometry'!$G$45+Q25*'Geometry'!$F$45),S_1_fy),-S_1_fy))-(IF((O25+P25*'Geometry'!$G$45+Q25*'Geometry'!$F$45)&gt;0,IF((O25+P25*'Geometry'!$G$45+Q25*'Geometry'!$F$45)&lt;=C_eco,C_alpha*C_fck*(1-(1-(O25+P25*'Geometry'!$G$45+Q25*'Geometry'!$F$45)/C_eco)^C_n),C_alpha*C_fck),0)))*'Geometry'!$H$45*'Geometry'!$G$45+((MAX(MIN(S_1_Es*(O25+P25*'Geometry'!$G$46+Q25*'Geometry'!$F$46),S_1_fy),-S_1_fy))-(IF((O25+P25*'Geometry'!$G$46+Q25*'Geometry'!$F$46)&gt;0,IF((O25+P25*'Geometry'!$G$46+Q25*'Geometry'!$F$46)&lt;=C_eco,C_alpha*C_fck*(1-(1-(O25+P25*'Geometry'!$G$46+Q25*'Geometry'!$F$46)/C_eco)^C_n),C_alpha*C_fck),0)))*'Geometry'!$H$46*'Geometry'!$G$46+((MAX(MIN(S_1_Es*(O25+P25*'Geometry'!$G$47+Q25*'Geometry'!$F$47),S_1_fy),-S_1_fy))-(IF((O25+P25*'Geometry'!$G$47+Q25*'Geometry'!$F$47)&gt;0,IF((O25+P25*'Geometry'!$G$47+Q25*'Geometry'!$F$47)&lt;=C_eco,C_alpha*C_fck*(1-(1-(O25+P25*'Geometry'!$G$47+Q25*'Geometry'!$F$47)/C_eco)^C_n),C_alpha*C_fck),0)))*'Geometry'!$H$47*'Geometry'!$G$47+((MAX(MIN(S_1_Es*(O25+P25*'Geometry'!$G$48+Q25*'Geometry'!$F$48),S_1_fy),-S_1_fy))-(IF((O25+P25*'Geometry'!$G$48+Q25*'Geometry'!$F$48)&gt;0,IF((O25+P25*'Geometry'!$G$48+Q25*'Geometry'!$F$48)&lt;=C_eco,C_alpha*C_fck*(1-(1-(O25+P25*'Geometry'!$G$48+Q25*'Geometry'!$F$48)/C_eco)^C_n),C_alpha*C_fck),0)))*'Geometry'!$H$48*'Geometry'!$G$48+((MAX(MIN(S_1_Es*(O25+P25*'Geometry'!$G$49+Q25*'Geometry'!$F$49),S_1_fy),-S_1_fy))-(IF((O25+P25*'Geometry'!$G$49+Q25*'Geometry'!$F$49)&gt;0,IF((O25+P25*'Geometry'!$G$49+Q25*'Geometry'!$F$49)&lt;=C_eco,C_alpha*C_fck*(1-(1-(O25+P25*'Geometry'!$G$49+Q25*'Geometry'!$F$49)/C_eco)^C_n),C_alpha*C_fck),0)))*'Geometry'!$H$49*'Geometry'!$G$49+((MAX(MIN(S_1_Es*(O25+P25*'Geometry'!$G$50+Q25*'Geometry'!$F$50),S_1_fy),-S_1_fy))-(IF((O25+P25*'Geometry'!$G$50+Q25*'Geometry'!$F$50)&gt;0,IF((O25+P25*'Geometry'!$G$50+Q25*'Geometry'!$F$50)&lt;=C_eco,C_alpha*C_fck*(1-(1-(O25+P25*'Geometry'!$G$50+Q25*'Geometry'!$F$50)/C_eco)^C_n),C_alpha*C_fck),0)))*'Geometry'!$H$50*'Geometry'!$G$50+((MAX(MIN(S_1_Es*(O25+P25*'Geometry'!$G$51+Q25*'Geometry'!$F$51),S_1_fy),-S_1_fy))-(IF((O25+P25*'Geometry'!$G$51+Q25*'Geometry'!$F$51)&gt;0,IF((O25+P25*'Geometry'!$G$51+Q25*'Geometry'!$F$51)&lt;=C_eco,C_alpha*C_fck*(1-(1-(O25+P25*'Geometry'!$G$51+Q25*'Geometry'!$F$51)/C_eco)^C_n),C_alpha*C_fck),0)))*'Geometry'!$H$51*'Geometry'!$G$51+((MAX(MIN(S_1_Es*(O25+P25*'Geometry'!$G$52+Q25*'Geometry'!$F$52),S_1_fy),-S_1_fy))-(IF((O25+P25*'Geometry'!$G$52+Q25*'Geometry'!$F$52)&gt;0,IF((O25+P25*'Geometry'!$G$52+Q25*'Geometry'!$F$52)&lt;=C_eco,C_alpha*C_fck*(1-(1-(O25+P25*'Geometry'!$G$52+Q25*'Geometry'!$F$52)/C_eco)^C_n),C_alpha*C_fck),0)))*'Geometry'!$H$52*'Geometry'!$G$52+((MAX(MIN(S_1_Es*(O25+P25*'Geometry'!$G$53+Q25*'Geometry'!$F$53),S_1_fy),-S_1_fy))-(IF((O25+P25*'Geometry'!$G$53+Q25*'Geometry'!$F$53)&gt;0,IF((O25+P25*'Geometry'!$G$53+Q25*'Geometry'!$F$53)&lt;=C_eco,C_alpha*C_fck*(1-(1-(O25+P25*'Geometry'!$G$53+Q25*'Geometry'!$F$53)/C_eco)^C_n),C_alpha*C_fck),0)))*'Geometry'!$H$53*'Geometry'!$G$53+((MAX(MIN(S_1_Es*(O25+P25*'Geometry'!$G$54+Q25*'Geometry'!$F$54),S_1_fy),-S_1_fy))-(IF((O25+P25*'Geometry'!$G$54+Q25*'Geometry'!$F$54)&gt;0,IF((O25+P25*'Geometry'!$G$54+Q25*'Geometry'!$F$54)&lt;=C_eco,C_alpha*C_fck*(1-(1-(O25+P25*'Geometry'!$G$54+Q25*'Geometry'!$F$54)/C_eco)^C_n),C_alpha*C_fck),0)))*'Geometry'!$H$54*'Geometry'!$G$54+((MAX(MIN(S_1_Es*(O25+P25*'Geometry'!$G$55+Q25*'Geometry'!$F$55),S_1_fy),-S_1_fy))-(IF((O25+P25*'Geometry'!$G$55+Q25*'Geometry'!$F$55)&gt;0,IF((O25+P25*'Geometry'!$G$55+Q25*'Geometry'!$F$55)&lt;=C_eco,C_alpha*C_fck*(1-(1-(O25+P25*'Geometry'!$G$55+Q25*'Geometry'!$F$55)/C_eco)^C_n),C_alpha*C_fck),0)))*'Geometry'!$H$55*'Geometry'!$G$55+((MAX(MIN(S_1_Es*(O25+P25*'Geometry'!$G$56+Q25*'Geometry'!$F$56),S_1_fy),-S_1_fy))-(IF((O25+P25*'Geometry'!$G$56+Q25*'Geometry'!$F$56)&gt;0,IF((O25+P25*'Geometry'!$G$56+Q25*'Geometry'!$F$56)&lt;=C_eco,C_alpha*C_fck*(1-(1-(O25+P25*'Geometry'!$G$56+Q25*'Geometry'!$F$56)/C_eco)^C_n),C_alpha*C_fck),0)))*'Geometry'!$H$56*'Geometry'!$G$56+((MAX(MIN(S_1_Es*(O25+P25*'Geometry'!$G$57+Q25*'Geometry'!$F$57),S_1_fy),-S_1_fy))-(IF((O25+P25*'Geometry'!$G$57+Q25*'Geometry'!$F$57)&gt;0,IF((O25+P25*'Geometry'!$G$57+Q25*'Geometry'!$F$57)&lt;=C_eco,C_alpha*C_fck*(1-(1-(O25+P25*'Geometry'!$G$57+Q25*'Geometry'!$F$57)/C_eco)^C_n),C_alpha*C_fck),0)))*'Geometry'!$H$57*'Geometry'!$G$57)/1000000</f>
        <v>-1577.125936489673</v>
      </c>
      <c r="W25" s="10">
        <f>(((MAX(MIN(S_1_Es*(O25+P25*'Geometry'!$G$40+Q25*'Geometry'!$F$40),S_1_fy),-S_1_fy))-(IF((O25+P25*'Geometry'!$G$40+Q25*'Geometry'!$F$40)&gt;0,IF((O25+P25*'Geometry'!$G$40+Q25*'Geometry'!$F$40)&lt;=C_eco,C_alpha*C_fck*(1-(1-(O25+P25*'Geometry'!$G$40+Q25*'Geometry'!$F$40)/C_eco)^C_n),C_alpha*C_fck),0)))*'Geometry'!$H$40*'Geometry'!$F$40+((MAX(MIN(S_1_Es*(O25+P25*'Geometry'!$G$41+Q25*'Geometry'!$F$41),S_1_fy),-S_1_fy))-(IF((O25+P25*'Geometry'!$G$41+Q25*'Geometry'!$F$41)&gt;0,IF((O25+P25*'Geometry'!$G$41+Q25*'Geometry'!$F$41)&lt;=C_eco,C_alpha*C_fck*(1-(1-(O25+P25*'Geometry'!$G$41+Q25*'Geometry'!$F$41)/C_eco)^C_n),C_alpha*C_fck),0)))*'Geometry'!$H$41*'Geometry'!$F$41+((MAX(MIN(S_1_Es*(O25+P25*'Geometry'!$G$42+Q25*'Geometry'!$F$42),S_1_fy),-S_1_fy))-(IF((O25+P25*'Geometry'!$G$42+Q25*'Geometry'!$F$42)&gt;0,IF((O25+P25*'Geometry'!$G$42+Q25*'Geometry'!$F$42)&lt;=C_eco,C_alpha*C_fck*(1-(1-(O25+P25*'Geometry'!$G$42+Q25*'Geometry'!$F$42)/C_eco)^C_n),C_alpha*C_fck),0)))*'Geometry'!$H$42*'Geometry'!$F$42+((MAX(MIN(S_1_Es*(O25+P25*'Geometry'!$G$43+Q25*'Geometry'!$F$43),S_1_fy),-S_1_fy))-(IF((O25+P25*'Geometry'!$G$43+Q25*'Geometry'!$F$43)&gt;0,IF((O25+P25*'Geometry'!$G$43+Q25*'Geometry'!$F$43)&lt;=C_eco,C_alpha*C_fck*(1-(1-(O25+P25*'Geometry'!$G$43+Q25*'Geometry'!$F$43)/C_eco)^C_n),C_alpha*C_fck),0)))*'Geometry'!$H$43*'Geometry'!$F$43+((MAX(MIN(S_1_Es*(O25+P25*'Geometry'!$G$44+Q25*'Geometry'!$F$44),S_1_fy),-S_1_fy))-(IF((O25+P25*'Geometry'!$G$44+Q25*'Geometry'!$F$44)&gt;0,IF((O25+P25*'Geometry'!$G$44+Q25*'Geometry'!$F$44)&lt;=C_eco,C_alpha*C_fck*(1-(1-(O25+P25*'Geometry'!$G$44+Q25*'Geometry'!$F$44)/C_eco)^C_n),C_alpha*C_fck),0)))*'Geometry'!$H$44*'Geometry'!$F$44+((MAX(MIN(S_1_Es*(O25+P25*'Geometry'!$G$45+Q25*'Geometry'!$F$45),S_1_fy),-S_1_fy))-(IF((O25+P25*'Geometry'!$G$45+Q25*'Geometry'!$F$45)&gt;0,IF((O25+P25*'Geometry'!$G$45+Q25*'Geometry'!$F$45)&lt;=C_eco,C_alpha*C_fck*(1-(1-(O25+P25*'Geometry'!$G$45+Q25*'Geometry'!$F$45)/C_eco)^C_n),C_alpha*C_fck),0)))*'Geometry'!$H$45*'Geometry'!$F$45+((MAX(MIN(S_1_Es*(O25+P25*'Geometry'!$G$46+Q25*'Geometry'!$F$46),S_1_fy),-S_1_fy))-(IF((O25+P25*'Geometry'!$G$46+Q25*'Geometry'!$F$46)&gt;0,IF((O25+P25*'Geometry'!$G$46+Q25*'Geometry'!$F$46)&lt;=C_eco,C_alpha*C_fck*(1-(1-(O25+P25*'Geometry'!$G$46+Q25*'Geometry'!$F$46)/C_eco)^C_n),C_alpha*C_fck),0)))*'Geometry'!$H$46*'Geometry'!$F$46+((MAX(MIN(S_1_Es*(O25+P25*'Geometry'!$G$47+Q25*'Geometry'!$F$47),S_1_fy),-S_1_fy))-(IF((O25+P25*'Geometry'!$G$47+Q25*'Geometry'!$F$47)&gt;0,IF((O25+P25*'Geometry'!$G$47+Q25*'Geometry'!$F$47)&lt;=C_eco,C_alpha*C_fck*(1-(1-(O25+P25*'Geometry'!$G$47+Q25*'Geometry'!$F$47)/C_eco)^C_n),C_alpha*C_fck),0)))*'Geometry'!$H$47*'Geometry'!$F$47+((MAX(MIN(S_1_Es*(O25+P25*'Geometry'!$G$48+Q25*'Geometry'!$F$48),S_1_fy),-S_1_fy))-(IF((O25+P25*'Geometry'!$G$48+Q25*'Geometry'!$F$48)&gt;0,IF((O25+P25*'Geometry'!$G$48+Q25*'Geometry'!$F$48)&lt;=C_eco,C_alpha*C_fck*(1-(1-(O25+P25*'Geometry'!$G$48+Q25*'Geometry'!$F$48)/C_eco)^C_n),C_alpha*C_fck),0)))*'Geometry'!$H$48*'Geometry'!$F$48+((MAX(MIN(S_1_Es*(O25+P25*'Geometry'!$G$49+Q25*'Geometry'!$F$49),S_1_fy),-S_1_fy))-(IF((O25+P25*'Geometry'!$G$49+Q25*'Geometry'!$F$49)&gt;0,IF((O25+P25*'Geometry'!$G$49+Q25*'Geometry'!$F$49)&lt;=C_eco,C_alpha*C_fck*(1-(1-(O25+P25*'Geometry'!$G$49+Q25*'Geometry'!$F$49)/C_eco)^C_n),C_alpha*C_fck),0)))*'Geometry'!$H$49*'Geometry'!$F$49+((MAX(MIN(S_1_Es*(O25+P25*'Geometry'!$G$50+Q25*'Geometry'!$F$50),S_1_fy),-S_1_fy))-(IF((O25+P25*'Geometry'!$G$50+Q25*'Geometry'!$F$50)&gt;0,IF((O25+P25*'Geometry'!$G$50+Q25*'Geometry'!$F$50)&lt;=C_eco,C_alpha*C_fck*(1-(1-(O25+P25*'Geometry'!$G$50+Q25*'Geometry'!$F$50)/C_eco)^C_n),C_alpha*C_fck),0)))*'Geometry'!$H$50*'Geometry'!$F$50+((MAX(MIN(S_1_Es*(O25+P25*'Geometry'!$G$51+Q25*'Geometry'!$F$51),S_1_fy),-S_1_fy))-(IF((O25+P25*'Geometry'!$G$51+Q25*'Geometry'!$F$51)&gt;0,IF((O25+P25*'Geometry'!$G$51+Q25*'Geometry'!$F$51)&lt;=C_eco,C_alpha*C_fck*(1-(1-(O25+P25*'Geometry'!$G$51+Q25*'Geometry'!$F$51)/C_eco)^C_n),C_alpha*C_fck),0)))*'Geometry'!$H$51*'Geometry'!$F$51+((MAX(MIN(S_1_Es*(O25+P25*'Geometry'!$G$52+Q25*'Geometry'!$F$52),S_1_fy),-S_1_fy))-(IF((O25+P25*'Geometry'!$G$52+Q25*'Geometry'!$F$52)&gt;0,IF((O25+P25*'Geometry'!$G$52+Q25*'Geometry'!$F$52)&lt;=C_eco,C_alpha*C_fck*(1-(1-(O25+P25*'Geometry'!$G$52+Q25*'Geometry'!$F$52)/C_eco)^C_n),C_alpha*C_fck),0)))*'Geometry'!$H$52*'Geometry'!$F$52+((MAX(MIN(S_1_Es*(O25+P25*'Geometry'!$G$53+Q25*'Geometry'!$F$53),S_1_fy),-S_1_fy))-(IF((O25+P25*'Geometry'!$G$53+Q25*'Geometry'!$F$53)&gt;0,IF((O25+P25*'Geometry'!$G$53+Q25*'Geometry'!$F$53)&lt;=C_eco,C_alpha*C_fck*(1-(1-(O25+P25*'Geometry'!$G$53+Q25*'Geometry'!$F$53)/C_eco)^C_n),C_alpha*C_fck),0)))*'Geometry'!$H$53*'Geometry'!$F$53+((MAX(MIN(S_1_Es*(O25+P25*'Geometry'!$G$54+Q25*'Geometry'!$F$54),S_1_fy),-S_1_fy))-(IF((O25+P25*'Geometry'!$G$54+Q25*'Geometry'!$F$54)&gt;0,IF((O25+P25*'Geometry'!$G$54+Q25*'Geometry'!$F$54)&lt;=C_eco,C_alpha*C_fck*(1-(1-(O25+P25*'Geometry'!$G$54+Q25*'Geometry'!$F$54)/C_eco)^C_n),C_alpha*C_fck),0)))*'Geometry'!$H$54*'Geometry'!$F$54+((MAX(MIN(S_1_Es*(O25+P25*'Geometry'!$G$55+Q25*'Geometry'!$F$55),S_1_fy),-S_1_fy))-(IF((O25+P25*'Geometry'!$G$55+Q25*'Geometry'!$F$55)&gt;0,IF((O25+P25*'Geometry'!$G$55+Q25*'Geometry'!$F$55)&lt;=C_eco,C_alpha*C_fck*(1-(1-(O25+P25*'Geometry'!$G$55+Q25*'Geometry'!$F$55)/C_eco)^C_n),C_alpha*C_fck),0)))*'Geometry'!$H$55*'Geometry'!$F$55+((MAX(MIN(S_1_Es*(O25+P25*'Geometry'!$G$56+Q25*'Geometry'!$F$56),S_1_fy),-S_1_fy))-(IF((O25+P25*'Geometry'!$G$56+Q25*'Geometry'!$F$56)&gt;0,IF((O25+P25*'Geometry'!$G$56+Q25*'Geometry'!$F$56)&lt;=C_eco,C_alpha*C_fck*(1-(1-(O25+P25*'Geometry'!$G$56+Q25*'Geometry'!$F$56)/C_eco)^C_n),C_alpha*C_fck),0)))*'Geometry'!$H$56*'Geometry'!$F$56+((MAX(MIN(S_1_Es*(O25+P25*'Geometry'!$G$57+Q25*'Geometry'!$F$57),S_1_fy),-S_1_fy))-(IF((O25+P25*'Geometry'!$G$57+Q25*'Geometry'!$F$57)&gt;0,IF((O25+P25*'Geometry'!$G$57+Q25*'Geometry'!$F$57)&lt;=C_eco,C_alpha*C_fck*(1-(1-(O25+P25*'Geometry'!$G$57+Q25*'Geometry'!$F$57)/C_eco)^C_n),C_alpha*C_fck),0)))*'Geometry'!$H$57*'Geometry'!$F$57)/1000000</f>
        <v>401.01037063218814</v>
      </c>
      <c r="X25" s="10">
        <f>R25+U25</f>
        <v>2634.4178567953086</v>
      </c>
      <c r="Y25" s="10">
        <f>S25+V25</f>
        <v>-4165.538948223582</v>
      </c>
      <c r="Z25" s="10">
        <f>T25+W25</f>
        <v>1334.6481433801937</v>
      </c>
      <c r="AA25" s="7">
        <v>0.85</v>
      </c>
      <c r="AB25" s="7">
        <v>0.8500000000000001</v>
      </c>
      <c r="AC25" s="10">
        <f>X25*AA25</f>
        <v>2239.255178276012</v>
      </c>
      <c r="AD25" s="10">
        <f>Y25*AB25</f>
        <v>-3540.708105990045</v>
      </c>
      <c r="AE25" s="10">
        <f>Z25*AB25</f>
        <v>1134.4509218731646</v>
      </c>
      <c r="AF25" s="7">
        <v>2239.255178276012</v>
      </c>
      <c r="AG25" s="7">
        <v>-3540.708105990045</v>
      </c>
      <c r="AH25" s="7">
        <v>1134.4509218731646</v>
      </c>
      <c r="AI25" s="15">
        <f>AC25-AF25</f>
        <v>0</v>
      </c>
      <c r="AJ25" s="15">
        <f>SQRT((AD25-AG25)^2+(AE25-AH25)^2)</f>
        <v>0</v>
      </c>
      <c r="AK25" s="7" t="s">
        <v>189</v>
      </c>
      <c r="AL25" s="7">
        <v>2634.4178567953086</v>
      </c>
      <c r="AM25" s="7">
        <v>-4165.538948223582</v>
      </c>
      <c r="AN25" s="7">
        <v>1334.6481433801937</v>
      </c>
      <c r="AO25" s="7">
        <v>5227.613505340526</v>
      </c>
      <c r="AP25" s="7">
        <v>-2588.4130117339096</v>
      </c>
      <c r="AQ25" s="7">
        <v>933.6377727480057</v>
      </c>
      <c r="AR25" s="7">
        <v>-2593.1956485452174</v>
      </c>
      <c r="AS25" s="7">
        <v>-1577.125936489673</v>
      </c>
      <c r="AT25" s="7">
        <v>401.01037063218814</v>
      </c>
    </row>
    <row r="26" spans="1:46" x14ac:dyDescent="0.25">
      <c r="A26" s="7" t="s">
        <v>226</v>
      </c>
      <c r="B26" s="7">
        <v>1</v>
      </c>
      <c r="C26" s="18">
        <v>180</v>
      </c>
      <c r="D26" s="7" t="s">
        <v>285</v>
      </c>
      <c r="E26" s="7" t="s">
        <v>265</v>
      </c>
      <c r="F26" s="19">
        <v>180</v>
      </c>
      <c r="G26" s="7" t="s">
        <v>188</v>
      </c>
      <c r="H26" s="20">
        <v>10.000000000000002</v>
      </c>
      <c r="I26" s="10">
        <f>MAX(('Geometry'!$G$13*COS(RADIANS(F26))+'Geometry'!$F$13*SIN(RADIANS(F26))),('Geometry'!$G$14*COS(RADIANS(F26))+'Geometry'!$F$14*SIN(RADIANS(F26))),('Geometry'!$G$15*COS(RADIANS(F26))+'Geometry'!$F$15*SIN(RADIANS(F26))),('Geometry'!$G$16*COS(RADIANS(F26))+'Geometry'!$F$16*SIN(RADIANS(F26))),('Geometry'!$G$17*COS(RADIANS(F26))+'Geometry'!$F$17*SIN(RADIANS(F26))),('Geometry'!$G$18*COS(RADIANS(F26))+'Geometry'!$F$18*SIN(RADIANS(F26))),('Geometry'!$G$19*COS(RADIANS(F26))+'Geometry'!$F$19*SIN(RADIANS(F26))),('Geometry'!$G$20*COS(RADIANS(F26))+'Geometry'!$F$20*SIN(RADIANS(F26))))</f>
        <v>600.0000000000001</v>
      </c>
      <c r="J26" s="10">
        <f>MIN(('Geometry'!$G$40*COS(RADIANS(F26))+'Geometry'!$F$40*SIN(RADIANS(F26))),('Geometry'!$G$41*COS(RADIANS(F26))+'Geometry'!$F$41*SIN(RADIANS(F26))),('Geometry'!$G$42*COS(RADIANS(F26))+'Geometry'!$F$42*SIN(RADIANS(F26))),('Geometry'!$G$43*COS(RADIANS(F26))+'Geometry'!$F$43*SIN(RADIANS(F26))),('Geometry'!$G$44*COS(RADIANS(F26))+'Geometry'!$F$44*SIN(RADIANS(F26))),('Geometry'!$G$45*COS(RADIANS(F26))+'Geometry'!$F$45*SIN(RADIANS(F26))),('Geometry'!$G$46*COS(RADIANS(F26))+'Geometry'!$F$46*SIN(RADIANS(F26))),('Geometry'!$G$47*COS(RADIANS(F26))+'Geometry'!$F$47*SIN(RADIANS(F26))),('Geometry'!$G$48*COS(RADIANS(F26))+'Geometry'!$F$48*SIN(RADIANS(F26))),('Geometry'!$G$49*COS(RADIANS(F26))+'Geometry'!$F$49*SIN(RADIANS(F26))),('Geometry'!$G$50*COS(RADIANS(F26))+'Geometry'!$F$50*SIN(RADIANS(F26))),('Geometry'!$G$51*COS(RADIANS(F26))+'Geometry'!$F$51*SIN(RADIANS(F26))),('Geometry'!$G$52*COS(RADIANS(F26))+'Geometry'!$F$52*SIN(RADIANS(F26))),('Geometry'!$G$53*COS(RADIANS(F26))+'Geometry'!$F$53*SIN(RADIANS(F26))),('Geometry'!$G$54*COS(RADIANS(F26))+'Geometry'!$F$54*SIN(RADIANS(F26))),('Geometry'!$G$55*COS(RADIANS(F26))+'Geometry'!$F$55*SIN(RADIANS(F26))),('Geometry'!$G$56*COS(RADIANS(F26))+'Geometry'!$F$56*SIN(RADIANS(F26))),('Geometry'!$G$57*COS(RADIANS(F26))+'Geometry'!$F$57*SIN(RADIANS(F26))))</f>
        <v>-530</v>
      </c>
      <c r="K26" s="10">
        <f>I26-MIN(('Geometry'!$G$13*COS(RADIANS(F26))+'Geometry'!$F$13*SIN(RADIANS(F26))),('Geometry'!$G$14*COS(RADIANS(F26))+'Geometry'!$F$14*SIN(RADIANS(F26))),('Geometry'!$G$15*COS(RADIANS(F26))+'Geometry'!$F$15*SIN(RADIANS(F26))),('Geometry'!$G$16*COS(RADIANS(F26))+'Geometry'!$F$16*SIN(RADIANS(F26))),('Geometry'!$G$17*COS(RADIANS(F26))+'Geometry'!$F$17*SIN(RADIANS(F26))),('Geometry'!$G$18*COS(RADIANS(F26))+'Geometry'!$F$18*SIN(RADIANS(F26))),('Geometry'!$G$19*COS(RADIANS(F26))+'Geometry'!$F$19*SIN(RADIANS(F26))),('Geometry'!$G$20*COS(RADIANS(F26))+'Geometry'!$F$20*SIN(RADIANS(F26))))</f>
        <v>1200.0000000000002</v>
      </c>
      <c r="L26" s="15">
        <f>C_ecu</f>
        <v>0.003299999999999999</v>
      </c>
      <c r="M26" s="15">
        <f>-H26*S_1_fy/S_1_Es</f>
        <v>-0.020000000000000004</v>
      </c>
      <c r="N26" s="21">
        <f>IF(ABS(I26-J26)&lt;0.000000000001,0,(L26-M26)/(I26-J26))</f>
        <v>0.000020619469026548672</v>
      </c>
      <c r="O26" s="15">
        <f>L26-N26*I26</f>
        <v>-0.009071681415929206</v>
      </c>
      <c r="P26" s="21">
        <f>N26*COS(RADIANS(F26))</f>
        <v>-0.000020619469026548672</v>
      </c>
      <c r="Q26" s="21">
        <f>N26*SIN(RADIANS(F26))</f>
        <v>2.5251566743480824e-21</v>
      </c>
      <c r="R26" s="10">
        <f>SUMPRODUCT(C_alpha*C_fck*(1-(1-(((O26+P26*Mesh_Y+Q26*Mesh_X))*((O26+P26*Mesh_Y+Q26*Mesh_X)&gt;0)*((O26+P26*Mesh_Y+Q26*Mesh_X)&lt;C_eco)+C_eco*((O26+P26*Mesh_Y+Q26*Mesh_X)&gt;=C_eco))/C_eco)^C_n)*(((O26+P26*Mesh_Y+Q26*Mesh_X))&gt;0),Mesh_A)/1000</f>
        <v>3965.518310176795</v>
      </c>
      <c r="S26" s="10">
        <f>SUMPRODUCT(C_alpha*C_fck*(1-(1-(((O26+P26*Mesh_Y+Q26*Mesh_X))*((O26+P26*Mesh_Y+Q26*Mesh_X)&gt;0)*((O26+P26*Mesh_Y+Q26*Mesh_X)&lt;C_eco)+C_eco*((O26+P26*Mesh_Y+Q26*Mesh_X)&gt;=C_eco))/C_eco)^C_n)*(((O26+P26*Mesh_Y+Q26*Mesh_X))&gt;0),Mesh_A,Mesh_Y)/1000000</f>
        <v>-2106.1846810872767</v>
      </c>
      <c r="T26" s="10">
        <f>SUMPRODUCT(C_alpha*C_fck*(1-(1-(((O26+P26*Mesh_Y+Q26*Mesh_X))*((O26+P26*Mesh_Y+Q26*Mesh_X)&gt;0)*((O26+P26*Mesh_Y+Q26*Mesh_X)&lt;C_eco)+C_eco*((O26+P26*Mesh_Y+Q26*Mesh_X)&gt;=C_eco))/C_eco)^C_n)*(((O26+P26*Mesh_Y+Q26*Mesh_X))&gt;0),Mesh_A,Mesh_X)/1000000</f>
        <v>-0.23193093558866903</v>
      </c>
      <c r="U26" s="10">
        <f>(((MAX(MIN(S_1_Es*(O26+P26*'Geometry'!$G$40+Q26*'Geometry'!$F$40),S_1_fy),-S_1_fy))-(IF((O26+P26*'Geometry'!$G$40+Q26*'Geometry'!$F$40)&gt;0,IF((O26+P26*'Geometry'!$G$40+Q26*'Geometry'!$F$40)&lt;=C_eco,C_alpha*C_fck*(1-(1-(O26+P26*'Geometry'!$G$40+Q26*'Geometry'!$F$40)/C_eco)^C_n),C_alpha*C_fck),0)))*'Geometry'!$H$40+((MAX(MIN(S_1_Es*(O26+P26*'Geometry'!$G$41+Q26*'Geometry'!$F$41),S_1_fy),-S_1_fy))-(IF((O26+P26*'Geometry'!$G$41+Q26*'Geometry'!$F$41)&gt;0,IF((O26+P26*'Geometry'!$G$41+Q26*'Geometry'!$F$41)&lt;=C_eco,C_alpha*C_fck*(1-(1-(O26+P26*'Geometry'!$G$41+Q26*'Geometry'!$F$41)/C_eco)^C_n),C_alpha*C_fck),0)))*'Geometry'!$H$41+((MAX(MIN(S_1_Es*(O26+P26*'Geometry'!$G$42+Q26*'Geometry'!$F$42),S_1_fy),-S_1_fy))-(IF((O26+P26*'Geometry'!$G$42+Q26*'Geometry'!$F$42)&gt;0,IF((O26+P26*'Geometry'!$G$42+Q26*'Geometry'!$F$42)&lt;=C_eco,C_alpha*C_fck*(1-(1-(O26+P26*'Geometry'!$G$42+Q26*'Geometry'!$F$42)/C_eco)^C_n),C_alpha*C_fck),0)))*'Geometry'!$H$42+((MAX(MIN(S_1_Es*(O26+P26*'Geometry'!$G$43+Q26*'Geometry'!$F$43),S_1_fy),-S_1_fy))-(IF((O26+P26*'Geometry'!$G$43+Q26*'Geometry'!$F$43)&gt;0,IF((O26+P26*'Geometry'!$G$43+Q26*'Geometry'!$F$43)&lt;=C_eco,C_alpha*C_fck*(1-(1-(O26+P26*'Geometry'!$G$43+Q26*'Geometry'!$F$43)/C_eco)^C_n),C_alpha*C_fck),0)))*'Geometry'!$H$43+((MAX(MIN(S_1_Es*(O26+P26*'Geometry'!$G$44+Q26*'Geometry'!$F$44),S_1_fy),-S_1_fy))-(IF((O26+P26*'Geometry'!$G$44+Q26*'Geometry'!$F$44)&gt;0,IF((O26+P26*'Geometry'!$G$44+Q26*'Geometry'!$F$44)&lt;=C_eco,C_alpha*C_fck*(1-(1-(O26+P26*'Geometry'!$G$44+Q26*'Geometry'!$F$44)/C_eco)^C_n),C_alpha*C_fck),0)))*'Geometry'!$H$44+((MAX(MIN(S_1_Es*(O26+P26*'Geometry'!$G$45+Q26*'Geometry'!$F$45),S_1_fy),-S_1_fy))-(IF((O26+P26*'Geometry'!$G$45+Q26*'Geometry'!$F$45)&gt;0,IF((O26+P26*'Geometry'!$G$45+Q26*'Geometry'!$F$45)&lt;=C_eco,C_alpha*C_fck*(1-(1-(O26+P26*'Geometry'!$G$45+Q26*'Geometry'!$F$45)/C_eco)^C_n),C_alpha*C_fck),0)))*'Geometry'!$H$45+((MAX(MIN(S_1_Es*(O26+P26*'Geometry'!$G$46+Q26*'Geometry'!$F$46),S_1_fy),-S_1_fy))-(IF((O26+P26*'Geometry'!$G$46+Q26*'Geometry'!$F$46)&gt;0,IF((O26+P26*'Geometry'!$G$46+Q26*'Geometry'!$F$46)&lt;=C_eco,C_alpha*C_fck*(1-(1-(O26+P26*'Geometry'!$G$46+Q26*'Geometry'!$F$46)/C_eco)^C_n),C_alpha*C_fck),0)))*'Geometry'!$H$46+((MAX(MIN(S_1_Es*(O26+P26*'Geometry'!$G$47+Q26*'Geometry'!$F$47),S_1_fy),-S_1_fy))-(IF((O26+P26*'Geometry'!$G$47+Q26*'Geometry'!$F$47)&gt;0,IF((O26+P26*'Geometry'!$G$47+Q26*'Geometry'!$F$47)&lt;=C_eco,C_alpha*C_fck*(1-(1-(O26+P26*'Geometry'!$G$47+Q26*'Geometry'!$F$47)/C_eco)^C_n),C_alpha*C_fck),0)))*'Geometry'!$H$47+((MAX(MIN(S_1_Es*(O26+P26*'Geometry'!$G$48+Q26*'Geometry'!$F$48),S_1_fy),-S_1_fy))-(IF((O26+P26*'Geometry'!$G$48+Q26*'Geometry'!$F$48)&gt;0,IF((O26+P26*'Geometry'!$G$48+Q26*'Geometry'!$F$48)&lt;=C_eco,C_alpha*C_fck*(1-(1-(O26+P26*'Geometry'!$G$48+Q26*'Geometry'!$F$48)/C_eco)^C_n),C_alpha*C_fck),0)))*'Geometry'!$H$48+((MAX(MIN(S_1_Es*(O26+P26*'Geometry'!$G$49+Q26*'Geometry'!$F$49),S_1_fy),-S_1_fy))-(IF((O26+P26*'Geometry'!$G$49+Q26*'Geometry'!$F$49)&gt;0,IF((O26+P26*'Geometry'!$G$49+Q26*'Geometry'!$F$49)&lt;=C_eco,C_alpha*C_fck*(1-(1-(O26+P26*'Geometry'!$G$49+Q26*'Geometry'!$F$49)/C_eco)^C_n),C_alpha*C_fck),0)))*'Geometry'!$H$49+((MAX(MIN(S_1_Es*(O26+P26*'Geometry'!$G$50+Q26*'Geometry'!$F$50),S_1_fy),-S_1_fy))-(IF((O26+P26*'Geometry'!$G$50+Q26*'Geometry'!$F$50)&gt;0,IF((O26+P26*'Geometry'!$G$50+Q26*'Geometry'!$F$50)&lt;=C_eco,C_alpha*C_fck*(1-(1-(O26+P26*'Geometry'!$G$50+Q26*'Geometry'!$F$50)/C_eco)^C_n),C_alpha*C_fck),0)))*'Geometry'!$H$50+((MAX(MIN(S_1_Es*(O26+P26*'Geometry'!$G$51+Q26*'Geometry'!$F$51),S_1_fy),-S_1_fy))-(IF((O26+P26*'Geometry'!$G$51+Q26*'Geometry'!$F$51)&gt;0,IF((O26+P26*'Geometry'!$G$51+Q26*'Geometry'!$F$51)&lt;=C_eco,C_alpha*C_fck*(1-(1-(O26+P26*'Geometry'!$G$51+Q26*'Geometry'!$F$51)/C_eco)^C_n),C_alpha*C_fck),0)))*'Geometry'!$H$51+((MAX(MIN(S_1_Es*(O26+P26*'Geometry'!$G$52+Q26*'Geometry'!$F$52),S_1_fy),-S_1_fy))-(IF((O26+P26*'Geometry'!$G$52+Q26*'Geometry'!$F$52)&gt;0,IF((O26+P26*'Geometry'!$G$52+Q26*'Geometry'!$F$52)&lt;=C_eco,C_alpha*C_fck*(1-(1-(O26+P26*'Geometry'!$G$52+Q26*'Geometry'!$F$52)/C_eco)^C_n),C_alpha*C_fck),0)))*'Geometry'!$H$52+((MAX(MIN(S_1_Es*(O26+P26*'Geometry'!$G$53+Q26*'Geometry'!$F$53),S_1_fy),-S_1_fy))-(IF((O26+P26*'Geometry'!$G$53+Q26*'Geometry'!$F$53)&gt;0,IF((O26+P26*'Geometry'!$G$53+Q26*'Geometry'!$F$53)&lt;=C_eco,C_alpha*C_fck*(1-(1-(O26+P26*'Geometry'!$G$53+Q26*'Geometry'!$F$53)/C_eco)^C_n),C_alpha*C_fck),0)))*'Geometry'!$H$53+((MAX(MIN(S_1_Es*(O26+P26*'Geometry'!$G$54+Q26*'Geometry'!$F$54),S_1_fy),-S_1_fy))-(IF((O26+P26*'Geometry'!$G$54+Q26*'Geometry'!$F$54)&gt;0,IF((O26+P26*'Geometry'!$G$54+Q26*'Geometry'!$F$54)&lt;=C_eco,C_alpha*C_fck*(1-(1-(O26+P26*'Geometry'!$G$54+Q26*'Geometry'!$F$54)/C_eco)^C_n),C_alpha*C_fck),0)))*'Geometry'!$H$54+((MAX(MIN(S_1_Es*(O26+P26*'Geometry'!$G$55+Q26*'Geometry'!$F$55),S_1_fy),-S_1_fy))-(IF((O26+P26*'Geometry'!$G$55+Q26*'Geometry'!$F$55)&gt;0,IF((O26+P26*'Geometry'!$G$55+Q26*'Geometry'!$F$55)&lt;=C_eco,C_alpha*C_fck*(1-(1-(O26+P26*'Geometry'!$G$55+Q26*'Geometry'!$F$55)/C_eco)^C_n),C_alpha*C_fck),0)))*'Geometry'!$H$55+((MAX(MIN(S_1_Es*(O26+P26*'Geometry'!$G$56+Q26*'Geometry'!$F$56),S_1_fy),-S_1_fy))-(IF((O26+P26*'Geometry'!$G$56+Q26*'Geometry'!$F$56)&gt;0,IF((O26+P26*'Geometry'!$G$56+Q26*'Geometry'!$F$56)&lt;=C_eco,C_alpha*C_fck*(1-(1-(O26+P26*'Geometry'!$G$56+Q26*'Geometry'!$F$56)/C_eco)^C_n),C_alpha*C_fck),0)))*'Geometry'!$H$56+((MAX(MIN(S_1_Es*(O26+P26*'Geometry'!$G$57+Q26*'Geometry'!$F$57),S_1_fy),-S_1_fy))-(IF((O26+P26*'Geometry'!$G$57+Q26*'Geometry'!$F$57)&gt;0,IF((O26+P26*'Geometry'!$G$57+Q26*'Geometry'!$F$57)&lt;=C_eco,C_alpha*C_fck*(1-(1-(O26+P26*'Geometry'!$G$57+Q26*'Geometry'!$F$57)/C_eco)^C_n),C_alpha*C_fck),0)))*'Geometry'!$H$57)/1000</f>
        <v>-2790.906634819671</v>
      </c>
      <c r="V26" s="10">
        <f>(((MAX(MIN(S_1_Es*(O26+P26*'Geometry'!$G$40+Q26*'Geometry'!$F$40),S_1_fy),-S_1_fy))-(IF((O26+P26*'Geometry'!$G$40+Q26*'Geometry'!$F$40)&gt;0,IF((O26+P26*'Geometry'!$G$40+Q26*'Geometry'!$F$40)&lt;=C_eco,C_alpha*C_fck*(1-(1-(O26+P26*'Geometry'!$G$40+Q26*'Geometry'!$F$40)/C_eco)^C_n),C_alpha*C_fck),0)))*'Geometry'!$H$40*'Geometry'!$G$40+((MAX(MIN(S_1_Es*(O26+P26*'Geometry'!$G$41+Q26*'Geometry'!$F$41),S_1_fy),-S_1_fy))-(IF((O26+P26*'Geometry'!$G$41+Q26*'Geometry'!$F$41)&gt;0,IF((O26+P26*'Geometry'!$G$41+Q26*'Geometry'!$F$41)&lt;=C_eco,C_alpha*C_fck*(1-(1-(O26+P26*'Geometry'!$G$41+Q26*'Geometry'!$F$41)/C_eco)^C_n),C_alpha*C_fck),0)))*'Geometry'!$H$41*'Geometry'!$G$41+((MAX(MIN(S_1_Es*(O26+P26*'Geometry'!$G$42+Q26*'Geometry'!$F$42),S_1_fy),-S_1_fy))-(IF((O26+P26*'Geometry'!$G$42+Q26*'Geometry'!$F$42)&gt;0,IF((O26+P26*'Geometry'!$G$42+Q26*'Geometry'!$F$42)&lt;=C_eco,C_alpha*C_fck*(1-(1-(O26+P26*'Geometry'!$G$42+Q26*'Geometry'!$F$42)/C_eco)^C_n),C_alpha*C_fck),0)))*'Geometry'!$H$42*'Geometry'!$G$42+((MAX(MIN(S_1_Es*(O26+P26*'Geometry'!$G$43+Q26*'Geometry'!$F$43),S_1_fy),-S_1_fy))-(IF((O26+P26*'Geometry'!$G$43+Q26*'Geometry'!$F$43)&gt;0,IF((O26+P26*'Geometry'!$G$43+Q26*'Geometry'!$F$43)&lt;=C_eco,C_alpha*C_fck*(1-(1-(O26+P26*'Geometry'!$G$43+Q26*'Geometry'!$F$43)/C_eco)^C_n),C_alpha*C_fck),0)))*'Geometry'!$H$43*'Geometry'!$G$43+((MAX(MIN(S_1_Es*(O26+P26*'Geometry'!$G$44+Q26*'Geometry'!$F$44),S_1_fy),-S_1_fy))-(IF((O26+P26*'Geometry'!$G$44+Q26*'Geometry'!$F$44)&gt;0,IF((O26+P26*'Geometry'!$G$44+Q26*'Geometry'!$F$44)&lt;=C_eco,C_alpha*C_fck*(1-(1-(O26+P26*'Geometry'!$G$44+Q26*'Geometry'!$F$44)/C_eco)^C_n),C_alpha*C_fck),0)))*'Geometry'!$H$44*'Geometry'!$G$44+((MAX(MIN(S_1_Es*(O26+P26*'Geometry'!$G$45+Q26*'Geometry'!$F$45),S_1_fy),-S_1_fy))-(IF((O26+P26*'Geometry'!$G$45+Q26*'Geometry'!$F$45)&gt;0,IF((O26+P26*'Geometry'!$G$45+Q26*'Geometry'!$F$45)&lt;=C_eco,C_alpha*C_fck*(1-(1-(O26+P26*'Geometry'!$G$45+Q26*'Geometry'!$F$45)/C_eco)^C_n),C_alpha*C_fck),0)))*'Geometry'!$H$45*'Geometry'!$G$45+((MAX(MIN(S_1_Es*(O26+P26*'Geometry'!$G$46+Q26*'Geometry'!$F$46),S_1_fy),-S_1_fy))-(IF((O26+P26*'Geometry'!$G$46+Q26*'Geometry'!$F$46)&gt;0,IF((O26+P26*'Geometry'!$G$46+Q26*'Geometry'!$F$46)&lt;=C_eco,C_alpha*C_fck*(1-(1-(O26+P26*'Geometry'!$G$46+Q26*'Geometry'!$F$46)/C_eco)^C_n),C_alpha*C_fck),0)))*'Geometry'!$H$46*'Geometry'!$G$46+((MAX(MIN(S_1_Es*(O26+P26*'Geometry'!$G$47+Q26*'Geometry'!$F$47),S_1_fy),-S_1_fy))-(IF((O26+P26*'Geometry'!$G$47+Q26*'Geometry'!$F$47)&gt;0,IF((O26+P26*'Geometry'!$G$47+Q26*'Geometry'!$F$47)&lt;=C_eco,C_alpha*C_fck*(1-(1-(O26+P26*'Geometry'!$G$47+Q26*'Geometry'!$F$47)/C_eco)^C_n),C_alpha*C_fck),0)))*'Geometry'!$H$47*'Geometry'!$G$47+((MAX(MIN(S_1_Es*(O26+P26*'Geometry'!$G$48+Q26*'Geometry'!$F$48),S_1_fy),-S_1_fy))-(IF((O26+P26*'Geometry'!$G$48+Q26*'Geometry'!$F$48)&gt;0,IF((O26+P26*'Geometry'!$G$48+Q26*'Geometry'!$F$48)&lt;=C_eco,C_alpha*C_fck*(1-(1-(O26+P26*'Geometry'!$G$48+Q26*'Geometry'!$F$48)/C_eco)^C_n),C_alpha*C_fck),0)))*'Geometry'!$H$48*'Geometry'!$G$48+((MAX(MIN(S_1_Es*(O26+P26*'Geometry'!$G$49+Q26*'Geometry'!$F$49),S_1_fy),-S_1_fy))-(IF((O26+P26*'Geometry'!$G$49+Q26*'Geometry'!$F$49)&gt;0,IF((O26+P26*'Geometry'!$G$49+Q26*'Geometry'!$F$49)&lt;=C_eco,C_alpha*C_fck*(1-(1-(O26+P26*'Geometry'!$G$49+Q26*'Geometry'!$F$49)/C_eco)^C_n),C_alpha*C_fck),0)))*'Geometry'!$H$49*'Geometry'!$G$49+((MAX(MIN(S_1_Es*(O26+P26*'Geometry'!$G$50+Q26*'Geometry'!$F$50),S_1_fy),-S_1_fy))-(IF((O26+P26*'Geometry'!$G$50+Q26*'Geometry'!$F$50)&gt;0,IF((O26+P26*'Geometry'!$G$50+Q26*'Geometry'!$F$50)&lt;=C_eco,C_alpha*C_fck*(1-(1-(O26+P26*'Geometry'!$G$50+Q26*'Geometry'!$F$50)/C_eco)^C_n),C_alpha*C_fck),0)))*'Geometry'!$H$50*'Geometry'!$G$50+((MAX(MIN(S_1_Es*(O26+P26*'Geometry'!$G$51+Q26*'Geometry'!$F$51),S_1_fy),-S_1_fy))-(IF((O26+P26*'Geometry'!$G$51+Q26*'Geometry'!$F$51)&gt;0,IF((O26+P26*'Geometry'!$G$51+Q26*'Geometry'!$F$51)&lt;=C_eco,C_alpha*C_fck*(1-(1-(O26+P26*'Geometry'!$G$51+Q26*'Geometry'!$F$51)/C_eco)^C_n),C_alpha*C_fck),0)))*'Geometry'!$H$51*'Geometry'!$G$51+((MAX(MIN(S_1_Es*(O26+P26*'Geometry'!$G$52+Q26*'Geometry'!$F$52),S_1_fy),-S_1_fy))-(IF((O26+P26*'Geometry'!$G$52+Q26*'Geometry'!$F$52)&gt;0,IF((O26+P26*'Geometry'!$G$52+Q26*'Geometry'!$F$52)&lt;=C_eco,C_alpha*C_fck*(1-(1-(O26+P26*'Geometry'!$G$52+Q26*'Geometry'!$F$52)/C_eco)^C_n),C_alpha*C_fck),0)))*'Geometry'!$H$52*'Geometry'!$G$52+((MAX(MIN(S_1_Es*(O26+P26*'Geometry'!$G$53+Q26*'Geometry'!$F$53),S_1_fy),-S_1_fy))-(IF((O26+P26*'Geometry'!$G$53+Q26*'Geometry'!$F$53)&gt;0,IF((O26+P26*'Geometry'!$G$53+Q26*'Geometry'!$F$53)&lt;=C_eco,C_alpha*C_fck*(1-(1-(O26+P26*'Geometry'!$G$53+Q26*'Geometry'!$F$53)/C_eco)^C_n),C_alpha*C_fck),0)))*'Geometry'!$H$53*'Geometry'!$G$53+((MAX(MIN(S_1_Es*(O26+P26*'Geometry'!$G$54+Q26*'Geometry'!$F$54),S_1_fy),-S_1_fy))-(IF((O26+P26*'Geometry'!$G$54+Q26*'Geometry'!$F$54)&gt;0,IF((O26+P26*'Geometry'!$G$54+Q26*'Geometry'!$F$54)&lt;=C_eco,C_alpha*C_fck*(1-(1-(O26+P26*'Geometry'!$G$54+Q26*'Geometry'!$F$54)/C_eco)^C_n),C_alpha*C_fck),0)))*'Geometry'!$H$54*'Geometry'!$G$54+((MAX(MIN(S_1_Es*(O26+P26*'Geometry'!$G$55+Q26*'Geometry'!$F$55),S_1_fy),-S_1_fy))-(IF((O26+P26*'Geometry'!$G$55+Q26*'Geometry'!$F$55)&gt;0,IF((O26+P26*'Geometry'!$G$55+Q26*'Geometry'!$F$55)&lt;=C_eco,C_alpha*C_fck*(1-(1-(O26+P26*'Geometry'!$G$55+Q26*'Geometry'!$F$55)/C_eco)^C_n),C_alpha*C_fck),0)))*'Geometry'!$H$55*'Geometry'!$G$55+((MAX(MIN(S_1_Es*(O26+P26*'Geometry'!$G$56+Q26*'Geometry'!$F$56),S_1_fy),-S_1_fy))-(IF((O26+P26*'Geometry'!$G$56+Q26*'Geometry'!$F$56)&gt;0,IF((O26+P26*'Geometry'!$G$56+Q26*'Geometry'!$F$56)&lt;=C_eco,C_alpha*C_fck*(1-(1-(O26+P26*'Geometry'!$G$56+Q26*'Geometry'!$F$56)/C_eco)^C_n),C_alpha*C_fck),0)))*'Geometry'!$H$56*'Geometry'!$G$56+((MAX(MIN(S_1_Es*(O26+P26*'Geometry'!$G$57+Q26*'Geometry'!$F$57),S_1_fy),-S_1_fy))-(IF((O26+P26*'Geometry'!$G$57+Q26*'Geometry'!$F$57)&gt;0,IF((O26+P26*'Geometry'!$G$57+Q26*'Geometry'!$F$57)&lt;=C_eco,C_alpha*C_fck*(1-(1-(O26+P26*'Geometry'!$G$57+Q26*'Geometry'!$F$57)/C_eco)^C_n),C_alpha*C_fck),0)))*'Geometry'!$H$57*'Geometry'!$G$57)/1000000</f>
        <v>-1589.828780466829</v>
      </c>
      <c r="W26" s="10">
        <f>(((MAX(MIN(S_1_Es*(O26+P26*'Geometry'!$G$40+Q26*'Geometry'!$F$40),S_1_fy),-S_1_fy))-(IF((O26+P26*'Geometry'!$G$40+Q26*'Geometry'!$F$40)&gt;0,IF((O26+P26*'Geometry'!$G$40+Q26*'Geometry'!$F$40)&lt;=C_eco,C_alpha*C_fck*(1-(1-(O26+P26*'Geometry'!$G$40+Q26*'Geometry'!$F$40)/C_eco)^C_n),C_alpha*C_fck),0)))*'Geometry'!$H$40*'Geometry'!$F$40+((MAX(MIN(S_1_Es*(O26+P26*'Geometry'!$G$41+Q26*'Geometry'!$F$41),S_1_fy),-S_1_fy))-(IF((O26+P26*'Geometry'!$G$41+Q26*'Geometry'!$F$41)&gt;0,IF((O26+P26*'Geometry'!$G$41+Q26*'Geometry'!$F$41)&lt;=C_eco,C_alpha*C_fck*(1-(1-(O26+P26*'Geometry'!$G$41+Q26*'Geometry'!$F$41)/C_eco)^C_n),C_alpha*C_fck),0)))*'Geometry'!$H$41*'Geometry'!$F$41+((MAX(MIN(S_1_Es*(O26+P26*'Geometry'!$G$42+Q26*'Geometry'!$F$42),S_1_fy),-S_1_fy))-(IF((O26+P26*'Geometry'!$G$42+Q26*'Geometry'!$F$42)&gt;0,IF((O26+P26*'Geometry'!$G$42+Q26*'Geometry'!$F$42)&lt;=C_eco,C_alpha*C_fck*(1-(1-(O26+P26*'Geometry'!$G$42+Q26*'Geometry'!$F$42)/C_eco)^C_n),C_alpha*C_fck),0)))*'Geometry'!$H$42*'Geometry'!$F$42+((MAX(MIN(S_1_Es*(O26+P26*'Geometry'!$G$43+Q26*'Geometry'!$F$43),S_1_fy),-S_1_fy))-(IF((O26+P26*'Geometry'!$G$43+Q26*'Geometry'!$F$43)&gt;0,IF((O26+P26*'Geometry'!$G$43+Q26*'Geometry'!$F$43)&lt;=C_eco,C_alpha*C_fck*(1-(1-(O26+P26*'Geometry'!$G$43+Q26*'Geometry'!$F$43)/C_eco)^C_n),C_alpha*C_fck),0)))*'Geometry'!$H$43*'Geometry'!$F$43+((MAX(MIN(S_1_Es*(O26+P26*'Geometry'!$G$44+Q26*'Geometry'!$F$44),S_1_fy),-S_1_fy))-(IF((O26+P26*'Geometry'!$G$44+Q26*'Geometry'!$F$44)&gt;0,IF((O26+P26*'Geometry'!$G$44+Q26*'Geometry'!$F$44)&lt;=C_eco,C_alpha*C_fck*(1-(1-(O26+P26*'Geometry'!$G$44+Q26*'Geometry'!$F$44)/C_eco)^C_n),C_alpha*C_fck),0)))*'Geometry'!$H$44*'Geometry'!$F$44+((MAX(MIN(S_1_Es*(O26+P26*'Geometry'!$G$45+Q26*'Geometry'!$F$45),S_1_fy),-S_1_fy))-(IF((O26+P26*'Geometry'!$G$45+Q26*'Geometry'!$F$45)&gt;0,IF((O26+P26*'Geometry'!$G$45+Q26*'Geometry'!$F$45)&lt;=C_eco,C_alpha*C_fck*(1-(1-(O26+P26*'Geometry'!$G$45+Q26*'Geometry'!$F$45)/C_eco)^C_n),C_alpha*C_fck),0)))*'Geometry'!$H$45*'Geometry'!$F$45+((MAX(MIN(S_1_Es*(O26+P26*'Geometry'!$G$46+Q26*'Geometry'!$F$46),S_1_fy),-S_1_fy))-(IF((O26+P26*'Geometry'!$G$46+Q26*'Geometry'!$F$46)&gt;0,IF((O26+P26*'Geometry'!$G$46+Q26*'Geometry'!$F$46)&lt;=C_eco,C_alpha*C_fck*(1-(1-(O26+P26*'Geometry'!$G$46+Q26*'Geometry'!$F$46)/C_eco)^C_n),C_alpha*C_fck),0)))*'Geometry'!$H$46*'Geometry'!$F$46+((MAX(MIN(S_1_Es*(O26+P26*'Geometry'!$G$47+Q26*'Geometry'!$F$47),S_1_fy),-S_1_fy))-(IF((O26+P26*'Geometry'!$G$47+Q26*'Geometry'!$F$47)&gt;0,IF((O26+P26*'Geometry'!$G$47+Q26*'Geometry'!$F$47)&lt;=C_eco,C_alpha*C_fck*(1-(1-(O26+P26*'Geometry'!$G$47+Q26*'Geometry'!$F$47)/C_eco)^C_n),C_alpha*C_fck),0)))*'Geometry'!$H$47*'Geometry'!$F$47+((MAX(MIN(S_1_Es*(O26+P26*'Geometry'!$G$48+Q26*'Geometry'!$F$48),S_1_fy),-S_1_fy))-(IF((O26+P26*'Geometry'!$G$48+Q26*'Geometry'!$F$48)&gt;0,IF((O26+P26*'Geometry'!$G$48+Q26*'Geometry'!$F$48)&lt;=C_eco,C_alpha*C_fck*(1-(1-(O26+P26*'Geometry'!$G$48+Q26*'Geometry'!$F$48)/C_eco)^C_n),C_alpha*C_fck),0)))*'Geometry'!$H$48*'Geometry'!$F$48+((MAX(MIN(S_1_Es*(O26+P26*'Geometry'!$G$49+Q26*'Geometry'!$F$49),S_1_fy),-S_1_fy))-(IF((O26+P26*'Geometry'!$G$49+Q26*'Geometry'!$F$49)&gt;0,IF((O26+P26*'Geometry'!$G$49+Q26*'Geometry'!$F$49)&lt;=C_eco,C_alpha*C_fck*(1-(1-(O26+P26*'Geometry'!$G$49+Q26*'Geometry'!$F$49)/C_eco)^C_n),C_alpha*C_fck),0)))*'Geometry'!$H$49*'Geometry'!$F$49+((MAX(MIN(S_1_Es*(O26+P26*'Geometry'!$G$50+Q26*'Geometry'!$F$50),S_1_fy),-S_1_fy))-(IF((O26+P26*'Geometry'!$G$50+Q26*'Geometry'!$F$50)&gt;0,IF((O26+P26*'Geometry'!$G$50+Q26*'Geometry'!$F$50)&lt;=C_eco,C_alpha*C_fck*(1-(1-(O26+P26*'Geometry'!$G$50+Q26*'Geometry'!$F$50)/C_eco)^C_n),C_alpha*C_fck),0)))*'Geometry'!$H$50*'Geometry'!$F$50+((MAX(MIN(S_1_Es*(O26+P26*'Geometry'!$G$51+Q26*'Geometry'!$F$51),S_1_fy),-S_1_fy))-(IF((O26+P26*'Geometry'!$G$51+Q26*'Geometry'!$F$51)&gt;0,IF((O26+P26*'Geometry'!$G$51+Q26*'Geometry'!$F$51)&lt;=C_eco,C_alpha*C_fck*(1-(1-(O26+P26*'Geometry'!$G$51+Q26*'Geometry'!$F$51)/C_eco)^C_n),C_alpha*C_fck),0)))*'Geometry'!$H$51*'Geometry'!$F$51+((MAX(MIN(S_1_Es*(O26+P26*'Geometry'!$G$52+Q26*'Geometry'!$F$52),S_1_fy),-S_1_fy))-(IF((O26+P26*'Geometry'!$G$52+Q26*'Geometry'!$F$52)&gt;0,IF((O26+P26*'Geometry'!$G$52+Q26*'Geometry'!$F$52)&lt;=C_eco,C_alpha*C_fck*(1-(1-(O26+P26*'Geometry'!$G$52+Q26*'Geometry'!$F$52)/C_eco)^C_n),C_alpha*C_fck),0)))*'Geometry'!$H$52*'Geometry'!$F$52+((MAX(MIN(S_1_Es*(O26+P26*'Geometry'!$G$53+Q26*'Geometry'!$F$53),S_1_fy),-S_1_fy))-(IF((O26+P26*'Geometry'!$G$53+Q26*'Geometry'!$F$53)&gt;0,IF((O26+P26*'Geometry'!$G$53+Q26*'Geometry'!$F$53)&lt;=C_eco,C_alpha*C_fck*(1-(1-(O26+P26*'Geometry'!$G$53+Q26*'Geometry'!$F$53)/C_eco)^C_n),C_alpha*C_fck),0)))*'Geometry'!$H$53*'Geometry'!$F$53+((MAX(MIN(S_1_Es*(O26+P26*'Geometry'!$G$54+Q26*'Geometry'!$F$54),S_1_fy),-S_1_fy))-(IF((O26+P26*'Geometry'!$G$54+Q26*'Geometry'!$F$54)&gt;0,IF((O26+P26*'Geometry'!$G$54+Q26*'Geometry'!$F$54)&lt;=C_eco,C_alpha*C_fck*(1-(1-(O26+P26*'Geometry'!$G$54+Q26*'Geometry'!$F$54)/C_eco)^C_n),C_alpha*C_fck),0)))*'Geometry'!$H$54*'Geometry'!$F$54+((MAX(MIN(S_1_Es*(O26+P26*'Geometry'!$G$55+Q26*'Geometry'!$F$55),S_1_fy),-S_1_fy))-(IF((O26+P26*'Geometry'!$G$55+Q26*'Geometry'!$F$55)&gt;0,IF((O26+P26*'Geometry'!$G$55+Q26*'Geometry'!$F$55)&lt;=C_eco,C_alpha*C_fck*(1-(1-(O26+P26*'Geometry'!$G$55+Q26*'Geometry'!$F$55)/C_eco)^C_n),C_alpha*C_fck),0)))*'Geometry'!$H$55*'Geometry'!$F$55+((MAX(MIN(S_1_Es*(O26+P26*'Geometry'!$G$56+Q26*'Geometry'!$F$56),S_1_fy),-S_1_fy))-(IF((O26+P26*'Geometry'!$G$56+Q26*'Geometry'!$F$56)&gt;0,IF((O26+P26*'Geometry'!$G$56+Q26*'Geometry'!$F$56)&lt;=C_eco,C_alpha*C_fck*(1-(1-(O26+P26*'Geometry'!$G$56+Q26*'Geometry'!$F$56)/C_eco)^C_n),C_alpha*C_fck),0)))*'Geometry'!$H$56*'Geometry'!$F$56+((MAX(MIN(S_1_Es*(O26+P26*'Geometry'!$G$57+Q26*'Geometry'!$F$57),S_1_fy),-S_1_fy))-(IF((O26+P26*'Geometry'!$G$57+Q26*'Geometry'!$F$57)&gt;0,IF((O26+P26*'Geometry'!$G$57+Q26*'Geometry'!$F$57)&lt;=C_eco,C_alpha*C_fck*(1-(1-(O26+P26*'Geometry'!$G$57+Q26*'Geometry'!$F$57)/C_eco)^C_n),C_alpha*C_fck),0)))*'Geometry'!$H$57*'Geometry'!$F$57)/1000000</f>
        <v>2.952292561531067e-13</v>
      </c>
      <c r="X26" s="10">
        <f>R26+U26</f>
        <v>1174.6116753571239</v>
      </c>
      <c r="Y26" s="10">
        <f>S26+V26</f>
        <v>-3696.013461554105</v>
      </c>
      <c r="Z26" s="10">
        <f>T26+W26</f>
        <v>-0.2319309355883738</v>
      </c>
      <c r="AA26" s="7">
        <v>0.85</v>
      </c>
      <c r="AB26" s="7">
        <v>0.85</v>
      </c>
      <c r="AC26" s="10">
        <f>X26*AA26</f>
        <v>998.4199240535553</v>
      </c>
      <c r="AD26" s="10">
        <f>Y26*AB26</f>
        <v>-3141.6114423209897</v>
      </c>
      <c r="AE26" s="10">
        <f>Z26*AB26</f>
        <v>-0.19714129525011773</v>
      </c>
      <c r="AF26" s="7">
        <v>998.4199240535553</v>
      </c>
      <c r="AG26" s="7">
        <v>-3141.6114423209897</v>
      </c>
      <c r="AH26" s="7">
        <v>-0.19714129525011773</v>
      </c>
      <c r="AI26" s="15">
        <f>AC26-AF26</f>
        <v>0</v>
      </c>
      <c r="AJ26" s="15">
        <f>SQRT((AD26-AG26)^2+(AE26-AH26)^2)</f>
        <v>0</v>
      </c>
      <c r="AK26" s="7" t="s">
        <v>189</v>
      </c>
      <c r="AL26" s="7">
        <v>1174.6116753571239</v>
      </c>
      <c r="AM26" s="7">
        <v>-3696.013461554105</v>
      </c>
      <c r="AN26" s="7">
        <v>-0.2319309355883738</v>
      </c>
      <c r="AO26" s="7">
        <v>3965.518310176795</v>
      </c>
      <c r="AP26" s="7">
        <v>-2106.1846810872767</v>
      </c>
      <c r="AQ26" s="7">
        <v>-0.23193093558866903</v>
      </c>
      <c r="AR26" s="7">
        <v>-2790.906634819671</v>
      </c>
      <c r="AS26" s="7">
        <v>-1589.828780466829</v>
      </c>
      <c r="AT26" s="7">
        <v>2.952292561531067e-13</v>
      </c>
    </row>
    <row r="27" spans="1:46" x14ac:dyDescent="0.25">
      <c r="A27" s="7" t="s">
        <v>228</v>
      </c>
      <c r="B27" s="7">
        <v>1</v>
      </c>
      <c r="C27" s="18">
        <v>190</v>
      </c>
      <c r="D27" s="7" t="s">
        <v>286</v>
      </c>
      <c r="E27" s="7" t="s">
        <v>267</v>
      </c>
      <c r="F27" s="19">
        <v>190</v>
      </c>
      <c r="G27" s="7" t="s">
        <v>188</v>
      </c>
      <c r="H27" s="20">
        <v>5.000000000000002</v>
      </c>
      <c r="I27" s="10">
        <f>MAX(('Geometry'!$G$13*COS(RADIANS(F27))+'Geometry'!$F$13*SIN(RADIANS(F27))),('Geometry'!$G$14*COS(RADIANS(F27))+'Geometry'!$F$14*SIN(RADIANS(F27))),('Geometry'!$G$15*COS(RADIANS(F27))+'Geometry'!$F$15*SIN(RADIANS(F27))),('Geometry'!$G$16*COS(RADIANS(F27))+'Geometry'!$F$16*SIN(RADIANS(F27))),('Geometry'!$G$17*COS(RADIANS(F27))+'Geometry'!$F$17*SIN(RADIANS(F27))),('Geometry'!$G$18*COS(RADIANS(F27))+'Geometry'!$F$18*SIN(RADIANS(F27))),('Geometry'!$G$19*COS(RADIANS(F27))+'Geometry'!$F$19*SIN(RADIANS(F27))),('Geometry'!$G$20*COS(RADIANS(F27))+'Geometry'!$F$20*SIN(RADIANS(F27))))</f>
        <v>686.3911495241365</v>
      </c>
      <c r="J27" s="10">
        <f>MIN(('Geometry'!$G$40*COS(RADIANS(F27))+'Geometry'!$F$40*SIN(RADIANS(F27))),('Geometry'!$G$41*COS(RADIANS(F27))+'Geometry'!$F$41*SIN(RADIANS(F27))),('Geometry'!$G$42*COS(RADIANS(F27))+'Geometry'!$F$42*SIN(RADIANS(F27))),('Geometry'!$G$43*COS(RADIANS(F27))+'Geometry'!$F$43*SIN(RADIANS(F27))),('Geometry'!$G$44*COS(RADIANS(F27))+'Geometry'!$F$44*SIN(RADIANS(F27))),('Geometry'!$G$45*COS(RADIANS(F27))+'Geometry'!$F$45*SIN(RADIANS(F27))),('Geometry'!$G$46*COS(RADIANS(F27))+'Geometry'!$F$46*SIN(RADIANS(F27))),('Geometry'!$G$47*COS(RADIANS(F27))+'Geometry'!$F$47*SIN(RADIANS(F27))),('Geometry'!$G$48*COS(RADIANS(F27))+'Geometry'!$F$48*SIN(RADIANS(F27))),('Geometry'!$G$49*COS(RADIANS(F27))+'Geometry'!$F$49*SIN(RADIANS(F27))),('Geometry'!$G$50*COS(RADIANS(F27))+'Geometry'!$F$50*SIN(RADIANS(F27))),('Geometry'!$G$51*COS(RADIANS(F27))+'Geometry'!$F$51*SIN(RADIANS(F27))),('Geometry'!$G$52*COS(RADIANS(F27))+'Geometry'!$F$52*SIN(RADIANS(F27))),('Geometry'!$G$53*COS(RADIANS(F27))+'Geometry'!$F$53*SIN(RADIANS(F27))),('Geometry'!$G$54*COS(RADIANS(F27))+'Geometry'!$F$54*SIN(RADIANS(F27))),('Geometry'!$G$55*COS(RADIANS(F27))+'Geometry'!$F$55*SIN(RADIANS(F27))),('Geometry'!$G$56*COS(RADIANS(F27))+'Geometry'!$F$56*SIN(RADIANS(F27))),('Geometry'!$G$57*COS(RADIANS(F27))+'Geometry'!$F$57*SIN(RADIANS(F27))))</f>
        <v>-591.4073801632425</v>
      </c>
      <c r="K27" s="10">
        <f>I27-MIN(('Geometry'!$G$13*COS(RADIANS(F27))+'Geometry'!$F$13*SIN(RADIANS(F27))),('Geometry'!$G$14*COS(RADIANS(F27))+'Geometry'!$F$14*SIN(RADIANS(F27))),('Geometry'!$G$15*COS(RADIANS(F27))+'Geometry'!$F$15*SIN(RADIANS(F27))),('Geometry'!$G$16*COS(RADIANS(F27))+'Geometry'!$F$16*SIN(RADIANS(F27))),('Geometry'!$G$17*COS(RADIANS(F27))+'Geometry'!$F$17*SIN(RADIANS(F27))),('Geometry'!$G$18*COS(RADIANS(F27))+'Geometry'!$F$18*SIN(RADIANS(F27))),('Geometry'!$G$19*COS(RADIANS(F27))+'Geometry'!$F$19*SIN(RADIANS(F27))),('Geometry'!$G$20*COS(RADIANS(F27))+'Geometry'!$F$20*SIN(RADIANS(F27))))</f>
        <v>1372.782299048273</v>
      </c>
      <c r="L27" s="15">
        <f>C_ecu</f>
        <v>0.003300000000000001</v>
      </c>
      <c r="M27" s="15">
        <f>-H27*S_1_fy/S_1_Es</f>
        <v>-0.010000000000000004</v>
      </c>
      <c r="N27" s="21">
        <f>IF(ABS(I27-J27)&lt;0.000000000001,0,(L27-M27)/(I27-J27))</f>
        <v>0.000010408526611197407</v>
      </c>
      <c r="O27" s="15">
        <f>L27-N27*I27</f>
        <v>-0.0038443205455123523</v>
      </c>
      <c r="P27" s="21">
        <f>N27*COS(RADIANS(F27))</f>
        <v>-0.000010250397704141092</v>
      </c>
      <c r="Q27" s="21">
        <f>N27*SIN(RADIANS(F27))</f>
        <v>-0.0000018074216782321765</v>
      </c>
      <c r="R27" s="10">
        <f>SUMPRODUCT(C_alpha*C_fck*(1-(1-(((O27+P27*Mesh_Y+Q27*Mesh_X))*((O27+P27*Mesh_Y+Q27*Mesh_X)&gt;0)*((O27+P27*Mesh_Y+Q27*Mesh_X)&lt;C_eco)+C_eco*((O27+P27*Mesh_Y+Q27*Mesh_X)&gt;=C_eco))/C_eco)^C_n)*(((O27+P27*Mesh_Y+Q27*Mesh_X))&gt;0),Mesh_A)/1000</f>
        <v>5223.721071836548</v>
      </c>
      <c r="S27" s="10">
        <f>SUMPRODUCT(C_alpha*C_fck*(1-(1-(((O27+P27*Mesh_Y+Q27*Mesh_X))*((O27+P27*Mesh_Y+Q27*Mesh_X)&gt;0)*((O27+P27*Mesh_Y+Q27*Mesh_X)&lt;C_eco)+C_eco*((O27+P27*Mesh_Y+Q27*Mesh_X)&gt;=C_eco))/C_eco)^C_n)*(((O27+P27*Mesh_Y+Q27*Mesh_X))&gt;0),Mesh_A,Mesh_Y)/1000000</f>
        <v>-2587.228967175601</v>
      </c>
      <c r="T27" s="10">
        <f>SUMPRODUCT(C_alpha*C_fck*(1-(1-(((O27+P27*Mesh_Y+Q27*Mesh_X))*((O27+P27*Mesh_Y+Q27*Mesh_X)&gt;0)*((O27+P27*Mesh_Y+Q27*Mesh_X)&lt;C_eco)+C_eco*((O27+P27*Mesh_Y+Q27*Mesh_X)&gt;=C_eco))/C_eco)^C_n)*(((O27+P27*Mesh_Y+Q27*Mesh_X))&gt;0),Mesh_A,Mesh_X)/1000000</f>
        <v>-933.9497161951609</v>
      </c>
      <c r="U27" s="10">
        <f>(((MAX(MIN(S_1_Es*(O27+P27*'Geometry'!$G$40+Q27*'Geometry'!$F$40),S_1_fy),-S_1_fy))-(IF((O27+P27*'Geometry'!$G$40+Q27*'Geometry'!$F$40)&gt;0,IF((O27+P27*'Geometry'!$G$40+Q27*'Geometry'!$F$40)&lt;=C_eco,C_alpha*C_fck*(1-(1-(O27+P27*'Geometry'!$G$40+Q27*'Geometry'!$F$40)/C_eco)^C_n),C_alpha*C_fck),0)))*'Geometry'!$H$40+((MAX(MIN(S_1_Es*(O27+P27*'Geometry'!$G$41+Q27*'Geometry'!$F$41),S_1_fy),-S_1_fy))-(IF((O27+P27*'Geometry'!$G$41+Q27*'Geometry'!$F$41)&gt;0,IF((O27+P27*'Geometry'!$G$41+Q27*'Geometry'!$F$41)&lt;=C_eco,C_alpha*C_fck*(1-(1-(O27+P27*'Geometry'!$G$41+Q27*'Geometry'!$F$41)/C_eco)^C_n),C_alpha*C_fck),0)))*'Geometry'!$H$41+((MAX(MIN(S_1_Es*(O27+P27*'Geometry'!$G$42+Q27*'Geometry'!$F$42),S_1_fy),-S_1_fy))-(IF((O27+P27*'Geometry'!$G$42+Q27*'Geometry'!$F$42)&gt;0,IF((O27+P27*'Geometry'!$G$42+Q27*'Geometry'!$F$42)&lt;=C_eco,C_alpha*C_fck*(1-(1-(O27+P27*'Geometry'!$G$42+Q27*'Geometry'!$F$42)/C_eco)^C_n),C_alpha*C_fck),0)))*'Geometry'!$H$42+((MAX(MIN(S_1_Es*(O27+P27*'Geometry'!$G$43+Q27*'Geometry'!$F$43),S_1_fy),-S_1_fy))-(IF((O27+P27*'Geometry'!$G$43+Q27*'Geometry'!$F$43)&gt;0,IF((O27+P27*'Geometry'!$G$43+Q27*'Geometry'!$F$43)&lt;=C_eco,C_alpha*C_fck*(1-(1-(O27+P27*'Geometry'!$G$43+Q27*'Geometry'!$F$43)/C_eco)^C_n),C_alpha*C_fck),0)))*'Geometry'!$H$43+((MAX(MIN(S_1_Es*(O27+P27*'Geometry'!$G$44+Q27*'Geometry'!$F$44),S_1_fy),-S_1_fy))-(IF((O27+P27*'Geometry'!$G$44+Q27*'Geometry'!$F$44)&gt;0,IF((O27+P27*'Geometry'!$G$44+Q27*'Geometry'!$F$44)&lt;=C_eco,C_alpha*C_fck*(1-(1-(O27+P27*'Geometry'!$G$44+Q27*'Geometry'!$F$44)/C_eco)^C_n),C_alpha*C_fck),0)))*'Geometry'!$H$44+((MAX(MIN(S_1_Es*(O27+P27*'Geometry'!$G$45+Q27*'Geometry'!$F$45),S_1_fy),-S_1_fy))-(IF((O27+P27*'Geometry'!$G$45+Q27*'Geometry'!$F$45)&gt;0,IF((O27+P27*'Geometry'!$G$45+Q27*'Geometry'!$F$45)&lt;=C_eco,C_alpha*C_fck*(1-(1-(O27+P27*'Geometry'!$G$45+Q27*'Geometry'!$F$45)/C_eco)^C_n),C_alpha*C_fck),0)))*'Geometry'!$H$45+((MAX(MIN(S_1_Es*(O27+P27*'Geometry'!$G$46+Q27*'Geometry'!$F$46),S_1_fy),-S_1_fy))-(IF((O27+P27*'Geometry'!$G$46+Q27*'Geometry'!$F$46)&gt;0,IF((O27+P27*'Geometry'!$G$46+Q27*'Geometry'!$F$46)&lt;=C_eco,C_alpha*C_fck*(1-(1-(O27+P27*'Geometry'!$G$46+Q27*'Geometry'!$F$46)/C_eco)^C_n),C_alpha*C_fck),0)))*'Geometry'!$H$46+((MAX(MIN(S_1_Es*(O27+P27*'Geometry'!$G$47+Q27*'Geometry'!$F$47),S_1_fy),-S_1_fy))-(IF((O27+P27*'Geometry'!$G$47+Q27*'Geometry'!$F$47)&gt;0,IF((O27+P27*'Geometry'!$G$47+Q27*'Geometry'!$F$47)&lt;=C_eco,C_alpha*C_fck*(1-(1-(O27+P27*'Geometry'!$G$47+Q27*'Geometry'!$F$47)/C_eco)^C_n),C_alpha*C_fck),0)))*'Geometry'!$H$47+((MAX(MIN(S_1_Es*(O27+P27*'Geometry'!$G$48+Q27*'Geometry'!$F$48),S_1_fy),-S_1_fy))-(IF((O27+P27*'Geometry'!$G$48+Q27*'Geometry'!$F$48)&gt;0,IF((O27+P27*'Geometry'!$G$48+Q27*'Geometry'!$F$48)&lt;=C_eco,C_alpha*C_fck*(1-(1-(O27+P27*'Geometry'!$G$48+Q27*'Geometry'!$F$48)/C_eco)^C_n),C_alpha*C_fck),0)))*'Geometry'!$H$48+((MAX(MIN(S_1_Es*(O27+P27*'Geometry'!$G$49+Q27*'Geometry'!$F$49),S_1_fy),-S_1_fy))-(IF((O27+P27*'Geometry'!$G$49+Q27*'Geometry'!$F$49)&gt;0,IF((O27+P27*'Geometry'!$G$49+Q27*'Geometry'!$F$49)&lt;=C_eco,C_alpha*C_fck*(1-(1-(O27+P27*'Geometry'!$G$49+Q27*'Geometry'!$F$49)/C_eco)^C_n),C_alpha*C_fck),0)))*'Geometry'!$H$49+((MAX(MIN(S_1_Es*(O27+P27*'Geometry'!$G$50+Q27*'Geometry'!$F$50),S_1_fy),-S_1_fy))-(IF((O27+P27*'Geometry'!$G$50+Q27*'Geometry'!$F$50)&gt;0,IF((O27+P27*'Geometry'!$G$50+Q27*'Geometry'!$F$50)&lt;=C_eco,C_alpha*C_fck*(1-(1-(O27+P27*'Geometry'!$G$50+Q27*'Geometry'!$F$50)/C_eco)^C_n),C_alpha*C_fck),0)))*'Geometry'!$H$50+((MAX(MIN(S_1_Es*(O27+P27*'Geometry'!$G$51+Q27*'Geometry'!$F$51),S_1_fy),-S_1_fy))-(IF((O27+P27*'Geometry'!$G$51+Q27*'Geometry'!$F$51)&gt;0,IF((O27+P27*'Geometry'!$G$51+Q27*'Geometry'!$F$51)&lt;=C_eco,C_alpha*C_fck*(1-(1-(O27+P27*'Geometry'!$G$51+Q27*'Geometry'!$F$51)/C_eco)^C_n),C_alpha*C_fck),0)))*'Geometry'!$H$51+((MAX(MIN(S_1_Es*(O27+P27*'Geometry'!$G$52+Q27*'Geometry'!$F$52),S_1_fy),-S_1_fy))-(IF((O27+P27*'Geometry'!$G$52+Q27*'Geometry'!$F$52)&gt;0,IF((O27+P27*'Geometry'!$G$52+Q27*'Geometry'!$F$52)&lt;=C_eco,C_alpha*C_fck*(1-(1-(O27+P27*'Geometry'!$G$52+Q27*'Geometry'!$F$52)/C_eco)^C_n),C_alpha*C_fck),0)))*'Geometry'!$H$52+((MAX(MIN(S_1_Es*(O27+P27*'Geometry'!$G$53+Q27*'Geometry'!$F$53),S_1_fy),-S_1_fy))-(IF((O27+P27*'Geometry'!$G$53+Q27*'Geometry'!$F$53)&gt;0,IF((O27+P27*'Geometry'!$G$53+Q27*'Geometry'!$F$53)&lt;=C_eco,C_alpha*C_fck*(1-(1-(O27+P27*'Geometry'!$G$53+Q27*'Geometry'!$F$53)/C_eco)^C_n),C_alpha*C_fck),0)))*'Geometry'!$H$53+((MAX(MIN(S_1_Es*(O27+P27*'Geometry'!$G$54+Q27*'Geometry'!$F$54),S_1_fy),-S_1_fy))-(IF((O27+P27*'Geometry'!$G$54+Q27*'Geometry'!$F$54)&gt;0,IF((O27+P27*'Geometry'!$G$54+Q27*'Geometry'!$F$54)&lt;=C_eco,C_alpha*C_fck*(1-(1-(O27+P27*'Geometry'!$G$54+Q27*'Geometry'!$F$54)/C_eco)^C_n),C_alpha*C_fck),0)))*'Geometry'!$H$54+((MAX(MIN(S_1_Es*(O27+P27*'Geometry'!$G$55+Q27*'Geometry'!$F$55),S_1_fy),-S_1_fy))-(IF((O27+P27*'Geometry'!$G$55+Q27*'Geometry'!$F$55)&gt;0,IF((O27+P27*'Geometry'!$G$55+Q27*'Geometry'!$F$55)&lt;=C_eco,C_alpha*C_fck*(1-(1-(O27+P27*'Geometry'!$G$55+Q27*'Geometry'!$F$55)/C_eco)^C_n),C_alpha*C_fck),0)))*'Geometry'!$H$55+((MAX(MIN(S_1_Es*(O27+P27*'Geometry'!$G$56+Q27*'Geometry'!$F$56),S_1_fy),-S_1_fy))-(IF((O27+P27*'Geometry'!$G$56+Q27*'Geometry'!$F$56)&gt;0,IF((O27+P27*'Geometry'!$G$56+Q27*'Geometry'!$F$56)&lt;=C_eco,C_alpha*C_fck*(1-(1-(O27+P27*'Geometry'!$G$56+Q27*'Geometry'!$F$56)/C_eco)^C_n),C_alpha*C_fck),0)))*'Geometry'!$H$56+((MAX(MIN(S_1_Es*(O27+P27*'Geometry'!$G$57+Q27*'Geometry'!$F$57),S_1_fy),-S_1_fy))-(IF((O27+P27*'Geometry'!$G$57+Q27*'Geometry'!$F$57)&gt;0,IF((O27+P27*'Geometry'!$G$57+Q27*'Geometry'!$F$57)&lt;=C_eco,C_alpha*C_fck*(1-(1-(O27+P27*'Geometry'!$G$57+Q27*'Geometry'!$F$57)/C_eco)^C_n),C_alpha*C_fck),0)))*'Geometry'!$H$57)/1000</f>
        <v>-2593.1956485452165</v>
      </c>
      <c r="V27" s="10">
        <f>(((MAX(MIN(S_1_Es*(O27+P27*'Geometry'!$G$40+Q27*'Geometry'!$F$40),S_1_fy),-S_1_fy))-(IF((O27+P27*'Geometry'!$G$40+Q27*'Geometry'!$F$40)&gt;0,IF((O27+P27*'Geometry'!$G$40+Q27*'Geometry'!$F$40)&lt;=C_eco,C_alpha*C_fck*(1-(1-(O27+P27*'Geometry'!$G$40+Q27*'Geometry'!$F$40)/C_eco)^C_n),C_alpha*C_fck),0)))*'Geometry'!$H$40*'Geometry'!$G$40+((MAX(MIN(S_1_Es*(O27+P27*'Geometry'!$G$41+Q27*'Geometry'!$F$41),S_1_fy),-S_1_fy))-(IF((O27+P27*'Geometry'!$G$41+Q27*'Geometry'!$F$41)&gt;0,IF((O27+P27*'Geometry'!$G$41+Q27*'Geometry'!$F$41)&lt;=C_eco,C_alpha*C_fck*(1-(1-(O27+P27*'Geometry'!$G$41+Q27*'Geometry'!$F$41)/C_eco)^C_n),C_alpha*C_fck),0)))*'Geometry'!$H$41*'Geometry'!$G$41+((MAX(MIN(S_1_Es*(O27+P27*'Geometry'!$G$42+Q27*'Geometry'!$F$42),S_1_fy),-S_1_fy))-(IF((O27+P27*'Geometry'!$G$42+Q27*'Geometry'!$F$42)&gt;0,IF((O27+P27*'Geometry'!$G$42+Q27*'Geometry'!$F$42)&lt;=C_eco,C_alpha*C_fck*(1-(1-(O27+P27*'Geometry'!$G$42+Q27*'Geometry'!$F$42)/C_eco)^C_n),C_alpha*C_fck),0)))*'Geometry'!$H$42*'Geometry'!$G$42+((MAX(MIN(S_1_Es*(O27+P27*'Geometry'!$G$43+Q27*'Geometry'!$F$43),S_1_fy),-S_1_fy))-(IF((O27+P27*'Geometry'!$G$43+Q27*'Geometry'!$F$43)&gt;0,IF((O27+P27*'Geometry'!$G$43+Q27*'Geometry'!$F$43)&lt;=C_eco,C_alpha*C_fck*(1-(1-(O27+P27*'Geometry'!$G$43+Q27*'Geometry'!$F$43)/C_eco)^C_n),C_alpha*C_fck),0)))*'Geometry'!$H$43*'Geometry'!$G$43+((MAX(MIN(S_1_Es*(O27+P27*'Geometry'!$G$44+Q27*'Geometry'!$F$44),S_1_fy),-S_1_fy))-(IF((O27+P27*'Geometry'!$G$44+Q27*'Geometry'!$F$44)&gt;0,IF((O27+P27*'Geometry'!$G$44+Q27*'Geometry'!$F$44)&lt;=C_eco,C_alpha*C_fck*(1-(1-(O27+P27*'Geometry'!$G$44+Q27*'Geometry'!$F$44)/C_eco)^C_n),C_alpha*C_fck),0)))*'Geometry'!$H$44*'Geometry'!$G$44+((MAX(MIN(S_1_Es*(O27+P27*'Geometry'!$G$45+Q27*'Geometry'!$F$45),S_1_fy),-S_1_fy))-(IF((O27+P27*'Geometry'!$G$45+Q27*'Geometry'!$F$45)&gt;0,IF((O27+P27*'Geometry'!$G$45+Q27*'Geometry'!$F$45)&lt;=C_eco,C_alpha*C_fck*(1-(1-(O27+P27*'Geometry'!$G$45+Q27*'Geometry'!$F$45)/C_eco)^C_n),C_alpha*C_fck),0)))*'Geometry'!$H$45*'Geometry'!$G$45+((MAX(MIN(S_1_Es*(O27+P27*'Geometry'!$G$46+Q27*'Geometry'!$F$46),S_1_fy),-S_1_fy))-(IF((O27+P27*'Geometry'!$G$46+Q27*'Geometry'!$F$46)&gt;0,IF((O27+P27*'Geometry'!$G$46+Q27*'Geometry'!$F$46)&lt;=C_eco,C_alpha*C_fck*(1-(1-(O27+P27*'Geometry'!$G$46+Q27*'Geometry'!$F$46)/C_eco)^C_n),C_alpha*C_fck),0)))*'Geometry'!$H$46*'Geometry'!$G$46+((MAX(MIN(S_1_Es*(O27+P27*'Geometry'!$G$47+Q27*'Geometry'!$F$47),S_1_fy),-S_1_fy))-(IF((O27+P27*'Geometry'!$G$47+Q27*'Geometry'!$F$47)&gt;0,IF((O27+P27*'Geometry'!$G$47+Q27*'Geometry'!$F$47)&lt;=C_eco,C_alpha*C_fck*(1-(1-(O27+P27*'Geometry'!$G$47+Q27*'Geometry'!$F$47)/C_eco)^C_n),C_alpha*C_fck),0)))*'Geometry'!$H$47*'Geometry'!$G$47+((MAX(MIN(S_1_Es*(O27+P27*'Geometry'!$G$48+Q27*'Geometry'!$F$48),S_1_fy),-S_1_fy))-(IF((O27+P27*'Geometry'!$G$48+Q27*'Geometry'!$F$48)&gt;0,IF((O27+P27*'Geometry'!$G$48+Q27*'Geometry'!$F$48)&lt;=C_eco,C_alpha*C_fck*(1-(1-(O27+P27*'Geometry'!$G$48+Q27*'Geometry'!$F$48)/C_eco)^C_n),C_alpha*C_fck),0)))*'Geometry'!$H$48*'Geometry'!$G$48+((MAX(MIN(S_1_Es*(O27+P27*'Geometry'!$G$49+Q27*'Geometry'!$F$49),S_1_fy),-S_1_fy))-(IF((O27+P27*'Geometry'!$G$49+Q27*'Geometry'!$F$49)&gt;0,IF((O27+P27*'Geometry'!$G$49+Q27*'Geometry'!$F$49)&lt;=C_eco,C_alpha*C_fck*(1-(1-(O27+P27*'Geometry'!$G$49+Q27*'Geometry'!$F$49)/C_eco)^C_n),C_alpha*C_fck),0)))*'Geometry'!$H$49*'Geometry'!$G$49+((MAX(MIN(S_1_Es*(O27+P27*'Geometry'!$G$50+Q27*'Geometry'!$F$50),S_1_fy),-S_1_fy))-(IF((O27+P27*'Geometry'!$G$50+Q27*'Geometry'!$F$50)&gt;0,IF((O27+P27*'Geometry'!$G$50+Q27*'Geometry'!$F$50)&lt;=C_eco,C_alpha*C_fck*(1-(1-(O27+P27*'Geometry'!$G$50+Q27*'Geometry'!$F$50)/C_eco)^C_n),C_alpha*C_fck),0)))*'Geometry'!$H$50*'Geometry'!$G$50+((MAX(MIN(S_1_Es*(O27+P27*'Geometry'!$G$51+Q27*'Geometry'!$F$51),S_1_fy),-S_1_fy))-(IF((O27+P27*'Geometry'!$G$51+Q27*'Geometry'!$F$51)&gt;0,IF((O27+P27*'Geometry'!$G$51+Q27*'Geometry'!$F$51)&lt;=C_eco,C_alpha*C_fck*(1-(1-(O27+P27*'Geometry'!$G$51+Q27*'Geometry'!$F$51)/C_eco)^C_n),C_alpha*C_fck),0)))*'Geometry'!$H$51*'Geometry'!$G$51+((MAX(MIN(S_1_Es*(O27+P27*'Geometry'!$G$52+Q27*'Geometry'!$F$52),S_1_fy),-S_1_fy))-(IF((O27+P27*'Geometry'!$G$52+Q27*'Geometry'!$F$52)&gt;0,IF((O27+P27*'Geometry'!$G$52+Q27*'Geometry'!$F$52)&lt;=C_eco,C_alpha*C_fck*(1-(1-(O27+P27*'Geometry'!$G$52+Q27*'Geometry'!$F$52)/C_eco)^C_n),C_alpha*C_fck),0)))*'Geometry'!$H$52*'Geometry'!$G$52+((MAX(MIN(S_1_Es*(O27+P27*'Geometry'!$G$53+Q27*'Geometry'!$F$53),S_1_fy),-S_1_fy))-(IF((O27+P27*'Geometry'!$G$53+Q27*'Geometry'!$F$53)&gt;0,IF((O27+P27*'Geometry'!$G$53+Q27*'Geometry'!$F$53)&lt;=C_eco,C_alpha*C_fck*(1-(1-(O27+P27*'Geometry'!$G$53+Q27*'Geometry'!$F$53)/C_eco)^C_n),C_alpha*C_fck),0)))*'Geometry'!$H$53*'Geometry'!$G$53+((MAX(MIN(S_1_Es*(O27+P27*'Geometry'!$G$54+Q27*'Geometry'!$F$54),S_1_fy),-S_1_fy))-(IF((O27+P27*'Geometry'!$G$54+Q27*'Geometry'!$F$54)&gt;0,IF((O27+P27*'Geometry'!$G$54+Q27*'Geometry'!$F$54)&lt;=C_eco,C_alpha*C_fck*(1-(1-(O27+P27*'Geometry'!$G$54+Q27*'Geometry'!$F$54)/C_eco)^C_n),C_alpha*C_fck),0)))*'Geometry'!$H$54*'Geometry'!$G$54+((MAX(MIN(S_1_Es*(O27+P27*'Geometry'!$G$55+Q27*'Geometry'!$F$55),S_1_fy),-S_1_fy))-(IF((O27+P27*'Geometry'!$G$55+Q27*'Geometry'!$F$55)&gt;0,IF((O27+P27*'Geometry'!$G$55+Q27*'Geometry'!$F$55)&lt;=C_eco,C_alpha*C_fck*(1-(1-(O27+P27*'Geometry'!$G$55+Q27*'Geometry'!$F$55)/C_eco)^C_n),C_alpha*C_fck),0)))*'Geometry'!$H$55*'Geometry'!$G$55+((MAX(MIN(S_1_Es*(O27+P27*'Geometry'!$G$56+Q27*'Geometry'!$F$56),S_1_fy),-S_1_fy))-(IF((O27+P27*'Geometry'!$G$56+Q27*'Geometry'!$F$56)&gt;0,IF((O27+P27*'Geometry'!$G$56+Q27*'Geometry'!$F$56)&lt;=C_eco,C_alpha*C_fck*(1-(1-(O27+P27*'Geometry'!$G$56+Q27*'Geometry'!$F$56)/C_eco)^C_n),C_alpha*C_fck),0)))*'Geometry'!$H$56*'Geometry'!$G$56+((MAX(MIN(S_1_Es*(O27+P27*'Geometry'!$G$57+Q27*'Geometry'!$F$57),S_1_fy),-S_1_fy))-(IF((O27+P27*'Geometry'!$G$57+Q27*'Geometry'!$F$57)&gt;0,IF((O27+P27*'Geometry'!$G$57+Q27*'Geometry'!$F$57)&lt;=C_eco,C_alpha*C_fck*(1-(1-(O27+P27*'Geometry'!$G$57+Q27*'Geometry'!$F$57)/C_eco)^C_n),C_alpha*C_fck),0)))*'Geometry'!$H$57*'Geometry'!$G$57)/1000000</f>
        <v>-1577.125936489674</v>
      </c>
      <c r="W27" s="10">
        <f>(((MAX(MIN(S_1_Es*(O27+P27*'Geometry'!$G$40+Q27*'Geometry'!$F$40),S_1_fy),-S_1_fy))-(IF((O27+P27*'Geometry'!$G$40+Q27*'Geometry'!$F$40)&gt;0,IF((O27+P27*'Geometry'!$G$40+Q27*'Geometry'!$F$40)&lt;=C_eco,C_alpha*C_fck*(1-(1-(O27+P27*'Geometry'!$G$40+Q27*'Geometry'!$F$40)/C_eco)^C_n),C_alpha*C_fck),0)))*'Geometry'!$H$40*'Geometry'!$F$40+((MAX(MIN(S_1_Es*(O27+P27*'Geometry'!$G$41+Q27*'Geometry'!$F$41),S_1_fy),-S_1_fy))-(IF((O27+P27*'Geometry'!$G$41+Q27*'Geometry'!$F$41)&gt;0,IF((O27+P27*'Geometry'!$G$41+Q27*'Geometry'!$F$41)&lt;=C_eco,C_alpha*C_fck*(1-(1-(O27+P27*'Geometry'!$G$41+Q27*'Geometry'!$F$41)/C_eco)^C_n),C_alpha*C_fck),0)))*'Geometry'!$H$41*'Geometry'!$F$41+((MAX(MIN(S_1_Es*(O27+P27*'Geometry'!$G$42+Q27*'Geometry'!$F$42),S_1_fy),-S_1_fy))-(IF((O27+P27*'Geometry'!$G$42+Q27*'Geometry'!$F$42)&gt;0,IF((O27+P27*'Geometry'!$G$42+Q27*'Geometry'!$F$42)&lt;=C_eco,C_alpha*C_fck*(1-(1-(O27+P27*'Geometry'!$G$42+Q27*'Geometry'!$F$42)/C_eco)^C_n),C_alpha*C_fck),0)))*'Geometry'!$H$42*'Geometry'!$F$42+((MAX(MIN(S_1_Es*(O27+P27*'Geometry'!$G$43+Q27*'Geometry'!$F$43),S_1_fy),-S_1_fy))-(IF((O27+P27*'Geometry'!$G$43+Q27*'Geometry'!$F$43)&gt;0,IF((O27+P27*'Geometry'!$G$43+Q27*'Geometry'!$F$43)&lt;=C_eco,C_alpha*C_fck*(1-(1-(O27+P27*'Geometry'!$G$43+Q27*'Geometry'!$F$43)/C_eco)^C_n),C_alpha*C_fck),0)))*'Geometry'!$H$43*'Geometry'!$F$43+((MAX(MIN(S_1_Es*(O27+P27*'Geometry'!$G$44+Q27*'Geometry'!$F$44),S_1_fy),-S_1_fy))-(IF((O27+P27*'Geometry'!$G$44+Q27*'Geometry'!$F$44)&gt;0,IF((O27+P27*'Geometry'!$G$44+Q27*'Geometry'!$F$44)&lt;=C_eco,C_alpha*C_fck*(1-(1-(O27+P27*'Geometry'!$G$44+Q27*'Geometry'!$F$44)/C_eco)^C_n),C_alpha*C_fck),0)))*'Geometry'!$H$44*'Geometry'!$F$44+((MAX(MIN(S_1_Es*(O27+P27*'Geometry'!$G$45+Q27*'Geometry'!$F$45),S_1_fy),-S_1_fy))-(IF((O27+P27*'Geometry'!$G$45+Q27*'Geometry'!$F$45)&gt;0,IF((O27+P27*'Geometry'!$G$45+Q27*'Geometry'!$F$45)&lt;=C_eco,C_alpha*C_fck*(1-(1-(O27+P27*'Geometry'!$G$45+Q27*'Geometry'!$F$45)/C_eco)^C_n),C_alpha*C_fck),0)))*'Geometry'!$H$45*'Geometry'!$F$45+((MAX(MIN(S_1_Es*(O27+P27*'Geometry'!$G$46+Q27*'Geometry'!$F$46),S_1_fy),-S_1_fy))-(IF((O27+P27*'Geometry'!$G$46+Q27*'Geometry'!$F$46)&gt;0,IF((O27+P27*'Geometry'!$G$46+Q27*'Geometry'!$F$46)&lt;=C_eco,C_alpha*C_fck*(1-(1-(O27+P27*'Geometry'!$G$46+Q27*'Geometry'!$F$46)/C_eco)^C_n),C_alpha*C_fck),0)))*'Geometry'!$H$46*'Geometry'!$F$46+((MAX(MIN(S_1_Es*(O27+P27*'Geometry'!$G$47+Q27*'Geometry'!$F$47),S_1_fy),-S_1_fy))-(IF((O27+P27*'Geometry'!$G$47+Q27*'Geometry'!$F$47)&gt;0,IF((O27+P27*'Geometry'!$G$47+Q27*'Geometry'!$F$47)&lt;=C_eco,C_alpha*C_fck*(1-(1-(O27+P27*'Geometry'!$G$47+Q27*'Geometry'!$F$47)/C_eco)^C_n),C_alpha*C_fck),0)))*'Geometry'!$H$47*'Geometry'!$F$47+((MAX(MIN(S_1_Es*(O27+P27*'Geometry'!$G$48+Q27*'Geometry'!$F$48),S_1_fy),-S_1_fy))-(IF((O27+P27*'Geometry'!$G$48+Q27*'Geometry'!$F$48)&gt;0,IF((O27+P27*'Geometry'!$G$48+Q27*'Geometry'!$F$48)&lt;=C_eco,C_alpha*C_fck*(1-(1-(O27+P27*'Geometry'!$G$48+Q27*'Geometry'!$F$48)/C_eco)^C_n),C_alpha*C_fck),0)))*'Geometry'!$H$48*'Geometry'!$F$48+((MAX(MIN(S_1_Es*(O27+P27*'Geometry'!$G$49+Q27*'Geometry'!$F$49),S_1_fy),-S_1_fy))-(IF((O27+P27*'Geometry'!$G$49+Q27*'Geometry'!$F$49)&gt;0,IF((O27+P27*'Geometry'!$G$49+Q27*'Geometry'!$F$49)&lt;=C_eco,C_alpha*C_fck*(1-(1-(O27+P27*'Geometry'!$G$49+Q27*'Geometry'!$F$49)/C_eco)^C_n),C_alpha*C_fck),0)))*'Geometry'!$H$49*'Geometry'!$F$49+((MAX(MIN(S_1_Es*(O27+P27*'Geometry'!$G$50+Q27*'Geometry'!$F$50),S_1_fy),-S_1_fy))-(IF((O27+P27*'Geometry'!$G$50+Q27*'Geometry'!$F$50)&gt;0,IF((O27+P27*'Geometry'!$G$50+Q27*'Geometry'!$F$50)&lt;=C_eco,C_alpha*C_fck*(1-(1-(O27+P27*'Geometry'!$G$50+Q27*'Geometry'!$F$50)/C_eco)^C_n),C_alpha*C_fck),0)))*'Geometry'!$H$50*'Geometry'!$F$50+((MAX(MIN(S_1_Es*(O27+P27*'Geometry'!$G$51+Q27*'Geometry'!$F$51),S_1_fy),-S_1_fy))-(IF((O27+P27*'Geometry'!$G$51+Q27*'Geometry'!$F$51)&gt;0,IF((O27+P27*'Geometry'!$G$51+Q27*'Geometry'!$F$51)&lt;=C_eco,C_alpha*C_fck*(1-(1-(O27+P27*'Geometry'!$G$51+Q27*'Geometry'!$F$51)/C_eco)^C_n),C_alpha*C_fck),0)))*'Geometry'!$H$51*'Geometry'!$F$51+((MAX(MIN(S_1_Es*(O27+P27*'Geometry'!$G$52+Q27*'Geometry'!$F$52),S_1_fy),-S_1_fy))-(IF((O27+P27*'Geometry'!$G$52+Q27*'Geometry'!$F$52)&gt;0,IF((O27+P27*'Geometry'!$G$52+Q27*'Geometry'!$F$52)&lt;=C_eco,C_alpha*C_fck*(1-(1-(O27+P27*'Geometry'!$G$52+Q27*'Geometry'!$F$52)/C_eco)^C_n),C_alpha*C_fck),0)))*'Geometry'!$H$52*'Geometry'!$F$52+((MAX(MIN(S_1_Es*(O27+P27*'Geometry'!$G$53+Q27*'Geometry'!$F$53),S_1_fy),-S_1_fy))-(IF((O27+P27*'Geometry'!$G$53+Q27*'Geometry'!$F$53)&gt;0,IF((O27+P27*'Geometry'!$G$53+Q27*'Geometry'!$F$53)&lt;=C_eco,C_alpha*C_fck*(1-(1-(O27+P27*'Geometry'!$G$53+Q27*'Geometry'!$F$53)/C_eco)^C_n),C_alpha*C_fck),0)))*'Geometry'!$H$53*'Geometry'!$F$53+((MAX(MIN(S_1_Es*(O27+P27*'Geometry'!$G$54+Q27*'Geometry'!$F$54),S_1_fy),-S_1_fy))-(IF((O27+P27*'Geometry'!$G$54+Q27*'Geometry'!$F$54)&gt;0,IF((O27+P27*'Geometry'!$G$54+Q27*'Geometry'!$F$54)&lt;=C_eco,C_alpha*C_fck*(1-(1-(O27+P27*'Geometry'!$G$54+Q27*'Geometry'!$F$54)/C_eco)^C_n),C_alpha*C_fck),0)))*'Geometry'!$H$54*'Geometry'!$F$54+((MAX(MIN(S_1_Es*(O27+P27*'Geometry'!$G$55+Q27*'Geometry'!$F$55),S_1_fy),-S_1_fy))-(IF((O27+P27*'Geometry'!$G$55+Q27*'Geometry'!$F$55)&gt;0,IF((O27+P27*'Geometry'!$G$55+Q27*'Geometry'!$F$55)&lt;=C_eco,C_alpha*C_fck*(1-(1-(O27+P27*'Geometry'!$G$55+Q27*'Geometry'!$F$55)/C_eco)^C_n),C_alpha*C_fck),0)))*'Geometry'!$H$55*'Geometry'!$F$55+((MAX(MIN(S_1_Es*(O27+P27*'Geometry'!$G$56+Q27*'Geometry'!$F$56),S_1_fy),-S_1_fy))-(IF((O27+P27*'Geometry'!$G$56+Q27*'Geometry'!$F$56)&gt;0,IF((O27+P27*'Geometry'!$G$56+Q27*'Geometry'!$F$56)&lt;=C_eco,C_alpha*C_fck*(1-(1-(O27+P27*'Geometry'!$G$56+Q27*'Geometry'!$F$56)/C_eco)^C_n),C_alpha*C_fck),0)))*'Geometry'!$H$56*'Geometry'!$F$56+((MAX(MIN(S_1_Es*(O27+P27*'Geometry'!$G$57+Q27*'Geometry'!$F$57),S_1_fy),-S_1_fy))-(IF((O27+P27*'Geometry'!$G$57+Q27*'Geometry'!$F$57)&gt;0,IF((O27+P27*'Geometry'!$G$57+Q27*'Geometry'!$F$57)&lt;=C_eco,C_alpha*C_fck*(1-(1-(O27+P27*'Geometry'!$G$57+Q27*'Geometry'!$F$57)/C_eco)^C_n),C_alpha*C_fck),0)))*'Geometry'!$H$57*'Geometry'!$F$57)/1000000</f>
        <v>-401.01037063218735</v>
      </c>
      <c r="X27" s="10">
        <f>R27+U27</f>
        <v>2630.5254232913317</v>
      </c>
      <c r="Y27" s="10">
        <f>S27+V27</f>
        <v>-4164.354903665275</v>
      </c>
      <c r="Z27" s="10">
        <f>T27+W27</f>
        <v>-1334.9600868273483</v>
      </c>
      <c r="AA27" s="7">
        <v>0.85</v>
      </c>
      <c r="AB27" s="7">
        <v>0.8499999999999999</v>
      </c>
      <c r="AC27" s="10">
        <f>X27*AA27</f>
        <v>2235.946609797632</v>
      </c>
      <c r="AD27" s="10">
        <f>Y27*AB27</f>
        <v>-3539.7016681154832</v>
      </c>
      <c r="AE27" s="10">
        <f>Z27*AB27</f>
        <v>-1134.716073803246</v>
      </c>
      <c r="AF27" s="7">
        <v>2235.946609797632</v>
      </c>
      <c r="AG27" s="7">
        <v>-3539.7016681154832</v>
      </c>
      <c r="AH27" s="7">
        <v>-1134.716073803246</v>
      </c>
      <c r="AI27" s="15">
        <f>AC27-AF27</f>
        <v>0</v>
      </c>
      <c r="AJ27" s="15">
        <f>SQRT((AD27-AG27)^2+(AE27-AH27)^2)</f>
        <v>0</v>
      </c>
      <c r="AK27" s="7" t="s">
        <v>189</v>
      </c>
      <c r="AL27" s="7">
        <v>2630.5254232913317</v>
      </c>
      <c r="AM27" s="7">
        <v>-4164.354903665275</v>
      </c>
      <c r="AN27" s="7">
        <v>-1334.9600868273483</v>
      </c>
      <c r="AO27" s="7">
        <v>5223.721071836548</v>
      </c>
      <c r="AP27" s="7">
        <v>-2587.228967175601</v>
      </c>
      <c r="AQ27" s="7">
        <v>-933.9497161951609</v>
      </c>
      <c r="AR27" s="7">
        <v>-2593.1956485452165</v>
      </c>
      <c r="AS27" s="7">
        <v>-1577.125936489674</v>
      </c>
      <c r="AT27" s="7">
        <v>-401.01037063218735</v>
      </c>
    </row>
    <row r="28" spans="1:46" x14ac:dyDescent="0.25">
      <c r="A28" s="7" t="s">
        <v>230</v>
      </c>
      <c r="B28" s="7">
        <v>1</v>
      </c>
      <c r="C28" s="18">
        <v>200</v>
      </c>
      <c r="D28" s="7" t="s">
        <v>287</v>
      </c>
      <c r="E28" s="7" t="s">
        <v>267</v>
      </c>
      <c r="F28" s="19">
        <v>199.99999999999997</v>
      </c>
      <c r="G28" s="7" t="s">
        <v>188</v>
      </c>
      <c r="H28" s="20">
        <v>4.999999999999998</v>
      </c>
      <c r="I28" s="10">
        <f>MAX(('Geometry'!$G$13*COS(RADIANS(F28))+'Geometry'!$F$13*SIN(RADIANS(F28))),('Geometry'!$G$14*COS(RADIANS(F28))+'Geometry'!$F$14*SIN(RADIANS(F28))),('Geometry'!$G$15*COS(RADIANS(F28))+'Geometry'!$F$15*SIN(RADIANS(F28))),('Geometry'!$G$16*COS(RADIANS(F28))+'Geometry'!$F$16*SIN(RADIANS(F28))),('Geometry'!$G$17*COS(RADIANS(F28))+'Geometry'!$F$17*SIN(RADIANS(F28))),('Geometry'!$G$18*COS(RADIANS(F28))+'Geometry'!$F$18*SIN(RADIANS(F28))),('Geometry'!$G$19*COS(RADIANS(F28))+'Geometry'!$F$19*SIN(RADIANS(F28))),('Geometry'!$G$20*COS(RADIANS(F28))+'Geometry'!$F$20*SIN(RADIANS(F28))))</f>
        <v>751.9266513006627</v>
      </c>
      <c r="J28" s="10">
        <f>MIN(('Geometry'!$G$40*COS(RADIANS(F28))+'Geometry'!$F$40*SIN(RADIANS(F28))),('Geometry'!$G$41*COS(RADIANS(F28))+'Geometry'!$F$41*SIN(RADIANS(F28))),('Geometry'!$G$42*COS(RADIANS(F28))+'Geometry'!$F$42*SIN(RADIANS(F28))),('Geometry'!$G$43*COS(RADIANS(F28))+'Geometry'!$F$43*SIN(RADIANS(F28))),('Geometry'!$G$44*COS(RADIANS(F28))+'Geometry'!$F$44*SIN(RADIANS(F28))),('Geometry'!$G$45*COS(RADIANS(F28))+'Geometry'!$F$45*SIN(RADIANS(F28))),('Geometry'!$G$46*COS(RADIANS(F28))+'Geometry'!$F$46*SIN(RADIANS(F28))),('Geometry'!$G$47*COS(RADIANS(F28))+'Geometry'!$F$47*SIN(RADIANS(F28))),('Geometry'!$G$48*COS(RADIANS(F28))+'Geometry'!$F$48*SIN(RADIANS(F28))),('Geometry'!$G$49*COS(RADIANS(F28))+'Geometry'!$F$49*SIN(RADIANS(F28))),('Geometry'!$G$50*COS(RADIANS(F28))+'Geometry'!$F$50*SIN(RADIANS(F28))),('Geometry'!$G$51*COS(RADIANS(F28))+'Geometry'!$F$51*SIN(RADIANS(F28))),('Geometry'!$G$52*COS(RADIANS(F28))+'Geometry'!$F$52*SIN(RADIANS(F28))),('Geometry'!$G$53*COS(RADIANS(F28))+'Geometry'!$F$53*SIN(RADIANS(F28))),('Geometry'!$G$54*COS(RADIANS(F28))+'Geometry'!$F$54*SIN(RADIANS(F28))),('Geometry'!$G$55*COS(RADIANS(F28))+'Geometry'!$F$55*SIN(RADIANS(F28))),('Geometry'!$G$56*COS(RADIANS(F28))+'Geometry'!$F$56*SIN(RADIANS(F28))),('Geometry'!$G$57*COS(RADIANS(F28))+'Geometry'!$F$57*SIN(RADIANS(F28))))</f>
        <v>-634.8451463467989</v>
      </c>
      <c r="K28" s="10">
        <f>I28-MIN(('Geometry'!$G$13*COS(RADIANS(F28))+'Geometry'!$F$13*SIN(RADIANS(F28))),('Geometry'!$G$14*COS(RADIANS(F28))+'Geometry'!$F$14*SIN(RADIANS(F28))),('Geometry'!$G$15*COS(RADIANS(F28))+'Geometry'!$F$15*SIN(RADIANS(F28))),('Geometry'!$G$16*COS(RADIANS(F28))+'Geometry'!$F$16*SIN(RADIANS(F28))),('Geometry'!$G$17*COS(RADIANS(F28))+'Geometry'!$F$17*SIN(RADIANS(F28))),('Geometry'!$G$18*COS(RADIANS(F28))+'Geometry'!$F$18*SIN(RADIANS(F28))),('Geometry'!$G$19*COS(RADIANS(F28))+'Geometry'!$F$19*SIN(RADIANS(F28))),('Geometry'!$G$20*COS(RADIANS(F28))+'Geometry'!$F$20*SIN(RADIANS(F28))))</f>
        <v>1503.8533026013254</v>
      </c>
      <c r="L28" s="15">
        <f>C_ecu</f>
        <v>0.003299999999999999</v>
      </c>
      <c r="M28" s="15">
        <f>-H28*S_1_fy/S_1_Es</f>
        <v>-0.009999999999999997</v>
      </c>
      <c r="N28" s="21">
        <f>IF(ABS(I28-J28)&lt;0.000000000001,0,(L28-M28)/(I28-J28))</f>
        <v>0.000009590619035202689</v>
      </c>
      <c r="O28" s="15">
        <f>L28-N28*I28</f>
        <v>-0.003911442055040351</v>
      </c>
      <c r="P28" s="21">
        <f>N28*COS(RADIANS(F28))</f>
        <v>-0.000009012233936148835</v>
      </c>
      <c r="Q28" s="21">
        <f>N28*SIN(RADIANS(F28))</f>
        <v>-0.0000032801848970019098</v>
      </c>
      <c r="R28" s="10">
        <f>SUMPRODUCT(C_alpha*C_fck*(1-(1-(((O28+P28*Mesh_Y+Q28*Mesh_X))*((O28+P28*Mesh_Y+Q28*Mesh_X)&gt;0)*((O28+P28*Mesh_Y+Q28*Mesh_X)&lt;C_eco)+C_eco*((O28+P28*Mesh_Y+Q28*Mesh_X)&gt;=C_eco))/C_eco)^C_n)*(((O28+P28*Mesh_Y+Q28*Mesh_X))&gt;0),Mesh_A)/1000</f>
        <v>3980.6092901998236</v>
      </c>
      <c r="S28" s="10">
        <f>SUMPRODUCT(C_alpha*C_fck*(1-(1-(((O28+P28*Mesh_Y+Q28*Mesh_X))*((O28+P28*Mesh_Y+Q28*Mesh_X)&gt;0)*((O28+P28*Mesh_Y+Q28*Mesh_X)&lt;C_eco)+C_eco*((O28+P28*Mesh_Y+Q28*Mesh_X)&gt;=C_eco))/C_eco)^C_n)*(((O28+P28*Mesh_Y+Q28*Mesh_X))&gt;0),Mesh_A,Mesh_Y)/1000000</f>
        <v>-1887.897551094683</v>
      </c>
      <c r="T28" s="10">
        <f>SUMPRODUCT(C_alpha*C_fck*(1-(1-(((O28+P28*Mesh_Y+Q28*Mesh_X))*((O28+P28*Mesh_Y+Q28*Mesh_X)&gt;0)*((O28+P28*Mesh_Y+Q28*Mesh_X)&lt;C_eco)+C_eco*((O28+P28*Mesh_Y+Q28*Mesh_X)&gt;=C_eco))/C_eco)^C_n)*(((O28+P28*Mesh_Y+Q28*Mesh_X))&gt;0),Mesh_A,Mesh_X)/1000000</f>
        <v>-1458.3193730131986</v>
      </c>
      <c r="U28" s="10">
        <f>(((MAX(MIN(S_1_Es*(O28+P28*'Geometry'!$G$40+Q28*'Geometry'!$F$40),S_1_fy),-S_1_fy))-(IF((O28+P28*'Geometry'!$G$40+Q28*'Geometry'!$F$40)&gt;0,IF((O28+P28*'Geometry'!$G$40+Q28*'Geometry'!$F$40)&lt;=C_eco,C_alpha*C_fck*(1-(1-(O28+P28*'Geometry'!$G$40+Q28*'Geometry'!$F$40)/C_eco)^C_n),C_alpha*C_fck),0)))*'Geometry'!$H$40+((MAX(MIN(S_1_Es*(O28+P28*'Geometry'!$G$41+Q28*'Geometry'!$F$41),S_1_fy),-S_1_fy))-(IF((O28+P28*'Geometry'!$G$41+Q28*'Geometry'!$F$41)&gt;0,IF((O28+P28*'Geometry'!$G$41+Q28*'Geometry'!$F$41)&lt;=C_eco,C_alpha*C_fck*(1-(1-(O28+P28*'Geometry'!$G$41+Q28*'Geometry'!$F$41)/C_eco)^C_n),C_alpha*C_fck),0)))*'Geometry'!$H$41+((MAX(MIN(S_1_Es*(O28+P28*'Geometry'!$G$42+Q28*'Geometry'!$F$42),S_1_fy),-S_1_fy))-(IF((O28+P28*'Geometry'!$G$42+Q28*'Geometry'!$F$42)&gt;0,IF((O28+P28*'Geometry'!$G$42+Q28*'Geometry'!$F$42)&lt;=C_eco,C_alpha*C_fck*(1-(1-(O28+P28*'Geometry'!$G$42+Q28*'Geometry'!$F$42)/C_eco)^C_n),C_alpha*C_fck),0)))*'Geometry'!$H$42+((MAX(MIN(S_1_Es*(O28+P28*'Geometry'!$G$43+Q28*'Geometry'!$F$43),S_1_fy),-S_1_fy))-(IF((O28+P28*'Geometry'!$G$43+Q28*'Geometry'!$F$43)&gt;0,IF((O28+P28*'Geometry'!$G$43+Q28*'Geometry'!$F$43)&lt;=C_eco,C_alpha*C_fck*(1-(1-(O28+P28*'Geometry'!$G$43+Q28*'Geometry'!$F$43)/C_eco)^C_n),C_alpha*C_fck),0)))*'Geometry'!$H$43+((MAX(MIN(S_1_Es*(O28+P28*'Geometry'!$G$44+Q28*'Geometry'!$F$44),S_1_fy),-S_1_fy))-(IF((O28+P28*'Geometry'!$G$44+Q28*'Geometry'!$F$44)&gt;0,IF((O28+P28*'Geometry'!$G$44+Q28*'Geometry'!$F$44)&lt;=C_eco,C_alpha*C_fck*(1-(1-(O28+P28*'Geometry'!$G$44+Q28*'Geometry'!$F$44)/C_eco)^C_n),C_alpha*C_fck),0)))*'Geometry'!$H$44+((MAX(MIN(S_1_Es*(O28+P28*'Geometry'!$G$45+Q28*'Geometry'!$F$45),S_1_fy),-S_1_fy))-(IF((O28+P28*'Geometry'!$G$45+Q28*'Geometry'!$F$45)&gt;0,IF((O28+P28*'Geometry'!$G$45+Q28*'Geometry'!$F$45)&lt;=C_eco,C_alpha*C_fck*(1-(1-(O28+P28*'Geometry'!$G$45+Q28*'Geometry'!$F$45)/C_eco)^C_n),C_alpha*C_fck),0)))*'Geometry'!$H$45+((MAX(MIN(S_1_Es*(O28+P28*'Geometry'!$G$46+Q28*'Geometry'!$F$46),S_1_fy),-S_1_fy))-(IF((O28+P28*'Geometry'!$G$46+Q28*'Geometry'!$F$46)&gt;0,IF((O28+P28*'Geometry'!$G$46+Q28*'Geometry'!$F$46)&lt;=C_eco,C_alpha*C_fck*(1-(1-(O28+P28*'Geometry'!$G$46+Q28*'Geometry'!$F$46)/C_eco)^C_n),C_alpha*C_fck),0)))*'Geometry'!$H$46+((MAX(MIN(S_1_Es*(O28+P28*'Geometry'!$G$47+Q28*'Geometry'!$F$47),S_1_fy),-S_1_fy))-(IF((O28+P28*'Geometry'!$G$47+Q28*'Geometry'!$F$47)&gt;0,IF((O28+P28*'Geometry'!$G$47+Q28*'Geometry'!$F$47)&lt;=C_eco,C_alpha*C_fck*(1-(1-(O28+P28*'Geometry'!$G$47+Q28*'Geometry'!$F$47)/C_eco)^C_n),C_alpha*C_fck),0)))*'Geometry'!$H$47+((MAX(MIN(S_1_Es*(O28+P28*'Geometry'!$G$48+Q28*'Geometry'!$F$48),S_1_fy),-S_1_fy))-(IF((O28+P28*'Geometry'!$G$48+Q28*'Geometry'!$F$48)&gt;0,IF((O28+P28*'Geometry'!$G$48+Q28*'Geometry'!$F$48)&lt;=C_eco,C_alpha*C_fck*(1-(1-(O28+P28*'Geometry'!$G$48+Q28*'Geometry'!$F$48)/C_eco)^C_n),C_alpha*C_fck),0)))*'Geometry'!$H$48+((MAX(MIN(S_1_Es*(O28+P28*'Geometry'!$G$49+Q28*'Geometry'!$F$49),S_1_fy),-S_1_fy))-(IF((O28+P28*'Geometry'!$G$49+Q28*'Geometry'!$F$49)&gt;0,IF((O28+P28*'Geometry'!$G$49+Q28*'Geometry'!$F$49)&lt;=C_eco,C_alpha*C_fck*(1-(1-(O28+P28*'Geometry'!$G$49+Q28*'Geometry'!$F$49)/C_eco)^C_n),C_alpha*C_fck),0)))*'Geometry'!$H$49+((MAX(MIN(S_1_Es*(O28+P28*'Geometry'!$G$50+Q28*'Geometry'!$F$50),S_1_fy),-S_1_fy))-(IF((O28+P28*'Geometry'!$G$50+Q28*'Geometry'!$F$50)&gt;0,IF((O28+P28*'Geometry'!$G$50+Q28*'Geometry'!$F$50)&lt;=C_eco,C_alpha*C_fck*(1-(1-(O28+P28*'Geometry'!$G$50+Q28*'Geometry'!$F$50)/C_eco)^C_n),C_alpha*C_fck),0)))*'Geometry'!$H$50+((MAX(MIN(S_1_Es*(O28+P28*'Geometry'!$G$51+Q28*'Geometry'!$F$51),S_1_fy),-S_1_fy))-(IF((O28+P28*'Geometry'!$G$51+Q28*'Geometry'!$F$51)&gt;0,IF((O28+P28*'Geometry'!$G$51+Q28*'Geometry'!$F$51)&lt;=C_eco,C_alpha*C_fck*(1-(1-(O28+P28*'Geometry'!$G$51+Q28*'Geometry'!$F$51)/C_eco)^C_n),C_alpha*C_fck),0)))*'Geometry'!$H$51+((MAX(MIN(S_1_Es*(O28+P28*'Geometry'!$G$52+Q28*'Geometry'!$F$52),S_1_fy),-S_1_fy))-(IF((O28+P28*'Geometry'!$G$52+Q28*'Geometry'!$F$52)&gt;0,IF((O28+P28*'Geometry'!$G$52+Q28*'Geometry'!$F$52)&lt;=C_eco,C_alpha*C_fck*(1-(1-(O28+P28*'Geometry'!$G$52+Q28*'Geometry'!$F$52)/C_eco)^C_n),C_alpha*C_fck),0)))*'Geometry'!$H$52+((MAX(MIN(S_1_Es*(O28+P28*'Geometry'!$G$53+Q28*'Geometry'!$F$53),S_1_fy),-S_1_fy))-(IF((O28+P28*'Geometry'!$G$53+Q28*'Geometry'!$F$53)&gt;0,IF((O28+P28*'Geometry'!$G$53+Q28*'Geometry'!$F$53)&lt;=C_eco,C_alpha*C_fck*(1-(1-(O28+P28*'Geometry'!$G$53+Q28*'Geometry'!$F$53)/C_eco)^C_n),C_alpha*C_fck),0)))*'Geometry'!$H$53+((MAX(MIN(S_1_Es*(O28+P28*'Geometry'!$G$54+Q28*'Geometry'!$F$54),S_1_fy),-S_1_fy))-(IF((O28+P28*'Geometry'!$G$54+Q28*'Geometry'!$F$54)&gt;0,IF((O28+P28*'Geometry'!$G$54+Q28*'Geometry'!$F$54)&lt;=C_eco,C_alpha*C_fck*(1-(1-(O28+P28*'Geometry'!$G$54+Q28*'Geometry'!$F$54)/C_eco)^C_n),C_alpha*C_fck),0)))*'Geometry'!$H$54+((MAX(MIN(S_1_Es*(O28+P28*'Geometry'!$G$55+Q28*'Geometry'!$F$55),S_1_fy),-S_1_fy))-(IF((O28+P28*'Geometry'!$G$55+Q28*'Geometry'!$F$55)&gt;0,IF((O28+P28*'Geometry'!$G$55+Q28*'Geometry'!$F$55)&lt;=C_eco,C_alpha*C_fck*(1-(1-(O28+P28*'Geometry'!$G$55+Q28*'Geometry'!$F$55)/C_eco)^C_n),C_alpha*C_fck),0)))*'Geometry'!$H$55+((MAX(MIN(S_1_Es*(O28+P28*'Geometry'!$G$56+Q28*'Geometry'!$F$56),S_1_fy),-S_1_fy))-(IF((O28+P28*'Geometry'!$G$56+Q28*'Geometry'!$F$56)&gt;0,IF((O28+P28*'Geometry'!$G$56+Q28*'Geometry'!$F$56)&lt;=C_eco,C_alpha*C_fck*(1-(1-(O28+P28*'Geometry'!$G$56+Q28*'Geometry'!$F$56)/C_eco)^C_n),C_alpha*C_fck),0)))*'Geometry'!$H$56+((MAX(MIN(S_1_Es*(O28+P28*'Geometry'!$G$57+Q28*'Geometry'!$F$57),S_1_fy),-S_1_fy))-(IF((O28+P28*'Geometry'!$G$57+Q28*'Geometry'!$F$57)&gt;0,IF((O28+P28*'Geometry'!$G$57+Q28*'Geometry'!$F$57)&lt;=C_eco,C_alpha*C_fck*(1-(1-(O28+P28*'Geometry'!$G$57+Q28*'Geometry'!$F$57)/C_eco)^C_n),C_alpha*C_fck),0)))*'Geometry'!$H$57)/1000</f>
        <v>-2905.7936463799874</v>
      </c>
      <c r="V28" s="10">
        <f>(((MAX(MIN(S_1_Es*(O28+P28*'Geometry'!$G$40+Q28*'Geometry'!$F$40),S_1_fy),-S_1_fy))-(IF((O28+P28*'Geometry'!$G$40+Q28*'Geometry'!$F$40)&gt;0,IF((O28+P28*'Geometry'!$G$40+Q28*'Geometry'!$F$40)&lt;=C_eco,C_alpha*C_fck*(1-(1-(O28+P28*'Geometry'!$G$40+Q28*'Geometry'!$F$40)/C_eco)^C_n),C_alpha*C_fck),0)))*'Geometry'!$H$40*'Geometry'!$G$40+((MAX(MIN(S_1_Es*(O28+P28*'Geometry'!$G$41+Q28*'Geometry'!$F$41),S_1_fy),-S_1_fy))-(IF((O28+P28*'Geometry'!$G$41+Q28*'Geometry'!$F$41)&gt;0,IF((O28+P28*'Geometry'!$G$41+Q28*'Geometry'!$F$41)&lt;=C_eco,C_alpha*C_fck*(1-(1-(O28+P28*'Geometry'!$G$41+Q28*'Geometry'!$F$41)/C_eco)^C_n),C_alpha*C_fck),0)))*'Geometry'!$H$41*'Geometry'!$G$41+((MAX(MIN(S_1_Es*(O28+P28*'Geometry'!$G$42+Q28*'Geometry'!$F$42),S_1_fy),-S_1_fy))-(IF((O28+P28*'Geometry'!$G$42+Q28*'Geometry'!$F$42)&gt;0,IF((O28+P28*'Geometry'!$G$42+Q28*'Geometry'!$F$42)&lt;=C_eco,C_alpha*C_fck*(1-(1-(O28+P28*'Geometry'!$G$42+Q28*'Geometry'!$F$42)/C_eco)^C_n),C_alpha*C_fck),0)))*'Geometry'!$H$42*'Geometry'!$G$42+((MAX(MIN(S_1_Es*(O28+P28*'Geometry'!$G$43+Q28*'Geometry'!$F$43),S_1_fy),-S_1_fy))-(IF((O28+P28*'Geometry'!$G$43+Q28*'Geometry'!$F$43)&gt;0,IF((O28+P28*'Geometry'!$G$43+Q28*'Geometry'!$F$43)&lt;=C_eco,C_alpha*C_fck*(1-(1-(O28+P28*'Geometry'!$G$43+Q28*'Geometry'!$F$43)/C_eco)^C_n),C_alpha*C_fck),0)))*'Geometry'!$H$43*'Geometry'!$G$43+((MAX(MIN(S_1_Es*(O28+P28*'Geometry'!$G$44+Q28*'Geometry'!$F$44),S_1_fy),-S_1_fy))-(IF((O28+P28*'Geometry'!$G$44+Q28*'Geometry'!$F$44)&gt;0,IF((O28+P28*'Geometry'!$G$44+Q28*'Geometry'!$F$44)&lt;=C_eco,C_alpha*C_fck*(1-(1-(O28+P28*'Geometry'!$G$44+Q28*'Geometry'!$F$44)/C_eco)^C_n),C_alpha*C_fck),0)))*'Geometry'!$H$44*'Geometry'!$G$44+((MAX(MIN(S_1_Es*(O28+P28*'Geometry'!$G$45+Q28*'Geometry'!$F$45),S_1_fy),-S_1_fy))-(IF((O28+P28*'Geometry'!$G$45+Q28*'Geometry'!$F$45)&gt;0,IF((O28+P28*'Geometry'!$G$45+Q28*'Geometry'!$F$45)&lt;=C_eco,C_alpha*C_fck*(1-(1-(O28+P28*'Geometry'!$G$45+Q28*'Geometry'!$F$45)/C_eco)^C_n),C_alpha*C_fck),0)))*'Geometry'!$H$45*'Geometry'!$G$45+((MAX(MIN(S_1_Es*(O28+P28*'Geometry'!$G$46+Q28*'Geometry'!$F$46),S_1_fy),-S_1_fy))-(IF((O28+P28*'Geometry'!$G$46+Q28*'Geometry'!$F$46)&gt;0,IF((O28+P28*'Geometry'!$G$46+Q28*'Geometry'!$F$46)&lt;=C_eco,C_alpha*C_fck*(1-(1-(O28+P28*'Geometry'!$G$46+Q28*'Geometry'!$F$46)/C_eco)^C_n),C_alpha*C_fck),0)))*'Geometry'!$H$46*'Geometry'!$G$46+((MAX(MIN(S_1_Es*(O28+P28*'Geometry'!$G$47+Q28*'Geometry'!$F$47),S_1_fy),-S_1_fy))-(IF((O28+P28*'Geometry'!$G$47+Q28*'Geometry'!$F$47)&gt;0,IF((O28+P28*'Geometry'!$G$47+Q28*'Geometry'!$F$47)&lt;=C_eco,C_alpha*C_fck*(1-(1-(O28+P28*'Geometry'!$G$47+Q28*'Geometry'!$F$47)/C_eco)^C_n),C_alpha*C_fck),0)))*'Geometry'!$H$47*'Geometry'!$G$47+((MAX(MIN(S_1_Es*(O28+P28*'Geometry'!$G$48+Q28*'Geometry'!$F$48),S_1_fy),-S_1_fy))-(IF((O28+P28*'Geometry'!$G$48+Q28*'Geometry'!$F$48)&gt;0,IF((O28+P28*'Geometry'!$G$48+Q28*'Geometry'!$F$48)&lt;=C_eco,C_alpha*C_fck*(1-(1-(O28+P28*'Geometry'!$G$48+Q28*'Geometry'!$F$48)/C_eco)^C_n),C_alpha*C_fck),0)))*'Geometry'!$H$48*'Geometry'!$G$48+((MAX(MIN(S_1_Es*(O28+P28*'Geometry'!$G$49+Q28*'Geometry'!$F$49),S_1_fy),-S_1_fy))-(IF((O28+P28*'Geometry'!$G$49+Q28*'Geometry'!$F$49)&gt;0,IF((O28+P28*'Geometry'!$G$49+Q28*'Geometry'!$F$49)&lt;=C_eco,C_alpha*C_fck*(1-(1-(O28+P28*'Geometry'!$G$49+Q28*'Geometry'!$F$49)/C_eco)^C_n),C_alpha*C_fck),0)))*'Geometry'!$H$49*'Geometry'!$G$49+((MAX(MIN(S_1_Es*(O28+P28*'Geometry'!$G$50+Q28*'Geometry'!$F$50),S_1_fy),-S_1_fy))-(IF((O28+P28*'Geometry'!$G$50+Q28*'Geometry'!$F$50)&gt;0,IF((O28+P28*'Geometry'!$G$50+Q28*'Geometry'!$F$50)&lt;=C_eco,C_alpha*C_fck*(1-(1-(O28+P28*'Geometry'!$G$50+Q28*'Geometry'!$F$50)/C_eco)^C_n),C_alpha*C_fck),0)))*'Geometry'!$H$50*'Geometry'!$G$50+((MAX(MIN(S_1_Es*(O28+P28*'Geometry'!$G$51+Q28*'Geometry'!$F$51),S_1_fy),-S_1_fy))-(IF((O28+P28*'Geometry'!$G$51+Q28*'Geometry'!$F$51)&gt;0,IF((O28+P28*'Geometry'!$G$51+Q28*'Geometry'!$F$51)&lt;=C_eco,C_alpha*C_fck*(1-(1-(O28+P28*'Geometry'!$G$51+Q28*'Geometry'!$F$51)/C_eco)^C_n),C_alpha*C_fck),0)))*'Geometry'!$H$51*'Geometry'!$G$51+((MAX(MIN(S_1_Es*(O28+P28*'Geometry'!$G$52+Q28*'Geometry'!$F$52),S_1_fy),-S_1_fy))-(IF((O28+P28*'Geometry'!$G$52+Q28*'Geometry'!$F$52)&gt;0,IF((O28+P28*'Geometry'!$G$52+Q28*'Geometry'!$F$52)&lt;=C_eco,C_alpha*C_fck*(1-(1-(O28+P28*'Geometry'!$G$52+Q28*'Geometry'!$F$52)/C_eco)^C_n),C_alpha*C_fck),0)))*'Geometry'!$H$52*'Geometry'!$G$52+((MAX(MIN(S_1_Es*(O28+P28*'Geometry'!$G$53+Q28*'Geometry'!$F$53),S_1_fy),-S_1_fy))-(IF((O28+P28*'Geometry'!$G$53+Q28*'Geometry'!$F$53)&gt;0,IF((O28+P28*'Geometry'!$G$53+Q28*'Geometry'!$F$53)&lt;=C_eco,C_alpha*C_fck*(1-(1-(O28+P28*'Geometry'!$G$53+Q28*'Geometry'!$F$53)/C_eco)^C_n),C_alpha*C_fck),0)))*'Geometry'!$H$53*'Geometry'!$G$53+((MAX(MIN(S_1_Es*(O28+P28*'Geometry'!$G$54+Q28*'Geometry'!$F$54),S_1_fy),-S_1_fy))-(IF((O28+P28*'Geometry'!$G$54+Q28*'Geometry'!$F$54)&gt;0,IF((O28+P28*'Geometry'!$G$54+Q28*'Geometry'!$F$54)&lt;=C_eco,C_alpha*C_fck*(1-(1-(O28+P28*'Geometry'!$G$54+Q28*'Geometry'!$F$54)/C_eco)^C_n),C_alpha*C_fck),0)))*'Geometry'!$H$54*'Geometry'!$G$54+((MAX(MIN(S_1_Es*(O28+P28*'Geometry'!$G$55+Q28*'Geometry'!$F$55),S_1_fy),-S_1_fy))-(IF((O28+P28*'Geometry'!$G$55+Q28*'Geometry'!$F$55)&gt;0,IF((O28+P28*'Geometry'!$G$55+Q28*'Geometry'!$F$55)&lt;=C_eco,C_alpha*C_fck*(1-(1-(O28+P28*'Geometry'!$G$55+Q28*'Geometry'!$F$55)/C_eco)^C_n),C_alpha*C_fck),0)))*'Geometry'!$H$55*'Geometry'!$G$55+((MAX(MIN(S_1_Es*(O28+P28*'Geometry'!$G$56+Q28*'Geometry'!$F$56),S_1_fy),-S_1_fy))-(IF((O28+P28*'Geometry'!$G$56+Q28*'Geometry'!$F$56)&gt;0,IF((O28+P28*'Geometry'!$G$56+Q28*'Geometry'!$F$56)&lt;=C_eco,C_alpha*C_fck*(1-(1-(O28+P28*'Geometry'!$G$56+Q28*'Geometry'!$F$56)/C_eco)^C_n),C_alpha*C_fck),0)))*'Geometry'!$H$56*'Geometry'!$G$56+((MAX(MIN(S_1_Es*(O28+P28*'Geometry'!$G$57+Q28*'Geometry'!$F$57),S_1_fy),-S_1_fy))-(IF((O28+P28*'Geometry'!$G$57+Q28*'Geometry'!$F$57)&gt;0,IF((O28+P28*'Geometry'!$G$57+Q28*'Geometry'!$F$57)&lt;=C_eco,C_alpha*C_fck*(1-(1-(O28+P28*'Geometry'!$G$57+Q28*'Geometry'!$F$57)/C_eco)^C_n),C_alpha*C_fck),0)))*'Geometry'!$H$57*'Geometry'!$G$57)/1000000</f>
        <v>-1336.2985200922128</v>
      </c>
      <c r="W28" s="10">
        <f>(((MAX(MIN(S_1_Es*(O28+P28*'Geometry'!$G$40+Q28*'Geometry'!$F$40),S_1_fy),-S_1_fy))-(IF((O28+P28*'Geometry'!$G$40+Q28*'Geometry'!$F$40)&gt;0,IF((O28+P28*'Geometry'!$G$40+Q28*'Geometry'!$F$40)&lt;=C_eco,C_alpha*C_fck*(1-(1-(O28+P28*'Geometry'!$G$40+Q28*'Geometry'!$F$40)/C_eco)^C_n),C_alpha*C_fck),0)))*'Geometry'!$H$40*'Geometry'!$F$40+((MAX(MIN(S_1_Es*(O28+P28*'Geometry'!$G$41+Q28*'Geometry'!$F$41),S_1_fy),-S_1_fy))-(IF((O28+P28*'Geometry'!$G$41+Q28*'Geometry'!$F$41)&gt;0,IF((O28+P28*'Geometry'!$G$41+Q28*'Geometry'!$F$41)&lt;=C_eco,C_alpha*C_fck*(1-(1-(O28+P28*'Geometry'!$G$41+Q28*'Geometry'!$F$41)/C_eco)^C_n),C_alpha*C_fck),0)))*'Geometry'!$H$41*'Geometry'!$F$41+((MAX(MIN(S_1_Es*(O28+P28*'Geometry'!$G$42+Q28*'Geometry'!$F$42),S_1_fy),-S_1_fy))-(IF((O28+P28*'Geometry'!$G$42+Q28*'Geometry'!$F$42)&gt;0,IF((O28+P28*'Geometry'!$G$42+Q28*'Geometry'!$F$42)&lt;=C_eco,C_alpha*C_fck*(1-(1-(O28+P28*'Geometry'!$G$42+Q28*'Geometry'!$F$42)/C_eco)^C_n),C_alpha*C_fck),0)))*'Geometry'!$H$42*'Geometry'!$F$42+((MAX(MIN(S_1_Es*(O28+P28*'Geometry'!$G$43+Q28*'Geometry'!$F$43),S_1_fy),-S_1_fy))-(IF((O28+P28*'Geometry'!$G$43+Q28*'Geometry'!$F$43)&gt;0,IF((O28+P28*'Geometry'!$G$43+Q28*'Geometry'!$F$43)&lt;=C_eco,C_alpha*C_fck*(1-(1-(O28+P28*'Geometry'!$G$43+Q28*'Geometry'!$F$43)/C_eco)^C_n),C_alpha*C_fck),0)))*'Geometry'!$H$43*'Geometry'!$F$43+((MAX(MIN(S_1_Es*(O28+P28*'Geometry'!$G$44+Q28*'Geometry'!$F$44),S_1_fy),-S_1_fy))-(IF((O28+P28*'Geometry'!$G$44+Q28*'Geometry'!$F$44)&gt;0,IF((O28+P28*'Geometry'!$G$44+Q28*'Geometry'!$F$44)&lt;=C_eco,C_alpha*C_fck*(1-(1-(O28+P28*'Geometry'!$G$44+Q28*'Geometry'!$F$44)/C_eco)^C_n),C_alpha*C_fck),0)))*'Geometry'!$H$44*'Geometry'!$F$44+((MAX(MIN(S_1_Es*(O28+P28*'Geometry'!$G$45+Q28*'Geometry'!$F$45),S_1_fy),-S_1_fy))-(IF((O28+P28*'Geometry'!$G$45+Q28*'Geometry'!$F$45)&gt;0,IF((O28+P28*'Geometry'!$G$45+Q28*'Geometry'!$F$45)&lt;=C_eco,C_alpha*C_fck*(1-(1-(O28+P28*'Geometry'!$G$45+Q28*'Geometry'!$F$45)/C_eco)^C_n),C_alpha*C_fck),0)))*'Geometry'!$H$45*'Geometry'!$F$45+((MAX(MIN(S_1_Es*(O28+P28*'Geometry'!$G$46+Q28*'Geometry'!$F$46),S_1_fy),-S_1_fy))-(IF((O28+P28*'Geometry'!$G$46+Q28*'Geometry'!$F$46)&gt;0,IF((O28+P28*'Geometry'!$G$46+Q28*'Geometry'!$F$46)&lt;=C_eco,C_alpha*C_fck*(1-(1-(O28+P28*'Geometry'!$G$46+Q28*'Geometry'!$F$46)/C_eco)^C_n),C_alpha*C_fck),0)))*'Geometry'!$H$46*'Geometry'!$F$46+((MAX(MIN(S_1_Es*(O28+P28*'Geometry'!$G$47+Q28*'Geometry'!$F$47),S_1_fy),-S_1_fy))-(IF((O28+P28*'Geometry'!$G$47+Q28*'Geometry'!$F$47)&gt;0,IF((O28+P28*'Geometry'!$G$47+Q28*'Geometry'!$F$47)&lt;=C_eco,C_alpha*C_fck*(1-(1-(O28+P28*'Geometry'!$G$47+Q28*'Geometry'!$F$47)/C_eco)^C_n),C_alpha*C_fck),0)))*'Geometry'!$H$47*'Geometry'!$F$47+((MAX(MIN(S_1_Es*(O28+P28*'Geometry'!$G$48+Q28*'Geometry'!$F$48),S_1_fy),-S_1_fy))-(IF((O28+P28*'Geometry'!$G$48+Q28*'Geometry'!$F$48)&gt;0,IF((O28+P28*'Geometry'!$G$48+Q28*'Geometry'!$F$48)&lt;=C_eco,C_alpha*C_fck*(1-(1-(O28+P28*'Geometry'!$G$48+Q28*'Geometry'!$F$48)/C_eco)^C_n),C_alpha*C_fck),0)))*'Geometry'!$H$48*'Geometry'!$F$48+((MAX(MIN(S_1_Es*(O28+P28*'Geometry'!$G$49+Q28*'Geometry'!$F$49),S_1_fy),-S_1_fy))-(IF((O28+P28*'Geometry'!$G$49+Q28*'Geometry'!$F$49)&gt;0,IF((O28+P28*'Geometry'!$G$49+Q28*'Geometry'!$F$49)&lt;=C_eco,C_alpha*C_fck*(1-(1-(O28+P28*'Geometry'!$G$49+Q28*'Geometry'!$F$49)/C_eco)^C_n),C_alpha*C_fck),0)))*'Geometry'!$H$49*'Geometry'!$F$49+((MAX(MIN(S_1_Es*(O28+P28*'Geometry'!$G$50+Q28*'Geometry'!$F$50),S_1_fy),-S_1_fy))-(IF((O28+P28*'Geometry'!$G$50+Q28*'Geometry'!$F$50)&gt;0,IF((O28+P28*'Geometry'!$G$50+Q28*'Geometry'!$F$50)&lt;=C_eco,C_alpha*C_fck*(1-(1-(O28+P28*'Geometry'!$G$50+Q28*'Geometry'!$F$50)/C_eco)^C_n),C_alpha*C_fck),0)))*'Geometry'!$H$50*'Geometry'!$F$50+((MAX(MIN(S_1_Es*(O28+P28*'Geometry'!$G$51+Q28*'Geometry'!$F$51),S_1_fy),-S_1_fy))-(IF((O28+P28*'Geometry'!$G$51+Q28*'Geometry'!$F$51)&gt;0,IF((O28+P28*'Geometry'!$G$51+Q28*'Geometry'!$F$51)&lt;=C_eco,C_alpha*C_fck*(1-(1-(O28+P28*'Geometry'!$G$51+Q28*'Geometry'!$F$51)/C_eco)^C_n),C_alpha*C_fck),0)))*'Geometry'!$H$51*'Geometry'!$F$51+((MAX(MIN(S_1_Es*(O28+P28*'Geometry'!$G$52+Q28*'Geometry'!$F$52),S_1_fy),-S_1_fy))-(IF((O28+P28*'Geometry'!$G$52+Q28*'Geometry'!$F$52)&gt;0,IF((O28+P28*'Geometry'!$G$52+Q28*'Geometry'!$F$52)&lt;=C_eco,C_alpha*C_fck*(1-(1-(O28+P28*'Geometry'!$G$52+Q28*'Geometry'!$F$52)/C_eco)^C_n),C_alpha*C_fck),0)))*'Geometry'!$H$52*'Geometry'!$F$52+((MAX(MIN(S_1_Es*(O28+P28*'Geometry'!$G$53+Q28*'Geometry'!$F$53),S_1_fy),-S_1_fy))-(IF((O28+P28*'Geometry'!$G$53+Q28*'Geometry'!$F$53)&gt;0,IF((O28+P28*'Geometry'!$G$53+Q28*'Geometry'!$F$53)&lt;=C_eco,C_alpha*C_fck*(1-(1-(O28+P28*'Geometry'!$G$53+Q28*'Geometry'!$F$53)/C_eco)^C_n),C_alpha*C_fck),0)))*'Geometry'!$H$53*'Geometry'!$F$53+((MAX(MIN(S_1_Es*(O28+P28*'Geometry'!$G$54+Q28*'Geometry'!$F$54),S_1_fy),-S_1_fy))-(IF((O28+P28*'Geometry'!$G$54+Q28*'Geometry'!$F$54)&gt;0,IF((O28+P28*'Geometry'!$G$54+Q28*'Geometry'!$F$54)&lt;=C_eco,C_alpha*C_fck*(1-(1-(O28+P28*'Geometry'!$G$54+Q28*'Geometry'!$F$54)/C_eco)^C_n),C_alpha*C_fck),0)))*'Geometry'!$H$54*'Geometry'!$F$54+((MAX(MIN(S_1_Es*(O28+P28*'Geometry'!$G$55+Q28*'Geometry'!$F$55),S_1_fy),-S_1_fy))-(IF((O28+P28*'Geometry'!$G$55+Q28*'Geometry'!$F$55)&gt;0,IF((O28+P28*'Geometry'!$G$55+Q28*'Geometry'!$F$55)&lt;=C_eco,C_alpha*C_fck*(1-(1-(O28+P28*'Geometry'!$G$55+Q28*'Geometry'!$F$55)/C_eco)^C_n),C_alpha*C_fck),0)))*'Geometry'!$H$55*'Geometry'!$F$55+((MAX(MIN(S_1_Es*(O28+P28*'Geometry'!$G$56+Q28*'Geometry'!$F$56),S_1_fy),-S_1_fy))-(IF((O28+P28*'Geometry'!$G$56+Q28*'Geometry'!$F$56)&gt;0,IF((O28+P28*'Geometry'!$G$56+Q28*'Geometry'!$F$56)&lt;=C_eco,C_alpha*C_fck*(1-(1-(O28+P28*'Geometry'!$G$56+Q28*'Geometry'!$F$56)/C_eco)^C_n),C_alpha*C_fck),0)))*'Geometry'!$H$56*'Geometry'!$F$56+((MAX(MIN(S_1_Es*(O28+P28*'Geometry'!$G$57+Q28*'Geometry'!$F$57),S_1_fy),-S_1_fy))-(IF((O28+P28*'Geometry'!$G$57+Q28*'Geometry'!$F$57)&gt;0,IF((O28+P28*'Geometry'!$G$57+Q28*'Geometry'!$F$57)&lt;=C_eco,C_alpha*C_fck*(1-(1-(O28+P28*'Geometry'!$G$57+Q28*'Geometry'!$F$57)/C_eco)^C_n),C_alpha*C_fck),0)))*'Geometry'!$H$57*'Geometry'!$F$57)/1000000</f>
        <v>-641.8736796483136</v>
      </c>
      <c r="X28" s="10">
        <f>R28+U28</f>
        <v>1074.8156438198364</v>
      </c>
      <c r="Y28" s="10">
        <f>S28+V28</f>
        <v>-3224.196071186896</v>
      </c>
      <c r="Z28" s="10">
        <f>T28+W28</f>
        <v>-2100.193052661512</v>
      </c>
      <c r="AA28" s="7">
        <v>0.85</v>
      </c>
      <c r="AB28" s="7">
        <v>0.85</v>
      </c>
      <c r="AC28" s="10">
        <f>X28*AA28</f>
        <v>913.593297246861</v>
      </c>
      <c r="AD28" s="10">
        <f>Y28*AB28</f>
        <v>-2740.5666605088613</v>
      </c>
      <c r="AE28" s="10">
        <f>Z28*AB28</f>
        <v>-1785.1640947622852</v>
      </c>
      <c r="AF28" s="7">
        <v>913.593297246861</v>
      </c>
      <c r="AG28" s="7">
        <v>-2740.5666605088613</v>
      </c>
      <c r="AH28" s="7">
        <v>-1785.1640947622852</v>
      </c>
      <c r="AI28" s="15">
        <f>AC28-AF28</f>
        <v>0</v>
      </c>
      <c r="AJ28" s="15">
        <f>SQRT((AD28-AG28)^2+(AE28-AH28)^2)</f>
        <v>0</v>
      </c>
      <c r="AK28" s="7" t="s">
        <v>189</v>
      </c>
      <c r="AL28" s="7">
        <v>1074.8156438198364</v>
      </c>
      <c r="AM28" s="7">
        <v>-3224.196071186896</v>
      </c>
      <c r="AN28" s="7">
        <v>-2100.193052661512</v>
      </c>
      <c r="AO28" s="7">
        <v>3980.6092901998236</v>
      </c>
      <c r="AP28" s="7">
        <v>-1887.897551094683</v>
      </c>
      <c r="AQ28" s="7">
        <v>-1458.3193730131986</v>
      </c>
      <c r="AR28" s="7">
        <v>-2905.7936463799874</v>
      </c>
      <c r="AS28" s="7">
        <v>-1336.2985200922128</v>
      </c>
      <c r="AT28" s="7">
        <v>-641.8736796483136</v>
      </c>
    </row>
    <row r="29" spans="1:46" x14ac:dyDescent="0.25">
      <c r="A29" s="7" t="s">
        <v>232</v>
      </c>
      <c r="B29" s="7">
        <v>1</v>
      </c>
      <c r="C29" s="18">
        <v>210</v>
      </c>
      <c r="D29" s="7" t="s">
        <v>288</v>
      </c>
      <c r="E29" s="7" t="s">
        <v>267</v>
      </c>
      <c r="F29" s="19">
        <v>209.99999999999997</v>
      </c>
      <c r="G29" s="7" t="s">
        <v>188</v>
      </c>
      <c r="H29" s="20">
        <v>5</v>
      </c>
      <c r="I29" s="10">
        <f>MAX(('Geometry'!$G$13*COS(RADIANS(F29))+'Geometry'!$F$13*SIN(RADIANS(F29))),('Geometry'!$G$14*COS(RADIANS(F29))+'Geometry'!$F$14*SIN(RADIANS(F29))),('Geometry'!$G$15*COS(RADIANS(F29))+'Geometry'!$F$15*SIN(RADIANS(F29))),('Geometry'!$G$16*COS(RADIANS(F29))+'Geometry'!$F$16*SIN(RADIANS(F29))),('Geometry'!$G$17*COS(RADIANS(F29))+'Geometry'!$F$17*SIN(RADIANS(F29))),('Geometry'!$G$18*COS(RADIANS(F29))+'Geometry'!$F$18*SIN(RADIANS(F29))),('Geometry'!$G$19*COS(RADIANS(F29))+'Geometry'!$F$19*SIN(RADIANS(F29))),('Geometry'!$G$20*COS(RADIANS(F29))+'Geometry'!$F$20*SIN(RADIANS(F29))))</f>
        <v>794.6152422706631</v>
      </c>
      <c r="J29" s="10">
        <f>MIN(('Geometry'!$G$40*COS(RADIANS(F29))+'Geometry'!$F$40*SIN(RADIANS(F29))),('Geometry'!$G$41*COS(RADIANS(F29))+'Geometry'!$F$41*SIN(RADIANS(F29))),('Geometry'!$G$42*COS(RADIANS(F29))+'Geometry'!$F$42*SIN(RADIANS(F29))),('Geometry'!$G$43*COS(RADIANS(F29))+'Geometry'!$F$43*SIN(RADIANS(F29))),('Geometry'!$G$44*COS(RADIANS(F29))+'Geometry'!$F$44*SIN(RADIANS(F29))),('Geometry'!$G$45*COS(RADIANS(F29))+'Geometry'!$F$45*SIN(RADIANS(F29))),('Geometry'!$G$46*COS(RADIANS(F29))+'Geometry'!$F$46*SIN(RADIANS(F29))),('Geometry'!$G$47*COS(RADIANS(F29))+'Geometry'!$F$47*SIN(RADIANS(F29))),('Geometry'!$G$48*COS(RADIANS(F29))+'Geometry'!$F$48*SIN(RADIANS(F29))),('Geometry'!$G$49*COS(RADIANS(F29))+'Geometry'!$F$49*SIN(RADIANS(F29))),('Geometry'!$G$50*COS(RADIANS(F29))+'Geometry'!$F$50*SIN(RADIANS(F29))),('Geometry'!$G$51*COS(RADIANS(F29))+'Geometry'!$F$51*SIN(RADIANS(F29))),('Geometry'!$G$52*COS(RADIANS(F29))+'Geometry'!$F$52*SIN(RADIANS(F29))),('Geometry'!$G$53*COS(RADIANS(F29))+'Geometry'!$F$53*SIN(RADIANS(F29))),('Geometry'!$G$54*COS(RADIANS(F29))+'Geometry'!$F$54*SIN(RADIANS(F29))),('Geometry'!$G$55*COS(RADIANS(F29))+'Geometry'!$F$55*SIN(RADIANS(F29))),('Geometry'!$G$56*COS(RADIANS(F29))+'Geometry'!$F$56*SIN(RADIANS(F29))),('Geometry'!$G$57*COS(RADIANS(F29))+'Geometry'!$F$57*SIN(RADIANS(F29))))</f>
        <v>-658.9934640057525</v>
      </c>
      <c r="K29" s="10">
        <f>I29-MIN(('Geometry'!$G$13*COS(RADIANS(F29))+'Geometry'!$F$13*SIN(RADIANS(F29))),('Geometry'!$G$14*COS(RADIANS(F29))+'Geometry'!$F$14*SIN(RADIANS(F29))),('Geometry'!$G$15*COS(RADIANS(F29))+'Geometry'!$F$15*SIN(RADIANS(F29))),('Geometry'!$G$16*COS(RADIANS(F29))+'Geometry'!$F$16*SIN(RADIANS(F29))),('Geometry'!$G$17*COS(RADIANS(F29))+'Geometry'!$F$17*SIN(RADIANS(F29))),('Geometry'!$G$18*COS(RADIANS(F29))+'Geometry'!$F$18*SIN(RADIANS(F29))),('Geometry'!$G$19*COS(RADIANS(F29))+'Geometry'!$F$19*SIN(RADIANS(F29))),('Geometry'!$G$20*COS(RADIANS(F29))+'Geometry'!$F$20*SIN(RADIANS(F29))))</f>
        <v>1589.2304845413262</v>
      </c>
      <c r="L29" s="15">
        <f>C_ecu</f>
        <v>0.0033</v>
      </c>
      <c r="M29" s="15">
        <f>-H29*S_1_fy/S_1_Es</f>
        <v>-0.01</v>
      </c>
      <c r="N29" s="21">
        <f>IF(ABS(I29-J29)&lt;0.000000000001,0,(L29-M29)/(I29-J29))</f>
        <v>0.000009149642501845952</v>
      </c>
      <c r="O29" s="15">
        <f>L29-N29*I29</f>
        <v>-0.003970445393294277</v>
      </c>
      <c r="P29" s="21">
        <f>N29*COS(RADIANS(F29))</f>
        <v>-0.0000079238228421444</v>
      </c>
      <c r="Q29" s="21">
        <f>N29*SIN(RADIANS(F29))</f>
        <v>-0.000004574821250922976</v>
      </c>
      <c r="R29" s="10">
        <f>SUMPRODUCT(C_alpha*C_fck*(1-(1-(((O29+P29*Mesh_Y+Q29*Mesh_X))*((O29+P29*Mesh_Y+Q29*Mesh_X)&gt;0)*((O29+P29*Mesh_Y+Q29*Mesh_X)&lt;C_eco)+C_eco*((O29+P29*Mesh_Y+Q29*Mesh_X)&gt;=C_eco))/C_eco)^C_n)*(((O29+P29*Mesh_Y+Q29*Mesh_X))&gt;0),Mesh_A)/1000</f>
        <v>3643.5479300949255</v>
      </c>
      <c r="S29" s="10">
        <f>SUMPRODUCT(C_alpha*C_fck*(1-(1-(((O29+P29*Mesh_Y+Q29*Mesh_X))*((O29+P29*Mesh_Y+Q29*Mesh_X)&gt;0)*((O29+P29*Mesh_Y+Q29*Mesh_X)&lt;C_eco)+C_eco*((O29+P29*Mesh_Y+Q29*Mesh_X)&gt;=C_eco))/C_eco)^C_n)*(((O29+P29*Mesh_Y+Q29*Mesh_X))&gt;0),Mesh_A,Mesh_Y)/1000000</f>
        <v>-1618.800233170221</v>
      </c>
      <c r="T29" s="10">
        <f>SUMPRODUCT(C_alpha*C_fck*(1-(1-(((O29+P29*Mesh_Y+Q29*Mesh_X))*((O29+P29*Mesh_Y+Q29*Mesh_X)&gt;0)*((O29+P29*Mesh_Y+Q29*Mesh_X)&lt;C_eco)+C_eco*((O29+P29*Mesh_Y+Q29*Mesh_X)&gt;=C_eco))/C_eco)^C_n)*(((O29+P29*Mesh_Y+Q29*Mesh_X))&gt;0),Mesh_A,Mesh_X)/1000000</f>
        <v>-1674.995103680365</v>
      </c>
      <c r="U29" s="10">
        <f>(((MAX(MIN(S_1_Es*(O29+P29*'Geometry'!$G$40+Q29*'Geometry'!$F$40),S_1_fy),-S_1_fy))-(IF((O29+P29*'Geometry'!$G$40+Q29*'Geometry'!$F$40)&gt;0,IF((O29+P29*'Geometry'!$G$40+Q29*'Geometry'!$F$40)&lt;=C_eco,C_alpha*C_fck*(1-(1-(O29+P29*'Geometry'!$G$40+Q29*'Geometry'!$F$40)/C_eco)^C_n),C_alpha*C_fck),0)))*'Geometry'!$H$40+((MAX(MIN(S_1_Es*(O29+P29*'Geometry'!$G$41+Q29*'Geometry'!$F$41),S_1_fy),-S_1_fy))-(IF((O29+P29*'Geometry'!$G$41+Q29*'Geometry'!$F$41)&gt;0,IF((O29+P29*'Geometry'!$G$41+Q29*'Geometry'!$F$41)&lt;=C_eco,C_alpha*C_fck*(1-(1-(O29+P29*'Geometry'!$G$41+Q29*'Geometry'!$F$41)/C_eco)^C_n),C_alpha*C_fck),0)))*'Geometry'!$H$41+((MAX(MIN(S_1_Es*(O29+P29*'Geometry'!$G$42+Q29*'Geometry'!$F$42),S_1_fy),-S_1_fy))-(IF((O29+P29*'Geometry'!$G$42+Q29*'Geometry'!$F$42)&gt;0,IF((O29+P29*'Geometry'!$G$42+Q29*'Geometry'!$F$42)&lt;=C_eco,C_alpha*C_fck*(1-(1-(O29+P29*'Geometry'!$G$42+Q29*'Geometry'!$F$42)/C_eco)^C_n),C_alpha*C_fck),0)))*'Geometry'!$H$42+((MAX(MIN(S_1_Es*(O29+P29*'Geometry'!$G$43+Q29*'Geometry'!$F$43),S_1_fy),-S_1_fy))-(IF((O29+P29*'Geometry'!$G$43+Q29*'Geometry'!$F$43)&gt;0,IF((O29+P29*'Geometry'!$G$43+Q29*'Geometry'!$F$43)&lt;=C_eco,C_alpha*C_fck*(1-(1-(O29+P29*'Geometry'!$G$43+Q29*'Geometry'!$F$43)/C_eco)^C_n),C_alpha*C_fck),0)))*'Geometry'!$H$43+((MAX(MIN(S_1_Es*(O29+P29*'Geometry'!$G$44+Q29*'Geometry'!$F$44),S_1_fy),-S_1_fy))-(IF((O29+P29*'Geometry'!$G$44+Q29*'Geometry'!$F$44)&gt;0,IF((O29+P29*'Geometry'!$G$44+Q29*'Geometry'!$F$44)&lt;=C_eco,C_alpha*C_fck*(1-(1-(O29+P29*'Geometry'!$G$44+Q29*'Geometry'!$F$44)/C_eco)^C_n),C_alpha*C_fck),0)))*'Geometry'!$H$44+((MAX(MIN(S_1_Es*(O29+P29*'Geometry'!$G$45+Q29*'Geometry'!$F$45),S_1_fy),-S_1_fy))-(IF((O29+P29*'Geometry'!$G$45+Q29*'Geometry'!$F$45)&gt;0,IF((O29+P29*'Geometry'!$G$45+Q29*'Geometry'!$F$45)&lt;=C_eco,C_alpha*C_fck*(1-(1-(O29+P29*'Geometry'!$G$45+Q29*'Geometry'!$F$45)/C_eco)^C_n),C_alpha*C_fck),0)))*'Geometry'!$H$45+((MAX(MIN(S_1_Es*(O29+P29*'Geometry'!$G$46+Q29*'Geometry'!$F$46),S_1_fy),-S_1_fy))-(IF((O29+P29*'Geometry'!$G$46+Q29*'Geometry'!$F$46)&gt;0,IF((O29+P29*'Geometry'!$G$46+Q29*'Geometry'!$F$46)&lt;=C_eco,C_alpha*C_fck*(1-(1-(O29+P29*'Geometry'!$G$46+Q29*'Geometry'!$F$46)/C_eco)^C_n),C_alpha*C_fck),0)))*'Geometry'!$H$46+((MAX(MIN(S_1_Es*(O29+P29*'Geometry'!$G$47+Q29*'Geometry'!$F$47),S_1_fy),-S_1_fy))-(IF((O29+P29*'Geometry'!$G$47+Q29*'Geometry'!$F$47)&gt;0,IF((O29+P29*'Geometry'!$G$47+Q29*'Geometry'!$F$47)&lt;=C_eco,C_alpha*C_fck*(1-(1-(O29+P29*'Geometry'!$G$47+Q29*'Geometry'!$F$47)/C_eco)^C_n),C_alpha*C_fck),0)))*'Geometry'!$H$47+((MAX(MIN(S_1_Es*(O29+P29*'Geometry'!$G$48+Q29*'Geometry'!$F$48),S_1_fy),-S_1_fy))-(IF((O29+P29*'Geometry'!$G$48+Q29*'Geometry'!$F$48)&gt;0,IF((O29+P29*'Geometry'!$G$48+Q29*'Geometry'!$F$48)&lt;=C_eco,C_alpha*C_fck*(1-(1-(O29+P29*'Geometry'!$G$48+Q29*'Geometry'!$F$48)/C_eco)^C_n),C_alpha*C_fck),0)))*'Geometry'!$H$48+((MAX(MIN(S_1_Es*(O29+P29*'Geometry'!$G$49+Q29*'Geometry'!$F$49),S_1_fy),-S_1_fy))-(IF((O29+P29*'Geometry'!$G$49+Q29*'Geometry'!$F$49)&gt;0,IF((O29+P29*'Geometry'!$G$49+Q29*'Geometry'!$F$49)&lt;=C_eco,C_alpha*C_fck*(1-(1-(O29+P29*'Geometry'!$G$49+Q29*'Geometry'!$F$49)/C_eco)^C_n),C_alpha*C_fck),0)))*'Geometry'!$H$49+((MAX(MIN(S_1_Es*(O29+P29*'Geometry'!$G$50+Q29*'Geometry'!$F$50),S_1_fy),-S_1_fy))-(IF((O29+P29*'Geometry'!$G$50+Q29*'Geometry'!$F$50)&gt;0,IF((O29+P29*'Geometry'!$G$50+Q29*'Geometry'!$F$50)&lt;=C_eco,C_alpha*C_fck*(1-(1-(O29+P29*'Geometry'!$G$50+Q29*'Geometry'!$F$50)/C_eco)^C_n),C_alpha*C_fck),0)))*'Geometry'!$H$50+((MAX(MIN(S_1_Es*(O29+P29*'Geometry'!$G$51+Q29*'Geometry'!$F$51),S_1_fy),-S_1_fy))-(IF((O29+P29*'Geometry'!$G$51+Q29*'Geometry'!$F$51)&gt;0,IF((O29+P29*'Geometry'!$G$51+Q29*'Geometry'!$F$51)&lt;=C_eco,C_alpha*C_fck*(1-(1-(O29+P29*'Geometry'!$G$51+Q29*'Geometry'!$F$51)/C_eco)^C_n),C_alpha*C_fck),0)))*'Geometry'!$H$51+((MAX(MIN(S_1_Es*(O29+P29*'Geometry'!$G$52+Q29*'Geometry'!$F$52),S_1_fy),-S_1_fy))-(IF((O29+P29*'Geometry'!$G$52+Q29*'Geometry'!$F$52)&gt;0,IF((O29+P29*'Geometry'!$G$52+Q29*'Geometry'!$F$52)&lt;=C_eco,C_alpha*C_fck*(1-(1-(O29+P29*'Geometry'!$G$52+Q29*'Geometry'!$F$52)/C_eco)^C_n),C_alpha*C_fck),0)))*'Geometry'!$H$52+((MAX(MIN(S_1_Es*(O29+P29*'Geometry'!$G$53+Q29*'Geometry'!$F$53),S_1_fy),-S_1_fy))-(IF((O29+P29*'Geometry'!$G$53+Q29*'Geometry'!$F$53)&gt;0,IF((O29+P29*'Geometry'!$G$53+Q29*'Geometry'!$F$53)&lt;=C_eco,C_alpha*C_fck*(1-(1-(O29+P29*'Geometry'!$G$53+Q29*'Geometry'!$F$53)/C_eco)^C_n),C_alpha*C_fck),0)))*'Geometry'!$H$53+((MAX(MIN(S_1_Es*(O29+P29*'Geometry'!$G$54+Q29*'Geometry'!$F$54),S_1_fy),-S_1_fy))-(IF((O29+P29*'Geometry'!$G$54+Q29*'Geometry'!$F$54)&gt;0,IF((O29+P29*'Geometry'!$G$54+Q29*'Geometry'!$F$54)&lt;=C_eco,C_alpha*C_fck*(1-(1-(O29+P29*'Geometry'!$G$54+Q29*'Geometry'!$F$54)/C_eco)^C_n),C_alpha*C_fck),0)))*'Geometry'!$H$54+((MAX(MIN(S_1_Es*(O29+P29*'Geometry'!$G$55+Q29*'Geometry'!$F$55),S_1_fy),-S_1_fy))-(IF((O29+P29*'Geometry'!$G$55+Q29*'Geometry'!$F$55)&gt;0,IF((O29+P29*'Geometry'!$G$55+Q29*'Geometry'!$F$55)&lt;=C_eco,C_alpha*C_fck*(1-(1-(O29+P29*'Geometry'!$G$55+Q29*'Geometry'!$F$55)/C_eco)^C_n),C_alpha*C_fck),0)))*'Geometry'!$H$55+((MAX(MIN(S_1_Es*(O29+P29*'Geometry'!$G$56+Q29*'Geometry'!$F$56),S_1_fy),-S_1_fy))-(IF((O29+P29*'Geometry'!$G$56+Q29*'Geometry'!$F$56)&gt;0,IF((O29+P29*'Geometry'!$G$56+Q29*'Geometry'!$F$56)&lt;=C_eco,C_alpha*C_fck*(1-(1-(O29+P29*'Geometry'!$G$56+Q29*'Geometry'!$F$56)/C_eco)^C_n),C_alpha*C_fck),0)))*'Geometry'!$H$56+((MAX(MIN(S_1_Es*(O29+P29*'Geometry'!$G$57+Q29*'Geometry'!$F$57),S_1_fy),-S_1_fy))-(IF((O29+P29*'Geometry'!$G$57+Q29*'Geometry'!$F$57)&gt;0,IF((O29+P29*'Geometry'!$G$57+Q29*'Geometry'!$F$57)&lt;=C_eco,C_alpha*C_fck*(1-(1-(O29+P29*'Geometry'!$G$57+Q29*'Geometry'!$F$57)/C_eco)^C_n),C_alpha*C_fck),0)))*'Geometry'!$H$57)/1000</f>
        <v>-3135.6073900923466</v>
      </c>
      <c r="V29" s="10">
        <f>(((MAX(MIN(S_1_Es*(O29+P29*'Geometry'!$G$40+Q29*'Geometry'!$F$40),S_1_fy),-S_1_fy))-(IF((O29+P29*'Geometry'!$G$40+Q29*'Geometry'!$F$40)&gt;0,IF((O29+P29*'Geometry'!$G$40+Q29*'Geometry'!$F$40)&lt;=C_eco,C_alpha*C_fck*(1-(1-(O29+P29*'Geometry'!$G$40+Q29*'Geometry'!$F$40)/C_eco)^C_n),C_alpha*C_fck),0)))*'Geometry'!$H$40*'Geometry'!$G$40+((MAX(MIN(S_1_Es*(O29+P29*'Geometry'!$G$41+Q29*'Geometry'!$F$41),S_1_fy),-S_1_fy))-(IF((O29+P29*'Geometry'!$G$41+Q29*'Geometry'!$F$41)&gt;0,IF((O29+P29*'Geometry'!$G$41+Q29*'Geometry'!$F$41)&lt;=C_eco,C_alpha*C_fck*(1-(1-(O29+P29*'Geometry'!$G$41+Q29*'Geometry'!$F$41)/C_eco)^C_n),C_alpha*C_fck),0)))*'Geometry'!$H$41*'Geometry'!$G$41+((MAX(MIN(S_1_Es*(O29+P29*'Geometry'!$G$42+Q29*'Geometry'!$F$42),S_1_fy),-S_1_fy))-(IF((O29+P29*'Geometry'!$G$42+Q29*'Geometry'!$F$42)&gt;0,IF((O29+P29*'Geometry'!$G$42+Q29*'Geometry'!$F$42)&lt;=C_eco,C_alpha*C_fck*(1-(1-(O29+P29*'Geometry'!$G$42+Q29*'Geometry'!$F$42)/C_eco)^C_n),C_alpha*C_fck),0)))*'Geometry'!$H$42*'Geometry'!$G$42+((MAX(MIN(S_1_Es*(O29+P29*'Geometry'!$G$43+Q29*'Geometry'!$F$43),S_1_fy),-S_1_fy))-(IF((O29+P29*'Geometry'!$G$43+Q29*'Geometry'!$F$43)&gt;0,IF((O29+P29*'Geometry'!$G$43+Q29*'Geometry'!$F$43)&lt;=C_eco,C_alpha*C_fck*(1-(1-(O29+P29*'Geometry'!$G$43+Q29*'Geometry'!$F$43)/C_eco)^C_n),C_alpha*C_fck),0)))*'Geometry'!$H$43*'Geometry'!$G$43+((MAX(MIN(S_1_Es*(O29+P29*'Geometry'!$G$44+Q29*'Geometry'!$F$44),S_1_fy),-S_1_fy))-(IF((O29+P29*'Geometry'!$G$44+Q29*'Geometry'!$F$44)&gt;0,IF((O29+P29*'Geometry'!$G$44+Q29*'Geometry'!$F$44)&lt;=C_eco,C_alpha*C_fck*(1-(1-(O29+P29*'Geometry'!$G$44+Q29*'Geometry'!$F$44)/C_eco)^C_n),C_alpha*C_fck),0)))*'Geometry'!$H$44*'Geometry'!$G$44+((MAX(MIN(S_1_Es*(O29+P29*'Geometry'!$G$45+Q29*'Geometry'!$F$45),S_1_fy),-S_1_fy))-(IF((O29+P29*'Geometry'!$G$45+Q29*'Geometry'!$F$45)&gt;0,IF((O29+P29*'Geometry'!$G$45+Q29*'Geometry'!$F$45)&lt;=C_eco,C_alpha*C_fck*(1-(1-(O29+P29*'Geometry'!$G$45+Q29*'Geometry'!$F$45)/C_eco)^C_n),C_alpha*C_fck),0)))*'Geometry'!$H$45*'Geometry'!$G$45+((MAX(MIN(S_1_Es*(O29+P29*'Geometry'!$G$46+Q29*'Geometry'!$F$46),S_1_fy),-S_1_fy))-(IF((O29+P29*'Geometry'!$G$46+Q29*'Geometry'!$F$46)&gt;0,IF((O29+P29*'Geometry'!$G$46+Q29*'Geometry'!$F$46)&lt;=C_eco,C_alpha*C_fck*(1-(1-(O29+P29*'Geometry'!$G$46+Q29*'Geometry'!$F$46)/C_eco)^C_n),C_alpha*C_fck),0)))*'Geometry'!$H$46*'Geometry'!$G$46+((MAX(MIN(S_1_Es*(O29+P29*'Geometry'!$G$47+Q29*'Geometry'!$F$47),S_1_fy),-S_1_fy))-(IF((O29+P29*'Geometry'!$G$47+Q29*'Geometry'!$F$47)&gt;0,IF((O29+P29*'Geometry'!$G$47+Q29*'Geometry'!$F$47)&lt;=C_eco,C_alpha*C_fck*(1-(1-(O29+P29*'Geometry'!$G$47+Q29*'Geometry'!$F$47)/C_eco)^C_n),C_alpha*C_fck),0)))*'Geometry'!$H$47*'Geometry'!$G$47+((MAX(MIN(S_1_Es*(O29+P29*'Geometry'!$G$48+Q29*'Geometry'!$F$48),S_1_fy),-S_1_fy))-(IF((O29+P29*'Geometry'!$G$48+Q29*'Geometry'!$F$48)&gt;0,IF((O29+P29*'Geometry'!$G$48+Q29*'Geometry'!$F$48)&lt;=C_eco,C_alpha*C_fck*(1-(1-(O29+P29*'Geometry'!$G$48+Q29*'Geometry'!$F$48)/C_eco)^C_n),C_alpha*C_fck),0)))*'Geometry'!$H$48*'Geometry'!$G$48+((MAX(MIN(S_1_Es*(O29+P29*'Geometry'!$G$49+Q29*'Geometry'!$F$49),S_1_fy),-S_1_fy))-(IF((O29+P29*'Geometry'!$G$49+Q29*'Geometry'!$F$49)&gt;0,IF((O29+P29*'Geometry'!$G$49+Q29*'Geometry'!$F$49)&lt;=C_eco,C_alpha*C_fck*(1-(1-(O29+P29*'Geometry'!$G$49+Q29*'Geometry'!$F$49)/C_eco)^C_n),C_alpha*C_fck),0)))*'Geometry'!$H$49*'Geometry'!$G$49+((MAX(MIN(S_1_Es*(O29+P29*'Geometry'!$G$50+Q29*'Geometry'!$F$50),S_1_fy),-S_1_fy))-(IF((O29+P29*'Geometry'!$G$50+Q29*'Geometry'!$F$50)&gt;0,IF((O29+P29*'Geometry'!$G$50+Q29*'Geometry'!$F$50)&lt;=C_eco,C_alpha*C_fck*(1-(1-(O29+P29*'Geometry'!$G$50+Q29*'Geometry'!$F$50)/C_eco)^C_n),C_alpha*C_fck),0)))*'Geometry'!$H$50*'Geometry'!$G$50+((MAX(MIN(S_1_Es*(O29+P29*'Geometry'!$G$51+Q29*'Geometry'!$F$51),S_1_fy),-S_1_fy))-(IF((O29+P29*'Geometry'!$G$51+Q29*'Geometry'!$F$51)&gt;0,IF((O29+P29*'Geometry'!$G$51+Q29*'Geometry'!$F$51)&lt;=C_eco,C_alpha*C_fck*(1-(1-(O29+P29*'Geometry'!$G$51+Q29*'Geometry'!$F$51)/C_eco)^C_n),C_alpha*C_fck),0)))*'Geometry'!$H$51*'Geometry'!$G$51+((MAX(MIN(S_1_Es*(O29+P29*'Geometry'!$G$52+Q29*'Geometry'!$F$52),S_1_fy),-S_1_fy))-(IF((O29+P29*'Geometry'!$G$52+Q29*'Geometry'!$F$52)&gt;0,IF((O29+P29*'Geometry'!$G$52+Q29*'Geometry'!$F$52)&lt;=C_eco,C_alpha*C_fck*(1-(1-(O29+P29*'Geometry'!$G$52+Q29*'Geometry'!$F$52)/C_eco)^C_n),C_alpha*C_fck),0)))*'Geometry'!$H$52*'Geometry'!$G$52+((MAX(MIN(S_1_Es*(O29+P29*'Geometry'!$G$53+Q29*'Geometry'!$F$53),S_1_fy),-S_1_fy))-(IF((O29+P29*'Geometry'!$G$53+Q29*'Geometry'!$F$53)&gt;0,IF((O29+P29*'Geometry'!$G$53+Q29*'Geometry'!$F$53)&lt;=C_eco,C_alpha*C_fck*(1-(1-(O29+P29*'Geometry'!$G$53+Q29*'Geometry'!$F$53)/C_eco)^C_n),C_alpha*C_fck),0)))*'Geometry'!$H$53*'Geometry'!$G$53+((MAX(MIN(S_1_Es*(O29+P29*'Geometry'!$G$54+Q29*'Geometry'!$F$54),S_1_fy),-S_1_fy))-(IF((O29+P29*'Geometry'!$G$54+Q29*'Geometry'!$F$54)&gt;0,IF((O29+P29*'Geometry'!$G$54+Q29*'Geometry'!$F$54)&lt;=C_eco,C_alpha*C_fck*(1-(1-(O29+P29*'Geometry'!$G$54+Q29*'Geometry'!$F$54)/C_eco)^C_n),C_alpha*C_fck),0)))*'Geometry'!$H$54*'Geometry'!$G$54+((MAX(MIN(S_1_Es*(O29+P29*'Geometry'!$G$55+Q29*'Geometry'!$F$55),S_1_fy),-S_1_fy))-(IF((O29+P29*'Geometry'!$G$55+Q29*'Geometry'!$F$55)&gt;0,IF((O29+P29*'Geometry'!$G$55+Q29*'Geometry'!$F$55)&lt;=C_eco,C_alpha*C_fck*(1-(1-(O29+P29*'Geometry'!$G$55+Q29*'Geometry'!$F$55)/C_eco)^C_n),C_alpha*C_fck),0)))*'Geometry'!$H$55*'Geometry'!$G$55+((MAX(MIN(S_1_Es*(O29+P29*'Geometry'!$G$56+Q29*'Geometry'!$F$56),S_1_fy),-S_1_fy))-(IF((O29+P29*'Geometry'!$G$56+Q29*'Geometry'!$F$56)&gt;0,IF((O29+P29*'Geometry'!$G$56+Q29*'Geometry'!$F$56)&lt;=C_eco,C_alpha*C_fck*(1-(1-(O29+P29*'Geometry'!$G$56+Q29*'Geometry'!$F$56)/C_eco)^C_n),C_alpha*C_fck),0)))*'Geometry'!$H$56*'Geometry'!$G$56+((MAX(MIN(S_1_Es*(O29+P29*'Geometry'!$G$57+Q29*'Geometry'!$F$57),S_1_fy),-S_1_fy))-(IF((O29+P29*'Geometry'!$G$57+Q29*'Geometry'!$F$57)&gt;0,IF((O29+P29*'Geometry'!$G$57+Q29*'Geometry'!$F$57)&lt;=C_eco,C_alpha*C_fck*(1-(1-(O29+P29*'Geometry'!$G$57+Q29*'Geometry'!$F$57)/C_eco)^C_n),C_alpha*C_fck),0)))*'Geometry'!$H$57*'Geometry'!$G$57)/1000000</f>
        <v>-1112.492034239872</v>
      </c>
      <c r="W29" s="10">
        <f>(((MAX(MIN(S_1_Es*(O29+P29*'Geometry'!$G$40+Q29*'Geometry'!$F$40),S_1_fy),-S_1_fy))-(IF((O29+P29*'Geometry'!$G$40+Q29*'Geometry'!$F$40)&gt;0,IF((O29+P29*'Geometry'!$G$40+Q29*'Geometry'!$F$40)&lt;=C_eco,C_alpha*C_fck*(1-(1-(O29+P29*'Geometry'!$G$40+Q29*'Geometry'!$F$40)/C_eco)^C_n),C_alpha*C_fck),0)))*'Geometry'!$H$40*'Geometry'!$F$40+((MAX(MIN(S_1_Es*(O29+P29*'Geometry'!$G$41+Q29*'Geometry'!$F$41),S_1_fy),-S_1_fy))-(IF((O29+P29*'Geometry'!$G$41+Q29*'Geometry'!$F$41)&gt;0,IF((O29+P29*'Geometry'!$G$41+Q29*'Geometry'!$F$41)&lt;=C_eco,C_alpha*C_fck*(1-(1-(O29+P29*'Geometry'!$G$41+Q29*'Geometry'!$F$41)/C_eco)^C_n),C_alpha*C_fck),0)))*'Geometry'!$H$41*'Geometry'!$F$41+((MAX(MIN(S_1_Es*(O29+P29*'Geometry'!$G$42+Q29*'Geometry'!$F$42),S_1_fy),-S_1_fy))-(IF((O29+P29*'Geometry'!$G$42+Q29*'Geometry'!$F$42)&gt;0,IF((O29+P29*'Geometry'!$G$42+Q29*'Geometry'!$F$42)&lt;=C_eco,C_alpha*C_fck*(1-(1-(O29+P29*'Geometry'!$G$42+Q29*'Geometry'!$F$42)/C_eco)^C_n),C_alpha*C_fck),0)))*'Geometry'!$H$42*'Geometry'!$F$42+((MAX(MIN(S_1_Es*(O29+P29*'Geometry'!$G$43+Q29*'Geometry'!$F$43),S_1_fy),-S_1_fy))-(IF((O29+P29*'Geometry'!$G$43+Q29*'Geometry'!$F$43)&gt;0,IF((O29+P29*'Geometry'!$G$43+Q29*'Geometry'!$F$43)&lt;=C_eco,C_alpha*C_fck*(1-(1-(O29+P29*'Geometry'!$G$43+Q29*'Geometry'!$F$43)/C_eco)^C_n),C_alpha*C_fck),0)))*'Geometry'!$H$43*'Geometry'!$F$43+((MAX(MIN(S_1_Es*(O29+P29*'Geometry'!$G$44+Q29*'Geometry'!$F$44),S_1_fy),-S_1_fy))-(IF((O29+P29*'Geometry'!$G$44+Q29*'Geometry'!$F$44)&gt;0,IF((O29+P29*'Geometry'!$G$44+Q29*'Geometry'!$F$44)&lt;=C_eco,C_alpha*C_fck*(1-(1-(O29+P29*'Geometry'!$G$44+Q29*'Geometry'!$F$44)/C_eco)^C_n),C_alpha*C_fck),0)))*'Geometry'!$H$44*'Geometry'!$F$44+((MAX(MIN(S_1_Es*(O29+P29*'Geometry'!$G$45+Q29*'Geometry'!$F$45),S_1_fy),-S_1_fy))-(IF((O29+P29*'Geometry'!$G$45+Q29*'Geometry'!$F$45)&gt;0,IF((O29+P29*'Geometry'!$G$45+Q29*'Geometry'!$F$45)&lt;=C_eco,C_alpha*C_fck*(1-(1-(O29+P29*'Geometry'!$G$45+Q29*'Geometry'!$F$45)/C_eco)^C_n),C_alpha*C_fck),0)))*'Geometry'!$H$45*'Geometry'!$F$45+((MAX(MIN(S_1_Es*(O29+P29*'Geometry'!$G$46+Q29*'Geometry'!$F$46),S_1_fy),-S_1_fy))-(IF((O29+P29*'Geometry'!$G$46+Q29*'Geometry'!$F$46)&gt;0,IF((O29+P29*'Geometry'!$G$46+Q29*'Geometry'!$F$46)&lt;=C_eco,C_alpha*C_fck*(1-(1-(O29+P29*'Geometry'!$G$46+Q29*'Geometry'!$F$46)/C_eco)^C_n),C_alpha*C_fck),0)))*'Geometry'!$H$46*'Geometry'!$F$46+((MAX(MIN(S_1_Es*(O29+P29*'Geometry'!$G$47+Q29*'Geometry'!$F$47),S_1_fy),-S_1_fy))-(IF((O29+P29*'Geometry'!$G$47+Q29*'Geometry'!$F$47)&gt;0,IF((O29+P29*'Geometry'!$G$47+Q29*'Geometry'!$F$47)&lt;=C_eco,C_alpha*C_fck*(1-(1-(O29+P29*'Geometry'!$G$47+Q29*'Geometry'!$F$47)/C_eco)^C_n),C_alpha*C_fck),0)))*'Geometry'!$H$47*'Geometry'!$F$47+((MAX(MIN(S_1_Es*(O29+P29*'Geometry'!$G$48+Q29*'Geometry'!$F$48),S_1_fy),-S_1_fy))-(IF((O29+P29*'Geometry'!$G$48+Q29*'Geometry'!$F$48)&gt;0,IF((O29+P29*'Geometry'!$G$48+Q29*'Geometry'!$F$48)&lt;=C_eco,C_alpha*C_fck*(1-(1-(O29+P29*'Geometry'!$G$48+Q29*'Geometry'!$F$48)/C_eco)^C_n),C_alpha*C_fck),0)))*'Geometry'!$H$48*'Geometry'!$F$48+((MAX(MIN(S_1_Es*(O29+P29*'Geometry'!$G$49+Q29*'Geometry'!$F$49),S_1_fy),-S_1_fy))-(IF((O29+P29*'Geometry'!$G$49+Q29*'Geometry'!$F$49)&gt;0,IF((O29+P29*'Geometry'!$G$49+Q29*'Geometry'!$F$49)&lt;=C_eco,C_alpha*C_fck*(1-(1-(O29+P29*'Geometry'!$G$49+Q29*'Geometry'!$F$49)/C_eco)^C_n),C_alpha*C_fck),0)))*'Geometry'!$H$49*'Geometry'!$F$49+((MAX(MIN(S_1_Es*(O29+P29*'Geometry'!$G$50+Q29*'Geometry'!$F$50),S_1_fy),-S_1_fy))-(IF((O29+P29*'Geometry'!$G$50+Q29*'Geometry'!$F$50)&gt;0,IF((O29+P29*'Geometry'!$G$50+Q29*'Geometry'!$F$50)&lt;=C_eco,C_alpha*C_fck*(1-(1-(O29+P29*'Geometry'!$G$50+Q29*'Geometry'!$F$50)/C_eco)^C_n),C_alpha*C_fck),0)))*'Geometry'!$H$50*'Geometry'!$F$50+((MAX(MIN(S_1_Es*(O29+P29*'Geometry'!$G$51+Q29*'Geometry'!$F$51),S_1_fy),-S_1_fy))-(IF((O29+P29*'Geometry'!$G$51+Q29*'Geometry'!$F$51)&gt;0,IF((O29+P29*'Geometry'!$G$51+Q29*'Geometry'!$F$51)&lt;=C_eco,C_alpha*C_fck*(1-(1-(O29+P29*'Geometry'!$G$51+Q29*'Geometry'!$F$51)/C_eco)^C_n),C_alpha*C_fck),0)))*'Geometry'!$H$51*'Geometry'!$F$51+((MAX(MIN(S_1_Es*(O29+P29*'Geometry'!$G$52+Q29*'Geometry'!$F$52),S_1_fy),-S_1_fy))-(IF((O29+P29*'Geometry'!$G$52+Q29*'Geometry'!$F$52)&gt;0,IF((O29+P29*'Geometry'!$G$52+Q29*'Geometry'!$F$52)&lt;=C_eco,C_alpha*C_fck*(1-(1-(O29+P29*'Geometry'!$G$52+Q29*'Geometry'!$F$52)/C_eco)^C_n),C_alpha*C_fck),0)))*'Geometry'!$H$52*'Geometry'!$F$52+((MAX(MIN(S_1_Es*(O29+P29*'Geometry'!$G$53+Q29*'Geometry'!$F$53),S_1_fy),-S_1_fy))-(IF((O29+P29*'Geometry'!$G$53+Q29*'Geometry'!$F$53)&gt;0,IF((O29+P29*'Geometry'!$G$53+Q29*'Geometry'!$F$53)&lt;=C_eco,C_alpha*C_fck*(1-(1-(O29+P29*'Geometry'!$G$53+Q29*'Geometry'!$F$53)/C_eco)^C_n),C_alpha*C_fck),0)))*'Geometry'!$H$53*'Geometry'!$F$53+((MAX(MIN(S_1_Es*(O29+P29*'Geometry'!$G$54+Q29*'Geometry'!$F$54),S_1_fy),-S_1_fy))-(IF((O29+P29*'Geometry'!$G$54+Q29*'Geometry'!$F$54)&gt;0,IF((O29+P29*'Geometry'!$G$54+Q29*'Geometry'!$F$54)&lt;=C_eco,C_alpha*C_fck*(1-(1-(O29+P29*'Geometry'!$G$54+Q29*'Geometry'!$F$54)/C_eco)^C_n),C_alpha*C_fck),0)))*'Geometry'!$H$54*'Geometry'!$F$54+((MAX(MIN(S_1_Es*(O29+P29*'Geometry'!$G$55+Q29*'Geometry'!$F$55),S_1_fy),-S_1_fy))-(IF((O29+P29*'Geometry'!$G$55+Q29*'Geometry'!$F$55)&gt;0,IF((O29+P29*'Geometry'!$G$55+Q29*'Geometry'!$F$55)&lt;=C_eco,C_alpha*C_fck*(1-(1-(O29+P29*'Geometry'!$G$55+Q29*'Geometry'!$F$55)/C_eco)^C_n),C_alpha*C_fck),0)))*'Geometry'!$H$55*'Geometry'!$F$55+((MAX(MIN(S_1_Es*(O29+P29*'Geometry'!$G$56+Q29*'Geometry'!$F$56),S_1_fy),-S_1_fy))-(IF((O29+P29*'Geometry'!$G$56+Q29*'Geometry'!$F$56)&gt;0,IF((O29+P29*'Geometry'!$G$56+Q29*'Geometry'!$F$56)&lt;=C_eco,C_alpha*C_fck*(1-(1-(O29+P29*'Geometry'!$G$56+Q29*'Geometry'!$F$56)/C_eco)^C_n),C_alpha*C_fck),0)))*'Geometry'!$H$56*'Geometry'!$F$56+((MAX(MIN(S_1_Es*(O29+P29*'Geometry'!$G$57+Q29*'Geometry'!$F$57),S_1_fy),-S_1_fy))-(IF((O29+P29*'Geometry'!$G$57+Q29*'Geometry'!$F$57)&gt;0,IF((O29+P29*'Geometry'!$G$57+Q29*'Geometry'!$F$57)&lt;=C_eco,C_alpha*C_fck*(1-(1-(O29+P29*'Geometry'!$G$57+Q29*'Geometry'!$F$57)/C_eco)^C_n),C_alpha*C_fck),0)))*'Geometry'!$H$57*'Geometry'!$F$57)/1000000</f>
        <v>-900.0725685380953</v>
      </c>
      <c r="X29" s="10">
        <f>R29+U29</f>
        <v>507.9405400025793</v>
      </c>
      <c r="Y29" s="10">
        <f>S29+V29</f>
        <v>-2731.292267410093</v>
      </c>
      <c r="Z29" s="10">
        <f>T29+W29</f>
        <v>-2575.0676722184608</v>
      </c>
      <c r="AA29" s="7">
        <v>0.85</v>
      </c>
      <c r="AB29" s="7">
        <v>0.85</v>
      </c>
      <c r="AC29" s="10">
        <f>X29*AA29</f>
        <v>431.7494590021924</v>
      </c>
      <c r="AD29" s="10">
        <f>Y29*AB29</f>
        <v>-2321.598427298579</v>
      </c>
      <c r="AE29" s="10">
        <f>Z29*AB29</f>
        <v>-2188.8075213856914</v>
      </c>
      <c r="AF29" s="7">
        <v>431.7494590021924</v>
      </c>
      <c r="AG29" s="7">
        <v>-2321.598427298579</v>
      </c>
      <c r="AH29" s="7">
        <v>-2188.8075213856914</v>
      </c>
      <c r="AI29" s="15">
        <f>AC29-AF29</f>
        <v>0</v>
      </c>
      <c r="AJ29" s="15">
        <f>SQRT((AD29-AG29)^2+(AE29-AH29)^2)</f>
        <v>0</v>
      </c>
      <c r="AK29" s="7" t="s">
        <v>189</v>
      </c>
      <c r="AL29" s="7">
        <v>507.9405400025793</v>
      </c>
      <c r="AM29" s="7">
        <v>-2731.292267410093</v>
      </c>
      <c r="AN29" s="7">
        <v>-2575.0676722184608</v>
      </c>
      <c r="AO29" s="7">
        <v>3643.5479300949255</v>
      </c>
      <c r="AP29" s="7">
        <v>-1618.800233170221</v>
      </c>
      <c r="AQ29" s="7">
        <v>-1674.995103680365</v>
      </c>
      <c r="AR29" s="7">
        <v>-3135.6073900923466</v>
      </c>
      <c r="AS29" s="7">
        <v>-1112.492034239872</v>
      </c>
      <c r="AT29" s="7">
        <v>-900.0725685380953</v>
      </c>
    </row>
    <row r="30" spans="1:46" x14ac:dyDescent="0.25">
      <c r="A30" s="7" t="s">
        <v>234</v>
      </c>
      <c r="B30" s="7">
        <v>1</v>
      </c>
      <c r="C30" s="18">
        <v>220</v>
      </c>
      <c r="D30" s="7" t="s">
        <v>289</v>
      </c>
      <c r="E30" s="7" t="s">
        <v>267</v>
      </c>
      <c r="F30" s="19">
        <v>219.99999999999994</v>
      </c>
      <c r="G30" s="7" t="s">
        <v>188</v>
      </c>
      <c r="H30" s="20">
        <v>4.999999999999999</v>
      </c>
      <c r="I30" s="10">
        <f>MAX(('Geometry'!$G$13*COS(RADIANS(F30))+'Geometry'!$F$13*SIN(RADIANS(F30))),('Geometry'!$G$14*COS(RADIANS(F30))+'Geometry'!$F$14*SIN(RADIANS(F30))),('Geometry'!$G$15*COS(RADIANS(F30))+'Geometry'!$F$15*SIN(RADIANS(F30))),('Geometry'!$G$16*COS(RADIANS(F30))+'Geometry'!$F$16*SIN(RADIANS(F30))),('Geometry'!$G$17*COS(RADIANS(F30))+'Geometry'!$F$17*SIN(RADIANS(F30))),('Geometry'!$G$18*COS(RADIANS(F30))+'Geometry'!$F$18*SIN(RADIANS(F30))),('Geometry'!$G$19*COS(RADIANS(F30))+'Geometry'!$F$19*SIN(RADIANS(F30))),('Geometry'!$G$20*COS(RADIANS(F30))+'Geometry'!$F$20*SIN(RADIANS(F30))))</f>
        <v>813.1598511989833</v>
      </c>
      <c r="J30" s="10">
        <f>MIN(('Geometry'!$G$40*COS(RADIANS(F30))+'Geometry'!$F$40*SIN(RADIANS(F30))),('Geometry'!$G$41*COS(RADIANS(F30))+'Geometry'!$F$41*SIN(RADIANS(F30))),('Geometry'!$G$42*COS(RADIANS(F30))+'Geometry'!$F$42*SIN(RADIANS(F30))),('Geometry'!$G$43*COS(RADIANS(F30))+'Geometry'!$F$43*SIN(RADIANS(F30))),('Geometry'!$G$44*COS(RADIANS(F30))+'Geometry'!$F$44*SIN(RADIANS(F30))),('Geometry'!$G$45*COS(RADIANS(F30))+'Geometry'!$F$45*SIN(RADIANS(F30))),('Geometry'!$G$46*COS(RADIANS(F30))+'Geometry'!$F$46*SIN(RADIANS(F30))),('Geometry'!$G$47*COS(RADIANS(F30))+'Geometry'!$F$47*SIN(RADIANS(F30))),('Geometry'!$G$48*COS(RADIANS(F30))+'Geometry'!$F$48*SIN(RADIANS(F30))),('Geometry'!$G$49*COS(RADIANS(F30))+'Geometry'!$F$49*SIN(RADIANS(F30))),('Geometry'!$G$50*COS(RADIANS(F30))+'Geometry'!$F$50*SIN(RADIANS(F30))),('Geometry'!$G$51*COS(RADIANS(F30))+'Geometry'!$F$51*SIN(RADIANS(F30))),('Geometry'!$G$52*COS(RADIANS(F30))+'Geometry'!$F$52*SIN(RADIANS(F30))),('Geometry'!$G$53*COS(RADIANS(F30))+'Geometry'!$F$53*SIN(RADIANS(F30))),('Geometry'!$G$54*COS(RADIANS(F30))+'Geometry'!$F$54*SIN(RADIANS(F30))),('Geometry'!$G$55*COS(RADIANS(F30))+'Geometry'!$F$55*SIN(RADIANS(F30))),('Geometry'!$G$56*COS(RADIANS(F30))+'Geometry'!$F$56*SIN(RADIANS(F30))),('Geometry'!$G$57*COS(RADIANS(F30))+'Geometry'!$F$57*SIN(RADIANS(F30))))</f>
        <v>-666.9089075225397</v>
      </c>
      <c r="K30" s="10">
        <f>I30-MIN(('Geometry'!$G$13*COS(RADIANS(F30))+'Geometry'!$F$13*SIN(RADIANS(F30))),('Geometry'!$G$14*COS(RADIANS(F30))+'Geometry'!$F$14*SIN(RADIANS(F30))),('Geometry'!$G$15*COS(RADIANS(F30))+'Geometry'!$F$15*SIN(RADIANS(F30))),('Geometry'!$G$16*COS(RADIANS(F30))+'Geometry'!$F$16*SIN(RADIANS(F30))),('Geometry'!$G$17*COS(RADIANS(F30))+'Geometry'!$F$17*SIN(RADIANS(F30))),('Geometry'!$G$18*COS(RADIANS(F30))+'Geometry'!$F$18*SIN(RADIANS(F30))),('Geometry'!$G$19*COS(RADIANS(F30))+'Geometry'!$F$19*SIN(RADIANS(F30))),('Geometry'!$G$20*COS(RADIANS(F30))+'Geometry'!$F$20*SIN(RADIANS(F30))))</f>
        <v>1626.3197023979667</v>
      </c>
      <c r="L30" s="15">
        <f>C_ecu</f>
        <v>0.003299999999999999</v>
      </c>
      <c r="M30" s="15">
        <f>-H30*S_1_fy/S_1_Es</f>
        <v>-0.009999999999999998</v>
      </c>
      <c r="N30" s="21">
        <f>IF(ABS(I30-J30)&lt;0.000000000001,0,(L30-M30)/(I30-J30))</f>
        <v>0.000008986069006340272</v>
      </c>
      <c r="O30" s="15">
        <f>L30-N30*I30</f>
        <v>-0.004007110536059453</v>
      </c>
      <c r="P30" s="21">
        <f>N30*COS(RADIANS(F30))</f>
        <v>-0.000006883728227790645</v>
      </c>
      <c r="Q30" s="21">
        <f>N30*SIN(RADIANS(F30))</f>
        <v>-0.000005776133817063756</v>
      </c>
      <c r="R30" s="10">
        <f>SUMPRODUCT(C_alpha*C_fck*(1-(1-(((O30+P30*Mesh_Y+Q30*Mesh_X))*((O30+P30*Mesh_Y+Q30*Mesh_X)&gt;0)*((O30+P30*Mesh_Y+Q30*Mesh_X)&lt;C_eco)+C_eco*((O30+P30*Mesh_Y+Q30*Mesh_X)&gt;=C_eco))/C_eco)^C_n)*(((O30+P30*Mesh_Y+Q30*Mesh_X))&gt;0),Mesh_A)/1000</f>
        <v>3705.95058395137</v>
      </c>
      <c r="S30" s="10">
        <f>SUMPRODUCT(C_alpha*C_fck*(1-(1-(((O30+P30*Mesh_Y+Q30*Mesh_X))*((O30+P30*Mesh_Y+Q30*Mesh_X)&gt;0)*((O30+P30*Mesh_Y+Q30*Mesh_X)&lt;C_eco)+C_eco*((O30+P30*Mesh_Y+Q30*Mesh_X)&gt;=C_eco))/C_eco)^C_n)*(((O30+P30*Mesh_Y+Q30*Mesh_X))&gt;0),Mesh_A,Mesh_Y)/1000000</f>
        <v>-1504.4500186713378</v>
      </c>
      <c r="T30" s="10">
        <f>SUMPRODUCT(C_alpha*C_fck*(1-(1-(((O30+P30*Mesh_Y+Q30*Mesh_X))*((O30+P30*Mesh_Y+Q30*Mesh_X)&gt;0)*((O30+P30*Mesh_Y+Q30*Mesh_X)&lt;C_eco)+C_eco*((O30+P30*Mesh_Y+Q30*Mesh_X)&gt;=C_eco))/C_eco)^C_n)*(((O30+P30*Mesh_Y+Q30*Mesh_X))&gt;0),Mesh_A,Mesh_X)/1000000</f>
        <v>-1901.1478759994143</v>
      </c>
      <c r="U30" s="10">
        <f>(((MAX(MIN(S_1_Es*(O30+P30*'Geometry'!$G$40+Q30*'Geometry'!$F$40),S_1_fy),-S_1_fy))-(IF((O30+P30*'Geometry'!$G$40+Q30*'Geometry'!$F$40)&gt;0,IF((O30+P30*'Geometry'!$G$40+Q30*'Geometry'!$F$40)&lt;=C_eco,C_alpha*C_fck*(1-(1-(O30+P30*'Geometry'!$G$40+Q30*'Geometry'!$F$40)/C_eco)^C_n),C_alpha*C_fck),0)))*'Geometry'!$H$40+((MAX(MIN(S_1_Es*(O30+P30*'Geometry'!$G$41+Q30*'Geometry'!$F$41),S_1_fy),-S_1_fy))-(IF((O30+P30*'Geometry'!$G$41+Q30*'Geometry'!$F$41)&gt;0,IF((O30+P30*'Geometry'!$G$41+Q30*'Geometry'!$F$41)&lt;=C_eco,C_alpha*C_fck*(1-(1-(O30+P30*'Geometry'!$G$41+Q30*'Geometry'!$F$41)/C_eco)^C_n),C_alpha*C_fck),0)))*'Geometry'!$H$41+((MAX(MIN(S_1_Es*(O30+P30*'Geometry'!$G$42+Q30*'Geometry'!$F$42),S_1_fy),-S_1_fy))-(IF((O30+P30*'Geometry'!$G$42+Q30*'Geometry'!$F$42)&gt;0,IF((O30+P30*'Geometry'!$G$42+Q30*'Geometry'!$F$42)&lt;=C_eco,C_alpha*C_fck*(1-(1-(O30+P30*'Geometry'!$G$42+Q30*'Geometry'!$F$42)/C_eco)^C_n),C_alpha*C_fck),0)))*'Geometry'!$H$42+((MAX(MIN(S_1_Es*(O30+P30*'Geometry'!$G$43+Q30*'Geometry'!$F$43),S_1_fy),-S_1_fy))-(IF((O30+P30*'Geometry'!$G$43+Q30*'Geometry'!$F$43)&gt;0,IF((O30+P30*'Geometry'!$G$43+Q30*'Geometry'!$F$43)&lt;=C_eco,C_alpha*C_fck*(1-(1-(O30+P30*'Geometry'!$G$43+Q30*'Geometry'!$F$43)/C_eco)^C_n),C_alpha*C_fck),0)))*'Geometry'!$H$43+((MAX(MIN(S_1_Es*(O30+P30*'Geometry'!$G$44+Q30*'Geometry'!$F$44),S_1_fy),-S_1_fy))-(IF((O30+P30*'Geometry'!$G$44+Q30*'Geometry'!$F$44)&gt;0,IF((O30+P30*'Geometry'!$G$44+Q30*'Geometry'!$F$44)&lt;=C_eco,C_alpha*C_fck*(1-(1-(O30+P30*'Geometry'!$G$44+Q30*'Geometry'!$F$44)/C_eco)^C_n),C_alpha*C_fck),0)))*'Geometry'!$H$44+((MAX(MIN(S_1_Es*(O30+P30*'Geometry'!$G$45+Q30*'Geometry'!$F$45),S_1_fy),-S_1_fy))-(IF((O30+P30*'Geometry'!$G$45+Q30*'Geometry'!$F$45)&gt;0,IF((O30+P30*'Geometry'!$G$45+Q30*'Geometry'!$F$45)&lt;=C_eco,C_alpha*C_fck*(1-(1-(O30+P30*'Geometry'!$G$45+Q30*'Geometry'!$F$45)/C_eco)^C_n),C_alpha*C_fck),0)))*'Geometry'!$H$45+((MAX(MIN(S_1_Es*(O30+P30*'Geometry'!$G$46+Q30*'Geometry'!$F$46),S_1_fy),-S_1_fy))-(IF((O30+P30*'Geometry'!$G$46+Q30*'Geometry'!$F$46)&gt;0,IF((O30+P30*'Geometry'!$G$46+Q30*'Geometry'!$F$46)&lt;=C_eco,C_alpha*C_fck*(1-(1-(O30+P30*'Geometry'!$G$46+Q30*'Geometry'!$F$46)/C_eco)^C_n),C_alpha*C_fck),0)))*'Geometry'!$H$46+((MAX(MIN(S_1_Es*(O30+P30*'Geometry'!$G$47+Q30*'Geometry'!$F$47),S_1_fy),-S_1_fy))-(IF((O30+P30*'Geometry'!$G$47+Q30*'Geometry'!$F$47)&gt;0,IF((O30+P30*'Geometry'!$G$47+Q30*'Geometry'!$F$47)&lt;=C_eco,C_alpha*C_fck*(1-(1-(O30+P30*'Geometry'!$G$47+Q30*'Geometry'!$F$47)/C_eco)^C_n),C_alpha*C_fck),0)))*'Geometry'!$H$47+((MAX(MIN(S_1_Es*(O30+P30*'Geometry'!$G$48+Q30*'Geometry'!$F$48),S_1_fy),-S_1_fy))-(IF((O30+P30*'Geometry'!$G$48+Q30*'Geometry'!$F$48)&gt;0,IF((O30+P30*'Geometry'!$G$48+Q30*'Geometry'!$F$48)&lt;=C_eco,C_alpha*C_fck*(1-(1-(O30+P30*'Geometry'!$G$48+Q30*'Geometry'!$F$48)/C_eco)^C_n),C_alpha*C_fck),0)))*'Geometry'!$H$48+((MAX(MIN(S_1_Es*(O30+P30*'Geometry'!$G$49+Q30*'Geometry'!$F$49),S_1_fy),-S_1_fy))-(IF((O30+P30*'Geometry'!$G$49+Q30*'Geometry'!$F$49)&gt;0,IF((O30+P30*'Geometry'!$G$49+Q30*'Geometry'!$F$49)&lt;=C_eco,C_alpha*C_fck*(1-(1-(O30+P30*'Geometry'!$G$49+Q30*'Geometry'!$F$49)/C_eco)^C_n),C_alpha*C_fck),0)))*'Geometry'!$H$49+((MAX(MIN(S_1_Es*(O30+P30*'Geometry'!$G$50+Q30*'Geometry'!$F$50),S_1_fy),-S_1_fy))-(IF((O30+P30*'Geometry'!$G$50+Q30*'Geometry'!$F$50)&gt;0,IF((O30+P30*'Geometry'!$G$50+Q30*'Geometry'!$F$50)&lt;=C_eco,C_alpha*C_fck*(1-(1-(O30+P30*'Geometry'!$G$50+Q30*'Geometry'!$F$50)/C_eco)^C_n),C_alpha*C_fck),0)))*'Geometry'!$H$50+((MAX(MIN(S_1_Es*(O30+P30*'Geometry'!$G$51+Q30*'Geometry'!$F$51),S_1_fy),-S_1_fy))-(IF((O30+P30*'Geometry'!$G$51+Q30*'Geometry'!$F$51)&gt;0,IF((O30+P30*'Geometry'!$G$51+Q30*'Geometry'!$F$51)&lt;=C_eco,C_alpha*C_fck*(1-(1-(O30+P30*'Geometry'!$G$51+Q30*'Geometry'!$F$51)/C_eco)^C_n),C_alpha*C_fck),0)))*'Geometry'!$H$51+((MAX(MIN(S_1_Es*(O30+P30*'Geometry'!$G$52+Q30*'Geometry'!$F$52),S_1_fy),-S_1_fy))-(IF((O30+P30*'Geometry'!$G$52+Q30*'Geometry'!$F$52)&gt;0,IF((O30+P30*'Geometry'!$G$52+Q30*'Geometry'!$F$52)&lt;=C_eco,C_alpha*C_fck*(1-(1-(O30+P30*'Geometry'!$G$52+Q30*'Geometry'!$F$52)/C_eco)^C_n),C_alpha*C_fck),0)))*'Geometry'!$H$52+((MAX(MIN(S_1_Es*(O30+P30*'Geometry'!$G$53+Q30*'Geometry'!$F$53),S_1_fy),-S_1_fy))-(IF((O30+P30*'Geometry'!$G$53+Q30*'Geometry'!$F$53)&gt;0,IF((O30+P30*'Geometry'!$G$53+Q30*'Geometry'!$F$53)&lt;=C_eco,C_alpha*C_fck*(1-(1-(O30+P30*'Geometry'!$G$53+Q30*'Geometry'!$F$53)/C_eco)^C_n),C_alpha*C_fck),0)))*'Geometry'!$H$53+((MAX(MIN(S_1_Es*(O30+P30*'Geometry'!$G$54+Q30*'Geometry'!$F$54),S_1_fy),-S_1_fy))-(IF((O30+P30*'Geometry'!$G$54+Q30*'Geometry'!$F$54)&gt;0,IF((O30+P30*'Geometry'!$G$54+Q30*'Geometry'!$F$54)&lt;=C_eco,C_alpha*C_fck*(1-(1-(O30+P30*'Geometry'!$G$54+Q30*'Geometry'!$F$54)/C_eco)^C_n),C_alpha*C_fck),0)))*'Geometry'!$H$54+((MAX(MIN(S_1_Es*(O30+P30*'Geometry'!$G$55+Q30*'Geometry'!$F$55),S_1_fy),-S_1_fy))-(IF((O30+P30*'Geometry'!$G$55+Q30*'Geometry'!$F$55)&gt;0,IF((O30+P30*'Geometry'!$G$55+Q30*'Geometry'!$F$55)&lt;=C_eco,C_alpha*C_fck*(1-(1-(O30+P30*'Geometry'!$G$55+Q30*'Geometry'!$F$55)/C_eco)^C_n),C_alpha*C_fck),0)))*'Geometry'!$H$55+((MAX(MIN(S_1_Es*(O30+P30*'Geometry'!$G$56+Q30*'Geometry'!$F$56),S_1_fy),-S_1_fy))-(IF((O30+P30*'Geometry'!$G$56+Q30*'Geometry'!$F$56)&gt;0,IF((O30+P30*'Geometry'!$G$56+Q30*'Geometry'!$F$56)&lt;=C_eco,C_alpha*C_fck*(1-(1-(O30+P30*'Geometry'!$G$56+Q30*'Geometry'!$F$56)/C_eco)^C_n),C_alpha*C_fck),0)))*'Geometry'!$H$56+((MAX(MIN(S_1_Es*(O30+P30*'Geometry'!$G$57+Q30*'Geometry'!$F$57),S_1_fy),-S_1_fy))-(IF((O30+P30*'Geometry'!$G$57+Q30*'Geometry'!$F$57)&gt;0,IF((O30+P30*'Geometry'!$G$57+Q30*'Geometry'!$F$57)&lt;=C_eco,C_alpha*C_fck*(1-(1-(O30+P30*'Geometry'!$G$57+Q30*'Geometry'!$F$57)/C_eco)^C_n),C_alpha*C_fck),0)))*'Geometry'!$H$57)/1000</f>
        <v>-3168.6498081311424</v>
      </c>
      <c r="V30" s="10">
        <f>(((MAX(MIN(S_1_Es*(O30+P30*'Geometry'!$G$40+Q30*'Geometry'!$F$40),S_1_fy),-S_1_fy))-(IF((O30+P30*'Geometry'!$G$40+Q30*'Geometry'!$F$40)&gt;0,IF((O30+P30*'Geometry'!$G$40+Q30*'Geometry'!$F$40)&lt;=C_eco,C_alpha*C_fck*(1-(1-(O30+P30*'Geometry'!$G$40+Q30*'Geometry'!$F$40)/C_eco)^C_n),C_alpha*C_fck),0)))*'Geometry'!$H$40*'Geometry'!$G$40+((MAX(MIN(S_1_Es*(O30+P30*'Geometry'!$G$41+Q30*'Geometry'!$F$41),S_1_fy),-S_1_fy))-(IF((O30+P30*'Geometry'!$G$41+Q30*'Geometry'!$F$41)&gt;0,IF((O30+P30*'Geometry'!$G$41+Q30*'Geometry'!$F$41)&lt;=C_eco,C_alpha*C_fck*(1-(1-(O30+P30*'Geometry'!$G$41+Q30*'Geometry'!$F$41)/C_eco)^C_n),C_alpha*C_fck),0)))*'Geometry'!$H$41*'Geometry'!$G$41+((MAX(MIN(S_1_Es*(O30+P30*'Geometry'!$G$42+Q30*'Geometry'!$F$42),S_1_fy),-S_1_fy))-(IF((O30+P30*'Geometry'!$G$42+Q30*'Geometry'!$F$42)&gt;0,IF((O30+P30*'Geometry'!$G$42+Q30*'Geometry'!$F$42)&lt;=C_eco,C_alpha*C_fck*(1-(1-(O30+P30*'Geometry'!$G$42+Q30*'Geometry'!$F$42)/C_eco)^C_n),C_alpha*C_fck),0)))*'Geometry'!$H$42*'Geometry'!$G$42+((MAX(MIN(S_1_Es*(O30+P30*'Geometry'!$G$43+Q30*'Geometry'!$F$43),S_1_fy),-S_1_fy))-(IF((O30+P30*'Geometry'!$G$43+Q30*'Geometry'!$F$43)&gt;0,IF((O30+P30*'Geometry'!$G$43+Q30*'Geometry'!$F$43)&lt;=C_eco,C_alpha*C_fck*(1-(1-(O30+P30*'Geometry'!$G$43+Q30*'Geometry'!$F$43)/C_eco)^C_n),C_alpha*C_fck),0)))*'Geometry'!$H$43*'Geometry'!$G$43+((MAX(MIN(S_1_Es*(O30+P30*'Geometry'!$G$44+Q30*'Geometry'!$F$44),S_1_fy),-S_1_fy))-(IF((O30+P30*'Geometry'!$G$44+Q30*'Geometry'!$F$44)&gt;0,IF((O30+P30*'Geometry'!$G$44+Q30*'Geometry'!$F$44)&lt;=C_eco,C_alpha*C_fck*(1-(1-(O30+P30*'Geometry'!$G$44+Q30*'Geometry'!$F$44)/C_eco)^C_n),C_alpha*C_fck),0)))*'Geometry'!$H$44*'Geometry'!$G$44+((MAX(MIN(S_1_Es*(O30+P30*'Geometry'!$G$45+Q30*'Geometry'!$F$45),S_1_fy),-S_1_fy))-(IF((O30+P30*'Geometry'!$G$45+Q30*'Geometry'!$F$45)&gt;0,IF((O30+P30*'Geometry'!$G$45+Q30*'Geometry'!$F$45)&lt;=C_eco,C_alpha*C_fck*(1-(1-(O30+P30*'Geometry'!$G$45+Q30*'Geometry'!$F$45)/C_eco)^C_n),C_alpha*C_fck),0)))*'Geometry'!$H$45*'Geometry'!$G$45+((MAX(MIN(S_1_Es*(O30+P30*'Geometry'!$G$46+Q30*'Geometry'!$F$46),S_1_fy),-S_1_fy))-(IF((O30+P30*'Geometry'!$G$46+Q30*'Geometry'!$F$46)&gt;0,IF((O30+P30*'Geometry'!$G$46+Q30*'Geometry'!$F$46)&lt;=C_eco,C_alpha*C_fck*(1-(1-(O30+P30*'Geometry'!$G$46+Q30*'Geometry'!$F$46)/C_eco)^C_n),C_alpha*C_fck),0)))*'Geometry'!$H$46*'Geometry'!$G$46+((MAX(MIN(S_1_Es*(O30+P30*'Geometry'!$G$47+Q30*'Geometry'!$F$47),S_1_fy),-S_1_fy))-(IF((O30+P30*'Geometry'!$G$47+Q30*'Geometry'!$F$47)&gt;0,IF((O30+P30*'Geometry'!$G$47+Q30*'Geometry'!$F$47)&lt;=C_eco,C_alpha*C_fck*(1-(1-(O30+P30*'Geometry'!$G$47+Q30*'Geometry'!$F$47)/C_eco)^C_n),C_alpha*C_fck),0)))*'Geometry'!$H$47*'Geometry'!$G$47+((MAX(MIN(S_1_Es*(O30+P30*'Geometry'!$G$48+Q30*'Geometry'!$F$48),S_1_fy),-S_1_fy))-(IF((O30+P30*'Geometry'!$G$48+Q30*'Geometry'!$F$48)&gt;0,IF((O30+P30*'Geometry'!$G$48+Q30*'Geometry'!$F$48)&lt;=C_eco,C_alpha*C_fck*(1-(1-(O30+P30*'Geometry'!$G$48+Q30*'Geometry'!$F$48)/C_eco)^C_n),C_alpha*C_fck),0)))*'Geometry'!$H$48*'Geometry'!$G$48+((MAX(MIN(S_1_Es*(O30+P30*'Geometry'!$G$49+Q30*'Geometry'!$F$49),S_1_fy),-S_1_fy))-(IF((O30+P30*'Geometry'!$G$49+Q30*'Geometry'!$F$49)&gt;0,IF((O30+P30*'Geometry'!$G$49+Q30*'Geometry'!$F$49)&lt;=C_eco,C_alpha*C_fck*(1-(1-(O30+P30*'Geometry'!$G$49+Q30*'Geometry'!$F$49)/C_eco)^C_n),C_alpha*C_fck),0)))*'Geometry'!$H$49*'Geometry'!$G$49+((MAX(MIN(S_1_Es*(O30+P30*'Geometry'!$G$50+Q30*'Geometry'!$F$50),S_1_fy),-S_1_fy))-(IF((O30+P30*'Geometry'!$G$50+Q30*'Geometry'!$F$50)&gt;0,IF((O30+P30*'Geometry'!$G$50+Q30*'Geometry'!$F$50)&lt;=C_eco,C_alpha*C_fck*(1-(1-(O30+P30*'Geometry'!$G$50+Q30*'Geometry'!$F$50)/C_eco)^C_n),C_alpha*C_fck),0)))*'Geometry'!$H$50*'Geometry'!$G$50+((MAX(MIN(S_1_Es*(O30+P30*'Geometry'!$G$51+Q30*'Geometry'!$F$51),S_1_fy),-S_1_fy))-(IF((O30+P30*'Geometry'!$G$51+Q30*'Geometry'!$F$51)&gt;0,IF((O30+P30*'Geometry'!$G$51+Q30*'Geometry'!$F$51)&lt;=C_eco,C_alpha*C_fck*(1-(1-(O30+P30*'Geometry'!$G$51+Q30*'Geometry'!$F$51)/C_eco)^C_n),C_alpha*C_fck),0)))*'Geometry'!$H$51*'Geometry'!$G$51+((MAX(MIN(S_1_Es*(O30+P30*'Geometry'!$G$52+Q30*'Geometry'!$F$52),S_1_fy),-S_1_fy))-(IF((O30+P30*'Geometry'!$G$52+Q30*'Geometry'!$F$52)&gt;0,IF((O30+P30*'Geometry'!$G$52+Q30*'Geometry'!$F$52)&lt;=C_eco,C_alpha*C_fck*(1-(1-(O30+P30*'Geometry'!$G$52+Q30*'Geometry'!$F$52)/C_eco)^C_n),C_alpha*C_fck),0)))*'Geometry'!$H$52*'Geometry'!$G$52+((MAX(MIN(S_1_Es*(O30+P30*'Geometry'!$G$53+Q30*'Geometry'!$F$53),S_1_fy),-S_1_fy))-(IF((O30+P30*'Geometry'!$G$53+Q30*'Geometry'!$F$53)&gt;0,IF((O30+P30*'Geometry'!$G$53+Q30*'Geometry'!$F$53)&lt;=C_eco,C_alpha*C_fck*(1-(1-(O30+P30*'Geometry'!$G$53+Q30*'Geometry'!$F$53)/C_eco)^C_n),C_alpha*C_fck),0)))*'Geometry'!$H$53*'Geometry'!$G$53+((MAX(MIN(S_1_Es*(O30+P30*'Geometry'!$G$54+Q30*'Geometry'!$F$54),S_1_fy),-S_1_fy))-(IF((O30+P30*'Geometry'!$G$54+Q30*'Geometry'!$F$54)&gt;0,IF((O30+P30*'Geometry'!$G$54+Q30*'Geometry'!$F$54)&lt;=C_eco,C_alpha*C_fck*(1-(1-(O30+P30*'Geometry'!$G$54+Q30*'Geometry'!$F$54)/C_eco)^C_n),C_alpha*C_fck),0)))*'Geometry'!$H$54*'Geometry'!$G$54+((MAX(MIN(S_1_Es*(O30+P30*'Geometry'!$G$55+Q30*'Geometry'!$F$55),S_1_fy),-S_1_fy))-(IF((O30+P30*'Geometry'!$G$55+Q30*'Geometry'!$F$55)&gt;0,IF((O30+P30*'Geometry'!$G$55+Q30*'Geometry'!$F$55)&lt;=C_eco,C_alpha*C_fck*(1-(1-(O30+P30*'Geometry'!$G$55+Q30*'Geometry'!$F$55)/C_eco)^C_n),C_alpha*C_fck),0)))*'Geometry'!$H$55*'Geometry'!$G$55+((MAX(MIN(S_1_Es*(O30+P30*'Geometry'!$G$56+Q30*'Geometry'!$F$56),S_1_fy),-S_1_fy))-(IF((O30+P30*'Geometry'!$G$56+Q30*'Geometry'!$F$56)&gt;0,IF((O30+P30*'Geometry'!$G$56+Q30*'Geometry'!$F$56)&lt;=C_eco,C_alpha*C_fck*(1-(1-(O30+P30*'Geometry'!$G$56+Q30*'Geometry'!$F$56)/C_eco)^C_n),C_alpha*C_fck),0)))*'Geometry'!$H$56*'Geometry'!$G$56+((MAX(MIN(S_1_Es*(O30+P30*'Geometry'!$G$57+Q30*'Geometry'!$F$57),S_1_fy),-S_1_fy))-(IF((O30+P30*'Geometry'!$G$57+Q30*'Geometry'!$F$57)&gt;0,IF((O30+P30*'Geometry'!$G$57+Q30*'Geometry'!$F$57)&lt;=C_eco,C_alpha*C_fck*(1-(1-(O30+P30*'Geometry'!$G$57+Q30*'Geometry'!$F$57)/C_eco)^C_n),C_alpha*C_fck),0)))*'Geometry'!$H$57*'Geometry'!$G$57)/1000000</f>
        <v>-946.1104538385999</v>
      </c>
      <c r="W30" s="10">
        <f>(((MAX(MIN(S_1_Es*(O30+P30*'Geometry'!$G$40+Q30*'Geometry'!$F$40),S_1_fy),-S_1_fy))-(IF((O30+P30*'Geometry'!$G$40+Q30*'Geometry'!$F$40)&gt;0,IF((O30+P30*'Geometry'!$G$40+Q30*'Geometry'!$F$40)&lt;=C_eco,C_alpha*C_fck*(1-(1-(O30+P30*'Geometry'!$G$40+Q30*'Geometry'!$F$40)/C_eco)^C_n),C_alpha*C_fck),0)))*'Geometry'!$H$40*'Geometry'!$F$40+((MAX(MIN(S_1_Es*(O30+P30*'Geometry'!$G$41+Q30*'Geometry'!$F$41),S_1_fy),-S_1_fy))-(IF((O30+P30*'Geometry'!$G$41+Q30*'Geometry'!$F$41)&gt;0,IF((O30+P30*'Geometry'!$G$41+Q30*'Geometry'!$F$41)&lt;=C_eco,C_alpha*C_fck*(1-(1-(O30+P30*'Geometry'!$G$41+Q30*'Geometry'!$F$41)/C_eco)^C_n),C_alpha*C_fck),0)))*'Geometry'!$H$41*'Geometry'!$F$41+((MAX(MIN(S_1_Es*(O30+P30*'Geometry'!$G$42+Q30*'Geometry'!$F$42),S_1_fy),-S_1_fy))-(IF((O30+P30*'Geometry'!$G$42+Q30*'Geometry'!$F$42)&gt;0,IF((O30+P30*'Geometry'!$G$42+Q30*'Geometry'!$F$42)&lt;=C_eco,C_alpha*C_fck*(1-(1-(O30+P30*'Geometry'!$G$42+Q30*'Geometry'!$F$42)/C_eco)^C_n),C_alpha*C_fck),0)))*'Geometry'!$H$42*'Geometry'!$F$42+((MAX(MIN(S_1_Es*(O30+P30*'Geometry'!$G$43+Q30*'Geometry'!$F$43),S_1_fy),-S_1_fy))-(IF((O30+P30*'Geometry'!$G$43+Q30*'Geometry'!$F$43)&gt;0,IF((O30+P30*'Geometry'!$G$43+Q30*'Geometry'!$F$43)&lt;=C_eco,C_alpha*C_fck*(1-(1-(O30+P30*'Geometry'!$G$43+Q30*'Geometry'!$F$43)/C_eco)^C_n),C_alpha*C_fck),0)))*'Geometry'!$H$43*'Geometry'!$F$43+((MAX(MIN(S_1_Es*(O30+P30*'Geometry'!$G$44+Q30*'Geometry'!$F$44),S_1_fy),-S_1_fy))-(IF((O30+P30*'Geometry'!$G$44+Q30*'Geometry'!$F$44)&gt;0,IF((O30+P30*'Geometry'!$G$44+Q30*'Geometry'!$F$44)&lt;=C_eco,C_alpha*C_fck*(1-(1-(O30+P30*'Geometry'!$G$44+Q30*'Geometry'!$F$44)/C_eco)^C_n),C_alpha*C_fck),0)))*'Geometry'!$H$44*'Geometry'!$F$44+((MAX(MIN(S_1_Es*(O30+P30*'Geometry'!$G$45+Q30*'Geometry'!$F$45),S_1_fy),-S_1_fy))-(IF((O30+P30*'Geometry'!$G$45+Q30*'Geometry'!$F$45)&gt;0,IF((O30+P30*'Geometry'!$G$45+Q30*'Geometry'!$F$45)&lt;=C_eco,C_alpha*C_fck*(1-(1-(O30+P30*'Geometry'!$G$45+Q30*'Geometry'!$F$45)/C_eco)^C_n),C_alpha*C_fck),0)))*'Geometry'!$H$45*'Geometry'!$F$45+((MAX(MIN(S_1_Es*(O30+P30*'Geometry'!$G$46+Q30*'Geometry'!$F$46),S_1_fy),-S_1_fy))-(IF((O30+P30*'Geometry'!$G$46+Q30*'Geometry'!$F$46)&gt;0,IF((O30+P30*'Geometry'!$G$46+Q30*'Geometry'!$F$46)&lt;=C_eco,C_alpha*C_fck*(1-(1-(O30+P30*'Geometry'!$G$46+Q30*'Geometry'!$F$46)/C_eco)^C_n),C_alpha*C_fck),0)))*'Geometry'!$H$46*'Geometry'!$F$46+((MAX(MIN(S_1_Es*(O30+P30*'Geometry'!$G$47+Q30*'Geometry'!$F$47),S_1_fy),-S_1_fy))-(IF((O30+P30*'Geometry'!$G$47+Q30*'Geometry'!$F$47)&gt;0,IF((O30+P30*'Geometry'!$G$47+Q30*'Geometry'!$F$47)&lt;=C_eco,C_alpha*C_fck*(1-(1-(O30+P30*'Geometry'!$G$47+Q30*'Geometry'!$F$47)/C_eco)^C_n),C_alpha*C_fck),0)))*'Geometry'!$H$47*'Geometry'!$F$47+((MAX(MIN(S_1_Es*(O30+P30*'Geometry'!$G$48+Q30*'Geometry'!$F$48),S_1_fy),-S_1_fy))-(IF((O30+P30*'Geometry'!$G$48+Q30*'Geometry'!$F$48)&gt;0,IF((O30+P30*'Geometry'!$G$48+Q30*'Geometry'!$F$48)&lt;=C_eco,C_alpha*C_fck*(1-(1-(O30+P30*'Geometry'!$G$48+Q30*'Geometry'!$F$48)/C_eco)^C_n),C_alpha*C_fck),0)))*'Geometry'!$H$48*'Geometry'!$F$48+((MAX(MIN(S_1_Es*(O30+P30*'Geometry'!$G$49+Q30*'Geometry'!$F$49),S_1_fy),-S_1_fy))-(IF((O30+P30*'Geometry'!$G$49+Q30*'Geometry'!$F$49)&gt;0,IF((O30+P30*'Geometry'!$G$49+Q30*'Geometry'!$F$49)&lt;=C_eco,C_alpha*C_fck*(1-(1-(O30+P30*'Geometry'!$G$49+Q30*'Geometry'!$F$49)/C_eco)^C_n),C_alpha*C_fck),0)))*'Geometry'!$H$49*'Geometry'!$F$49+((MAX(MIN(S_1_Es*(O30+P30*'Geometry'!$G$50+Q30*'Geometry'!$F$50),S_1_fy),-S_1_fy))-(IF((O30+P30*'Geometry'!$G$50+Q30*'Geometry'!$F$50)&gt;0,IF((O30+P30*'Geometry'!$G$50+Q30*'Geometry'!$F$50)&lt;=C_eco,C_alpha*C_fck*(1-(1-(O30+P30*'Geometry'!$G$50+Q30*'Geometry'!$F$50)/C_eco)^C_n),C_alpha*C_fck),0)))*'Geometry'!$H$50*'Geometry'!$F$50+((MAX(MIN(S_1_Es*(O30+P30*'Geometry'!$G$51+Q30*'Geometry'!$F$51),S_1_fy),-S_1_fy))-(IF((O30+P30*'Geometry'!$G$51+Q30*'Geometry'!$F$51)&gt;0,IF((O30+P30*'Geometry'!$G$51+Q30*'Geometry'!$F$51)&lt;=C_eco,C_alpha*C_fck*(1-(1-(O30+P30*'Geometry'!$G$51+Q30*'Geometry'!$F$51)/C_eco)^C_n),C_alpha*C_fck),0)))*'Geometry'!$H$51*'Geometry'!$F$51+((MAX(MIN(S_1_Es*(O30+P30*'Geometry'!$G$52+Q30*'Geometry'!$F$52),S_1_fy),-S_1_fy))-(IF((O30+P30*'Geometry'!$G$52+Q30*'Geometry'!$F$52)&gt;0,IF((O30+P30*'Geometry'!$G$52+Q30*'Geometry'!$F$52)&lt;=C_eco,C_alpha*C_fck*(1-(1-(O30+P30*'Geometry'!$G$52+Q30*'Geometry'!$F$52)/C_eco)^C_n),C_alpha*C_fck),0)))*'Geometry'!$H$52*'Geometry'!$F$52+((MAX(MIN(S_1_Es*(O30+P30*'Geometry'!$G$53+Q30*'Geometry'!$F$53),S_1_fy),-S_1_fy))-(IF((O30+P30*'Geometry'!$G$53+Q30*'Geometry'!$F$53)&gt;0,IF((O30+P30*'Geometry'!$G$53+Q30*'Geometry'!$F$53)&lt;=C_eco,C_alpha*C_fck*(1-(1-(O30+P30*'Geometry'!$G$53+Q30*'Geometry'!$F$53)/C_eco)^C_n),C_alpha*C_fck),0)))*'Geometry'!$H$53*'Geometry'!$F$53+((MAX(MIN(S_1_Es*(O30+P30*'Geometry'!$G$54+Q30*'Geometry'!$F$54),S_1_fy),-S_1_fy))-(IF((O30+P30*'Geometry'!$G$54+Q30*'Geometry'!$F$54)&gt;0,IF((O30+P30*'Geometry'!$G$54+Q30*'Geometry'!$F$54)&lt;=C_eco,C_alpha*C_fck*(1-(1-(O30+P30*'Geometry'!$G$54+Q30*'Geometry'!$F$54)/C_eco)^C_n),C_alpha*C_fck),0)))*'Geometry'!$H$54*'Geometry'!$F$54+((MAX(MIN(S_1_Es*(O30+P30*'Geometry'!$G$55+Q30*'Geometry'!$F$55),S_1_fy),-S_1_fy))-(IF((O30+P30*'Geometry'!$G$55+Q30*'Geometry'!$F$55)&gt;0,IF((O30+P30*'Geometry'!$G$55+Q30*'Geometry'!$F$55)&lt;=C_eco,C_alpha*C_fck*(1-(1-(O30+P30*'Geometry'!$G$55+Q30*'Geometry'!$F$55)/C_eco)^C_n),C_alpha*C_fck),0)))*'Geometry'!$H$55*'Geometry'!$F$55+((MAX(MIN(S_1_Es*(O30+P30*'Geometry'!$G$56+Q30*'Geometry'!$F$56),S_1_fy),-S_1_fy))-(IF((O30+P30*'Geometry'!$G$56+Q30*'Geometry'!$F$56)&gt;0,IF((O30+P30*'Geometry'!$G$56+Q30*'Geometry'!$F$56)&lt;=C_eco,C_alpha*C_fck*(1-(1-(O30+P30*'Geometry'!$G$56+Q30*'Geometry'!$F$56)/C_eco)^C_n),C_alpha*C_fck),0)))*'Geometry'!$H$56*'Geometry'!$F$56+((MAX(MIN(S_1_Es*(O30+P30*'Geometry'!$G$57+Q30*'Geometry'!$F$57),S_1_fy),-S_1_fy))-(IF((O30+P30*'Geometry'!$G$57+Q30*'Geometry'!$F$57)&gt;0,IF((O30+P30*'Geometry'!$G$57+Q30*'Geometry'!$F$57)&lt;=C_eco,C_alpha*C_fck*(1-(1-(O30+P30*'Geometry'!$G$57+Q30*'Geometry'!$F$57)/C_eco)^C_n),C_alpha*C_fck),0)))*'Geometry'!$H$57*'Geometry'!$F$57)/1000000</f>
        <v>-1152.7299567919622</v>
      </c>
      <c r="X30" s="10">
        <f>R30+U30</f>
        <v>537.3007758202274</v>
      </c>
      <c r="Y30" s="10">
        <f>S30+V30</f>
        <v>-2450.560472509938</v>
      </c>
      <c r="Z30" s="10">
        <f>T30+W30</f>
        <v>-3053.877832791376</v>
      </c>
      <c r="AA30" s="7">
        <v>0.85</v>
      </c>
      <c r="AB30" s="7">
        <v>0.8499999999999999</v>
      </c>
      <c r="AC30" s="10">
        <f>X30*AA30</f>
        <v>456.7056594471932</v>
      </c>
      <c r="AD30" s="10">
        <f>Y30*AB30</f>
        <v>-2082.976401633447</v>
      </c>
      <c r="AE30" s="10">
        <f>Z30*AB30</f>
        <v>-2595.7961578726695</v>
      </c>
      <c r="AF30" s="7">
        <v>456.7056594471932</v>
      </c>
      <c r="AG30" s="7">
        <v>-2082.976401633447</v>
      </c>
      <c r="AH30" s="7">
        <v>-2595.7961578726695</v>
      </c>
      <c r="AI30" s="15">
        <f>AC30-AF30</f>
        <v>0</v>
      </c>
      <c r="AJ30" s="15">
        <f>SQRT((AD30-AG30)^2+(AE30-AH30)^2)</f>
        <v>0</v>
      </c>
      <c r="AK30" s="7" t="s">
        <v>189</v>
      </c>
      <c r="AL30" s="7">
        <v>537.3007758202274</v>
      </c>
      <c r="AM30" s="7">
        <v>-2450.560472509938</v>
      </c>
      <c r="AN30" s="7">
        <v>-3053.877832791376</v>
      </c>
      <c r="AO30" s="7">
        <v>3705.95058395137</v>
      </c>
      <c r="AP30" s="7">
        <v>-1504.4500186713378</v>
      </c>
      <c r="AQ30" s="7">
        <v>-1901.1478759994143</v>
      </c>
      <c r="AR30" s="7">
        <v>-3168.6498081311424</v>
      </c>
      <c r="AS30" s="7">
        <v>-946.1104538385999</v>
      </c>
      <c r="AT30" s="7">
        <v>-1152.7299567919622</v>
      </c>
    </row>
    <row r="31" spans="1:46" x14ac:dyDescent="0.25">
      <c r="A31" s="7" t="s">
        <v>236</v>
      </c>
      <c r="B31" s="7">
        <v>1</v>
      </c>
      <c r="C31" s="18">
        <v>230</v>
      </c>
      <c r="D31" s="7" t="s">
        <v>290</v>
      </c>
      <c r="E31" s="7" t="s">
        <v>267</v>
      </c>
      <c r="F31" s="19">
        <v>230</v>
      </c>
      <c r="G31" s="7" t="s">
        <v>188</v>
      </c>
      <c r="H31" s="20">
        <v>5</v>
      </c>
      <c r="I31" s="10">
        <f>MAX(('Geometry'!$G$13*COS(RADIANS(F31))+'Geometry'!$F$13*SIN(RADIANS(F31))),('Geometry'!$G$14*COS(RADIANS(F31))+'Geometry'!$F$14*SIN(RADIANS(F31))),('Geometry'!$G$15*COS(RADIANS(F31))+'Geometry'!$F$15*SIN(RADIANS(F31))),('Geometry'!$G$16*COS(RADIANS(F31))+'Geometry'!$F$16*SIN(RADIANS(F31))),('Geometry'!$G$17*COS(RADIANS(F31))+'Geometry'!$F$17*SIN(RADIANS(F31))),('Geometry'!$G$18*COS(RADIANS(F31))+'Geometry'!$F$18*SIN(RADIANS(F31))),('Geometry'!$G$19*COS(RADIANS(F31))+'Geometry'!$F$19*SIN(RADIANS(F31))),('Geometry'!$G$20*COS(RADIANS(F31))+'Geometry'!$F$20*SIN(RADIANS(F31))))</f>
        <v>831.6483762138491</v>
      </c>
      <c r="J31" s="10">
        <f>MIN(('Geometry'!$G$40*COS(RADIANS(F31))+'Geometry'!$F$40*SIN(RADIANS(F31))),('Geometry'!$G$41*COS(RADIANS(F31))+'Geometry'!$F$41*SIN(RADIANS(F31))),('Geometry'!$G$42*COS(RADIANS(F31))+'Geometry'!$F$42*SIN(RADIANS(F31))),('Geometry'!$G$43*COS(RADIANS(F31))+'Geometry'!$F$43*SIN(RADIANS(F31))),('Geometry'!$G$44*COS(RADIANS(F31))+'Geometry'!$F$44*SIN(RADIANS(F31))),('Geometry'!$G$45*COS(RADIANS(F31))+'Geometry'!$F$45*SIN(RADIANS(F31))),('Geometry'!$G$46*COS(RADIANS(F31))+'Geometry'!$F$46*SIN(RADIANS(F31))),('Geometry'!$G$47*COS(RADIANS(F31))+'Geometry'!$F$47*SIN(RADIANS(F31))),('Geometry'!$G$48*COS(RADIANS(F31))+'Geometry'!$F$48*SIN(RADIANS(F31))),('Geometry'!$G$49*COS(RADIANS(F31))+'Geometry'!$F$49*SIN(RADIANS(F31))),('Geometry'!$G$50*COS(RADIANS(F31))+'Geometry'!$F$50*SIN(RADIANS(F31))),('Geometry'!$G$51*COS(RADIANS(F31))+'Geometry'!$F$51*SIN(RADIANS(F31))),('Geometry'!$G$52*COS(RADIANS(F31))+'Geometry'!$F$52*SIN(RADIANS(F31))),('Geometry'!$G$53*COS(RADIANS(F31))+'Geometry'!$F$53*SIN(RADIANS(F31))),('Geometry'!$G$54*COS(RADIANS(F31))+'Geometry'!$F$54*SIN(RADIANS(F31))),('Geometry'!$G$55*COS(RADIANS(F31))+'Geometry'!$F$55*SIN(RADIANS(F31))),('Geometry'!$G$56*COS(RADIANS(F31))+'Geometry'!$F$56*SIN(RADIANS(F31))),('Geometry'!$G$57*COS(RADIANS(F31))+'Geometry'!$F$57*SIN(RADIANS(F31))))</f>
        <v>-713.7465042268668</v>
      </c>
      <c r="K31" s="10">
        <f>I31-MIN(('Geometry'!$G$13*COS(RADIANS(F31))+'Geometry'!$F$13*SIN(RADIANS(F31))),('Geometry'!$G$14*COS(RADIANS(F31))+'Geometry'!$F$14*SIN(RADIANS(F31))),('Geometry'!$G$15*COS(RADIANS(F31))+'Geometry'!$F$15*SIN(RADIANS(F31))),('Geometry'!$G$16*COS(RADIANS(F31))+'Geometry'!$F$16*SIN(RADIANS(F31))),('Geometry'!$G$17*COS(RADIANS(F31))+'Geometry'!$F$17*SIN(RADIANS(F31))),('Geometry'!$G$18*COS(RADIANS(F31))+'Geometry'!$F$18*SIN(RADIANS(F31))),('Geometry'!$G$19*COS(RADIANS(F31))+'Geometry'!$F$19*SIN(RADIANS(F31))),('Geometry'!$G$20*COS(RADIANS(F31))+'Geometry'!$F$20*SIN(RADIANS(F31))))</f>
        <v>1663.2967524276983</v>
      </c>
      <c r="L31" s="15">
        <f>C_ecu</f>
        <v>0.0033</v>
      </c>
      <c r="M31" s="15">
        <f>-H31*S_1_fy/S_1_Es</f>
        <v>-0.01</v>
      </c>
      <c r="N31" s="21">
        <f>IF(ABS(I31-J31)&lt;0.000000000001,0,(L31-M31)/(I31-J31))</f>
        <v>0.000008606214611120689</v>
      </c>
      <c r="O31" s="15">
        <f>L31-N31*I31</f>
        <v>-0.0038573444066864245</v>
      </c>
      <c r="P31" s="21">
        <f>N31*COS(RADIANS(F31))</f>
        <v>-0.000005531968118331638</v>
      </c>
      <c r="Q31" s="21">
        <f>N31*SIN(RADIANS(F31))</f>
        <v>-0.000006592742879138359</v>
      </c>
      <c r="R31" s="10">
        <f>SUMPRODUCT(C_alpha*C_fck*(1-(1-(((O31+P31*Mesh_Y+Q31*Mesh_X))*((O31+P31*Mesh_Y+Q31*Mesh_X)&gt;0)*((O31+P31*Mesh_Y+Q31*Mesh_X)&lt;C_eco)+C_eco*((O31+P31*Mesh_Y+Q31*Mesh_X)&gt;=C_eco))/C_eco)^C_n)*(((O31+P31*Mesh_Y+Q31*Mesh_X))&gt;0),Mesh_A)/1000</f>
        <v>3895.962665028374</v>
      </c>
      <c r="S31" s="10">
        <f>SUMPRODUCT(C_alpha*C_fck*(1-(1-(((O31+P31*Mesh_Y+Q31*Mesh_X))*((O31+P31*Mesh_Y+Q31*Mesh_X)&gt;0)*((O31+P31*Mesh_Y+Q31*Mesh_X)&lt;C_eco)+C_eco*((O31+P31*Mesh_Y+Q31*Mesh_X)&gt;=C_eco))/C_eco)^C_n)*(((O31+P31*Mesh_Y+Q31*Mesh_X))&gt;0),Mesh_A,Mesh_Y)/1000000</f>
        <v>-1395.1032729581011</v>
      </c>
      <c r="T31" s="10">
        <f>SUMPRODUCT(C_alpha*C_fck*(1-(1-(((O31+P31*Mesh_Y+Q31*Mesh_X))*((O31+P31*Mesh_Y+Q31*Mesh_X)&gt;0)*((O31+P31*Mesh_Y+Q31*Mesh_X)&lt;C_eco)+C_eco*((O31+P31*Mesh_Y+Q31*Mesh_X)&gt;=C_eco))/C_eco)^C_n)*(((O31+P31*Mesh_Y+Q31*Mesh_X))&gt;0),Mesh_A,Mesh_X)/1000000</f>
        <v>-2148.654873620158</v>
      </c>
      <c r="U31" s="10">
        <f>(((MAX(MIN(S_1_Es*(O31+P31*'Geometry'!$G$40+Q31*'Geometry'!$F$40),S_1_fy),-S_1_fy))-(IF((O31+P31*'Geometry'!$G$40+Q31*'Geometry'!$F$40)&gt;0,IF((O31+P31*'Geometry'!$G$40+Q31*'Geometry'!$F$40)&lt;=C_eco,C_alpha*C_fck*(1-(1-(O31+P31*'Geometry'!$G$40+Q31*'Geometry'!$F$40)/C_eco)^C_n),C_alpha*C_fck),0)))*'Geometry'!$H$40+((MAX(MIN(S_1_Es*(O31+P31*'Geometry'!$G$41+Q31*'Geometry'!$F$41),S_1_fy),-S_1_fy))-(IF((O31+P31*'Geometry'!$G$41+Q31*'Geometry'!$F$41)&gt;0,IF((O31+P31*'Geometry'!$G$41+Q31*'Geometry'!$F$41)&lt;=C_eco,C_alpha*C_fck*(1-(1-(O31+P31*'Geometry'!$G$41+Q31*'Geometry'!$F$41)/C_eco)^C_n),C_alpha*C_fck),0)))*'Geometry'!$H$41+((MAX(MIN(S_1_Es*(O31+P31*'Geometry'!$G$42+Q31*'Geometry'!$F$42),S_1_fy),-S_1_fy))-(IF((O31+P31*'Geometry'!$G$42+Q31*'Geometry'!$F$42)&gt;0,IF((O31+P31*'Geometry'!$G$42+Q31*'Geometry'!$F$42)&lt;=C_eco,C_alpha*C_fck*(1-(1-(O31+P31*'Geometry'!$G$42+Q31*'Geometry'!$F$42)/C_eco)^C_n),C_alpha*C_fck),0)))*'Geometry'!$H$42+((MAX(MIN(S_1_Es*(O31+P31*'Geometry'!$G$43+Q31*'Geometry'!$F$43),S_1_fy),-S_1_fy))-(IF((O31+P31*'Geometry'!$G$43+Q31*'Geometry'!$F$43)&gt;0,IF((O31+P31*'Geometry'!$G$43+Q31*'Geometry'!$F$43)&lt;=C_eco,C_alpha*C_fck*(1-(1-(O31+P31*'Geometry'!$G$43+Q31*'Geometry'!$F$43)/C_eco)^C_n),C_alpha*C_fck),0)))*'Geometry'!$H$43+((MAX(MIN(S_1_Es*(O31+P31*'Geometry'!$G$44+Q31*'Geometry'!$F$44),S_1_fy),-S_1_fy))-(IF((O31+P31*'Geometry'!$G$44+Q31*'Geometry'!$F$44)&gt;0,IF((O31+P31*'Geometry'!$G$44+Q31*'Geometry'!$F$44)&lt;=C_eco,C_alpha*C_fck*(1-(1-(O31+P31*'Geometry'!$G$44+Q31*'Geometry'!$F$44)/C_eco)^C_n),C_alpha*C_fck),0)))*'Geometry'!$H$44+((MAX(MIN(S_1_Es*(O31+P31*'Geometry'!$G$45+Q31*'Geometry'!$F$45),S_1_fy),-S_1_fy))-(IF((O31+P31*'Geometry'!$G$45+Q31*'Geometry'!$F$45)&gt;0,IF((O31+P31*'Geometry'!$G$45+Q31*'Geometry'!$F$45)&lt;=C_eco,C_alpha*C_fck*(1-(1-(O31+P31*'Geometry'!$G$45+Q31*'Geometry'!$F$45)/C_eco)^C_n),C_alpha*C_fck),0)))*'Geometry'!$H$45+((MAX(MIN(S_1_Es*(O31+P31*'Geometry'!$G$46+Q31*'Geometry'!$F$46),S_1_fy),-S_1_fy))-(IF((O31+P31*'Geometry'!$G$46+Q31*'Geometry'!$F$46)&gt;0,IF((O31+P31*'Geometry'!$G$46+Q31*'Geometry'!$F$46)&lt;=C_eco,C_alpha*C_fck*(1-(1-(O31+P31*'Geometry'!$G$46+Q31*'Geometry'!$F$46)/C_eco)^C_n),C_alpha*C_fck),0)))*'Geometry'!$H$46+((MAX(MIN(S_1_Es*(O31+P31*'Geometry'!$G$47+Q31*'Geometry'!$F$47),S_1_fy),-S_1_fy))-(IF((O31+P31*'Geometry'!$G$47+Q31*'Geometry'!$F$47)&gt;0,IF((O31+P31*'Geometry'!$G$47+Q31*'Geometry'!$F$47)&lt;=C_eco,C_alpha*C_fck*(1-(1-(O31+P31*'Geometry'!$G$47+Q31*'Geometry'!$F$47)/C_eco)^C_n),C_alpha*C_fck),0)))*'Geometry'!$H$47+((MAX(MIN(S_1_Es*(O31+P31*'Geometry'!$G$48+Q31*'Geometry'!$F$48),S_1_fy),-S_1_fy))-(IF((O31+P31*'Geometry'!$G$48+Q31*'Geometry'!$F$48)&gt;0,IF((O31+P31*'Geometry'!$G$48+Q31*'Geometry'!$F$48)&lt;=C_eco,C_alpha*C_fck*(1-(1-(O31+P31*'Geometry'!$G$48+Q31*'Geometry'!$F$48)/C_eco)^C_n),C_alpha*C_fck),0)))*'Geometry'!$H$48+((MAX(MIN(S_1_Es*(O31+P31*'Geometry'!$G$49+Q31*'Geometry'!$F$49),S_1_fy),-S_1_fy))-(IF((O31+P31*'Geometry'!$G$49+Q31*'Geometry'!$F$49)&gt;0,IF((O31+P31*'Geometry'!$G$49+Q31*'Geometry'!$F$49)&lt;=C_eco,C_alpha*C_fck*(1-(1-(O31+P31*'Geometry'!$G$49+Q31*'Geometry'!$F$49)/C_eco)^C_n),C_alpha*C_fck),0)))*'Geometry'!$H$49+((MAX(MIN(S_1_Es*(O31+P31*'Geometry'!$G$50+Q31*'Geometry'!$F$50),S_1_fy),-S_1_fy))-(IF((O31+P31*'Geometry'!$G$50+Q31*'Geometry'!$F$50)&gt;0,IF((O31+P31*'Geometry'!$G$50+Q31*'Geometry'!$F$50)&lt;=C_eco,C_alpha*C_fck*(1-(1-(O31+P31*'Geometry'!$G$50+Q31*'Geometry'!$F$50)/C_eco)^C_n),C_alpha*C_fck),0)))*'Geometry'!$H$50+((MAX(MIN(S_1_Es*(O31+P31*'Geometry'!$G$51+Q31*'Geometry'!$F$51),S_1_fy),-S_1_fy))-(IF((O31+P31*'Geometry'!$G$51+Q31*'Geometry'!$F$51)&gt;0,IF((O31+P31*'Geometry'!$G$51+Q31*'Geometry'!$F$51)&lt;=C_eco,C_alpha*C_fck*(1-(1-(O31+P31*'Geometry'!$G$51+Q31*'Geometry'!$F$51)/C_eco)^C_n),C_alpha*C_fck),0)))*'Geometry'!$H$51+((MAX(MIN(S_1_Es*(O31+P31*'Geometry'!$G$52+Q31*'Geometry'!$F$52),S_1_fy),-S_1_fy))-(IF((O31+P31*'Geometry'!$G$52+Q31*'Geometry'!$F$52)&gt;0,IF((O31+P31*'Geometry'!$G$52+Q31*'Geometry'!$F$52)&lt;=C_eco,C_alpha*C_fck*(1-(1-(O31+P31*'Geometry'!$G$52+Q31*'Geometry'!$F$52)/C_eco)^C_n),C_alpha*C_fck),0)))*'Geometry'!$H$52+((MAX(MIN(S_1_Es*(O31+P31*'Geometry'!$G$53+Q31*'Geometry'!$F$53),S_1_fy),-S_1_fy))-(IF((O31+P31*'Geometry'!$G$53+Q31*'Geometry'!$F$53)&gt;0,IF((O31+P31*'Geometry'!$G$53+Q31*'Geometry'!$F$53)&lt;=C_eco,C_alpha*C_fck*(1-(1-(O31+P31*'Geometry'!$G$53+Q31*'Geometry'!$F$53)/C_eco)^C_n),C_alpha*C_fck),0)))*'Geometry'!$H$53+((MAX(MIN(S_1_Es*(O31+P31*'Geometry'!$G$54+Q31*'Geometry'!$F$54),S_1_fy),-S_1_fy))-(IF((O31+P31*'Geometry'!$G$54+Q31*'Geometry'!$F$54)&gt;0,IF((O31+P31*'Geometry'!$G$54+Q31*'Geometry'!$F$54)&lt;=C_eco,C_alpha*C_fck*(1-(1-(O31+P31*'Geometry'!$G$54+Q31*'Geometry'!$F$54)/C_eco)^C_n),C_alpha*C_fck),0)))*'Geometry'!$H$54+((MAX(MIN(S_1_Es*(O31+P31*'Geometry'!$G$55+Q31*'Geometry'!$F$55),S_1_fy),-S_1_fy))-(IF((O31+P31*'Geometry'!$G$55+Q31*'Geometry'!$F$55)&gt;0,IF((O31+P31*'Geometry'!$G$55+Q31*'Geometry'!$F$55)&lt;=C_eco,C_alpha*C_fck*(1-(1-(O31+P31*'Geometry'!$G$55+Q31*'Geometry'!$F$55)/C_eco)^C_n),C_alpha*C_fck),0)))*'Geometry'!$H$55+((MAX(MIN(S_1_Es*(O31+P31*'Geometry'!$G$56+Q31*'Geometry'!$F$56),S_1_fy),-S_1_fy))-(IF((O31+P31*'Geometry'!$G$56+Q31*'Geometry'!$F$56)&gt;0,IF((O31+P31*'Geometry'!$G$56+Q31*'Geometry'!$F$56)&lt;=C_eco,C_alpha*C_fck*(1-(1-(O31+P31*'Geometry'!$G$56+Q31*'Geometry'!$F$56)/C_eco)^C_n),C_alpha*C_fck),0)))*'Geometry'!$H$56+((MAX(MIN(S_1_Es*(O31+P31*'Geometry'!$G$57+Q31*'Geometry'!$F$57),S_1_fy),-S_1_fy))-(IF((O31+P31*'Geometry'!$G$57+Q31*'Geometry'!$F$57)&gt;0,IF((O31+P31*'Geometry'!$G$57+Q31*'Geometry'!$F$57)&lt;=C_eco,C_alpha*C_fck*(1-(1-(O31+P31*'Geometry'!$G$57+Q31*'Geometry'!$F$57)/C_eco)^C_n),C_alpha*C_fck),0)))*'Geometry'!$H$57)/1000</f>
        <v>-3058.6548071700217</v>
      </c>
      <c r="V31" s="10">
        <f>(((MAX(MIN(S_1_Es*(O31+P31*'Geometry'!$G$40+Q31*'Geometry'!$F$40),S_1_fy),-S_1_fy))-(IF((O31+P31*'Geometry'!$G$40+Q31*'Geometry'!$F$40)&gt;0,IF((O31+P31*'Geometry'!$G$40+Q31*'Geometry'!$F$40)&lt;=C_eco,C_alpha*C_fck*(1-(1-(O31+P31*'Geometry'!$G$40+Q31*'Geometry'!$F$40)/C_eco)^C_n),C_alpha*C_fck),0)))*'Geometry'!$H$40*'Geometry'!$G$40+((MAX(MIN(S_1_Es*(O31+P31*'Geometry'!$G$41+Q31*'Geometry'!$F$41),S_1_fy),-S_1_fy))-(IF((O31+P31*'Geometry'!$G$41+Q31*'Geometry'!$F$41)&gt;0,IF((O31+P31*'Geometry'!$G$41+Q31*'Geometry'!$F$41)&lt;=C_eco,C_alpha*C_fck*(1-(1-(O31+P31*'Geometry'!$G$41+Q31*'Geometry'!$F$41)/C_eco)^C_n),C_alpha*C_fck),0)))*'Geometry'!$H$41*'Geometry'!$G$41+((MAX(MIN(S_1_Es*(O31+P31*'Geometry'!$G$42+Q31*'Geometry'!$F$42),S_1_fy),-S_1_fy))-(IF((O31+P31*'Geometry'!$G$42+Q31*'Geometry'!$F$42)&gt;0,IF((O31+P31*'Geometry'!$G$42+Q31*'Geometry'!$F$42)&lt;=C_eco,C_alpha*C_fck*(1-(1-(O31+P31*'Geometry'!$G$42+Q31*'Geometry'!$F$42)/C_eco)^C_n),C_alpha*C_fck),0)))*'Geometry'!$H$42*'Geometry'!$G$42+((MAX(MIN(S_1_Es*(O31+P31*'Geometry'!$G$43+Q31*'Geometry'!$F$43),S_1_fy),-S_1_fy))-(IF((O31+P31*'Geometry'!$G$43+Q31*'Geometry'!$F$43)&gt;0,IF((O31+P31*'Geometry'!$G$43+Q31*'Geometry'!$F$43)&lt;=C_eco,C_alpha*C_fck*(1-(1-(O31+P31*'Geometry'!$G$43+Q31*'Geometry'!$F$43)/C_eco)^C_n),C_alpha*C_fck),0)))*'Geometry'!$H$43*'Geometry'!$G$43+((MAX(MIN(S_1_Es*(O31+P31*'Geometry'!$G$44+Q31*'Geometry'!$F$44),S_1_fy),-S_1_fy))-(IF((O31+P31*'Geometry'!$G$44+Q31*'Geometry'!$F$44)&gt;0,IF((O31+P31*'Geometry'!$G$44+Q31*'Geometry'!$F$44)&lt;=C_eco,C_alpha*C_fck*(1-(1-(O31+P31*'Geometry'!$G$44+Q31*'Geometry'!$F$44)/C_eco)^C_n),C_alpha*C_fck),0)))*'Geometry'!$H$44*'Geometry'!$G$44+((MAX(MIN(S_1_Es*(O31+P31*'Geometry'!$G$45+Q31*'Geometry'!$F$45),S_1_fy),-S_1_fy))-(IF((O31+P31*'Geometry'!$G$45+Q31*'Geometry'!$F$45)&gt;0,IF((O31+P31*'Geometry'!$G$45+Q31*'Geometry'!$F$45)&lt;=C_eco,C_alpha*C_fck*(1-(1-(O31+P31*'Geometry'!$G$45+Q31*'Geometry'!$F$45)/C_eco)^C_n),C_alpha*C_fck),0)))*'Geometry'!$H$45*'Geometry'!$G$45+((MAX(MIN(S_1_Es*(O31+P31*'Geometry'!$G$46+Q31*'Geometry'!$F$46),S_1_fy),-S_1_fy))-(IF((O31+P31*'Geometry'!$G$46+Q31*'Geometry'!$F$46)&gt;0,IF((O31+P31*'Geometry'!$G$46+Q31*'Geometry'!$F$46)&lt;=C_eco,C_alpha*C_fck*(1-(1-(O31+P31*'Geometry'!$G$46+Q31*'Geometry'!$F$46)/C_eco)^C_n),C_alpha*C_fck),0)))*'Geometry'!$H$46*'Geometry'!$G$46+((MAX(MIN(S_1_Es*(O31+P31*'Geometry'!$G$47+Q31*'Geometry'!$F$47),S_1_fy),-S_1_fy))-(IF((O31+P31*'Geometry'!$G$47+Q31*'Geometry'!$F$47)&gt;0,IF((O31+P31*'Geometry'!$G$47+Q31*'Geometry'!$F$47)&lt;=C_eco,C_alpha*C_fck*(1-(1-(O31+P31*'Geometry'!$G$47+Q31*'Geometry'!$F$47)/C_eco)^C_n),C_alpha*C_fck),0)))*'Geometry'!$H$47*'Geometry'!$G$47+((MAX(MIN(S_1_Es*(O31+P31*'Geometry'!$G$48+Q31*'Geometry'!$F$48),S_1_fy),-S_1_fy))-(IF((O31+P31*'Geometry'!$G$48+Q31*'Geometry'!$F$48)&gt;0,IF((O31+P31*'Geometry'!$G$48+Q31*'Geometry'!$F$48)&lt;=C_eco,C_alpha*C_fck*(1-(1-(O31+P31*'Geometry'!$G$48+Q31*'Geometry'!$F$48)/C_eco)^C_n),C_alpha*C_fck),0)))*'Geometry'!$H$48*'Geometry'!$G$48+((MAX(MIN(S_1_Es*(O31+P31*'Geometry'!$G$49+Q31*'Geometry'!$F$49),S_1_fy),-S_1_fy))-(IF((O31+P31*'Geometry'!$G$49+Q31*'Geometry'!$F$49)&gt;0,IF((O31+P31*'Geometry'!$G$49+Q31*'Geometry'!$F$49)&lt;=C_eco,C_alpha*C_fck*(1-(1-(O31+P31*'Geometry'!$G$49+Q31*'Geometry'!$F$49)/C_eco)^C_n),C_alpha*C_fck),0)))*'Geometry'!$H$49*'Geometry'!$G$49+((MAX(MIN(S_1_Es*(O31+P31*'Geometry'!$G$50+Q31*'Geometry'!$F$50),S_1_fy),-S_1_fy))-(IF((O31+P31*'Geometry'!$G$50+Q31*'Geometry'!$F$50)&gt;0,IF((O31+P31*'Geometry'!$G$50+Q31*'Geometry'!$F$50)&lt;=C_eco,C_alpha*C_fck*(1-(1-(O31+P31*'Geometry'!$G$50+Q31*'Geometry'!$F$50)/C_eco)^C_n),C_alpha*C_fck),0)))*'Geometry'!$H$50*'Geometry'!$G$50+((MAX(MIN(S_1_Es*(O31+P31*'Geometry'!$G$51+Q31*'Geometry'!$F$51),S_1_fy),-S_1_fy))-(IF((O31+P31*'Geometry'!$G$51+Q31*'Geometry'!$F$51)&gt;0,IF((O31+P31*'Geometry'!$G$51+Q31*'Geometry'!$F$51)&lt;=C_eco,C_alpha*C_fck*(1-(1-(O31+P31*'Geometry'!$G$51+Q31*'Geometry'!$F$51)/C_eco)^C_n),C_alpha*C_fck),0)))*'Geometry'!$H$51*'Geometry'!$G$51+((MAX(MIN(S_1_Es*(O31+P31*'Geometry'!$G$52+Q31*'Geometry'!$F$52),S_1_fy),-S_1_fy))-(IF((O31+P31*'Geometry'!$G$52+Q31*'Geometry'!$F$52)&gt;0,IF((O31+P31*'Geometry'!$G$52+Q31*'Geometry'!$F$52)&lt;=C_eco,C_alpha*C_fck*(1-(1-(O31+P31*'Geometry'!$G$52+Q31*'Geometry'!$F$52)/C_eco)^C_n),C_alpha*C_fck),0)))*'Geometry'!$H$52*'Geometry'!$G$52+((MAX(MIN(S_1_Es*(O31+P31*'Geometry'!$G$53+Q31*'Geometry'!$F$53),S_1_fy),-S_1_fy))-(IF((O31+P31*'Geometry'!$G$53+Q31*'Geometry'!$F$53)&gt;0,IF((O31+P31*'Geometry'!$G$53+Q31*'Geometry'!$F$53)&lt;=C_eco,C_alpha*C_fck*(1-(1-(O31+P31*'Geometry'!$G$53+Q31*'Geometry'!$F$53)/C_eco)^C_n),C_alpha*C_fck),0)))*'Geometry'!$H$53*'Geometry'!$G$53+((MAX(MIN(S_1_Es*(O31+P31*'Geometry'!$G$54+Q31*'Geometry'!$F$54),S_1_fy),-S_1_fy))-(IF((O31+P31*'Geometry'!$G$54+Q31*'Geometry'!$F$54)&gt;0,IF((O31+P31*'Geometry'!$G$54+Q31*'Geometry'!$F$54)&lt;=C_eco,C_alpha*C_fck*(1-(1-(O31+P31*'Geometry'!$G$54+Q31*'Geometry'!$F$54)/C_eco)^C_n),C_alpha*C_fck),0)))*'Geometry'!$H$54*'Geometry'!$G$54+((MAX(MIN(S_1_Es*(O31+P31*'Geometry'!$G$55+Q31*'Geometry'!$F$55),S_1_fy),-S_1_fy))-(IF((O31+P31*'Geometry'!$G$55+Q31*'Geometry'!$F$55)&gt;0,IF((O31+P31*'Geometry'!$G$55+Q31*'Geometry'!$F$55)&lt;=C_eco,C_alpha*C_fck*(1-(1-(O31+P31*'Geometry'!$G$55+Q31*'Geometry'!$F$55)/C_eco)^C_n),C_alpha*C_fck),0)))*'Geometry'!$H$55*'Geometry'!$G$55+((MAX(MIN(S_1_Es*(O31+P31*'Geometry'!$G$56+Q31*'Geometry'!$F$56),S_1_fy),-S_1_fy))-(IF((O31+P31*'Geometry'!$G$56+Q31*'Geometry'!$F$56)&gt;0,IF((O31+P31*'Geometry'!$G$56+Q31*'Geometry'!$F$56)&lt;=C_eco,C_alpha*C_fck*(1-(1-(O31+P31*'Geometry'!$G$56+Q31*'Geometry'!$F$56)/C_eco)^C_n),C_alpha*C_fck),0)))*'Geometry'!$H$56*'Geometry'!$G$56+((MAX(MIN(S_1_Es*(O31+P31*'Geometry'!$G$57+Q31*'Geometry'!$F$57),S_1_fy),-S_1_fy))-(IF((O31+P31*'Geometry'!$G$57+Q31*'Geometry'!$F$57)&gt;0,IF((O31+P31*'Geometry'!$G$57+Q31*'Geometry'!$F$57)&lt;=C_eco,C_alpha*C_fck*(1-(1-(O31+P31*'Geometry'!$G$57+Q31*'Geometry'!$F$57)/C_eco)^C_n),C_alpha*C_fck),0)))*'Geometry'!$H$57*'Geometry'!$G$57)/1000000</f>
        <v>-754.0360780596267</v>
      </c>
      <c r="W31" s="10">
        <f>(((MAX(MIN(S_1_Es*(O31+P31*'Geometry'!$G$40+Q31*'Geometry'!$F$40),S_1_fy),-S_1_fy))-(IF((O31+P31*'Geometry'!$G$40+Q31*'Geometry'!$F$40)&gt;0,IF((O31+P31*'Geometry'!$G$40+Q31*'Geometry'!$F$40)&lt;=C_eco,C_alpha*C_fck*(1-(1-(O31+P31*'Geometry'!$G$40+Q31*'Geometry'!$F$40)/C_eco)^C_n),C_alpha*C_fck),0)))*'Geometry'!$H$40*'Geometry'!$F$40+((MAX(MIN(S_1_Es*(O31+P31*'Geometry'!$G$41+Q31*'Geometry'!$F$41),S_1_fy),-S_1_fy))-(IF((O31+P31*'Geometry'!$G$41+Q31*'Geometry'!$F$41)&gt;0,IF((O31+P31*'Geometry'!$G$41+Q31*'Geometry'!$F$41)&lt;=C_eco,C_alpha*C_fck*(1-(1-(O31+P31*'Geometry'!$G$41+Q31*'Geometry'!$F$41)/C_eco)^C_n),C_alpha*C_fck),0)))*'Geometry'!$H$41*'Geometry'!$F$41+((MAX(MIN(S_1_Es*(O31+P31*'Geometry'!$G$42+Q31*'Geometry'!$F$42),S_1_fy),-S_1_fy))-(IF((O31+P31*'Geometry'!$G$42+Q31*'Geometry'!$F$42)&gt;0,IF((O31+P31*'Geometry'!$G$42+Q31*'Geometry'!$F$42)&lt;=C_eco,C_alpha*C_fck*(1-(1-(O31+P31*'Geometry'!$G$42+Q31*'Geometry'!$F$42)/C_eco)^C_n),C_alpha*C_fck),0)))*'Geometry'!$H$42*'Geometry'!$F$42+((MAX(MIN(S_1_Es*(O31+P31*'Geometry'!$G$43+Q31*'Geometry'!$F$43),S_1_fy),-S_1_fy))-(IF((O31+P31*'Geometry'!$G$43+Q31*'Geometry'!$F$43)&gt;0,IF((O31+P31*'Geometry'!$G$43+Q31*'Geometry'!$F$43)&lt;=C_eco,C_alpha*C_fck*(1-(1-(O31+P31*'Geometry'!$G$43+Q31*'Geometry'!$F$43)/C_eco)^C_n),C_alpha*C_fck),0)))*'Geometry'!$H$43*'Geometry'!$F$43+((MAX(MIN(S_1_Es*(O31+P31*'Geometry'!$G$44+Q31*'Geometry'!$F$44),S_1_fy),-S_1_fy))-(IF((O31+P31*'Geometry'!$G$44+Q31*'Geometry'!$F$44)&gt;0,IF((O31+P31*'Geometry'!$G$44+Q31*'Geometry'!$F$44)&lt;=C_eco,C_alpha*C_fck*(1-(1-(O31+P31*'Geometry'!$G$44+Q31*'Geometry'!$F$44)/C_eco)^C_n),C_alpha*C_fck),0)))*'Geometry'!$H$44*'Geometry'!$F$44+((MAX(MIN(S_1_Es*(O31+P31*'Geometry'!$G$45+Q31*'Geometry'!$F$45),S_1_fy),-S_1_fy))-(IF((O31+P31*'Geometry'!$G$45+Q31*'Geometry'!$F$45)&gt;0,IF((O31+P31*'Geometry'!$G$45+Q31*'Geometry'!$F$45)&lt;=C_eco,C_alpha*C_fck*(1-(1-(O31+P31*'Geometry'!$G$45+Q31*'Geometry'!$F$45)/C_eco)^C_n),C_alpha*C_fck),0)))*'Geometry'!$H$45*'Geometry'!$F$45+((MAX(MIN(S_1_Es*(O31+P31*'Geometry'!$G$46+Q31*'Geometry'!$F$46),S_1_fy),-S_1_fy))-(IF((O31+P31*'Geometry'!$G$46+Q31*'Geometry'!$F$46)&gt;0,IF((O31+P31*'Geometry'!$G$46+Q31*'Geometry'!$F$46)&lt;=C_eco,C_alpha*C_fck*(1-(1-(O31+P31*'Geometry'!$G$46+Q31*'Geometry'!$F$46)/C_eco)^C_n),C_alpha*C_fck),0)))*'Geometry'!$H$46*'Geometry'!$F$46+((MAX(MIN(S_1_Es*(O31+P31*'Geometry'!$G$47+Q31*'Geometry'!$F$47),S_1_fy),-S_1_fy))-(IF((O31+P31*'Geometry'!$G$47+Q31*'Geometry'!$F$47)&gt;0,IF((O31+P31*'Geometry'!$G$47+Q31*'Geometry'!$F$47)&lt;=C_eco,C_alpha*C_fck*(1-(1-(O31+P31*'Geometry'!$G$47+Q31*'Geometry'!$F$47)/C_eco)^C_n),C_alpha*C_fck),0)))*'Geometry'!$H$47*'Geometry'!$F$47+((MAX(MIN(S_1_Es*(O31+P31*'Geometry'!$G$48+Q31*'Geometry'!$F$48),S_1_fy),-S_1_fy))-(IF((O31+P31*'Geometry'!$G$48+Q31*'Geometry'!$F$48)&gt;0,IF((O31+P31*'Geometry'!$G$48+Q31*'Geometry'!$F$48)&lt;=C_eco,C_alpha*C_fck*(1-(1-(O31+P31*'Geometry'!$G$48+Q31*'Geometry'!$F$48)/C_eco)^C_n),C_alpha*C_fck),0)))*'Geometry'!$H$48*'Geometry'!$F$48+((MAX(MIN(S_1_Es*(O31+P31*'Geometry'!$G$49+Q31*'Geometry'!$F$49),S_1_fy),-S_1_fy))-(IF((O31+P31*'Geometry'!$G$49+Q31*'Geometry'!$F$49)&gt;0,IF((O31+P31*'Geometry'!$G$49+Q31*'Geometry'!$F$49)&lt;=C_eco,C_alpha*C_fck*(1-(1-(O31+P31*'Geometry'!$G$49+Q31*'Geometry'!$F$49)/C_eco)^C_n),C_alpha*C_fck),0)))*'Geometry'!$H$49*'Geometry'!$F$49+((MAX(MIN(S_1_Es*(O31+P31*'Geometry'!$G$50+Q31*'Geometry'!$F$50),S_1_fy),-S_1_fy))-(IF((O31+P31*'Geometry'!$G$50+Q31*'Geometry'!$F$50)&gt;0,IF((O31+P31*'Geometry'!$G$50+Q31*'Geometry'!$F$50)&lt;=C_eco,C_alpha*C_fck*(1-(1-(O31+P31*'Geometry'!$G$50+Q31*'Geometry'!$F$50)/C_eco)^C_n),C_alpha*C_fck),0)))*'Geometry'!$H$50*'Geometry'!$F$50+((MAX(MIN(S_1_Es*(O31+P31*'Geometry'!$G$51+Q31*'Geometry'!$F$51),S_1_fy),-S_1_fy))-(IF((O31+P31*'Geometry'!$G$51+Q31*'Geometry'!$F$51)&gt;0,IF((O31+P31*'Geometry'!$G$51+Q31*'Geometry'!$F$51)&lt;=C_eco,C_alpha*C_fck*(1-(1-(O31+P31*'Geometry'!$G$51+Q31*'Geometry'!$F$51)/C_eco)^C_n),C_alpha*C_fck),0)))*'Geometry'!$H$51*'Geometry'!$F$51+((MAX(MIN(S_1_Es*(O31+P31*'Geometry'!$G$52+Q31*'Geometry'!$F$52),S_1_fy),-S_1_fy))-(IF((O31+P31*'Geometry'!$G$52+Q31*'Geometry'!$F$52)&gt;0,IF((O31+P31*'Geometry'!$G$52+Q31*'Geometry'!$F$52)&lt;=C_eco,C_alpha*C_fck*(1-(1-(O31+P31*'Geometry'!$G$52+Q31*'Geometry'!$F$52)/C_eco)^C_n),C_alpha*C_fck),0)))*'Geometry'!$H$52*'Geometry'!$F$52+((MAX(MIN(S_1_Es*(O31+P31*'Geometry'!$G$53+Q31*'Geometry'!$F$53),S_1_fy),-S_1_fy))-(IF((O31+P31*'Geometry'!$G$53+Q31*'Geometry'!$F$53)&gt;0,IF((O31+P31*'Geometry'!$G$53+Q31*'Geometry'!$F$53)&lt;=C_eco,C_alpha*C_fck*(1-(1-(O31+P31*'Geometry'!$G$53+Q31*'Geometry'!$F$53)/C_eco)^C_n),C_alpha*C_fck),0)))*'Geometry'!$H$53*'Geometry'!$F$53+((MAX(MIN(S_1_Es*(O31+P31*'Geometry'!$G$54+Q31*'Geometry'!$F$54),S_1_fy),-S_1_fy))-(IF((O31+P31*'Geometry'!$G$54+Q31*'Geometry'!$F$54)&gt;0,IF((O31+P31*'Geometry'!$G$54+Q31*'Geometry'!$F$54)&lt;=C_eco,C_alpha*C_fck*(1-(1-(O31+P31*'Geometry'!$G$54+Q31*'Geometry'!$F$54)/C_eco)^C_n),C_alpha*C_fck),0)))*'Geometry'!$H$54*'Geometry'!$F$54+((MAX(MIN(S_1_Es*(O31+P31*'Geometry'!$G$55+Q31*'Geometry'!$F$55),S_1_fy),-S_1_fy))-(IF((O31+P31*'Geometry'!$G$55+Q31*'Geometry'!$F$55)&gt;0,IF((O31+P31*'Geometry'!$G$55+Q31*'Geometry'!$F$55)&lt;=C_eco,C_alpha*C_fck*(1-(1-(O31+P31*'Geometry'!$G$55+Q31*'Geometry'!$F$55)/C_eco)^C_n),C_alpha*C_fck),0)))*'Geometry'!$H$55*'Geometry'!$F$55+((MAX(MIN(S_1_Es*(O31+P31*'Geometry'!$G$56+Q31*'Geometry'!$F$56),S_1_fy),-S_1_fy))-(IF((O31+P31*'Geometry'!$G$56+Q31*'Geometry'!$F$56)&gt;0,IF((O31+P31*'Geometry'!$G$56+Q31*'Geometry'!$F$56)&lt;=C_eco,C_alpha*C_fck*(1-(1-(O31+P31*'Geometry'!$G$56+Q31*'Geometry'!$F$56)/C_eco)^C_n),C_alpha*C_fck),0)))*'Geometry'!$H$56*'Geometry'!$F$56+((MAX(MIN(S_1_Es*(O31+P31*'Geometry'!$G$57+Q31*'Geometry'!$F$57),S_1_fy),-S_1_fy))-(IF((O31+P31*'Geometry'!$G$57+Q31*'Geometry'!$F$57)&gt;0,IF((O31+P31*'Geometry'!$G$57+Q31*'Geometry'!$F$57)&lt;=C_eco,C_alpha*C_fck*(1-(1-(O31+P31*'Geometry'!$G$57+Q31*'Geometry'!$F$57)/C_eco)^C_n),C_alpha*C_fck),0)))*'Geometry'!$H$57*'Geometry'!$F$57)/1000000</f>
        <v>-1397.3507270864889</v>
      </c>
      <c r="X31" s="10">
        <f>R31+U31</f>
        <v>837.3078578583523</v>
      </c>
      <c r="Y31" s="10">
        <f>S31+V31</f>
        <v>-2149.1393510177277</v>
      </c>
      <c r="Z31" s="10">
        <f>T31+W31</f>
        <v>-3546.005600706647</v>
      </c>
      <c r="AA31" s="7">
        <v>0.85</v>
      </c>
      <c r="AB31" s="7">
        <v>0.8500000000000001</v>
      </c>
      <c r="AC31" s="10">
        <f>X31*AA31</f>
        <v>711.7116791795995</v>
      </c>
      <c r="AD31" s="10">
        <f>Y31*AB31</f>
        <v>-1826.7684483650687</v>
      </c>
      <c r="AE31" s="10">
        <f>Z31*AB31</f>
        <v>-3014.10476060065</v>
      </c>
      <c r="AF31" s="7">
        <v>711.7116791795995</v>
      </c>
      <c r="AG31" s="7">
        <v>-1826.7684483650687</v>
      </c>
      <c r="AH31" s="7">
        <v>-3014.10476060065</v>
      </c>
      <c r="AI31" s="15">
        <f>AC31-AF31</f>
        <v>0</v>
      </c>
      <c r="AJ31" s="15">
        <f>SQRT((AD31-AG31)^2+(AE31-AH31)^2)</f>
        <v>0</v>
      </c>
      <c r="AK31" s="7" t="s">
        <v>189</v>
      </c>
      <c r="AL31" s="7">
        <v>837.3078578583523</v>
      </c>
      <c r="AM31" s="7">
        <v>-2149.1393510177277</v>
      </c>
      <c r="AN31" s="7">
        <v>-3546.005600706647</v>
      </c>
      <c r="AO31" s="7">
        <v>3895.962665028374</v>
      </c>
      <c r="AP31" s="7">
        <v>-1395.1032729581011</v>
      </c>
      <c r="AQ31" s="7">
        <v>-2148.654873620158</v>
      </c>
      <c r="AR31" s="7">
        <v>-3058.6548071700217</v>
      </c>
      <c r="AS31" s="7">
        <v>-754.0360780596267</v>
      </c>
      <c r="AT31" s="7">
        <v>-1397.3507270864889</v>
      </c>
    </row>
    <row r="32" spans="1:46" x14ac:dyDescent="0.25">
      <c r="A32" s="7" t="s">
        <v>238</v>
      </c>
      <c r="B32" s="7">
        <v>1</v>
      </c>
      <c r="C32" s="18">
        <v>240</v>
      </c>
      <c r="D32" s="7" t="s">
        <v>291</v>
      </c>
      <c r="E32" s="7" t="s">
        <v>267</v>
      </c>
      <c r="F32" s="19">
        <v>239.99999999999994</v>
      </c>
      <c r="G32" s="7" t="s">
        <v>188</v>
      </c>
      <c r="H32" s="20">
        <v>4.999999999999999</v>
      </c>
      <c r="I32" s="10">
        <f>MAX(('Geometry'!$G$13*COS(RADIANS(F32))+'Geometry'!$F$13*SIN(RADIANS(F32))),('Geometry'!$G$14*COS(RADIANS(F32))+'Geometry'!$F$14*SIN(RADIANS(F32))),('Geometry'!$G$15*COS(RADIANS(F32))+'Geometry'!$F$15*SIN(RADIANS(F32))),('Geometry'!$G$16*COS(RADIANS(F32))+'Geometry'!$F$16*SIN(RADIANS(F32))),('Geometry'!$G$17*COS(RADIANS(F32))+'Geometry'!$F$17*SIN(RADIANS(F32))),('Geometry'!$G$18*COS(RADIANS(F32))+'Geometry'!$F$18*SIN(RADIANS(F32))),('Geometry'!$G$19*COS(RADIANS(F32))+'Geometry'!$F$19*SIN(RADIANS(F32))),('Geometry'!$G$20*COS(RADIANS(F32))+'Geometry'!$F$20*SIN(RADIANS(F32))))</f>
        <v>849.5190528383289</v>
      </c>
      <c r="J32" s="10">
        <f>MIN(('Geometry'!$G$40*COS(RADIANS(F32))+'Geometry'!$F$40*SIN(RADIANS(F32))),('Geometry'!$G$41*COS(RADIANS(F32))+'Geometry'!$F$41*SIN(RADIANS(F32))),('Geometry'!$G$42*COS(RADIANS(F32))+'Geometry'!$F$42*SIN(RADIANS(F32))),('Geometry'!$G$43*COS(RADIANS(F32))+'Geometry'!$F$43*SIN(RADIANS(F32))),('Geometry'!$G$44*COS(RADIANS(F32))+'Geometry'!$F$44*SIN(RADIANS(F32))),('Geometry'!$G$45*COS(RADIANS(F32))+'Geometry'!$F$45*SIN(RADIANS(F32))),('Geometry'!$G$46*COS(RADIANS(F32))+'Geometry'!$F$46*SIN(RADIANS(F32))),('Geometry'!$G$47*COS(RADIANS(F32))+'Geometry'!$F$47*SIN(RADIANS(F32))),('Geometry'!$G$48*COS(RADIANS(F32))+'Geometry'!$F$48*SIN(RADIANS(F32))),('Geometry'!$G$49*COS(RADIANS(F32))+'Geometry'!$F$49*SIN(RADIANS(F32))),('Geometry'!$G$50*COS(RADIANS(F32))+'Geometry'!$F$50*SIN(RADIANS(F32))),('Geometry'!$G$51*COS(RADIANS(F32))+'Geometry'!$F$51*SIN(RADIANS(F32))),('Geometry'!$G$52*COS(RADIANS(F32))+'Geometry'!$F$52*SIN(RADIANS(F32))),('Geometry'!$G$53*COS(RADIANS(F32))+'Geometry'!$F$53*SIN(RADIANS(F32))),('Geometry'!$G$54*COS(RADIANS(F32))+'Geometry'!$F$54*SIN(RADIANS(F32))),('Geometry'!$G$55*COS(RADIANS(F32))+'Geometry'!$F$55*SIN(RADIANS(F32))),('Geometry'!$G$56*COS(RADIANS(F32))+'Geometry'!$F$56*SIN(RADIANS(F32))),('Geometry'!$G$57*COS(RADIANS(F32))+'Geometry'!$F$57*SIN(RADIANS(F32))))</f>
        <v>-738.8972745734181</v>
      </c>
      <c r="K32" s="10">
        <f>I32-MIN(('Geometry'!$G$13*COS(RADIANS(F32))+'Geometry'!$F$13*SIN(RADIANS(F32))),('Geometry'!$G$14*COS(RADIANS(F32))+'Geometry'!$F$14*SIN(RADIANS(F32))),('Geometry'!$G$15*COS(RADIANS(F32))+'Geometry'!$F$15*SIN(RADIANS(F32))),('Geometry'!$G$16*COS(RADIANS(F32))+'Geometry'!$F$16*SIN(RADIANS(F32))),('Geometry'!$G$17*COS(RADIANS(F32))+'Geometry'!$F$17*SIN(RADIANS(F32))),('Geometry'!$G$18*COS(RADIANS(F32))+'Geometry'!$F$18*SIN(RADIANS(F32))),('Geometry'!$G$19*COS(RADIANS(F32))+'Geometry'!$F$19*SIN(RADIANS(F32))),('Geometry'!$G$20*COS(RADIANS(F32))+'Geometry'!$F$20*SIN(RADIANS(F32))))</f>
        <v>1699.0381056766578</v>
      </c>
      <c r="L32" s="15">
        <f>C_ecu</f>
        <v>0.0032999999999999974</v>
      </c>
      <c r="M32" s="15">
        <f>-H32*S_1_fy/S_1_Es</f>
        <v>-0.009999999999999998</v>
      </c>
      <c r="N32" s="21">
        <f>IF(ABS(I32-J32)&lt;0.000000000001,0,(L32-M32)/(I32-J32))</f>
        <v>0.000008373119673021587</v>
      </c>
      <c r="O32" s="15">
        <f>L32-N32*I32</f>
        <v>-0.0038131246939272787</v>
      </c>
      <c r="P32" s="21">
        <f>N32*COS(RADIANS(F32))</f>
        <v>-0.000004186559836510797</v>
      </c>
      <c r="Q32" s="21">
        <f>N32*SIN(RADIANS(F32))</f>
        <v>-0.000007251334345763945</v>
      </c>
      <c r="R32" s="10">
        <f>SUMPRODUCT(C_alpha*C_fck*(1-(1-(((O32+P32*Mesh_Y+Q32*Mesh_X))*((O32+P32*Mesh_Y+Q32*Mesh_X)&gt;0)*((O32+P32*Mesh_Y+Q32*Mesh_X)&lt;C_eco)+C_eco*((O32+P32*Mesh_Y+Q32*Mesh_X)&gt;=C_eco))/C_eco)^C_n)*(((O32+P32*Mesh_Y+Q32*Mesh_X))&gt;0),Mesh_A)/1000</f>
        <v>4073.988328392858</v>
      </c>
      <c r="S32" s="10">
        <f>SUMPRODUCT(C_alpha*C_fck*(1-(1-(((O32+P32*Mesh_Y+Q32*Mesh_X))*((O32+P32*Mesh_Y+Q32*Mesh_X)&gt;0)*((O32+P32*Mesh_Y+Q32*Mesh_X)&lt;C_eco)+C_eco*((O32+P32*Mesh_Y+Q32*Mesh_X)&gt;=C_eco))/C_eco)^C_n)*(((O32+P32*Mesh_Y+Q32*Mesh_X))&gt;0),Mesh_A,Mesh_Y)/1000000</f>
        <v>-1193.032576102646</v>
      </c>
      <c r="T32" s="10">
        <f>SUMPRODUCT(C_alpha*C_fck*(1-(1-(((O32+P32*Mesh_Y+Q32*Mesh_X))*((O32+P32*Mesh_Y+Q32*Mesh_X)&gt;0)*((O32+P32*Mesh_Y+Q32*Mesh_X)&lt;C_eco)+C_eco*((O32+P32*Mesh_Y+Q32*Mesh_X)&gt;=C_eco))/C_eco)^C_n)*(((O32+P32*Mesh_Y+Q32*Mesh_X))&gt;0),Mesh_A,Mesh_X)/1000000</f>
        <v>-2396.560110849998</v>
      </c>
      <c r="U32" s="10">
        <f>(((MAX(MIN(S_1_Es*(O32+P32*'Geometry'!$G$40+Q32*'Geometry'!$F$40),S_1_fy),-S_1_fy))-(IF((O32+P32*'Geometry'!$G$40+Q32*'Geometry'!$F$40)&gt;0,IF((O32+P32*'Geometry'!$G$40+Q32*'Geometry'!$F$40)&lt;=C_eco,C_alpha*C_fck*(1-(1-(O32+P32*'Geometry'!$G$40+Q32*'Geometry'!$F$40)/C_eco)^C_n),C_alpha*C_fck),0)))*'Geometry'!$H$40+((MAX(MIN(S_1_Es*(O32+P32*'Geometry'!$G$41+Q32*'Geometry'!$F$41),S_1_fy),-S_1_fy))-(IF((O32+P32*'Geometry'!$G$41+Q32*'Geometry'!$F$41)&gt;0,IF((O32+P32*'Geometry'!$G$41+Q32*'Geometry'!$F$41)&lt;=C_eco,C_alpha*C_fck*(1-(1-(O32+P32*'Geometry'!$G$41+Q32*'Geometry'!$F$41)/C_eco)^C_n),C_alpha*C_fck),0)))*'Geometry'!$H$41+((MAX(MIN(S_1_Es*(O32+P32*'Geometry'!$G$42+Q32*'Geometry'!$F$42),S_1_fy),-S_1_fy))-(IF((O32+P32*'Geometry'!$G$42+Q32*'Geometry'!$F$42)&gt;0,IF((O32+P32*'Geometry'!$G$42+Q32*'Geometry'!$F$42)&lt;=C_eco,C_alpha*C_fck*(1-(1-(O32+P32*'Geometry'!$G$42+Q32*'Geometry'!$F$42)/C_eco)^C_n),C_alpha*C_fck),0)))*'Geometry'!$H$42+((MAX(MIN(S_1_Es*(O32+P32*'Geometry'!$G$43+Q32*'Geometry'!$F$43),S_1_fy),-S_1_fy))-(IF((O32+P32*'Geometry'!$G$43+Q32*'Geometry'!$F$43)&gt;0,IF((O32+P32*'Geometry'!$G$43+Q32*'Geometry'!$F$43)&lt;=C_eco,C_alpha*C_fck*(1-(1-(O32+P32*'Geometry'!$G$43+Q32*'Geometry'!$F$43)/C_eco)^C_n),C_alpha*C_fck),0)))*'Geometry'!$H$43+((MAX(MIN(S_1_Es*(O32+P32*'Geometry'!$G$44+Q32*'Geometry'!$F$44),S_1_fy),-S_1_fy))-(IF((O32+P32*'Geometry'!$G$44+Q32*'Geometry'!$F$44)&gt;0,IF((O32+P32*'Geometry'!$G$44+Q32*'Geometry'!$F$44)&lt;=C_eco,C_alpha*C_fck*(1-(1-(O32+P32*'Geometry'!$G$44+Q32*'Geometry'!$F$44)/C_eco)^C_n),C_alpha*C_fck),0)))*'Geometry'!$H$44+((MAX(MIN(S_1_Es*(O32+P32*'Geometry'!$G$45+Q32*'Geometry'!$F$45),S_1_fy),-S_1_fy))-(IF((O32+P32*'Geometry'!$G$45+Q32*'Geometry'!$F$45)&gt;0,IF((O32+P32*'Geometry'!$G$45+Q32*'Geometry'!$F$45)&lt;=C_eco,C_alpha*C_fck*(1-(1-(O32+P32*'Geometry'!$G$45+Q32*'Geometry'!$F$45)/C_eco)^C_n),C_alpha*C_fck),0)))*'Geometry'!$H$45+((MAX(MIN(S_1_Es*(O32+P32*'Geometry'!$G$46+Q32*'Geometry'!$F$46),S_1_fy),-S_1_fy))-(IF((O32+P32*'Geometry'!$G$46+Q32*'Geometry'!$F$46)&gt;0,IF((O32+P32*'Geometry'!$G$46+Q32*'Geometry'!$F$46)&lt;=C_eco,C_alpha*C_fck*(1-(1-(O32+P32*'Geometry'!$G$46+Q32*'Geometry'!$F$46)/C_eco)^C_n),C_alpha*C_fck),0)))*'Geometry'!$H$46+((MAX(MIN(S_1_Es*(O32+P32*'Geometry'!$G$47+Q32*'Geometry'!$F$47),S_1_fy),-S_1_fy))-(IF((O32+P32*'Geometry'!$G$47+Q32*'Geometry'!$F$47)&gt;0,IF((O32+P32*'Geometry'!$G$47+Q32*'Geometry'!$F$47)&lt;=C_eco,C_alpha*C_fck*(1-(1-(O32+P32*'Geometry'!$G$47+Q32*'Geometry'!$F$47)/C_eco)^C_n),C_alpha*C_fck),0)))*'Geometry'!$H$47+((MAX(MIN(S_1_Es*(O32+P32*'Geometry'!$G$48+Q32*'Geometry'!$F$48),S_1_fy),-S_1_fy))-(IF((O32+P32*'Geometry'!$G$48+Q32*'Geometry'!$F$48)&gt;0,IF((O32+P32*'Geometry'!$G$48+Q32*'Geometry'!$F$48)&lt;=C_eco,C_alpha*C_fck*(1-(1-(O32+P32*'Geometry'!$G$48+Q32*'Geometry'!$F$48)/C_eco)^C_n),C_alpha*C_fck),0)))*'Geometry'!$H$48+((MAX(MIN(S_1_Es*(O32+P32*'Geometry'!$G$49+Q32*'Geometry'!$F$49),S_1_fy),-S_1_fy))-(IF((O32+P32*'Geometry'!$G$49+Q32*'Geometry'!$F$49)&gt;0,IF((O32+P32*'Geometry'!$G$49+Q32*'Geometry'!$F$49)&lt;=C_eco,C_alpha*C_fck*(1-(1-(O32+P32*'Geometry'!$G$49+Q32*'Geometry'!$F$49)/C_eco)^C_n),C_alpha*C_fck),0)))*'Geometry'!$H$49+((MAX(MIN(S_1_Es*(O32+P32*'Geometry'!$G$50+Q32*'Geometry'!$F$50),S_1_fy),-S_1_fy))-(IF((O32+P32*'Geometry'!$G$50+Q32*'Geometry'!$F$50)&gt;0,IF((O32+P32*'Geometry'!$G$50+Q32*'Geometry'!$F$50)&lt;=C_eco,C_alpha*C_fck*(1-(1-(O32+P32*'Geometry'!$G$50+Q32*'Geometry'!$F$50)/C_eco)^C_n),C_alpha*C_fck),0)))*'Geometry'!$H$50+((MAX(MIN(S_1_Es*(O32+P32*'Geometry'!$G$51+Q32*'Geometry'!$F$51),S_1_fy),-S_1_fy))-(IF((O32+P32*'Geometry'!$G$51+Q32*'Geometry'!$F$51)&gt;0,IF((O32+P32*'Geometry'!$G$51+Q32*'Geometry'!$F$51)&lt;=C_eco,C_alpha*C_fck*(1-(1-(O32+P32*'Geometry'!$G$51+Q32*'Geometry'!$F$51)/C_eco)^C_n),C_alpha*C_fck),0)))*'Geometry'!$H$51+((MAX(MIN(S_1_Es*(O32+P32*'Geometry'!$G$52+Q32*'Geometry'!$F$52),S_1_fy),-S_1_fy))-(IF((O32+P32*'Geometry'!$G$52+Q32*'Geometry'!$F$52)&gt;0,IF((O32+P32*'Geometry'!$G$52+Q32*'Geometry'!$F$52)&lt;=C_eco,C_alpha*C_fck*(1-(1-(O32+P32*'Geometry'!$G$52+Q32*'Geometry'!$F$52)/C_eco)^C_n),C_alpha*C_fck),0)))*'Geometry'!$H$52+((MAX(MIN(S_1_Es*(O32+P32*'Geometry'!$G$53+Q32*'Geometry'!$F$53),S_1_fy),-S_1_fy))-(IF((O32+P32*'Geometry'!$G$53+Q32*'Geometry'!$F$53)&gt;0,IF((O32+P32*'Geometry'!$G$53+Q32*'Geometry'!$F$53)&lt;=C_eco,C_alpha*C_fck*(1-(1-(O32+P32*'Geometry'!$G$53+Q32*'Geometry'!$F$53)/C_eco)^C_n),C_alpha*C_fck),0)))*'Geometry'!$H$53+((MAX(MIN(S_1_Es*(O32+P32*'Geometry'!$G$54+Q32*'Geometry'!$F$54),S_1_fy),-S_1_fy))-(IF((O32+P32*'Geometry'!$G$54+Q32*'Geometry'!$F$54)&gt;0,IF((O32+P32*'Geometry'!$G$54+Q32*'Geometry'!$F$54)&lt;=C_eco,C_alpha*C_fck*(1-(1-(O32+P32*'Geometry'!$G$54+Q32*'Geometry'!$F$54)/C_eco)^C_n),C_alpha*C_fck),0)))*'Geometry'!$H$54+((MAX(MIN(S_1_Es*(O32+P32*'Geometry'!$G$55+Q32*'Geometry'!$F$55),S_1_fy),-S_1_fy))-(IF((O32+P32*'Geometry'!$G$55+Q32*'Geometry'!$F$55)&gt;0,IF((O32+P32*'Geometry'!$G$55+Q32*'Geometry'!$F$55)&lt;=C_eco,C_alpha*C_fck*(1-(1-(O32+P32*'Geometry'!$G$55+Q32*'Geometry'!$F$55)/C_eco)^C_n),C_alpha*C_fck),0)))*'Geometry'!$H$55+((MAX(MIN(S_1_Es*(O32+P32*'Geometry'!$G$56+Q32*'Geometry'!$F$56),S_1_fy),-S_1_fy))-(IF((O32+P32*'Geometry'!$G$56+Q32*'Geometry'!$F$56)&gt;0,IF((O32+P32*'Geometry'!$G$56+Q32*'Geometry'!$F$56)&lt;=C_eco,C_alpha*C_fck*(1-(1-(O32+P32*'Geometry'!$G$56+Q32*'Geometry'!$F$56)/C_eco)^C_n),C_alpha*C_fck),0)))*'Geometry'!$H$56+((MAX(MIN(S_1_Es*(O32+P32*'Geometry'!$G$57+Q32*'Geometry'!$F$57),S_1_fy),-S_1_fy))-(IF((O32+P32*'Geometry'!$G$57+Q32*'Geometry'!$F$57)&gt;0,IF((O32+P32*'Geometry'!$G$57+Q32*'Geometry'!$F$57)&lt;=C_eco,C_alpha*C_fck*(1-(1-(O32+P32*'Geometry'!$G$57+Q32*'Geometry'!$F$57)/C_eco)^C_n),C_alpha*C_fck),0)))*'Geometry'!$H$57)/1000</f>
        <v>-3018.8938954931546</v>
      </c>
      <c r="V32" s="10">
        <f>(((MAX(MIN(S_1_Es*(O32+P32*'Geometry'!$G$40+Q32*'Geometry'!$F$40),S_1_fy),-S_1_fy))-(IF((O32+P32*'Geometry'!$G$40+Q32*'Geometry'!$F$40)&gt;0,IF((O32+P32*'Geometry'!$G$40+Q32*'Geometry'!$F$40)&lt;=C_eco,C_alpha*C_fck*(1-(1-(O32+P32*'Geometry'!$G$40+Q32*'Geometry'!$F$40)/C_eco)^C_n),C_alpha*C_fck),0)))*'Geometry'!$H$40*'Geometry'!$G$40+((MAX(MIN(S_1_Es*(O32+P32*'Geometry'!$G$41+Q32*'Geometry'!$F$41),S_1_fy),-S_1_fy))-(IF((O32+P32*'Geometry'!$G$41+Q32*'Geometry'!$F$41)&gt;0,IF((O32+P32*'Geometry'!$G$41+Q32*'Geometry'!$F$41)&lt;=C_eco,C_alpha*C_fck*(1-(1-(O32+P32*'Geometry'!$G$41+Q32*'Geometry'!$F$41)/C_eco)^C_n),C_alpha*C_fck),0)))*'Geometry'!$H$41*'Geometry'!$G$41+((MAX(MIN(S_1_Es*(O32+P32*'Geometry'!$G$42+Q32*'Geometry'!$F$42),S_1_fy),-S_1_fy))-(IF((O32+P32*'Geometry'!$G$42+Q32*'Geometry'!$F$42)&gt;0,IF((O32+P32*'Geometry'!$G$42+Q32*'Geometry'!$F$42)&lt;=C_eco,C_alpha*C_fck*(1-(1-(O32+P32*'Geometry'!$G$42+Q32*'Geometry'!$F$42)/C_eco)^C_n),C_alpha*C_fck),0)))*'Geometry'!$H$42*'Geometry'!$G$42+((MAX(MIN(S_1_Es*(O32+P32*'Geometry'!$G$43+Q32*'Geometry'!$F$43),S_1_fy),-S_1_fy))-(IF((O32+P32*'Geometry'!$G$43+Q32*'Geometry'!$F$43)&gt;0,IF((O32+P32*'Geometry'!$G$43+Q32*'Geometry'!$F$43)&lt;=C_eco,C_alpha*C_fck*(1-(1-(O32+P32*'Geometry'!$G$43+Q32*'Geometry'!$F$43)/C_eco)^C_n),C_alpha*C_fck),0)))*'Geometry'!$H$43*'Geometry'!$G$43+((MAX(MIN(S_1_Es*(O32+P32*'Geometry'!$G$44+Q32*'Geometry'!$F$44),S_1_fy),-S_1_fy))-(IF((O32+P32*'Geometry'!$G$44+Q32*'Geometry'!$F$44)&gt;0,IF((O32+P32*'Geometry'!$G$44+Q32*'Geometry'!$F$44)&lt;=C_eco,C_alpha*C_fck*(1-(1-(O32+P32*'Geometry'!$G$44+Q32*'Geometry'!$F$44)/C_eco)^C_n),C_alpha*C_fck),0)))*'Geometry'!$H$44*'Geometry'!$G$44+((MAX(MIN(S_1_Es*(O32+P32*'Geometry'!$G$45+Q32*'Geometry'!$F$45),S_1_fy),-S_1_fy))-(IF((O32+P32*'Geometry'!$G$45+Q32*'Geometry'!$F$45)&gt;0,IF((O32+P32*'Geometry'!$G$45+Q32*'Geometry'!$F$45)&lt;=C_eco,C_alpha*C_fck*(1-(1-(O32+P32*'Geometry'!$G$45+Q32*'Geometry'!$F$45)/C_eco)^C_n),C_alpha*C_fck),0)))*'Geometry'!$H$45*'Geometry'!$G$45+((MAX(MIN(S_1_Es*(O32+P32*'Geometry'!$G$46+Q32*'Geometry'!$F$46),S_1_fy),-S_1_fy))-(IF((O32+P32*'Geometry'!$G$46+Q32*'Geometry'!$F$46)&gt;0,IF((O32+P32*'Geometry'!$G$46+Q32*'Geometry'!$F$46)&lt;=C_eco,C_alpha*C_fck*(1-(1-(O32+P32*'Geometry'!$G$46+Q32*'Geometry'!$F$46)/C_eco)^C_n),C_alpha*C_fck),0)))*'Geometry'!$H$46*'Geometry'!$G$46+((MAX(MIN(S_1_Es*(O32+P32*'Geometry'!$G$47+Q32*'Geometry'!$F$47),S_1_fy),-S_1_fy))-(IF((O32+P32*'Geometry'!$G$47+Q32*'Geometry'!$F$47)&gt;0,IF((O32+P32*'Geometry'!$G$47+Q32*'Geometry'!$F$47)&lt;=C_eco,C_alpha*C_fck*(1-(1-(O32+P32*'Geometry'!$G$47+Q32*'Geometry'!$F$47)/C_eco)^C_n),C_alpha*C_fck),0)))*'Geometry'!$H$47*'Geometry'!$G$47+((MAX(MIN(S_1_Es*(O32+P32*'Geometry'!$G$48+Q32*'Geometry'!$F$48),S_1_fy),-S_1_fy))-(IF((O32+P32*'Geometry'!$G$48+Q32*'Geometry'!$F$48)&gt;0,IF((O32+P32*'Geometry'!$G$48+Q32*'Geometry'!$F$48)&lt;=C_eco,C_alpha*C_fck*(1-(1-(O32+P32*'Geometry'!$G$48+Q32*'Geometry'!$F$48)/C_eco)^C_n),C_alpha*C_fck),0)))*'Geometry'!$H$48*'Geometry'!$G$48+((MAX(MIN(S_1_Es*(O32+P32*'Geometry'!$G$49+Q32*'Geometry'!$F$49),S_1_fy),-S_1_fy))-(IF((O32+P32*'Geometry'!$G$49+Q32*'Geometry'!$F$49)&gt;0,IF((O32+P32*'Geometry'!$G$49+Q32*'Geometry'!$F$49)&lt;=C_eco,C_alpha*C_fck*(1-(1-(O32+P32*'Geometry'!$G$49+Q32*'Geometry'!$F$49)/C_eco)^C_n),C_alpha*C_fck),0)))*'Geometry'!$H$49*'Geometry'!$G$49+((MAX(MIN(S_1_Es*(O32+P32*'Geometry'!$G$50+Q32*'Geometry'!$F$50),S_1_fy),-S_1_fy))-(IF((O32+P32*'Geometry'!$G$50+Q32*'Geometry'!$F$50)&gt;0,IF((O32+P32*'Geometry'!$G$50+Q32*'Geometry'!$F$50)&lt;=C_eco,C_alpha*C_fck*(1-(1-(O32+P32*'Geometry'!$G$50+Q32*'Geometry'!$F$50)/C_eco)^C_n),C_alpha*C_fck),0)))*'Geometry'!$H$50*'Geometry'!$G$50+((MAX(MIN(S_1_Es*(O32+P32*'Geometry'!$G$51+Q32*'Geometry'!$F$51),S_1_fy),-S_1_fy))-(IF((O32+P32*'Geometry'!$G$51+Q32*'Geometry'!$F$51)&gt;0,IF((O32+P32*'Geometry'!$G$51+Q32*'Geometry'!$F$51)&lt;=C_eco,C_alpha*C_fck*(1-(1-(O32+P32*'Geometry'!$G$51+Q32*'Geometry'!$F$51)/C_eco)^C_n),C_alpha*C_fck),0)))*'Geometry'!$H$51*'Geometry'!$G$51+((MAX(MIN(S_1_Es*(O32+P32*'Geometry'!$G$52+Q32*'Geometry'!$F$52),S_1_fy),-S_1_fy))-(IF((O32+P32*'Geometry'!$G$52+Q32*'Geometry'!$F$52)&gt;0,IF((O32+P32*'Geometry'!$G$52+Q32*'Geometry'!$F$52)&lt;=C_eco,C_alpha*C_fck*(1-(1-(O32+P32*'Geometry'!$G$52+Q32*'Geometry'!$F$52)/C_eco)^C_n),C_alpha*C_fck),0)))*'Geometry'!$H$52*'Geometry'!$G$52+((MAX(MIN(S_1_Es*(O32+P32*'Geometry'!$G$53+Q32*'Geometry'!$F$53),S_1_fy),-S_1_fy))-(IF((O32+P32*'Geometry'!$G$53+Q32*'Geometry'!$F$53)&gt;0,IF((O32+P32*'Geometry'!$G$53+Q32*'Geometry'!$F$53)&lt;=C_eco,C_alpha*C_fck*(1-(1-(O32+P32*'Geometry'!$G$53+Q32*'Geometry'!$F$53)/C_eco)^C_n),C_alpha*C_fck),0)))*'Geometry'!$H$53*'Geometry'!$G$53+((MAX(MIN(S_1_Es*(O32+P32*'Geometry'!$G$54+Q32*'Geometry'!$F$54),S_1_fy),-S_1_fy))-(IF((O32+P32*'Geometry'!$G$54+Q32*'Geometry'!$F$54)&gt;0,IF((O32+P32*'Geometry'!$G$54+Q32*'Geometry'!$F$54)&lt;=C_eco,C_alpha*C_fck*(1-(1-(O32+P32*'Geometry'!$G$54+Q32*'Geometry'!$F$54)/C_eco)^C_n),C_alpha*C_fck),0)))*'Geometry'!$H$54*'Geometry'!$G$54+((MAX(MIN(S_1_Es*(O32+P32*'Geometry'!$G$55+Q32*'Geometry'!$F$55),S_1_fy),-S_1_fy))-(IF((O32+P32*'Geometry'!$G$55+Q32*'Geometry'!$F$55)&gt;0,IF((O32+P32*'Geometry'!$G$55+Q32*'Geometry'!$F$55)&lt;=C_eco,C_alpha*C_fck*(1-(1-(O32+P32*'Geometry'!$G$55+Q32*'Geometry'!$F$55)/C_eco)^C_n),C_alpha*C_fck),0)))*'Geometry'!$H$55*'Geometry'!$G$55+((MAX(MIN(S_1_Es*(O32+P32*'Geometry'!$G$56+Q32*'Geometry'!$F$56),S_1_fy),-S_1_fy))-(IF((O32+P32*'Geometry'!$G$56+Q32*'Geometry'!$F$56)&gt;0,IF((O32+P32*'Geometry'!$G$56+Q32*'Geometry'!$F$56)&lt;=C_eco,C_alpha*C_fck*(1-(1-(O32+P32*'Geometry'!$G$56+Q32*'Geometry'!$F$56)/C_eco)^C_n),C_alpha*C_fck),0)))*'Geometry'!$H$56*'Geometry'!$G$56+((MAX(MIN(S_1_Es*(O32+P32*'Geometry'!$G$57+Q32*'Geometry'!$F$57),S_1_fy),-S_1_fy))-(IF((O32+P32*'Geometry'!$G$57+Q32*'Geometry'!$F$57)&gt;0,IF((O32+P32*'Geometry'!$G$57+Q32*'Geometry'!$F$57)&lt;=C_eco,C_alpha*C_fck*(1-(1-(O32+P32*'Geometry'!$G$57+Q32*'Geometry'!$F$57)/C_eco)^C_n),C_alpha*C_fck),0)))*'Geometry'!$H$57*'Geometry'!$G$57)/1000000</f>
        <v>-574.8525604600514</v>
      </c>
      <c r="W32" s="10">
        <f>(((MAX(MIN(S_1_Es*(O32+P32*'Geometry'!$G$40+Q32*'Geometry'!$F$40),S_1_fy),-S_1_fy))-(IF((O32+P32*'Geometry'!$G$40+Q32*'Geometry'!$F$40)&gt;0,IF((O32+P32*'Geometry'!$G$40+Q32*'Geometry'!$F$40)&lt;=C_eco,C_alpha*C_fck*(1-(1-(O32+P32*'Geometry'!$G$40+Q32*'Geometry'!$F$40)/C_eco)^C_n),C_alpha*C_fck),0)))*'Geometry'!$H$40*'Geometry'!$F$40+((MAX(MIN(S_1_Es*(O32+P32*'Geometry'!$G$41+Q32*'Geometry'!$F$41),S_1_fy),-S_1_fy))-(IF((O32+P32*'Geometry'!$G$41+Q32*'Geometry'!$F$41)&gt;0,IF((O32+P32*'Geometry'!$G$41+Q32*'Geometry'!$F$41)&lt;=C_eco,C_alpha*C_fck*(1-(1-(O32+P32*'Geometry'!$G$41+Q32*'Geometry'!$F$41)/C_eco)^C_n),C_alpha*C_fck),0)))*'Geometry'!$H$41*'Geometry'!$F$41+((MAX(MIN(S_1_Es*(O32+P32*'Geometry'!$G$42+Q32*'Geometry'!$F$42),S_1_fy),-S_1_fy))-(IF((O32+P32*'Geometry'!$G$42+Q32*'Geometry'!$F$42)&gt;0,IF((O32+P32*'Geometry'!$G$42+Q32*'Geometry'!$F$42)&lt;=C_eco,C_alpha*C_fck*(1-(1-(O32+P32*'Geometry'!$G$42+Q32*'Geometry'!$F$42)/C_eco)^C_n),C_alpha*C_fck),0)))*'Geometry'!$H$42*'Geometry'!$F$42+((MAX(MIN(S_1_Es*(O32+P32*'Geometry'!$G$43+Q32*'Geometry'!$F$43),S_1_fy),-S_1_fy))-(IF((O32+P32*'Geometry'!$G$43+Q32*'Geometry'!$F$43)&gt;0,IF((O32+P32*'Geometry'!$G$43+Q32*'Geometry'!$F$43)&lt;=C_eco,C_alpha*C_fck*(1-(1-(O32+P32*'Geometry'!$G$43+Q32*'Geometry'!$F$43)/C_eco)^C_n),C_alpha*C_fck),0)))*'Geometry'!$H$43*'Geometry'!$F$43+((MAX(MIN(S_1_Es*(O32+P32*'Geometry'!$G$44+Q32*'Geometry'!$F$44),S_1_fy),-S_1_fy))-(IF((O32+P32*'Geometry'!$G$44+Q32*'Geometry'!$F$44)&gt;0,IF((O32+P32*'Geometry'!$G$44+Q32*'Geometry'!$F$44)&lt;=C_eco,C_alpha*C_fck*(1-(1-(O32+P32*'Geometry'!$G$44+Q32*'Geometry'!$F$44)/C_eco)^C_n),C_alpha*C_fck),0)))*'Geometry'!$H$44*'Geometry'!$F$44+((MAX(MIN(S_1_Es*(O32+P32*'Geometry'!$G$45+Q32*'Geometry'!$F$45),S_1_fy),-S_1_fy))-(IF((O32+P32*'Geometry'!$G$45+Q32*'Geometry'!$F$45)&gt;0,IF((O32+P32*'Geometry'!$G$45+Q32*'Geometry'!$F$45)&lt;=C_eco,C_alpha*C_fck*(1-(1-(O32+P32*'Geometry'!$G$45+Q32*'Geometry'!$F$45)/C_eco)^C_n),C_alpha*C_fck),0)))*'Geometry'!$H$45*'Geometry'!$F$45+((MAX(MIN(S_1_Es*(O32+P32*'Geometry'!$G$46+Q32*'Geometry'!$F$46),S_1_fy),-S_1_fy))-(IF((O32+P32*'Geometry'!$G$46+Q32*'Geometry'!$F$46)&gt;0,IF((O32+P32*'Geometry'!$G$46+Q32*'Geometry'!$F$46)&lt;=C_eco,C_alpha*C_fck*(1-(1-(O32+P32*'Geometry'!$G$46+Q32*'Geometry'!$F$46)/C_eco)^C_n),C_alpha*C_fck),0)))*'Geometry'!$H$46*'Geometry'!$F$46+((MAX(MIN(S_1_Es*(O32+P32*'Geometry'!$G$47+Q32*'Geometry'!$F$47),S_1_fy),-S_1_fy))-(IF((O32+P32*'Geometry'!$G$47+Q32*'Geometry'!$F$47)&gt;0,IF((O32+P32*'Geometry'!$G$47+Q32*'Geometry'!$F$47)&lt;=C_eco,C_alpha*C_fck*(1-(1-(O32+P32*'Geometry'!$G$47+Q32*'Geometry'!$F$47)/C_eco)^C_n),C_alpha*C_fck),0)))*'Geometry'!$H$47*'Geometry'!$F$47+((MAX(MIN(S_1_Es*(O32+P32*'Geometry'!$G$48+Q32*'Geometry'!$F$48),S_1_fy),-S_1_fy))-(IF((O32+P32*'Geometry'!$G$48+Q32*'Geometry'!$F$48)&gt;0,IF((O32+P32*'Geometry'!$G$48+Q32*'Geometry'!$F$48)&lt;=C_eco,C_alpha*C_fck*(1-(1-(O32+P32*'Geometry'!$G$48+Q32*'Geometry'!$F$48)/C_eco)^C_n),C_alpha*C_fck),0)))*'Geometry'!$H$48*'Geometry'!$F$48+((MAX(MIN(S_1_Es*(O32+P32*'Geometry'!$G$49+Q32*'Geometry'!$F$49),S_1_fy),-S_1_fy))-(IF((O32+P32*'Geometry'!$G$49+Q32*'Geometry'!$F$49)&gt;0,IF((O32+P32*'Geometry'!$G$49+Q32*'Geometry'!$F$49)&lt;=C_eco,C_alpha*C_fck*(1-(1-(O32+P32*'Geometry'!$G$49+Q32*'Geometry'!$F$49)/C_eco)^C_n),C_alpha*C_fck),0)))*'Geometry'!$H$49*'Geometry'!$F$49+((MAX(MIN(S_1_Es*(O32+P32*'Geometry'!$G$50+Q32*'Geometry'!$F$50),S_1_fy),-S_1_fy))-(IF((O32+P32*'Geometry'!$G$50+Q32*'Geometry'!$F$50)&gt;0,IF((O32+P32*'Geometry'!$G$50+Q32*'Geometry'!$F$50)&lt;=C_eco,C_alpha*C_fck*(1-(1-(O32+P32*'Geometry'!$G$50+Q32*'Geometry'!$F$50)/C_eco)^C_n),C_alpha*C_fck),0)))*'Geometry'!$H$50*'Geometry'!$F$50+((MAX(MIN(S_1_Es*(O32+P32*'Geometry'!$G$51+Q32*'Geometry'!$F$51),S_1_fy),-S_1_fy))-(IF((O32+P32*'Geometry'!$G$51+Q32*'Geometry'!$F$51)&gt;0,IF((O32+P32*'Geometry'!$G$51+Q32*'Geometry'!$F$51)&lt;=C_eco,C_alpha*C_fck*(1-(1-(O32+P32*'Geometry'!$G$51+Q32*'Geometry'!$F$51)/C_eco)^C_n),C_alpha*C_fck),0)))*'Geometry'!$H$51*'Geometry'!$F$51+((MAX(MIN(S_1_Es*(O32+P32*'Geometry'!$G$52+Q32*'Geometry'!$F$52),S_1_fy),-S_1_fy))-(IF((O32+P32*'Geometry'!$G$52+Q32*'Geometry'!$F$52)&gt;0,IF((O32+P32*'Geometry'!$G$52+Q32*'Geometry'!$F$52)&lt;=C_eco,C_alpha*C_fck*(1-(1-(O32+P32*'Geometry'!$G$52+Q32*'Geometry'!$F$52)/C_eco)^C_n),C_alpha*C_fck),0)))*'Geometry'!$H$52*'Geometry'!$F$52+((MAX(MIN(S_1_Es*(O32+P32*'Geometry'!$G$53+Q32*'Geometry'!$F$53),S_1_fy),-S_1_fy))-(IF((O32+P32*'Geometry'!$G$53+Q32*'Geometry'!$F$53)&gt;0,IF((O32+P32*'Geometry'!$G$53+Q32*'Geometry'!$F$53)&lt;=C_eco,C_alpha*C_fck*(1-(1-(O32+P32*'Geometry'!$G$53+Q32*'Geometry'!$F$53)/C_eco)^C_n),C_alpha*C_fck),0)))*'Geometry'!$H$53*'Geometry'!$F$53+((MAX(MIN(S_1_Es*(O32+P32*'Geometry'!$G$54+Q32*'Geometry'!$F$54),S_1_fy),-S_1_fy))-(IF((O32+P32*'Geometry'!$G$54+Q32*'Geometry'!$F$54)&gt;0,IF((O32+P32*'Geometry'!$G$54+Q32*'Geometry'!$F$54)&lt;=C_eco,C_alpha*C_fck*(1-(1-(O32+P32*'Geometry'!$G$54+Q32*'Geometry'!$F$54)/C_eco)^C_n),C_alpha*C_fck),0)))*'Geometry'!$H$54*'Geometry'!$F$54+((MAX(MIN(S_1_Es*(O32+P32*'Geometry'!$G$55+Q32*'Geometry'!$F$55),S_1_fy),-S_1_fy))-(IF((O32+P32*'Geometry'!$G$55+Q32*'Geometry'!$F$55)&gt;0,IF((O32+P32*'Geometry'!$G$55+Q32*'Geometry'!$F$55)&lt;=C_eco,C_alpha*C_fck*(1-(1-(O32+P32*'Geometry'!$G$55+Q32*'Geometry'!$F$55)/C_eco)^C_n),C_alpha*C_fck),0)))*'Geometry'!$H$55*'Geometry'!$F$55+((MAX(MIN(S_1_Es*(O32+P32*'Geometry'!$G$56+Q32*'Geometry'!$F$56),S_1_fy),-S_1_fy))-(IF((O32+P32*'Geometry'!$G$56+Q32*'Geometry'!$F$56)&gt;0,IF((O32+P32*'Geometry'!$G$56+Q32*'Geometry'!$F$56)&lt;=C_eco,C_alpha*C_fck*(1-(1-(O32+P32*'Geometry'!$G$56+Q32*'Geometry'!$F$56)/C_eco)^C_n),C_alpha*C_fck),0)))*'Geometry'!$H$56*'Geometry'!$F$56+((MAX(MIN(S_1_Es*(O32+P32*'Geometry'!$G$57+Q32*'Geometry'!$F$57),S_1_fy),-S_1_fy))-(IF((O32+P32*'Geometry'!$G$57+Q32*'Geometry'!$F$57)&gt;0,IF((O32+P32*'Geometry'!$G$57+Q32*'Geometry'!$F$57)&lt;=C_eco,C_alpha*C_fck*(1-(1-(O32+P32*'Geometry'!$G$57+Q32*'Geometry'!$F$57)/C_eco)^C_n),C_alpha*C_fck),0)))*'Geometry'!$H$57*'Geometry'!$F$57)/1000000</f>
        <v>-1553.213060594497</v>
      </c>
      <c r="X32" s="10">
        <f>R32+U32</f>
        <v>1055.0944328997036</v>
      </c>
      <c r="Y32" s="10">
        <f>S32+V32</f>
        <v>-1767.8851365626974</v>
      </c>
      <c r="Z32" s="10">
        <f>T32+W32</f>
        <v>-3949.7731714444953</v>
      </c>
      <c r="AA32" s="7">
        <v>0.85</v>
      </c>
      <c r="AB32" s="7">
        <v>0.8500000000000001</v>
      </c>
      <c r="AC32" s="10">
        <f>X32*AA32</f>
        <v>896.8302679647481</v>
      </c>
      <c r="AD32" s="10">
        <f>Y32*AB32</f>
        <v>-1502.702366078293</v>
      </c>
      <c r="AE32" s="10">
        <f>Z32*AB32</f>
        <v>-3357.3071957278207</v>
      </c>
      <c r="AF32" s="7">
        <v>896.8302679647481</v>
      </c>
      <c r="AG32" s="7">
        <v>-1502.702366078293</v>
      </c>
      <c r="AH32" s="7">
        <v>-3357.3071957278207</v>
      </c>
      <c r="AI32" s="15">
        <f>AC32-AF32</f>
        <v>0</v>
      </c>
      <c r="AJ32" s="15">
        <f>SQRT((AD32-AG32)^2+(AE32-AH32)^2)</f>
        <v>0</v>
      </c>
      <c r="AK32" s="7" t="s">
        <v>189</v>
      </c>
      <c r="AL32" s="7">
        <v>1055.0944328997036</v>
      </c>
      <c r="AM32" s="7">
        <v>-1767.8851365626974</v>
      </c>
      <c r="AN32" s="7">
        <v>-3949.7731714444953</v>
      </c>
      <c r="AO32" s="7">
        <v>4073.988328392858</v>
      </c>
      <c r="AP32" s="7">
        <v>-1193.032576102646</v>
      </c>
      <c r="AQ32" s="7">
        <v>-2396.560110849998</v>
      </c>
      <c r="AR32" s="7">
        <v>-3018.8938954931546</v>
      </c>
      <c r="AS32" s="7">
        <v>-574.8525604600514</v>
      </c>
      <c r="AT32" s="7">
        <v>-1553.213060594497</v>
      </c>
    </row>
    <row r="33" spans="1:46" x14ac:dyDescent="0.25">
      <c r="A33" s="7" t="s">
        <v>240</v>
      </c>
      <c r="B33" s="7">
        <v>1</v>
      </c>
      <c r="C33" s="18">
        <v>250</v>
      </c>
      <c r="D33" s="7" t="s">
        <v>292</v>
      </c>
      <c r="E33" s="7" t="s">
        <v>267</v>
      </c>
      <c r="F33" s="19">
        <v>250</v>
      </c>
      <c r="G33" s="7" t="s">
        <v>188</v>
      </c>
      <c r="H33" s="20">
        <v>5</v>
      </c>
      <c r="I33" s="10">
        <f>MAX(('Geometry'!$G$13*COS(RADIANS(F33))+'Geometry'!$F$13*SIN(RADIANS(F33))),('Geometry'!$G$14*COS(RADIANS(F33))+'Geometry'!$F$14*SIN(RADIANS(F33))),('Geometry'!$G$15*COS(RADIANS(F33))+'Geometry'!$F$15*SIN(RADIANS(F33))),('Geometry'!$G$16*COS(RADIANS(F33))+'Geometry'!$F$16*SIN(RADIANS(F33))),('Geometry'!$G$17*COS(RADIANS(F33))+'Geometry'!$F$17*SIN(RADIANS(F33))),('Geometry'!$G$18*COS(RADIANS(F33))+'Geometry'!$F$18*SIN(RADIANS(F33))),('Geometry'!$G$19*COS(RADIANS(F33))+'Geometry'!$F$19*SIN(RADIANS(F33))),('Geometry'!$G$20*COS(RADIANS(F33))+'Geometry'!$F$20*SIN(RADIANS(F33))))</f>
        <v>841.5775229196989</v>
      </c>
      <c r="J33" s="10">
        <f>MIN(('Geometry'!$G$40*COS(RADIANS(F33))+'Geometry'!$F$40*SIN(RADIANS(F33))),('Geometry'!$G$41*COS(RADIANS(F33))+'Geometry'!$F$41*SIN(RADIANS(F33))),('Geometry'!$G$42*COS(RADIANS(F33))+'Geometry'!$F$42*SIN(RADIANS(F33))),('Geometry'!$G$43*COS(RADIANS(F33))+'Geometry'!$F$43*SIN(RADIANS(F33))),('Geometry'!$G$44*COS(RADIANS(F33))+'Geometry'!$F$44*SIN(RADIANS(F33))),('Geometry'!$G$45*COS(RADIANS(F33))+'Geometry'!$F$45*SIN(RADIANS(F33))),('Geometry'!$G$46*COS(RADIANS(F33))+'Geometry'!$F$46*SIN(RADIANS(F33))),('Geometry'!$G$47*COS(RADIANS(F33))+'Geometry'!$F$47*SIN(RADIANS(F33))),('Geometry'!$G$48*COS(RADIANS(F33))+'Geometry'!$F$48*SIN(RADIANS(F33))),('Geometry'!$G$49*COS(RADIANS(F33))+'Geometry'!$F$49*SIN(RADIANS(F33))),('Geometry'!$G$50*COS(RADIANS(F33))+'Geometry'!$F$50*SIN(RADIANS(F33))),('Geometry'!$G$51*COS(RADIANS(F33))+'Geometry'!$F$51*SIN(RADIANS(F33))),('Geometry'!$G$52*COS(RADIANS(F33))+'Geometry'!$F$52*SIN(RADIANS(F33))),('Geometry'!$G$53*COS(RADIANS(F33))+'Geometry'!$F$53*SIN(RADIANS(F33))),('Geometry'!$G$54*COS(RADIANS(F33))+'Geometry'!$F$54*SIN(RADIANS(F33))),('Geometry'!$G$55*COS(RADIANS(F33))+'Geometry'!$F$55*SIN(RADIANS(F33))),('Geometry'!$G$56*COS(RADIANS(F33))+'Geometry'!$F$56*SIN(RADIANS(F33))),('Geometry'!$G$57*COS(RADIANS(F33))+'Geometry'!$F$57*SIN(RADIANS(F33))))</f>
        <v>-741.5970251321183</v>
      </c>
      <c r="K33" s="10">
        <f>I33-MIN(('Geometry'!$G$13*COS(RADIANS(F33))+'Geometry'!$F$13*SIN(RADIANS(F33))),('Geometry'!$G$14*COS(RADIANS(F33))+'Geometry'!$F$14*SIN(RADIANS(F33))),('Geometry'!$G$15*COS(RADIANS(F33))+'Geometry'!$F$15*SIN(RADIANS(F33))),('Geometry'!$G$16*COS(RADIANS(F33))+'Geometry'!$F$16*SIN(RADIANS(F33))),('Geometry'!$G$17*COS(RADIANS(F33))+'Geometry'!$F$17*SIN(RADIANS(F33))),('Geometry'!$G$18*COS(RADIANS(F33))+'Geometry'!$F$18*SIN(RADIANS(F33))),('Geometry'!$G$19*COS(RADIANS(F33))+'Geometry'!$F$19*SIN(RADIANS(F33))),('Geometry'!$G$20*COS(RADIANS(F33))+'Geometry'!$F$20*SIN(RADIANS(F33))))</f>
        <v>1683.1550458393979</v>
      </c>
      <c r="L33" s="15">
        <f>C_ecu</f>
        <v>0.0033000000000000017</v>
      </c>
      <c r="M33" s="15">
        <f>-H33*S_1_fy/S_1_Es</f>
        <v>-0.01</v>
      </c>
      <c r="N33" s="21">
        <f>IF(ABS(I33-J33)&lt;0.000000000001,0,(L33-M33)/(I33-J33))</f>
        <v>0.000008400842482192742</v>
      </c>
      <c r="O33" s="15">
        <f>L33-N33*I33</f>
        <v>-0.0037699602066023413</v>
      </c>
      <c r="P33" s="21">
        <f>N33*COS(RADIANS(F33))</f>
        <v>-0.0000028732573498159268</v>
      </c>
      <c r="Q33" s="21">
        <f>N33*SIN(RADIANS(F33))</f>
        <v>-0.000007894209688901294</v>
      </c>
      <c r="R33" s="10">
        <f>SUMPRODUCT(C_alpha*C_fck*(1-(1-(((O33+P33*Mesh_Y+Q33*Mesh_X))*((O33+P33*Mesh_Y+Q33*Mesh_X)&gt;0)*((O33+P33*Mesh_Y+Q33*Mesh_X)&lt;C_eco)+C_eco*((O33+P33*Mesh_Y+Q33*Mesh_X)&gt;=C_eco))/C_eco)^C_n)*(((O33+P33*Mesh_Y+Q33*Mesh_X))&gt;0),Mesh_A)/1000</f>
        <v>4637.596438420159</v>
      </c>
      <c r="S33" s="10">
        <f>SUMPRODUCT(C_alpha*C_fck*(1-(1-(((O33+P33*Mesh_Y+Q33*Mesh_X))*((O33+P33*Mesh_Y+Q33*Mesh_X)&gt;0)*((O33+P33*Mesh_Y+Q33*Mesh_X)&lt;C_eco)+C_eco*((O33+P33*Mesh_Y+Q33*Mesh_X)&gt;=C_eco))/C_eco)^C_n)*(((O33+P33*Mesh_Y+Q33*Mesh_X))&gt;0),Mesh_A,Mesh_Y)/1000000</f>
        <v>-906.7112934037543</v>
      </c>
      <c r="T33" s="10">
        <f>SUMPRODUCT(C_alpha*C_fck*(1-(1-(((O33+P33*Mesh_Y+Q33*Mesh_X))*((O33+P33*Mesh_Y+Q33*Mesh_X)&gt;0)*((O33+P33*Mesh_Y+Q33*Mesh_X)&lt;C_eco)+C_eco*((O33+P33*Mesh_Y+Q33*Mesh_X)&gt;=C_eco))/C_eco)^C_n)*(((O33+P33*Mesh_Y+Q33*Mesh_X))&gt;0),Mesh_A,Mesh_X)/1000000</f>
        <v>-2850.492631620681</v>
      </c>
      <c r="U33" s="10">
        <f>(((MAX(MIN(S_1_Es*(O33+P33*'Geometry'!$G$40+Q33*'Geometry'!$F$40),S_1_fy),-S_1_fy))-(IF((O33+P33*'Geometry'!$G$40+Q33*'Geometry'!$F$40)&gt;0,IF((O33+P33*'Geometry'!$G$40+Q33*'Geometry'!$F$40)&lt;=C_eco,C_alpha*C_fck*(1-(1-(O33+P33*'Geometry'!$G$40+Q33*'Geometry'!$F$40)/C_eco)^C_n),C_alpha*C_fck),0)))*'Geometry'!$H$40+((MAX(MIN(S_1_Es*(O33+P33*'Geometry'!$G$41+Q33*'Geometry'!$F$41),S_1_fy),-S_1_fy))-(IF((O33+P33*'Geometry'!$G$41+Q33*'Geometry'!$F$41)&gt;0,IF((O33+P33*'Geometry'!$G$41+Q33*'Geometry'!$F$41)&lt;=C_eco,C_alpha*C_fck*(1-(1-(O33+P33*'Geometry'!$G$41+Q33*'Geometry'!$F$41)/C_eco)^C_n),C_alpha*C_fck),0)))*'Geometry'!$H$41+((MAX(MIN(S_1_Es*(O33+P33*'Geometry'!$G$42+Q33*'Geometry'!$F$42),S_1_fy),-S_1_fy))-(IF((O33+P33*'Geometry'!$G$42+Q33*'Geometry'!$F$42)&gt;0,IF((O33+P33*'Geometry'!$G$42+Q33*'Geometry'!$F$42)&lt;=C_eco,C_alpha*C_fck*(1-(1-(O33+P33*'Geometry'!$G$42+Q33*'Geometry'!$F$42)/C_eco)^C_n),C_alpha*C_fck),0)))*'Geometry'!$H$42+((MAX(MIN(S_1_Es*(O33+P33*'Geometry'!$G$43+Q33*'Geometry'!$F$43),S_1_fy),-S_1_fy))-(IF((O33+P33*'Geometry'!$G$43+Q33*'Geometry'!$F$43)&gt;0,IF((O33+P33*'Geometry'!$G$43+Q33*'Geometry'!$F$43)&lt;=C_eco,C_alpha*C_fck*(1-(1-(O33+P33*'Geometry'!$G$43+Q33*'Geometry'!$F$43)/C_eco)^C_n),C_alpha*C_fck),0)))*'Geometry'!$H$43+((MAX(MIN(S_1_Es*(O33+P33*'Geometry'!$G$44+Q33*'Geometry'!$F$44),S_1_fy),-S_1_fy))-(IF((O33+P33*'Geometry'!$G$44+Q33*'Geometry'!$F$44)&gt;0,IF((O33+P33*'Geometry'!$G$44+Q33*'Geometry'!$F$44)&lt;=C_eco,C_alpha*C_fck*(1-(1-(O33+P33*'Geometry'!$G$44+Q33*'Geometry'!$F$44)/C_eco)^C_n),C_alpha*C_fck),0)))*'Geometry'!$H$44+((MAX(MIN(S_1_Es*(O33+P33*'Geometry'!$G$45+Q33*'Geometry'!$F$45),S_1_fy),-S_1_fy))-(IF((O33+P33*'Geometry'!$G$45+Q33*'Geometry'!$F$45)&gt;0,IF((O33+P33*'Geometry'!$G$45+Q33*'Geometry'!$F$45)&lt;=C_eco,C_alpha*C_fck*(1-(1-(O33+P33*'Geometry'!$G$45+Q33*'Geometry'!$F$45)/C_eco)^C_n),C_alpha*C_fck),0)))*'Geometry'!$H$45+((MAX(MIN(S_1_Es*(O33+P33*'Geometry'!$G$46+Q33*'Geometry'!$F$46),S_1_fy),-S_1_fy))-(IF((O33+P33*'Geometry'!$G$46+Q33*'Geometry'!$F$46)&gt;0,IF((O33+P33*'Geometry'!$G$46+Q33*'Geometry'!$F$46)&lt;=C_eco,C_alpha*C_fck*(1-(1-(O33+P33*'Geometry'!$G$46+Q33*'Geometry'!$F$46)/C_eco)^C_n),C_alpha*C_fck),0)))*'Geometry'!$H$46+((MAX(MIN(S_1_Es*(O33+P33*'Geometry'!$G$47+Q33*'Geometry'!$F$47),S_1_fy),-S_1_fy))-(IF((O33+P33*'Geometry'!$G$47+Q33*'Geometry'!$F$47)&gt;0,IF((O33+P33*'Geometry'!$G$47+Q33*'Geometry'!$F$47)&lt;=C_eco,C_alpha*C_fck*(1-(1-(O33+P33*'Geometry'!$G$47+Q33*'Geometry'!$F$47)/C_eco)^C_n),C_alpha*C_fck),0)))*'Geometry'!$H$47+((MAX(MIN(S_1_Es*(O33+P33*'Geometry'!$G$48+Q33*'Geometry'!$F$48),S_1_fy),-S_1_fy))-(IF((O33+P33*'Geometry'!$G$48+Q33*'Geometry'!$F$48)&gt;0,IF((O33+P33*'Geometry'!$G$48+Q33*'Geometry'!$F$48)&lt;=C_eco,C_alpha*C_fck*(1-(1-(O33+P33*'Geometry'!$G$48+Q33*'Geometry'!$F$48)/C_eco)^C_n),C_alpha*C_fck),0)))*'Geometry'!$H$48+((MAX(MIN(S_1_Es*(O33+P33*'Geometry'!$G$49+Q33*'Geometry'!$F$49),S_1_fy),-S_1_fy))-(IF((O33+P33*'Geometry'!$G$49+Q33*'Geometry'!$F$49)&gt;0,IF((O33+P33*'Geometry'!$G$49+Q33*'Geometry'!$F$49)&lt;=C_eco,C_alpha*C_fck*(1-(1-(O33+P33*'Geometry'!$G$49+Q33*'Geometry'!$F$49)/C_eco)^C_n),C_alpha*C_fck),0)))*'Geometry'!$H$49+((MAX(MIN(S_1_Es*(O33+P33*'Geometry'!$G$50+Q33*'Geometry'!$F$50),S_1_fy),-S_1_fy))-(IF((O33+P33*'Geometry'!$G$50+Q33*'Geometry'!$F$50)&gt;0,IF((O33+P33*'Geometry'!$G$50+Q33*'Geometry'!$F$50)&lt;=C_eco,C_alpha*C_fck*(1-(1-(O33+P33*'Geometry'!$G$50+Q33*'Geometry'!$F$50)/C_eco)^C_n),C_alpha*C_fck),0)))*'Geometry'!$H$50+((MAX(MIN(S_1_Es*(O33+P33*'Geometry'!$G$51+Q33*'Geometry'!$F$51),S_1_fy),-S_1_fy))-(IF((O33+P33*'Geometry'!$G$51+Q33*'Geometry'!$F$51)&gt;0,IF((O33+P33*'Geometry'!$G$51+Q33*'Geometry'!$F$51)&lt;=C_eco,C_alpha*C_fck*(1-(1-(O33+P33*'Geometry'!$G$51+Q33*'Geometry'!$F$51)/C_eco)^C_n),C_alpha*C_fck),0)))*'Geometry'!$H$51+((MAX(MIN(S_1_Es*(O33+P33*'Geometry'!$G$52+Q33*'Geometry'!$F$52),S_1_fy),-S_1_fy))-(IF((O33+P33*'Geometry'!$G$52+Q33*'Geometry'!$F$52)&gt;0,IF((O33+P33*'Geometry'!$G$52+Q33*'Geometry'!$F$52)&lt;=C_eco,C_alpha*C_fck*(1-(1-(O33+P33*'Geometry'!$G$52+Q33*'Geometry'!$F$52)/C_eco)^C_n),C_alpha*C_fck),0)))*'Geometry'!$H$52+((MAX(MIN(S_1_Es*(O33+P33*'Geometry'!$G$53+Q33*'Geometry'!$F$53),S_1_fy),-S_1_fy))-(IF((O33+P33*'Geometry'!$G$53+Q33*'Geometry'!$F$53)&gt;0,IF((O33+P33*'Geometry'!$G$53+Q33*'Geometry'!$F$53)&lt;=C_eco,C_alpha*C_fck*(1-(1-(O33+P33*'Geometry'!$G$53+Q33*'Geometry'!$F$53)/C_eco)^C_n),C_alpha*C_fck),0)))*'Geometry'!$H$53+((MAX(MIN(S_1_Es*(O33+P33*'Geometry'!$G$54+Q33*'Geometry'!$F$54),S_1_fy),-S_1_fy))-(IF((O33+P33*'Geometry'!$G$54+Q33*'Geometry'!$F$54)&gt;0,IF((O33+P33*'Geometry'!$G$54+Q33*'Geometry'!$F$54)&lt;=C_eco,C_alpha*C_fck*(1-(1-(O33+P33*'Geometry'!$G$54+Q33*'Geometry'!$F$54)/C_eco)^C_n),C_alpha*C_fck),0)))*'Geometry'!$H$54+((MAX(MIN(S_1_Es*(O33+P33*'Geometry'!$G$55+Q33*'Geometry'!$F$55),S_1_fy),-S_1_fy))-(IF((O33+P33*'Geometry'!$G$55+Q33*'Geometry'!$F$55)&gt;0,IF((O33+P33*'Geometry'!$G$55+Q33*'Geometry'!$F$55)&lt;=C_eco,C_alpha*C_fck*(1-(1-(O33+P33*'Geometry'!$G$55+Q33*'Geometry'!$F$55)/C_eco)^C_n),C_alpha*C_fck),0)))*'Geometry'!$H$55+((MAX(MIN(S_1_Es*(O33+P33*'Geometry'!$G$56+Q33*'Geometry'!$F$56),S_1_fy),-S_1_fy))-(IF((O33+P33*'Geometry'!$G$56+Q33*'Geometry'!$F$56)&gt;0,IF((O33+P33*'Geometry'!$G$56+Q33*'Geometry'!$F$56)&lt;=C_eco,C_alpha*C_fck*(1-(1-(O33+P33*'Geometry'!$G$56+Q33*'Geometry'!$F$56)/C_eco)^C_n),C_alpha*C_fck),0)))*'Geometry'!$H$56+((MAX(MIN(S_1_Es*(O33+P33*'Geometry'!$G$57+Q33*'Geometry'!$F$57),S_1_fy),-S_1_fy))-(IF((O33+P33*'Geometry'!$G$57+Q33*'Geometry'!$F$57)&gt;0,IF((O33+P33*'Geometry'!$G$57+Q33*'Geometry'!$F$57)&lt;=C_eco,C_alpha*C_fck*(1-(1-(O33+P33*'Geometry'!$G$57+Q33*'Geometry'!$F$57)/C_eco)^C_n),C_alpha*C_fck),0)))*'Geometry'!$H$57)/1000</f>
        <v>-2952.9729124307833</v>
      </c>
      <c r="V33" s="10">
        <f>(((MAX(MIN(S_1_Es*(O33+P33*'Geometry'!$G$40+Q33*'Geometry'!$F$40),S_1_fy),-S_1_fy))-(IF((O33+P33*'Geometry'!$G$40+Q33*'Geometry'!$F$40)&gt;0,IF((O33+P33*'Geometry'!$G$40+Q33*'Geometry'!$F$40)&lt;=C_eco,C_alpha*C_fck*(1-(1-(O33+P33*'Geometry'!$G$40+Q33*'Geometry'!$F$40)/C_eco)^C_n),C_alpha*C_fck),0)))*'Geometry'!$H$40*'Geometry'!$G$40+((MAX(MIN(S_1_Es*(O33+P33*'Geometry'!$G$41+Q33*'Geometry'!$F$41),S_1_fy),-S_1_fy))-(IF((O33+P33*'Geometry'!$G$41+Q33*'Geometry'!$F$41)&gt;0,IF((O33+P33*'Geometry'!$G$41+Q33*'Geometry'!$F$41)&lt;=C_eco,C_alpha*C_fck*(1-(1-(O33+P33*'Geometry'!$G$41+Q33*'Geometry'!$F$41)/C_eco)^C_n),C_alpha*C_fck),0)))*'Geometry'!$H$41*'Geometry'!$G$41+((MAX(MIN(S_1_Es*(O33+P33*'Geometry'!$G$42+Q33*'Geometry'!$F$42),S_1_fy),-S_1_fy))-(IF((O33+P33*'Geometry'!$G$42+Q33*'Geometry'!$F$42)&gt;0,IF((O33+P33*'Geometry'!$G$42+Q33*'Geometry'!$F$42)&lt;=C_eco,C_alpha*C_fck*(1-(1-(O33+P33*'Geometry'!$G$42+Q33*'Geometry'!$F$42)/C_eco)^C_n),C_alpha*C_fck),0)))*'Geometry'!$H$42*'Geometry'!$G$42+((MAX(MIN(S_1_Es*(O33+P33*'Geometry'!$G$43+Q33*'Geometry'!$F$43),S_1_fy),-S_1_fy))-(IF((O33+P33*'Geometry'!$G$43+Q33*'Geometry'!$F$43)&gt;0,IF((O33+P33*'Geometry'!$G$43+Q33*'Geometry'!$F$43)&lt;=C_eco,C_alpha*C_fck*(1-(1-(O33+P33*'Geometry'!$G$43+Q33*'Geometry'!$F$43)/C_eco)^C_n),C_alpha*C_fck),0)))*'Geometry'!$H$43*'Geometry'!$G$43+((MAX(MIN(S_1_Es*(O33+P33*'Geometry'!$G$44+Q33*'Geometry'!$F$44),S_1_fy),-S_1_fy))-(IF((O33+P33*'Geometry'!$G$44+Q33*'Geometry'!$F$44)&gt;0,IF((O33+P33*'Geometry'!$G$44+Q33*'Geometry'!$F$44)&lt;=C_eco,C_alpha*C_fck*(1-(1-(O33+P33*'Geometry'!$G$44+Q33*'Geometry'!$F$44)/C_eco)^C_n),C_alpha*C_fck),0)))*'Geometry'!$H$44*'Geometry'!$G$44+((MAX(MIN(S_1_Es*(O33+P33*'Geometry'!$G$45+Q33*'Geometry'!$F$45),S_1_fy),-S_1_fy))-(IF((O33+P33*'Geometry'!$G$45+Q33*'Geometry'!$F$45)&gt;0,IF((O33+P33*'Geometry'!$G$45+Q33*'Geometry'!$F$45)&lt;=C_eco,C_alpha*C_fck*(1-(1-(O33+P33*'Geometry'!$G$45+Q33*'Geometry'!$F$45)/C_eco)^C_n),C_alpha*C_fck),0)))*'Geometry'!$H$45*'Geometry'!$G$45+((MAX(MIN(S_1_Es*(O33+P33*'Geometry'!$G$46+Q33*'Geometry'!$F$46),S_1_fy),-S_1_fy))-(IF((O33+P33*'Geometry'!$G$46+Q33*'Geometry'!$F$46)&gt;0,IF((O33+P33*'Geometry'!$G$46+Q33*'Geometry'!$F$46)&lt;=C_eco,C_alpha*C_fck*(1-(1-(O33+P33*'Geometry'!$G$46+Q33*'Geometry'!$F$46)/C_eco)^C_n),C_alpha*C_fck),0)))*'Geometry'!$H$46*'Geometry'!$G$46+((MAX(MIN(S_1_Es*(O33+P33*'Geometry'!$G$47+Q33*'Geometry'!$F$47),S_1_fy),-S_1_fy))-(IF((O33+P33*'Geometry'!$G$47+Q33*'Geometry'!$F$47)&gt;0,IF((O33+P33*'Geometry'!$G$47+Q33*'Geometry'!$F$47)&lt;=C_eco,C_alpha*C_fck*(1-(1-(O33+P33*'Geometry'!$G$47+Q33*'Geometry'!$F$47)/C_eco)^C_n),C_alpha*C_fck),0)))*'Geometry'!$H$47*'Geometry'!$G$47+((MAX(MIN(S_1_Es*(O33+P33*'Geometry'!$G$48+Q33*'Geometry'!$F$48),S_1_fy),-S_1_fy))-(IF((O33+P33*'Geometry'!$G$48+Q33*'Geometry'!$F$48)&gt;0,IF((O33+P33*'Geometry'!$G$48+Q33*'Geometry'!$F$48)&lt;=C_eco,C_alpha*C_fck*(1-(1-(O33+P33*'Geometry'!$G$48+Q33*'Geometry'!$F$48)/C_eco)^C_n),C_alpha*C_fck),0)))*'Geometry'!$H$48*'Geometry'!$G$48+((MAX(MIN(S_1_Es*(O33+P33*'Geometry'!$G$49+Q33*'Geometry'!$F$49),S_1_fy),-S_1_fy))-(IF((O33+P33*'Geometry'!$G$49+Q33*'Geometry'!$F$49)&gt;0,IF((O33+P33*'Geometry'!$G$49+Q33*'Geometry'!$F$49)&lt;=C_eco,C_alpha*C_fck*(1-(1-(O33+P33*'Geometry'!$G$49+Q33*'Geometry'!$F$49)/C_eco)^C_n),C_alpha*C_fck),0)))*'Geometry'!$H$49*'Geometry'!$G$49+((MAX(MIN(S_1_Es*(O33+P33*'Geometry'!$G$50+Q33*'Geometry'!$F$50),S_1_fy),-S_1_fy))-(IF((O33+P33*'Geometry'!$G$50+Q33*'Geometry'!$F$50)&gt;0,IF((O33+P33*'Geometry'!$G$50+Q33*'Geometry'!$F$50)&lt;=C_eco,C_alpha*C_fck*(1-(1-(O33+P33*'Geometry'!$G$50+Q33*'Geometry'!$F$50)/C_eco)^C_n),C_alpha*C_fck),0)))*'Geometry'!$H$50*'Geometry'!$G$50+((MAX(MIN(S_1_Es*(O33+P33*'Geometry'!$G$51+Q33*'Geometry'!$F$51),S_1_fy),-S_1_fy))-(IF((O33+P33*'Geometry'!$G$51+Q33*'Geometry'!$F$51)&gt;0,IF((O33+P33*'Geometry'!$G$51+Q33*'Geometry'!$F$51)&lt;=C_eco,C_alpha*C_fck*(1-(1-(O33+P33*'Geometry'!$G$51+Q33*'Geometry'!$F$51)/C_eco)^C_n),C_alpha*C_fck),0)))*'Geometry'!$H$51*'Geometry'!$G$51+((MAX(MIN(S_1_Es*(O33+P33*'Geometry'!$G$52+Q33*'Geometry'!$F$52),S_1_fy),-S_1_fy))-(IF((O33+P33*'Geometry'!$G$52+Q33*'Geometry'!$F$52)&gt;0,IF((O33+P33*'Geometry'!$G$52+Q33*'Geometry'!$F$52)&lt;=C_eco,C_alpha*C_fck*(1-(1-(O33+P33*'Geometry'!$G$52+Q33*'Geometry'!$F$52)/C_eco)^C_n),C_alpha*C_fck),0)))*'Geometry'!$H$52*'Geometry'!$G$52+((MAX(MIN(S_1_Es*(O33+P33*'Geometry'!$G$53+Q33*'Geometry'!$F$53),S_1_fy),-S_1_fy))-(IF((O33+P33*'Geometry'!$G$53+Q33*'Geometry'!$F$53)&gt;0,IF((O33+P33*'Geometry'!$G$53+Q33*'Geometry'!$F$53)&lt;=C_eco,C_alpha*C_fck*(1-(1-(O33+P33*'Geometry'!$G$53+Q33*'Geometry'!$F$53)/C_eco)^C_n),C_alpha*C_fck),0)))*'Geometry'!$H$53*'Geometry'!$G$53+((MAX(MIN(S_1_Es*(O33+P33*'Geometry'!$G$54+Q33*'Geometry'!$F$54),S_1_fy),-S_1_fy))-(IF((O33+P33*'Geometry'!$G$54+Q33*'Geometry'!$F$54)&gt;0,IF((O33+P33*'Geometry'!$G$54+Q33*'Geometry'!$F$54)&lt;=C_eco,C_alpha*C_fck*(1-(1-(O33+P33*'Geometry'!$G$54+Q33*'Geometry'!$F$54)/C_eco)^C_n),C_alpha*C_fck),0)))*'Geometry'!$H$54*'Geometry'!$G$54+((MAX(MIN(S_1_Es*(O33+P33*'Geometry'!$G$55+Q33*'Geometry'!$F$55),S_1_fy),-S_1_fy))-(IF((O33+P33*'Geometry'!$G$55+Q33*'Geometry'!$F$55)&gt;0,IF((O33+P33*'Geometry'!$G$55+Q33*'Geometry'!$F$55)&lt;=C_eco,C_alpha*C_fck*(1-(1-(O33+P33*'Geometry'!$G$55+Q33*'Geometry'!$F$55)/C_eco)^C_n),C_alpha*C_fck),0)))*'Geometry'!$H$55*'Geometry'!$G$55+((MAX(MIN(S_1_Es*(O33+P33*'Geometry'!$G$56+Q33*'Geometry'!$F$56),S_1_fy),-S_1_fy))-(IF((O33+P33*'Geometry'!$G$56+Q33*'Geometry'!$F$56)&gt;0,IF((O33+P33*'Geometry'!$G$56+Q33*'Geometry'!$F$56)&lt;=C_eco,C_alpha*C_fck*(1-(1-(O33+P33*'Geometry'!$G$56+Q33*'Geometry'!$F$56)/C_eco)^C_n),C_alpha*C_fck),0)))*'Geometry'!$H$56*'Geometry'!$G$56+((MAX(MIN(S_1_Es*(O33+P33*'Geometry'!$G$57+Q33*'Geometry'!$F$57),S_1_fy),-S_1_fy))-(IF((O33+P33*'Geometry'!$G$57+Q33*'Geometry'!$F$57)&gt;0,IF((O33+P33*'Geometry'!$G$57+Q33*'Geometry'!$F$57)&lt;=C_eco,C_alpha*C_fck*(1-(1-(O33+P33*'Geometry'!$G$57+Q33*'Geometry'!$F$57)/C_eco)^C_n),C_alpha*C_fck),0)))*'Geometry'!$H$57*'Geometry'!$G$57)/1000000</f>
        <v>-421.54698760570784</v>
      </c>
      <c r="W33" s="10">
        <f>(((MAX(MIN(S_1_Es*(O33+P33*'Geometry'!$G$40+Q33*'Geometry'!$F$40),S_1_fy),-S_1_fy))-(IF((O33+P33*'Geometry'!$G$40+Q33*'Geometry'!$F$40)&gt;0,IF((O33+P33*'Geometry'!$G$40+Q33*'Geometry'!$F$40)&lt;=C_eco,C_alpha*C_fck*(1-(1-(O33+P33*'Geometry'!$G$40+Q33*'Geometry'!$F$40)/C_eco)^C_n),C_alpha*C_fck),0)))*'Geometry'!$H$40*'Geometry'!$F$40+((MAX(MIN(S_1_Es*(O33+P33*'Geometry'!$G$41+Q33*'Geometry'!$F$41),S_1_fy),-S_1_fy))-(IF((O33+P33*'Geometry'!$G$41+Q33*'Geometry'!$F$41)&gt;0,IF((O33+P33*'Geometry'!$G$41+Q33*'Geometry'!$F$41)&lt;=C_eco,C_alpha*C_fck*(1-(1-(O33+P33*'Geometry'!$G$41+Q33*'Geometry'!$F$41)/C_eco)^C_n),C_alpha*C_fck),0)))*'Geometry'!$H$41*'Geometry'!$F$41+((MAX(MIN(S_1_Es*(O33+P33*'Geometry'!$G$42+Q33*'Geometry'!$F$42),S_1_fy),-S_1_fy))-(IF((O33+P33*'Geometry'!$G$42+Q33*'Geometry'!$F$42)&gt;0,IF((O33+P33*'Geometry'!$G$42+Q33*'Geometry'!$F$42)&lt;=C_eco,C_alpha*C_fck*(1-(1-(O33+P33*'Geometry'!$G$42+Q33*'Geometry'!$F$42)/C_eco)^C_n),C_alpha*C_fck),0)))*'Geometry'!$H$42*'Geometry'!$F$42+((MAX(MIN(S_1_Es*(O33+P33*'Geometry'!$G$43+Q33*'Geometry'!$F$43),S_1_fy),-S_1_fy))-(IF((O33+P33*'Geometry'!$G$43+Q33*'Geometry'!$F$43)&gt;0,IF((O33+P33*'Geometry'!$G$43+Q33*'Geometry'!$F$43)&lt;=C_eco,C_alpha*C_fck*(1-(1-(O33+P33*'Geometry'!$G$43+Q33*'Geometry'!$F$43)/C_eco)^C_n),C_alpha*C_fck),0)))*'Geometry'!$H$43*'Geometry'!$F$43+((MAX(MIN(S_1_Es*(O33+P33*'Geometry'!$G$44+Q33*'Geometry'!$F$44),S_1_fy),-S_1_fy))-(IF((O33+P33*'Geometry'!$G$44+Q33*'Geometry'!$F$44)&gt;0,IF((O33+P33*'Geometry'!$G$44+Q33*'Geometry'!$F$44)&lt;=C_eco,C_alpha*C_fck*(1-(1-(O33+P33*'Geometry'!$G$44+Q33*'Geometry'!$F$44)/C_eco)^C_n),C_alpha*C_fck),0)))*'Geometry'!$H$44*'Geometry'!$F$44+((MAX(MIN(S_1_Es*(O33+P33*'Geometry'!$G$45+Q33*'Geometry'!$F$45),S_1_fy),-S_1_fy))-(IF((O33+P33*'Geometry'!$G$45+Q33*'Geometry'!$F$45)&gt;0,IF((O33+P33*'Geometry'!$G$45+Q33*'Geometry'!$F$45)&lt;=C_eco,C_alpha*C_fck*(1-(1-(O33+P33*'Geometry'!$G$45+Q33*'Geometry'!$F$45)/C_eco)^C_n),C_alpha*C_fck),0)))*'Geometry'!$H$45*'Geometry'!$F$45+((MAX(MIN(S_1_Es*(O33+P33*'Geometry'!$G$46+Q33*'Geometry'!$F$46),S_1_fy),-S_1_fy))-(IF((O33+P33*'Geometry'!$G$46+Q33*'Geometry'!$F$46)&gt;0,IF((O33+P33*'Geometry'!$G$46+Q33*'Geometry'!$F$46)&lt;=C_eco,C_alpha*C_fck*(1-(1-(O33+P33*'Geometry'!$G$46+Q33*'Geometry'!$F$46)/C_eco)^C_n),C_alpha*C_fck),0)))*'Geometry'!$H$46*'Geometry'!$F$46+((MAX(MIN(S_1_Es*(O33+P33*'Geometry'!$G$47+Q33*'Geometry'!$F$47),S_1_fy),-S_1_fy))-(IF((O33+P33*'Geometry'!$G$47+Q33*'Geometry'!$F$47)&gt;0,IF((O33+P33*'Geometry'!$G$47+Q33*'Geometry'!$F$47)&lt;=C_eco,C_alpha*C_fck*(1-(1-(O33+P33*'Geometry'!$G$47+Q33*'Geometry'!$F$47)/C_eco)^C_n),C_alpha*C_fck),0)))*'Geometry'!$H$47*'Geometry'!$F$47+((MAX(MIN(S_1_Es*(O33+P33*'Geometry'!$G$48+Q33*'Geometry'!$F$48),S_1_fy),-S_1_fy))-(IF((O33+P33*'Geometry'!$G$48+Q33*'Geometry'!$F$48)&gt;0,IF((O33+P33*'Geometry'!$G$48+Q33*'Geometry'!$F$48)&lt;=C_eco,C_alpha*C_fck*(1-(1-(O33+P33*'Geometry'!$G$48+Q33*'Geometry'!$F$48)/C_eco)^C_n),C_alpha*C_fck),0)))*'Geometry'!$H$48*'Geometry'!$F$48+((MAX(MIN(S_1_Es*(O33+P33*'Geometry'!$G$49+Q33*'Geometry'!$F$49),S_1_fy),-S_1_fy))-(IF((O33+P33*'Geometry'!$G$49+Q33*'Geometry'!$F$49)&gt;0,IF((O33+P33*'Geometry'!$G$49+Q33*'Geometry'!$F$49)&lt;=C_eco,C_alpha*C_fck*(1-(1-(O33+P33*'Geometry'!$G$49+Q33*'Geometry'!$F$49)/C_eco)^C_n),C_alpha*C_fck),0)))*'Geometry'!$H$49*'Geometry'!$F$49+((MAX(MIN(S_1_Es*(O33+P33*'Geometry'!$G$50+Q33*'Geometry'!$F$50),S_1_fy),-S_1_fy))-(IF((O33+P33*'Geometry'!$G$50+Q33*'Geometry'!$F$50)&gt;0,IF((O33+P33*'Geometry'!$G$50+Q33*'Geometry'!$F$50)&lt;=C_eco,C_alpha*C_fck*(1-(1-(O33+P33*'Geometry'!$G$50+Q33*'Geometry'!$F$50)/C_eco)^C_n),C_alpha*C_fck),0)))*'Geometry'!$H$50*'Geometry'!$F$50+((MAX(MIN(S_1_Es*(O33+P33*'Geometry'!$G$51+Q33*'Geometry'!$F$51),S_1_fy),-S_1_fy))-(IF((O33+P33*'Geometry'!$G$51+Q33*'Geometry'!$F$51)&gt;0,IF((O33+P33*'Geometry'!$G$51+Q33*'Geometry'!$F$51)&lt;=C_eco,C_alpha*C_fck*(1-(1-(O33+P33*'Geometry'!$G$51+Q33*'Geometry'!$F$51)/C_eco)^C_n),C_alpha*C_fck),0)))*'Geometry'!$H$51*'Geometry'!$F$51+((MAX(MIN(S_1_Es*(O33+P33*'Geometry'!$G$52+Q33*'Geometry'!$F$52),S_1_fy),-S_1_fy))-(IF((O33+P33*'Geometry'!$G$52+Q33*'Geometry'!$F$52)&gt;0,IF((O33+P33*'Geometry'!$G$52+Q33*'Geometry'!$F$52)&lt;=C_eco,C_alpha*C_fck*(1-(1-(O33+P33*'Geometry'!$G$52+Q33*'Geometry'!$F$52)/C_eco)^C_n),C_alpha*C_fck),0)))*'Geometry'!$H$52*'Geometry'!$F$52+((MAX(MIN(S_1_Es*(O33+P33*'Geometry'!$G$53+Q33*'Geometry'!$F$53),S_1_fy),-S_1_fy))-(IF((O33+P33*'Geometry'!$G$53+Q33*'Geometry'!$F$53)&gt;0,IF((O33+P33*'Geometry'!$G$53+Q33*'Geometry'!$F$53)&lt;=C_eco,C_alpha*C_fck*(1-(1-(O33+P33*'Geometry'!$G$53+Q33*'Geometry'!$F$53)/C_eco)^C_n),C_alpha*C_fck),0)))*'Geometry'!$H$53*'Geometry'!$F$53+((MAX(MIN(S_1_Es*(O33+P33*'Geometry'!$G$54+Q33*'Geometry'!$F$54),S_1_fy),-S_1_fy))-(IF((O33+P33*'Geometry'!$G$54+Q33*'Geometry'!$F$54)&gt;0,IF((O33+P33*'Geometry'!$G$54+Q33*'Geometry'!$F$54)&lt;=C_eco,C_alpha*C_fck*(1-(1-(O33+P33*'Geometry'!$G$54+Q33*'Geometry'!$F$54)/C_eco)^C_n),C_alpha*C_fck),0)))*'Geometry'!$H$54*'Geometry'!$F$54+((MAX(MIN(S_1_Es*(O33+P33*'Geometry'!$G$55+Q33*'Geometry'!$F$55),S_1_fy),-S_1_fy))-(IF((O33+P33*'Geometry'!$G$55+Q33*'Geometry'!$F$55)&gt;0,IF((O33+P33*'Geometry'!$G$55+Q33*'Geometry'!$F$55)&lt;=C_eco,C_alpha*C_fck*(1-(1-(O33+P33*'Geometry'!$G$55+Q33*'Geometry'!$F$55)/C_eco)^C_n),C_alpha*C_fck),0)))*'Geometry'!$H$55*'Geometry'!$F$55+((MAX(MIN(S_1_Es*(O33+P33*'Geometry'!$G$56+Q33*'Geometry'!$F$56),S_1_fy),-S_1_fy))-(IF((O33+P33*'Geometry'!$G$56+Q33*'Geometry'!$F$56)&gt;0,IF((O33+P33*'Geometry'!$G$56+Q33*'Geometry'!$F$56)&lt;=C_eco,C_alpha*C_fck*(1-(1-(O33+P33*'Geometry'!$G$56+Q33*'Geometry'!$F$56)/C_eco)^C_n),C_alpha*C_fck),0)))*'Geometry'!$H$56*'Geometry'!$F$56+((MAX(MIN(S_1_Es*(O33+P33*'Geometry'!$G$57+Q33*'Geometry'!$F$57),S_1_fy),-S_1_fy))-(IF((O33+P33*'Geometry'!$G$57+Q33*'Geometry'!$F$57)&gt;0,IF((O33+P33*'Geometry'!$G$57+Q33*'Geometry'!$F$57)&lt;=C_eco,C_alpha*C_fck*(1-(1-(O33+P33*'Geometry'!$G$57+Q33*'Geometry'!$F$57)/C_eco)^C_n),C_alpha*C_fck),0)))*'Geometry'!$H$57*'Geometry'!$F$57)/1000000</f>
        <v>-1699.710476357681</v>
      </c>
      <c r="X33" s="10">
        <f>R33+U33</f>
        <v>1684.6235259893756</v>
      </c>
      <c r="Y33" s="10">
        <f>S33+V33</f>
        <v>-1328.258281009462</v>
      </c>
      <c r="Z33" s="10">
        <f>T33+W33</f>
        <v>-4550.203107978362</v>
      </c>
      <c r="AA33" s="7">
        <v>0.85</v>
      </c>
      <c r="AB33" s="7">
        <v>0.8499999999999999</v>
      </c>
      <c r="AC33" s="10">
        <f>X33*AA33</f>
        <v>1431.9299970909692</v>
      </c>
      <c r="AD33" s="10">
        <f>Y33*AB33</f>
        <v>-1129.0195388580428</v>
      </c>
      <c r="AE33" s="10">
        <f>Z33*AB33</f>
        <v>-3867.6726417816076</v>
      </c>
      <c r="AF33" s="7">
        <v>1431.9299970909692</v>
      </c>
      <c r="AG33" s="7">
        <v>-1129.0195388580428</v>
      </c>
      <c r="AH33" s="7">
        <v>-3867.6726417816076</v>
      </c>
      <c r="AI33" s="15">
        <f>AC33-AF33</f>
        <v>0</v>
      </c>
      <c r="AJ33" s="15">
        <f>SQRT((AD33-AG33)^2+(AE33-AH33)^2)</f>
        <v>0</v>
      </c>
      <c r="AK33" s="7" t="s">
        <v>189</v>
      </c>
      <c r="AL33" s="7">
        <v>1684.6235259893756</v>
      </c>
      <c r="AM33" s="7">
        <v>-1328.258281009462</v>
      </c>
      <c r="AN33" s="7">
        <v>-4550.203107978362</v>
      </c>
      <c r="AO33" s="7">
        <v>4637.596438420159</v>
      </c>
      <c r="AP33" s="7">
        <v>-906.7112934037543</v>
      </c>
      <c r="AQ33" s="7">
        <v>-2850.492631620681</v>
      </c>
      <c r="AR33" s="7">
        <v>-2952.9729124307833</v>
      </c>
      <c r="AS33" s="7">
        <v>-421.54698760570784</v>
      </c>
      <c r="AT33" s="7">
        <v>-1699.710476357681</v>
      </c>
    </row>
    <row r="34" spans="1:46" x14ac:dyDescent="0.25">
      <c r="A34" s="7" t="s">
        <v>242</v>
      </c>
      <c r="B34" s="7">
        <v>1</v>
      </c>
      <c r="C34" s="18">
        <v>260</v>
      </c>
      <c r="D34" s="7" t="s">
        <v>293</v>
      </c>
      <c r="E34" s="7" t="s">
        <v>275</v>
      </c>
      <c r="F34" s="19">
        <v>260</v>
      </c>
      <c r="G34" s="7" t="s">
        <v>188</v>
      </c>
      <c r="H34" s="20">
        <v>7.5</v>
      </c>
      <c r="I34" s="10">
        <f>MAX(('Geometry'!$G$13*COS(RADIANS(F34))+'Geometry'!$F$13*SIN(RADIANS(F34))),('Geometry'!$G$14*COS(RADIANS(F34))+'Geometry'!$F$14*SIN(RADIANS(F34))),('Geometry'!$G$15*COS(RADIANS(F34))+'Geometry'!$F$15*SIN(RADIANS(F34))),('Geometry'!$G$16*COS(RADIANS(F34))+'Geometry'!$F$16*SIN(RADIANS(F34))),('Geometry'!$G$17*COS(RADIANS(F34))+'Geometry'!$F$17*SIN(RADIANS(F34))),('Geometry'!$G$18*COS(RADIANS(F34))+'Geometry'!$F$18*SIN(RADIANS(F34))),('Geometry'!$G$19*COS(RADIANS(F34))+'Geometry'!$F$19*SIN(RADIANS(F34))),('Geometry'!$G$20*COS(RADIANS(F34))+'Geometry'!$F$20*SIN(RADIANS(F34))))</f>
        <v>808.0650858259281</v>
      </c>
      <c r="J34" s="10">
        <f>MIN(('Geometry'!$G$40*COS(RADIANS(F34))+'Geometry'!$F$40*SIN(RADIANS(F34))),('Geometry'!$G$41*COS(RADIANS(F34))+'Geometry'!$F$41*SIN(RADIANS(F34))),('Geometry'!$G$42*COS(RADIANS(F34))+'Geometry'!$F$42*SIN(RADIANS(F34))),('Geometry'!$G$43*COS(RADIANS(F34))+'Geometry'!$F$43*SIN(RADIANS(F34))),('Geometry'!$G$44*COS(RADIANS(F34))+'Geometry'!$F$44*SIN(RADIANS(F34))),('Geometry'!$G$45*COS(RADIANS(F34))+'Geometry'!$F$45*SIN(RADIANS(F34))),('Geometry'!$G$46*COS(RADIANS(F34))+'Geometry'!$F$46*SIN(RADIANS(F34))),('Geometry'!$G$47*COS(RADIANS(F34))+'Geometry'!$F$47*SIN(RADIANS(F34))),('Geometry'!$G$48*COS(RADIANS(F34))+'Geometry'!$F$48*SIN(RADIANS(F34))),('Geometry'!$G$49*COS(RADIANS(F34))+'Geometry'!$F$49*SIN(RADIANS(F34))),('Geometry'!$G$50*COS(RADIANS(F34))+'Geometry'!$F$50*SIN(RADIANS(F34))),('Geometry'!$G$51*COS(RADIANS(F34))+'Geometry'!$F$51*SIN(RADIANS(F34))),('Geometry'!$G$52*COS(RADIANS(F34))+'Geometry'!$F$52*SIN(RADIANS(F34))),('Geometry'!$G$53*COS(RADIANS(F34))+'Geometry'!$F$53*SIN(RADIANS(F34))),('Geometry'!$G$54*COS(RADIANS(F34))+'Geometry'!$F$54*SIN(RADIANS(F34))),('Geometry'!$G$55*COS(RADIANS(F34))+'Geometry'!$F$55*SIN(RADIANS(F34))),('Geometry'!$G$56*COS(RADIANS(F34))+'Geometry'!$F$56*SIN(RADIANS(F34))),('Geometry'!$G$57*COS(RADIANS(F34))+'Geometry'!$F$57*SIN(RADIANS(F34))))</f>
        <v>-721.7637253483805</v>
      </c>
      <c r="K34" s="10">
        <f>I34-MIN(('Geometry'!$G$13*COS(RADIANS(F34))+'Geometry'!$F$13*SIN(RADIANS(F34))),('Geometry'!$G$14*COS(RADIANS(F34))+'Geometry'!$F$14*SIN(RADIANS(F34))),('Geometry'!$G$15*COS(RADIANS(F34))+'Geometry'!$F$15*SIN(RADIANS(F34))),('Geometry'!$G$16*COS(RADIANS(F34))+'Geometry'!$F$16*SIN(RADIANS(F34))),('Geometry'!$G$17*COS(RADIANS(F34))+'Geometry'!$F$17*SIN(RADIANS(F34))),('Geometry'!$G$18*COS(RADIANS(F34))+'Geometry'!$F$18*SIN(RADIANS(F34))),('Geometry'!$G$19*COS(RADIANS(F34))+'Geometry'!$F$19*SIN(RADIANS(F34))),('Geometry'!$G$20*COS(RADIANS(F34))+'Geometry'!$F$20*SIN(RADIANS(F34))))</f>
        <v>1616.1301716518562</v>
      </c>
      <c r="L34" s="15">
        <f>C_ecu</f>
        <v>0.0032999999999999982</v>
      </c>
      <c r="M34" s="15">
        <f>-H34*S_1_fy/S_1_Es</f>
        <v>-0.015</v>
      </c>
      <c r="N34" s="21">
        <f>IF(ABS(I34-J34)&lt;0.000000000001,0,(L34-M34)/(I34-J34))</f>
        <v>0.000011962122733165663</v>
      </c>
      <c r="O34" s="15">
        <f>L34-N34*I34</f>
        <v>-0.006366173733035799</v>
      </c>
      <c r="P34" s="21">
        <f>N34*COS(RADIANS(F34))</f>
        <v>-0.0000020772008136423776</v>
      </c>
      <c r="Q34" s="21">
        <f>N34*SIN(RADIANS(F34))</f>
        <v>-0.00001178039121010513</v>
      </c>
      <c r="R34" s="10">
        <f>SUMPRODUCT(C_alpha*C_fck*(1-(1-(((O34+P34*Mesh_Y+Q34*Mesh_X))*((O34+P34*Mesh_Y+Q34*Mesh_X)&gt;0)*((O34+P34*Mesh_Y+Q34*Mesh_X)&lt;C_eco)+C_eco*((O34+P34*Mesh_Y+Q34*Mesh_X)&gt;=C_eco))/C_eco)^C_n)*(((O34+P34*Mesh_Y+Q34*Mesh_X))&gt;0),Mesh_A)/1000</f>
        <v>3850.792264748327</v>
      </c>
      <c r="S34" s="10">
        <f>SUMPRODUCT(C_alpha*C_fck*(1-(1-(((O34+P34*Mesh_Y+Q34*Mesh_X))*((O34+P34*Mesh_Y+Q34*Mesh_X)&gt;0)*((O34+P34*Mesh_Y+Q34*Mesh_X)&lt;C_eco)+C_eco*((O34+P34*Mesh_Y+Q34*Mesh_X)&gt;=C_eco))/C_eco)^C_n)*(((O34+P34*Mesh_Y+Q34*Mesh_X))&gt;0),Mesh_A,Mesh_Y)/1000000</f>
        <v>-481.36028458990825</v>
      </c>
      <c r="T34" s="10">
        <f>SUMPRODUCT(C_alpha*C_fck*(1-(1-(((O34+P34*Mesh_Y+Q34*Mesh_X))*((O34+P34*Mesh_Y+Q34*Mesh_X)&gt;0)*((O34+P34*Mesh_Y+Q34*Mesh_X)&lt;C_eco)+C_eco*((O34+P34*Mesh_Y+Q34*Mesh_X)&gt;=C_eco))/C_eco)^C_n)*(((O34+P34*Mesh_Y+Q34*Mesh_X))&gt;0),Mesh_A,Mesh_X)/1000000</f>
        <v>-2509.001912703857</v>
      </c>
      <c r="U34" s="10">
        <f>(((MAX(MIN(S_1_Es*(O34+P34*'Geometry'!$G$40+Q34*'Geometry'!$F$40),S_1_fy),-S_1_fy))-(IF((O34+P34*'Geometry'!$G$40+Q34*'Geometry'!$F$40)&gt;0,IF((O34+P34*'Geometry'!$G$40+Q34*'Geometry'!$F$40)&lt;=C_eco,C_alpha*C_fck*(1-(1-(O34+P34*'Geometry'!$G$40+Q34*'Geometry'!$F$40)/C_eco)^C_n),C_alpha*C_fck),0)))*'Geometry'!$H$40+((MAX(MIN(S_1_Es*(O34+P34*'Geometry'!$G$41+Q34*'Geometry'!$F$41),S_1_fy),-S_1_fy))-(IF((O34+P34*'Geometry'!$G$41+Q34*'Geometry'!$F$41)&gt;0,IF((O34+P34*'Geometry'!$G$41+Q34*'Geometry'!$F$41)&lt;=C_eco,C_alpha*C_fck*(1-(1-(O34+P34*'Geometry'!$G$41+Q34*'Geometry'!$F$41)/C_eco)^C_n),C_alpha*C_fck),0)))*'Geometry'!$H$41+((MAX(MIN(S_1_Es*(O34+P34*'Geometry'!$G$42+Q34*'Geometry'!$F$42),S_1_fy),-S_1_fy))-(IF((O34+P34*'Geometry'!$G$42+Q34*'Geometry'!$F$42)&gt;0,IF((O34+P34*'Geometry'!$G$42+Q34*'Geometry'!$F$42)&lt;=C_eco,C_alpha*C_fck*(1-(1-(O34+P34*'Geometry'!$G$42+Q34*'Geometry'!$F$42)/C_eco)^C_n),C_alpha*C_fck),0)))*'Geometry'!$H$42+((MAX(MIN(S_1_Es*(O34+P34*'Geometry'!$G$43+Q34*'Geometry'!$F$43),S_1_fy),-S_1_fy))-(IF((O34+P34*'Geometry'!$G$43+Q34*'Geometry'!$F$43)&gt;0,IF((O34+P34*'Geometry'!$G$43+Q34*'Geometry'!$F$43)&lt;=C_eco,C_alpha*C_fck*(1-(1-(O34+P34*'Geometry'!$G$43+Q34*'Geometry'!$F$43)/C_eco)^C_n),C_alpha*C_fck),0)))*'Geometry'!$H$43+((MAX(MIN(S_1_Es*(O34+P34*'Geometry'!$G$44+Q34*'Geometry'!$F$44),S_1_fy),-S_1_fy))-(IF((O34+P34*'Geometry'!$G$44+Q34*'Geometry'!$F$44)&gt;0,IF((O34+P34*'Geometry'!$G$44+Q34*'Geometry'!$F$44)&lt;=C_eco,C_alpha*C_fck*(1-(1-(O34+P34*'Geometry'!$G$44+Q34*'Geometry'!$F$44)/C_eco)^C_n),C_alpha*C_fck),0)))*'Geometry'!$H$44+((MAX(MIN(S_1_Es*(O34+P34*'Geometry'!$G$45+Q34*'Geometry'!$F$45),S_1_fy),-S_1_fy))-(IF((O34+P34*'Geometry'!$G$45+Q34*'Geometry'!$F$45)&gt;0,IF((O34+P34*'Geometry'!$G$45+Q34*'Geometry'!$F$45)&lt;=C_eco,C_alpha*C_fck*(1-(1-(O34+P34*'Geometry'!$G$45+Q34*'Geometry'!$F$45)/C_eco)^C_n),C_alpha*C_fck),0)))*'Geometry'!$H$45+((MAX(MIN(S_1_Es*(O34+P34*'Geometry'!$G$46+Q34*'Geometry'!$F$46),S_1_fy),-S_1_fy))-(IF((O34+P34*'Geometry'!$G$46+Q34*'Geometry'!$F$46)&gt;0,IF((O34+P34*'Geometry'!$G$46+Q34*'Geometry'!$F$46)&lt;=C_eco,C_alpha*C_fck*(1-(1-(O34+P34*'Geometry'!$G$46+Q34*'Geometry'!$F$46)/C_eco)^C_n),C_alpha*C_fck),0)))*'Geometry'!$H$46+((MAX(MIN(S_1_Es*(O34+P34*'Geometry'!$G$47+Q34*'Geometry'!$F$47),S_1_fy),-S_1_fy))-(IF((O34+P34*'Geometry'!$G$47+Q34*'Geometry'!$F$47)&gt;0,IF((O34+P34*'Geometry'!$G$47+Q34*'Geometry'!$F$47)&lt;=C_eco,C_alpha*C_fck*(1-(1-(O34+P34*'Geometry'!$G$47+Q34*'Geometry'!$F$47)/C_eco)^C_n),C_alpha*C_fck),0)))*'Geometry'!$H$47+((MAX(MIN(S_1_Es*(O34+P34*'Geometry'!$G$48+Q34*'Geometry'!$F$48),S_1_fy),-S_1_fy))-(IF((O34+P34*'Geometry'!$G$48+Q34*'Geometry'!$F$48)&gt;0,IF((O34+P34*'Geometry'!$G$48+Q34*'Geometry'!$F$48)&lt;=C_eco,C_alpha*C_fck*(1-(1-(O34+P34*'Geometry'!$G$48+Q34*'Geometry'!$F$48)/C_eco)^C_n),C_alpha*C_fck),0)))*'Geometry'!$H$48+((MAX(MIN(S_1_Es*(O34+P34*'Geometry'!$G$49+Q34*'Geometry'!$F$49),S_1_fy),-S_1_fy))-(IF((O34+P34*'Geometry'!$G$49+Q34*'Geometry'!$F$49)&gt;0,IF((O34+P34*'Geometry'!$G$49+Q34*'Geometry'!$F$49)&lt;=C_eco,C_alpha*C_fck*(1-(1-(O34+P34*'Geometry'!$G$49+Q34*'Geometry'!$F$49)/C_eco)^C_n),C_alpha*C_fck),0)))*'Geometry'!$H$49+((MAX(MIN(S_1_Es*(O34+P34*'Geometry'!$G$50+Q34*'Geometry'!$F$50),S_1_fy),-S_1_fy))-(IF((O34+P34*'Geometry'!$G$50+Q34*'Geometry'!$F$50)&gt;0,IF((O34+P34*'Geometry'!$G$50+Q34*'Geometry'!$F$50)&lt;=C_eco,C_alpha*C_fck*(1-(1-(O34+P34*'Geometry'!$G$50+Q34*'Geometry'!$F$50)/C_eco)^C_n),C_alpha*C_fck),0)))*'Geometry'!$H$50+((MAX(MIN(S_1_Es*(O34+P34*'Geometry'!$G$51+Q34*'Geometry'!$F$51),S_1_fy),-S_1_fy))-(IF((O34+P34*'Geometry'!$G$51+Q34*'Geometry'!$F$51)&gt;0,IF((O34+P34*'Geometry'!$G$51+Q34*'Geometry'!$F$51)&lt;=C_eco,C_alpha*C_fck*(1-(1-(O34+P34*'Geometry'!$G$51+Q34*'Geometry'!$F$51)/C_eco)^C_n),C_alpha*C_fck),0)))*'Geometry'!$H$51+((MAX(MIN(S_1_Es*(O34+P34*'Geometry'!$G$52+Q34*'Geometry'!$F$52),S_1_fy),-S_1_fy))-(IF((O34+P34*'Geometry'!$G$52+Q34*'Geometry'!$F$52)&gt;0,IF((O34+P34*'Geometry'!$G$52+Q34*'Geometry'!$F$52)&lt;=C_eco,C_alpha*C_fck*(1-(1-(O34+P34*'Geometry'!$G$52+Q34*'Geometry'!$F$52)/C_eco)^C_n),C_alpha*C_fck),0)))*'Geometry'!$H$52+((MAX(MIN(S_1_Es*(O34+P34*'Geometry'!$G$53+Q34*'Geometry'!$F$53),S_1_fy),-S_1_fy))-(IF((O34+P34*'Geometry'!$G$53+Q34*'Geometry'!$F$53)&gt;0,IF((O34+P34*'Geometry'!$G$53+Q34*'Geometry'!$F$53)&lt;=C_eco,C_alpha*C_fck*(1-(1-(O34+P34*'Geometry'!$G$53+Q34*'Geometry'!$F$53)/C_eco)^C_n),C_alpha*C_fck),0)))*'Geometry'!$H$53+((MAX(MIN(S_1_Es*(O34+P34*'Geometry'!$G$54+Q34*'Geometry'!$F$54),S_1_fy),-S_1_fy))-(IF((O34+P34*'Geometry'!$G$54+Q34*'Geometry'!$F$54)&gt;0,IF((O34+P34*'Geometry'!$G$54+Q34*'Geometry'!$F$54)&lt;=C_eco,C_alpha*C_fck*(1-(1-(O34+P34*'Geometry'!$G$54+Q34*'Geometry'!$F$54)/C_eco)^C_n),C_alpha*C_fck),0)))*'Geometry'!$H$54+((MAX(MIN(S_1_Es*(O34+P34*'Geometry'!$G$55+Q34*'Geometry'!$F$55),S_1_fy),-S_1_fy))-(IF((O34+P34*'Geometry'!$G$55+Q34*'Geometry'!$F$55)&gt;0,IF((O34+P34*'Geometry'!$G$55+Q34*'Geometry'!$F$55)&lt;=C_eco,C_alpha*C_fck*(1-(1-(O34+P34*'Geometry'!$G$55+Q34*'Geometry'!$F$55)/C_eco)^C_n),C_alpha*C_fck),0)))*'Geometry'!$H$55+((MAX(MIN(S_1_Es*(O34+P34*'Geometry'!$G$56+Q34*'Geometry'!$F$56),S_1_fy),-S_1_fy))-(IF((O34+P34*'Geometry'!$G$56+Q34*'Geometry'!$F$56)&gt;0,IF((O34+P34*'Geometry'!$G$56+Q34*'Geometry'!$F$56)&lt;=C_eco,C_alpha*C_fck*(1-(1-(O34+P34*'Geometry'!$G$56+Q34*'Geometry'!$F$56)/C_eco)^C_n),C_alpha*C_fck),0)))*'Geometry'!$H$56+((MAX(MIN(S_1_Es*(O34+P34*'Geometry'!$G$57+Q34*'Geometry'!$F$57),S_1_fy),-S_1_fy))-(IF((O34+P34*'Geometry'!$G$57+Q34*'Geometry'!$F$57)&gt;0,IF((O34+P34*'Geometry'!$G$57+Q34*'Geometry'!$F$57)&lt;=C_eco,C_alpha*C_fck*(1-(1-(O34+P34*'Geometry'!$G$57+Q34*'Geometry'!$F$57)/C_eco)^C_n),C_alpha*C_fck),0)))*'Geometry'!$H$57)/1000</f>
        <v>-3331.4267791258476</v>
      </c>
      <c r="V34" s="10">
        <f>(((MAX(MIN(S_1_Es*(O34+P34*'Geometry'!$G$40+Q34*'Geometry'!$F$40),S_1_fy),-S_1_fy))-(IF((O34+P34*'Geometry'!$G$40+Q34*'Geometry'!$F$40)&gt;0,IF((O34+P34*'Geometry'!$G$40+Q34*'Geometry'!$F$40)&lt;=C_eco,C_alpha*C_fck*(1-(1-(O34+P34*'Geometry'!$G$40+Q34*'Geometry'!$F$40)/C_eco)^C_n),C_alpha*C_fck),0)))*'Geometry'!$H$40*'Geometry'!$G$40+((MAX(MIN(S_1_Es*(O34+P34*'Geometry'!$G$41+Q34*'Geometry'!$F$41),S_1_fy),-S_1_fy))-(IF((O34+P34*'Geometry'!$G$41+Q34*'Geometry'!$F$41)&gt;0,IF((O34+P34*'Geometry'!$G$41+Q34*'Geometry'!$F$41)&lt;=C_eco,C_alpha*C_fck*(1-(1-(O34+P34*'Geometry'!$G$41+Q34*'Geometry'!$F$41)/C_eco)^C_n),C_alpha*C_fck),0)))*'Geometry'!$H$41*'Geometry'!$G$41+((MAX(MIN(S_1_Es*(O34+P34*'Geometry'!$G$42+Q34*'Geometry'!$F$42),S_1_fy),-S_1_fy))-(IF((O34+P34*'Geometry'!$G$42+Q34*'Geometry'!$F$42)&gt;0,IF((O34+P34*'Geometry'!$G$42+Q34*'Geometry'!$F$42)&lt;=C_eco,C_alpha*C_fck*(1-(1-(O34+P34*'Geometry'!$G$42+Q34*'Geometry'!$F$42)/C_eco)^C_n),C_alpha*C_fck),0)))*'Geometry'!$H$42*'Geometry'!$G$42+((MAX(MIN(S_1_Es*(O34+P34*'Geometry'!$G$43+Q34*'Geometry'!$F$43),S_1_fy),-S_1_fy))-(IF((O34+P34*'Geometry'!$G$43+Q34*'Geometry'!$F$43)&gt;0,IF((O34+P34*'Geometry'!$G$43+Q34*'Geometry'!$F$43)&lt;=C_eco,C_alpha*C_fck*(1-(1-(O34+P34*'Geometry'!$G$43+Q34*'Geometry'!$F$43)/C_eco)^C_n),C_alpha*C_fck),0)))*'Geometry'!$H$43*'Geometry'!$G$43+((MAX(MIN(S_1_Es*(O34+P34*'Geometry'!$G$44+Q34*'Geometry'!$F$44),S_1_fy),-S_1_fy))-(IF((O34+P34*'Geometry'!$G$44+Q34*'Geometry'!$F$44)&gt;0,IF((O34+P34*'Geometry'!$G$44+Q34*'Geometry'!$F$44)&lt;=C_eco,C_alpha*C_fck*(1-(1-(O34+P34*'Geometry'!$G$44+Q34*'Geometry'!$F$44)/C_eco)^C_n),C_alpha*C_fck),0)))*'Geometry'!$H$44*'Geometry'!$G$44+((MAX(MIN(S_1_Es*(O34+P34*'Geometry'!$G$45+Q34*'Geometry'!$F$45),S_1_fy),-S_1_fy))-(IF((O34+P34*'Geometry'!$G$45+Q34*'Geometry'!$F$45)&gt;0,IF((O34+P34*'Geometry'!$G$45+Q34*'Geometry'!$F$45)&lt;=C_eco,C_alpha*C_fck*(1-(1-(O34+P34*'Geometry'!$G$45+Q34*'Geometry'!$F$45)/C_eco)^C_n),C_alpha*C_fck),0)))*'Geometry'!$H$45*'Geometry'!$G$45+((MAX(MIN(S_1_Es*(O34+P34*'Geometry'!$G$46+Q34*'Geometry'!$F$46),S_1_fy),-S_1_fy))-(IF((O34+P34*'Geometry'!$G$46+Q34*'Geometry'!$F$46)&gt;0,IF((O34+P34*'Geometry'!$G$46+Q34*'Geometry'!$F$46)&lt;=C_eco,C_alpha*C_fck*(1-(1-(O34+P34*'Geometry'!$G$46+Q34*'Geometry'!$F$46)/C_eco)^C_n),C_alpha*C_fck),0)))*'Geometry'!$H$46*'Geometry'!$G$46+((MAX(MIN(S_1_Es*(O34+P34*'Geometry'!$G$47+Q34*'Geometry'!$F$47),S_1_fy),-S_1_fy))-(IF((O34+P34*'Geometry'!$G$47+Q34*'Geometry'!$F$47)&gt;0,IF((O34+P34*'Geometry'!$G$47+Q34*'Geometry'!$F$47)&lt;=C_eco,C_alpha*C_fck*(1-(1-(O34+P34*'Geometry'!$G$47+Q34*'Geometry'!$F$47)/C_eco)^C_n),C_alpha*C_fck),0)))*'Geometry'!$H$47*'Geometry'!$G$47+((MAX(MIN(S_1_Es*(O34+P34*'Geometry'!$G$48+Q34*'Geometry'!$F$48),S_1_fy),-S_1_fy))-(IF((O34+P34*'Geometry'!$G$48+Q34*'Geometry'!$F$48)&gt;0,IF((O34+P34*'Geometry'!$G$48+Q34*'Geometry'!$F$48)&lt;=C_eco,C_alpha*C_fck*(1-(1-(O34+P34*'Geometry'!$G$48+Q34*'Geometry'!$F$48)/C_eco)^C_n),C_alpha*C_fck),0)))*'Geometry'!$H$48*'Geometry'!$G$48+((MAX(MIN(S_1_Es*(O34+P34*'Geometry'!$G$49+Q34*'Geometry'!$F$49),S_1_fy),-S_1_fy))-(IF((O34+P34*'Geometry'!$G$49+Q34*'Geometry'!$F$49)&gt;0,IF((O34+P34*'Geometry'!$G$49+Q34*'Geometry'!$F$49)&lt;=C_eco,C_alpha*C_fck*(1-(1-(O34+P34*'Geometry'!$G$49+Q34*'Geometry'!$F$49)/C_eco)^C_n),C_alpha*C_fck),0)))*'Geometry'!$H$49*'Geometry'!$G$49+((MAX(MIN(S_1_Es*(O34+P34*'Geometry'!$G$50+Q34*'Geometry'!$F$50),S_1_fy),-S_1_fy))-(IF((O34+P34*'Geometry'!$G$50+Q34*'Geometry'!$F$50)&gt;0,IF((O34+P34*'Geometry'!$G$50+Q34*'Geometry'!$F$50)&lt;=C_eco,C_alpha*C_fck*(1-(1-(O34+P34*'Geometry'!$G$50+Q34*'Geometry'!$F$50)/C_eco)^C_n),C_alpha*C_fck),0)))*'Geometry'!$H$50*'Geometry'!$G$50+((MAX(MIN(S_1_Es*(O34+P34*'Geometry'!$G$51+Q34*'Geometry'!$F$51),S_1_fy),-S_1_fy))-(IF((O34+P34*'Geometry'!$G$51+Q34*'Geometry'!$F$51)&gt;0,IF((O34+P34*'Geometry'!$G$51+Q34*'Geometry'!$F$51)&lt;=C_eco,C_alpha*C_fck*(1-(1-(O34+P34*'Geometry'!$G$51+Q34*'Geometry'!$F$51)/C_eco)^C_n),C_alpha*C_fck),0)))*'Geometry'!$H$51*'Geometry'!$G$51+((MAX(MIN(S_1_Es*(O34+P34*'Geometry'!$G$52+Q34*'Geometry'!$F$52),S_1_fy),-S_1_fy))-(IF((O34+P34*'Geometry'!$G$52+Q34*'Geometry'!$F$52)&gt;0,IF((O34+P34*'Geometry'!$G$52+Q34*'Geometry'!$F$52)&lt;=C_eco,C_alpha*C_fck*(1-(1-(O34+P34*'Geometry'!$G$52+Q34*'Geometry'!$F$52)/C_eco)^C_n),C_alpha*C_fck),0)))*'Geometry'!$H$52*'Geometry'!$G$52+((MAX(MIN(S_1_Es*(O34+P34*'Geometry'!$G$53+Q34*'Geometry'!$F$53),S_1_fy),-S_1_fy))-(IF((O34+P34*'Geometry'!$G$53+Q34*'Geometry'!$F$53)&gt;0,IF((O34+P34*'Geometry'!$G$53+Q34*'Geometry'!$F$53)&lt;=C_eco,C_alpha*C_fck*(1-(1-(O34+P34*'Geometry'!$G$53+Q34*'Geometry'!$F$53)/C_eco)^C_n),C_alpha*C_fck),0)))*'Geometry'!$H$53*'Geometry'!$G$53+((MAX(MIN(S_1_Es*(O34+P34*'Geometry'!$G$54+Q34*'Geometry'!$F$54),S_1_fy),-S_1_fy))-(IF((O34+P34*'Geometry'!$G$54+Q34*'Geometry'!$F$54)&gt;0,IF((O34+P34*'Geometry'!$G$54+Q34*'Geometry'!$F$54)&lt;=C_eco,C_alpha*C_fck*(1-(1-(O34+P34*'Geometry'!$G$54+Q34*'Geometry'!$F$54)/C_eco)^C_n),C_alpha*C_fck),0)))*'Geometry'!$H$54*'Geometry'!$G$54+((MAX(MIN(S_1_Es*(O34+P34*'Geometry'!$G$55+Q34*'Geometry'!$F$55),S_1_fy),-S_1_fy))-(IF((O34+P34*'Geometry'!$G$55+Q34*'Geometry'!$F$55)&gt;0,IF((O34+P34*'Geometry'!$G$55+Q34*'Geometry'!$F$55)&lt;=C_eco,C_alpha*C_fck*(1-(1-(O34+P34*'Geometry'!$G$55+Q34*'Geometry'!$F$55)/C_eco)^C_n),C_alpha*C_fck),0)))*'Geometry'!$H$55*'Geometry'!$G$55+((MAX(MIN(S_1_Es*(O34+P34*'Geometry'!$G$56+Q34*'Geometry'!$F$56),S_1_fy),-S_1_fy))-(IF((O34+P34*'Geometry'!$G$56+Q34*'Geometry'!$F$56)&gt;0,IF((O34+P34*'Geometry'!$G$56+Q34*'Geometry'!$F$56)&lt;=C_eco,C_alpha*C_fck*(1-(1-(O34+P34*'Geometry'!$G$56+Q34*'Geometry'!$F$56)/C_eco)^C_n),C_alpha*C_fck),0)))*'Geometry'!$H$56*'Geometry'!$G$56+((MAX(MIN(S_1_Es*(O34+P34*'Geometry'!$G$57+Q34*'Geometry'!$F$57),S_1_fy),-S_1_fy))-(IF((O34+P34*'Geometry'!$G$57+Q34*'Geometry'!$F$57)&gt;0,IF((O34+P34*'Geometry'!$G$57+Q34*'Geometry'!$F$57)&lt;=C_eco,C_alpha*C_fck*(1-(1-(O34+P34*'Geometry'!$G$57+Q34*'Geometry'!$F$57)/C_eco)^C_n),C_alpha*C_fck),0)))*'Geometry'!$H$57*'Geometry'!$G$57)/1000000</f>
        <v>-175.63170627781156</v>
      </c>
      <c r="W34" s="10">
        <f>(((MAX(MIN(S_1_Es*(O34+P34*'Geometry'!$G$40+Q34*'Geometry'!$F$40),S_1_fy),-S_1_fy))-(IF((O34+P34*'Geometry'!$G$40+Q34*'Geometry'!$F$40)&gt;0,IF((O34+P34*'Geometry'!$G$40+Q34*'Geometry'!$F$40)&lt;=C_eco,C_alpha*C_fck*(1-(1-(O34+P34*'Geometry'!$G$40+Q34*'Geometry'!$F$40)/C_eco)^C_n),C_alpha*C_fck),0)))*'Geometry'!$H$40*'Geometry'!$F$40+((MAX(MIN(S_1_Es*(O34+P34*'Geometry'!$G$41+Q34*'Geometry'!$F$41),S_1_fy),-S_1_fy))-(IF((O34+P34*'Geometry'!$G$41+Q34*'Geometry'!$F$41)&gt;0,IF((O34+P34*'Geometry'!$G$41+Q34*'Geometry'!$F$41)&lt;=C_eco,C_alpha*C_fck*(1-(1-(O34+P34*'Geometry'!$G$41+Q34*'Geometry'!$F$41)/C_eco)^C_n),C_alpha*C_fck),0)))*'Geometry'!$H$41*'Geometry'!$F$41+((MAX(MIN(S_1_Es*(O34+P34*'Geometry'!$G$42+Q34*'Geometry'!$F$42),S_1_fy),-S_1_fy))-(IF((O34+P34*'Geometry'!$G$42+Q34*'Geometry'!$F$42)&gt;0,IF((O34+P34*'Geometry'!$G$42+Q34*'Geometry'!$F$42)&lt;=C_eco,C_alpha*C_fck*(1-(1-(O34+P34*'Geometry'!$G$42+Q34*'Geometry'!$F$42)/C_eco)^C_n),C_alpha*C_fck),0)))*'Geometry'!$H$42*'Geometry'!$F$42+((MAX(MIN(S_1_Es*(O34+P34*'Geometry'!$G$43+Q34*'Geometry'!$F$43),S_1_fy),-S_1_fy))-(IF((O34+P34*'Geometry'!$G$43+Q34*'Geometry'!$F$43)&gt;0,IF((O34+P34*'Geometry'!$G$43+Q34*'Geometry'!$F$43)&lt;=C_eco,C_alpha*C_fck*(1-(1-(O34+P34*'Geometry'!$G$43+Q34*'Geometry'!$F$43)/C_eco)^C_n),C_alpha*C_fck),0)))*'Geometry'!$H$43*'Geometry'!$F$43+((MAX(MIN(S_1_Es*(O34+P34*'Geometry'!$G$44+Q34*'Geometry'!$F$44),S_1_fy),-S_1_fy))-(IF((O34+P34*'Geometry'!$G$44+Q34*'Geometry'!$F$44)&gt;0,IF((O34+P34*'Geometry'!$G$44+Q34*'Geometry'!$F$44)&lt;=C_eco,C_alpha*C_fck*(1-(1-(O34+P34*'Geometry'!$G$44+Q34*'Geometry'!$F$44)/C_eco)^C_n),C_alpha*C_fck),0)))*'Geometry'!$H$44*'Geometry'!$F$44+((MAX(MIN(S_1_Es*(O34+P34*'Geometry'!$G$45+Q34*'Geometry'!$F$45),S_1_fy),-S_1_fy))-(IF((O34+P34*'Geometry'!$G$45+Q34*'Geometry'!$F$45)&gt;0,IF((O34+P34*'Geometry'!$G$45+Q34*'Geometry'!$F$45)&lt;=C_eco,C_alpha*C_fck*(1-(1-(O34+P34*'Geometry'!$G$45+Q34*'Geometry'!$F$45)/C_eco)^C_n),C_alpha*C_fck),0)))*'Geometry'!$H$45*'Geometry'!$F$45+((MAX(MIN(S_1_Es*(O34+P34*'Geometry'!$G$46+Q34*'Geometry'!$F$46),S_1_fy),-S_1_fy))-(IF((O34+P34*'Geometry'!$G$46+Q34*'Geometry'!$F$46)&gt;0,IF((O34+P34*'Geometry'!$G$46+Q34*'Geometry'!$F$46)&lt;=C_eco,C_alpha*C_fck*(1-(1-(O34+P34*'Geometry'!$G$46+Q34*'Geometry'!$F$46)/C_eco)^C_n),C_alpha*C_fck),0)))*'Geometry'!$H$46*'Geometry'!$F$46+((MAX(MIN(S_1_Es*(O34+P34*'Geometry'!$G$47+Q34*'Geometry'!$F$47),S_1_fy),-S_1_fy))-(IF((O34+P34*'Geometry'!$G$47+Q34*'Geometry'!$F$47)&gt;0,IF((O34+P34*'Geometry'!$G$47+Q34*'Geometry'!$F$47)&lt;=C_eco,C_alpha*C_fck*(1-(1-(O34+P34*'Geometry'!$G$47+Q34*'Geometry'!$F$47)/C_eco)^C_n),C_alpha*C_fck),0)))*'Geometry'!$H$47*'Geometry'!$F$47+((MAX(MIN(S_1_Es*(O34+P34*'Geometry'!$G$48+Q34*'Geometry'!$F$48),S_1_fy),-S_1_fy))-(IF((O34+P34*'Geometry'!$G$48+Q34*'Geometry'!$F$48)&gt;0,IF((O34+P34*'Geometry'!$G$48+Q34*'Geometry'!$F$48)&lt;=C_eco,C_alpha*C_fck*(1-(1-(O34+P34*'Geometry'!$G$48+Q34*'Geometry'!$F$48)/C_eco)^C_n),C_alpha*C_fck),0)))*'Geometry'!$H$48*'Geometry'!$F$48+((MAX(MIN(S_1_Es*(O34+P34*'Geometry'!$G$49+Q34*'Geometry'!$F$49),S_1_fy),-S_1_fy))-(IF((O34+P34*'Geometry'!$G$49+Q34*'Geometry'!$F$49)&gt;0,IF((O34+P34*'Geometry'!$G$49+Q34*'Geometry'!$F$49)&lt;=C_eco,C_alpha*C_fck*(1-(1-(O34+P34*'Geometry'!$G$49+Q34*'Geometry'!$F$49)/C_eco)^C_n),C_alpha*C_fck),0)))*'Geometry'!$H$49*'Geometry'!$F$49+((MAX(MIN(S_1_Es*(O34+P34*'Geometry'!$G$50+Q34*'Geometry'!$F$50),S_1_fy),-S_1_fy))-(IF((O34+P34*'Geometry'!$G$50+Q34*'Geometry'!$F$50)&gt;0,IF((O34+P34*'Geometry'!$G$50+Q34*'Geometry'!$F$50)&lt;=C_eco,C_alpha*C_fck*(1-(1-(O34+P34*'Geometry'!$G$50+Q34*'Geometry'!$F$50)/C_eco)^C_n),C_alpha*C_fck),0)))*'Geometry'!$H$50*'Geometry'!$F$50+((MAX(MIN(S_1_Es*(O34+P34*'Geometry'!$G$51+Q34*'Geometry'!$F$51),S_1_fy),-S_1_fy))-(IF((O34+P34*'Geometry'!$G$51+Q34*'Geometry'!$F$51)&gt;0,IF((O34+P34*'Geometry'!$G$51+Q34*'Geometry'!$F$51)&lt;=C_eco,C_alpha*C_fck*(1-(1-(O34+P34*'Geometry'!$G$51+Q34*'Geometry'!$F$51)/C_eco)^C_n),C_alpha*C_fck),0)))*'Geometry'!$H$51*'Geometry'!$F$51+((MAX(MIN(S_1_Es*(O34+P34*'Geometry'!$G$52+Q34*'Geometry'!$F$52),S_1_fy),-S_1_fy))-(IF((O34+P34*'Geometry'!$G$52+Q34*'Geometry'!$F$52)&gt;0,IF((O34+P34*'Geometry'!$G$52+Q34*'Geometry'!$F$52)&lt;=C_eco,C_alpha*C_fck*(1-(1-(O34+P34*'Geometry'!$G$52+Q34*'Geometry'!$F$52)/C_eco)^C_n),C_alpha*C_fck),0)))*'Geometry'!$H$52*'Geometry'!$F$52+((MAX(MIN(S_1_Es*(O34+P34*'Geometry'!$G$53+Q34*'Geometry'!$F$53),S_1_fy),-S_1_fy))-(IF((O34+P34*'Geometry'!$G$53+Q34*'Geometry'!$F$53)&gt;0,IF((O34+P34*'Geometry'!$G$53+Q34*'Geometry'!$F$53)&lt;=C_eco,C_alpha*C_fck*(1-(1-(O34+P34*'Geometry'!$G$53+Q34*'Geometry'!$F$53)/C_eco)^C_n),C_alpha*C_fck),0)))*'Geometry'!$H$53*'Geometry'!$F$53+((MAX(MIN(S_1_Es*(O34+P34*'Geometry'!$G$54+Q34*'Geometry'!$F$54),S_1_fy),-S_1_fy))-(IF((O34+P34*'Geometry'!$G$54+Q34*'Geometry'!$F$54)&gt;0,IF((O34+P34*'Geometry'!$G$54+Q34*'Geometry'!$F$54)&lt;=C_eco,C_alpha*C_fck*(1-(1-(O34+P34*'Geometry'!$G$54+Q34*'Geometry'!$F$54)/C_eco)^C_n),C_alpha*C_fck),0)))*'Geometry'!$H$54*'Geometry'!$F$54+((MAX(MIN(S_1_Es*(O34+P34*'Geometry'!$G$55+Q34*'Geometry'!$F$55),S_1_fy),-S_1_fy))-(IF((O34+P34*'Geometry'!$G$55+Q34*'Geometry'!$F$55)&gt;0,IF((O34+P34*'Geometry'!$G$55+Q34*'Geometry'!$F$55)&lt;=C_eco,C_alpha*C_fck*(1-(1-(O34+P34*'Geometry'!$G$55+Q34*'Geometry'!$F$55)/C_eco)^C_n),C_alpha*C_fck),0)))*'Geometry'!$H$55*'Geometry'!$F$55+((MAX(MIN(S_1_Es*(O34+P34*'Geometry'!$G$56+Q34*'Geometry'!$F$56),S_1_fy),-S_1_fy))-(IF((O34+P34*'Geometry'!$G$56+Q34*'Geometry'!$F$56)&gt;0,IF((O34+P34*'Geometry'!$G$56+Q34*'Geometry'!$F$56)&lt;=C_eco,C_alpha*C_fck*(1-(1-(O34+P34*'Geometry'!$G$56+Q34*'Geometry'!$F$56)/C_eco)^C_n),C_alpha*C_fck),0)))*'Geometry'!$H$56*'Geometry'!$F$56+((MAX(MIN(S_1_Es*(O34+P34*'Geometry'!$G$57+Q34*'Geometry'!$F$57),S_1_fy),-S_1_fy))-(IF((O34+P34*'Geometry'!$G$57+Q34*'Geometry'!$F$57)&gt;0,IF((O34+P34*'Geometry'!$G$57+Q34*'Geometry'!$F$57)&lt;=C_eco,C_alpha*C_fck*(1-(1-(O34+P34*'Geometry'!$G$57+Q34*'Geometry'!$F$57)/C_eco)^C_n),C_alpha*C_fck),0)))*'Geometry'!$H$57*'Geometry'!$F$57)/1000000</f>
        <v>-1607.0613634058736</v>
      </c>
      <c r="X34" s="10">
        <f>R34+U34</f>
        <v>519.3654856224796</v>
      </c>
      <c r="Y34" s="10">
        <f>S34+V34</f>
        <v>-656.9919908677198</v>
      </c>
      <c r="Z34" s="10">
        <f>T34+W34</f>
        <v>-4116.06327610973</v>
      </c>
      <c r="AA34" s="7">
        <v>0.85</v>
      </c>
      <c r="AB34" s="7">
        <v>0.85</v>
      </c>
      <c r="AC34" s="10">
        <f>X34*AA34</f>
        <v>441.4606627791076</v>
      </c>
      <c r="AD34" s="10">
        <f>Y34*AB34</f>
        <v>-558.4431922375618</v>
      </c>
      <c r="AE34" s="10">
        <f>Z34*AB34</f>
        <v>-3498.653784693271</v>
      </c>
      <c r="AF34" s="7">
        <v>441.4606627791076</v>
      </c>
      <c r="AG34" s="7">
        <v>-558.4431922375618</v>
      </c>
      <c r="AH34" s="7">
        <v>-3498.653784693271</v>
      </c>
      <c r="AI34" s="15">
        <f>AC34-AF34</f>
        <v>0</v>
      </c>
      <c r="AJ34" s="15">
        <f>SQRT((AD34-AG34)^2+(AE34-AH34)^2)</f>
        <v>0</v>
      </c>
      <c r="AK34" s="7" t="s">
        <v>189</v>
      </c>
      <c r="AL34" s="7">
        <v>519.3654856224796</v>
      </c>
      <c r="AM34" s="7">
        <v>-656.9919908677198</v>
      </c>
      <c r="AN34" s="7">
        <v>-4116.06327610973</v>
      </c>
      <c r="AO34" s="7">
        <v>3850.792264748327</v>
      </c>
      <c r="AP34" s="7">
        <v>-481.36028458990825</v>
      </c>
      <c r="AQ34" s="7">
        <v>-2509.001912703857</v>
      </c>
      <c r="AR34" s="7">
        <v>-3331.4267791258476</v>
      </c>
      <c r="AS34" s="7">
        <v>-175.63170627781156</v>
      </c>
      <c r="AT34" s="7">
        <v>-1607.0613634058736</v>
      </c>
    </row>
    <row r="35" spans="1:46" x14ac:dyDescent="0.25">
      <c r="A35" s="7" t="s">
        <v>244</v>
      </c>
      <c r="B35" s="7">
        <v>1</v>
      </c>
      <c r="C35" s="18">
        <v>270</v>
      </c>
      <c r="D35" s="7" t="s">
        <v>294</v>
      </c>
      <c r="E35" s="7" t="s">
        <v>265</v>
      </c>
      <c r="F35" s="19">
        <v>270</v>
      </c>
      <c r="G35" s="7" t="s">
        <v>188</v>
      </c>
      <c r="H35" s="20">
        <v>10.000000000000002</v>
      </c>
      <c r="I35" s="10">
        <f>MAX(('Geometry'!$G$13*COS(RADIANS(F35))+'Geometry'!$F$13*SIN(RADIANS(F35))),('Geometry'!$G$14*COS(RADIANS(F35))+'Geometry'!$F$14*SIN(RADIANS(F35))),('Geometry'!$G$15*COS(RADIANS(F35))+'Geometry'!$F$15*SIN(RADIANS(F35))),('Geometry'!$G$16*COS(RADIANS(F35))+'Geometry'!$F$16*SIN(RADIANS(F35))),('Geometry'!$G$17*COS(RADIANS(F35))+'Geometry'!$F$17*SIN(RADIANS(F35))),('Geometry'!$G$18*COS(RADIANS(F35))+'Geometry'!$F$18*SIN(RADIANS(F35))),('Geometry'!$G$19*COS(RADIANS(F35))+'Geometry'!$F$19*SIN(RADIANS(F35))),('Geometry'!$G$20*COS(RADIANS(F35))+'Geometry'!$F$20*SIN(RADIANS(F35))))</f>
        <v>750.0000000000001</v>
      </c>
      <c r="J35" s="10">
        <f>MIN(('Geometry'!$G$40*COS(RADIANS(F35))+'Geometry'!$F$40*SIN(RADIANS(F35))),('Geometry'!$G$41*COS(RADIANS(F35))+'Geometry'!$F$41*SIN(RADIANS(F35))),('Geometry'!$G$42*COS(RADIANS(F35))+'Geometry'!$F$42*SIN(RADIANS(F35))),('Geometry'!$G$43*COS(RADIANS(F35))+'Geometry'!$F$43*SIN(RADIANS(F35))),('Geometry'!$G$44*COS(RADIANS(F35))+'Geometry'!$F$44*SIN(RADIANS(F35))),('Geometry'!$G$45*COS(RADIANS(F35))+'Geometry'!$F$45*SIN(RADIANS(F35))),('Geometry'!$G$46*COS(RADIANS(F35))+'Geometry'!$F$46*SIN(RADIANS(F35))),('Geometry'!$G$47*COS(RADIANS(F35))+'Geometry'!$F$47*SIN(RADIANS(F35))),('Geometry'!$G$48*COS(RADIANS(F35))+'Geometry'!$F$48*SIN(RADIANS(F35))),('Geometry'!$G$49*COS(RADIANS(F35))+'Geometry'!$F$49*SIN(RADIANS(F35))),('Geometry'!$G$50*COS(RADIANS(F35))+'Geometry'!$F$50*SIN(RADIANS(F35))),('Geometry'!$G$51*COS(RADIANS(F35))+'Geometry'!$F$51*SIN(RADIANS(F35))),('Geometry'!$G$52*COS(RADIANS(F35))+'Geometry'!$F$52*SIN(RADIANS(F35))),('Geometry'!$G$53*COS(RADIANS(F35))+'Geometry'!$F$53*SIN(RADIANS(F35))),('Geometry'!$G$54*COS(RADIANS(F35))+'Geometry'!$F$54*SIN(RADIANS(F35))),('Geometry'!$G$55*COS(RADIANS(F35))+'Geometry'!$F$55*SIN(RADIANS(F35))),('Geometry'!$G$56*COS(RADIANS(F35))+'Geometry'!$F$56*SIN(RADIANS(F35))),('Geometry'!$G$57*COS(RADIANS(F35))+'Geometry'!$F$57*SIN(RADIANS(F35))))</f>
        <v>-680</v>
      </c>
      <c r="K35" s="10">
        <f>I35-MIN(('Geometry'!$G$13*COS(RADIANS(F35))+'Geometry'!$F$13*SIN(RADIANS(F35))),('Geometry'!$G$14*COS(RADIANS(F35))+'Geometry'!$F$14*SIN(RADIANS(F35))),('Geometry'!$G$15*COS(RADIANS(F35))+'Geometry'!$F$15*SIN(RADIANS(F35))),('Geometry'!$G$16*COS(RADIANS(F35))+'Geometry'!$F$16*SIN(RADIANS(F35))),('Geometry'!$G$17*COS(RADIANS(F35))+'Geometry'!$F$17*SIN(RADIANS(F35))),('Geometry'!$G$18*COS(RADIANS(F35))+'Geometry'!$F$18*SIN(RADIANS(F35))),('Geometry'!$G$19*COS(RADIANS(F35))+'Geometry'!$F$19*SIN(RADIANS(F35))),('Geometry'!$G$20*COS(RADIANS(F35))+'Geometry'!$F$20*SIN(RADIANS(F35))))</f>
        <v>1500.0000000000002</v>
      </c>
      <c r="L35" s="15">
        <f>C_ecu</f>
        <v>0.003299999999999999</v>
      </c>
      <c r="M35" s="15">
        <f>-H35*S_1_fy/S_1_Es</f>
        <v>-0.020000000000000004</v>
      </c>
      <c r="N35" s="21">
        <f>IF(ABS(I35-J35)&lt;0.000000000001,0,(L35-M35)/(I35-J35))</f>
        <v>0.000016293706293706295</v>
      </c>
      <c r="O35" s="15">
        <f>L35-N35*I35</f>
        <v>-0.008920279720279724</v>
      </c>
      <c r="P35" s="21">
        <f>N35*COS(RADIANS(F35))</f>
        <v>-2.9931052888251745e-21</v>
      </c>
      <c r="Q35" s="21">
        <f>N35*SIN(RADIANS(F35))</f>
        <v>-0.000016293706293706295</v>
      </c>
      <c r="R35" s="10">
        <f>SUMPRODUCT(C_alpha*C_fck*(1-(1-(((O35+P35*Mesh_Y+Q35*Mesh_X))*((O35+P35*Mesh_Y+Q35*Mesh_X)&gt;0)*((O35+P35*Mesh_Y+Q35*Mesh_X)&lt;C_eco)+C_eco*((O35+P35*Mesh_Y+Q35*Mesh_X)&gt;=C_eco))/C_eco)^C_n)*(((O35+P35*Mesh_Y+Q35*Mesh_X))&gt;0),Mesh_A)/1000</f>
        <v>3993.615153748004</v>
      </c>
      <c r="S35" s="10">
        <f>SUMPRODUCT(C_alpha*C_fck*(1-(1-(((O35+P35*Mesh_Y+Q35*Mesh_X))*((O35+P35*Mesh_Y+Q35*Mesh_X)&gt;0)*((O35+P35*Mesh_Y+Q35*Mesh_X)&lt;C_eco)+C_eco*((O35+P35*Mesh_Y+Q35*Mesh_X)&gt;=C_eco))/C_eco)^C_n)*(((O35+P35*Mesh_Y+Q35*Mesh_X))&gt;0),Mesh_A,Mesh_Y)/1000000</f>
        <v>-2.211958027172154</v>
      </c>
      <c r="T35" s="10">
        <f>SUMPRODUCT(C_alpha*C_fck*(1-(1-(((O35+P35*Mesh_Y+Q35*Mesh_X))*((O35+P35*Mesh_Y+Q35*Mesh_X)&gt;0)*((O35+P35*Mesh_Y+Q35*Mesh_X)&lt;C_eco)+C_eco*((O35+P35*Mesh_Y+Q35*Mesh_X)&gt;=C_eco))/C_eco)^C_n)*(((O35+P35*Mesh_Y+Q35*Mesh_X))&gt;0),Mesh_A,Mesh_X)/1000000</f>
        <v>-2637.218652367905</v>
      </c>
      <c r="U35" s="10">
        <f>(((MAX(MIN(S_1_Es*(O35+P35*'Geometry'!$G$40+Q35*'Geometry'!$F$40),S_1_fy),-S_1_fy))-(IF((O35+P35*'Geometry'!$G$40+Q35*'Geometry'!$F$40)&gt;0,IF((O35+P35*'Geometry'!$G$40+Q35*'Geometry'!$F$40)&lt;=C_eco,C_alpha*C_fck*(1-(1-(O35+P35*'Geometry'!$G$40+Q35*'Geometry'!$F$40)/C_eco)^C_n),C_alpha*C_fck),0)))*'Geometry'!$H$40+((MAX(MIN(S_1_Es*(O35+P35*'Geometry'!$G$41+Q35*'Geometry'!$F$41),S_1_fy),-S_1_fy))-(IF((O35+P35*'Geometry'!$G$41+Q35*'Geometry'!$F$41)&gt;0,IF((O35+P35*'Geometry'!$G$41+Q35*'Geometry'!$F$41)&lt;=C_eco,C_alpha*C_fck*(1-(1-(O35+P35*'Geometry'!$G$41+Q35*'Geometry'!$F$41)/C_eco)^C_n),C_alpha*C_fck),0)))*'Geometry'!$H$41+((MAX(MIN(S_1_Es*(O35+P35*'Geometry'!$G$42+Q35*'Geometry'!$F$42),S_1_fy),-S_1_fy))-(IF((O35+P35*'Geometry'!$G$42+Q35*'Geometry'!$F$42)&gt;0,IF((O35+P35*'Geometry'!$G$42+Q35*'Geometry'!$F$42)&lt;=C_eco,C_alpha*C_fck*(1-(1-(O35+P35*'Geometry'!$G$42+Q35*'Geometry'!$F$42)/C_eco)^C_n),C_alpha*C_fck),0)))*'Geometry'!$H$42+((MAX(MIN(S_1_Es*(O35+P35*'Geometry'!$G$43+Q35*'Geometry'!$F$43),S_1_fy),-S_1_fy))-(IF((O35+P35*'Geometry'!$G$43+Q35*'Geometry'!$F$43)&gt;0,IF((O35+P35*'Geometry'!$G$43+Q35*'Geometry'!$F$43)&lt;=C_eco,C_alpha*C_fck*(1-(1-(O35+P35*'Geometry'!$G$43+Q35*'Geometry'!$F$43)/C_eco)^C_n),C_alpha*C_fck),0)))*'Geometry'!$H$43+((MAX(MIN(S_1_Es*(O35+P35*'Geometry'!$G$44+Q35*'Geometry'!$F$44),S_1_fy),-S_1_fy))-(IF((O35+P35*'Geometry'!$G$44+Q35*'Geometry'!$F$44)&gt;0,IF((O35+P35*'Geometry'!$G$44+Q35*'Geometry'!$F$44)&lt;=C_eco,C_alpha*C_fck*(1-(1-(O35+P35*'Geometry'!$G$44+Q35*'Geometry'!$F$44)/C_eco)^C_n),C_alpha*C_fck),0)))*'Geometry'!$H$44+((MAX(MIN(S_1_Es*(O35+P35*'Geometry'!$G$45+Q35*'Geometry'!$F$45),S_1_fy),-S_1_fy))-(IF((O35+P35*'Geometry'!$G$45+Q35*'Geometry'!$F$45)&gt;0,IF((O35+P35*'Geometry'!$G$45+Q35*'Geometry'!$F$45)&lt;=C_eco,C_alpha*C_fck*(1-(1-(O35+P35*'Geometry'!$G$45+Q35*'Geometry'!$F$45)/C_eco)^C_n),C_alpha*C_fck),0)))*'Geometry'!$H$45+((MAX(MIN(S_1_Es*(O35+P35*'Geometry'!$G$46+Q35*'Geometry'!$F$46),S_1_fy),-S_1_fy))-(IF((O35+P35*'Geometry'!$G$46+Q35*'Geometry'!$F$46)&gt;0,IF((O35+P35*'Geometry'!$G$46+Q35*'Geometry'!$F$46)&lt;=C_eco,C_alpha*C_fck*(1-(1-(O35+P35*'Geometry'!$G$46+Q35*'Geometry'!$F$46)/C_eco)^C_n),C_alpha*C_fck),0)))*'Geometry'!$H$46+((MAX(MIN(S_1_Es*(O35+P35*'Geometry'!$G$47+Q35*'Geometry'!$F$47),S_1_fy),-S_1_fy))-(IF((O35+P35*'Geometry'!$G$47+Q35*'Geometry'!$F$47)&gt;0,IF((O35+P35*'Geometry'!$G$47+Q35*'Geometry'!$F$47)&lt;=C_eco,C_alpha*C_fck*(1-(1-(O35+P35*'Geometry'!$G$47+Q35*'Geometry'!$F$47)/C_eco)^C_n),C_alpha*C_fck),0)))*'Geometry'!$H$47+((MAX(MIN(S_1_Es*(O35+P35*'Geometry'!$G$48+Q35*'Geometry'!$F$48),S_1_fy),-S_1_fy))-(IF((O35+P35*'Geometry'!$G$48+Q35*'Geometry'!$F$48)&gt;0,IF((O35+P35*'Geometry'!$G$48+Q35*'Geometry'!$F$48)&lt;=C_eco,C_alpha*C_fck*(1-(1-(O35+P35*'Geometry'!$G$48+Q35*'Geometry'!$F$48)/C_eco)^C_n),C_alpha*C_fck),0)))*'Geometry'!$H$48+((MAX(MIN(S_1_Es*(O35+P35*'Geometry'!$G$49+Q35*'Geometry'!$F$49),S_1_fy),-S_1_fy))-(IF((O35+P35*'Geometry'!$G$49+Q35*'Geometry'!$F$49)&gt;0,IF((O35+P35*'Geometry'!$G$49+Q35*'Geometry'!$F$49)&lt;=C_eco,C_alpha*C_fck*(1-(1-(O35+P35*'Geometry'!$G$49+Q35*'Geometry'!$F$49)/C_eco)^C_n),C_alpha*C_fck),0)))*'Geometry'!$H$49+((MAX(MIN(S_1_Es*(O35+P35*'Geometry'!$G$50+Q35*'Geometry'!$F$50),S_1_fy),-S_1_fy))-(IF((O35+P35*'Geometry'!$G$50+Q35*'Geometry'!$F$50)&gt;0,IF((O35+P35*'Geometry'!$G$50+Q35*'Geometry'!$F$50)&lt;=C_eco,C_alpha*C_fck*(1-(1-(O35+P35*'Geometry'!$G$50+Q35*'Geometry'!$F$50)/C_eco)^C_n),C_alpha*C_fck),0)))*'Geometry'!$H$50+((MAX(MIN(S_1_Es*(O35+P35*'Geometry'!$G$51+Q35*'Geometry'!$F$51),S_1_fy),-S_1_fy))-(IF((O35+P35*'Geometry'!$G$51+Q35*'Geometry'!$F$51)&gt;0,IF((O35+P35*'Geometry'!$G$51+Q35*'Geometry'!$F$51)&lt;=C_eco,C_alpha*C_fck*(1-(1-(O35+P35*'Geometry'!$G$51+Q35*'Geometry'!$F$51)/C_eco)^C_n),C_alpha*C_fck),0)))*'Geometry'!$H$51+((MAX(MIN(S_1_Es*(O35+P35*'Geometry'!$G$52+Q35*'Geometry'!$F$52),S_1_fy),-S_1_fy))-(IF((O35+P35*'Geometry'!$G$52+Q35*'Geometry'!$F$52)&gt;0,IF((O35+P35*'Geometry'!$G$52+Q35*'Geometry'!$F$52)&lt;=C_eco,C_alpha*C_fck*(1-(1-(O35+P35*'Geometry'!$G$52+Q35*'Geometry'!$F$52)/C_eco)^C_n),C_alpha*C_fck),0)))*'Geometry'!$H$52+((MAX(MIN(S_1_Es*(O35+P35*'Geometry'!$G$53+Q35*'Geometry'!$F$53),S_1_fy),-S_1_fy))-(IF((O35+P35*'Geometry'!$G$53+Q35*'Geometry'!$F$53)&gt;0,IF((O35+P35*'Geometry'!$G$53+Q35*'Geometry'!$F$53)&lt;=C_eco,C_alpha*C_fck*(1-(1-(O35+P35*'Geometry'!$G$53+Q35*'Geometry'!$F$53)/C_eco)^C_n),C_alpha*C_fck),0)))*'Geometry'!$H$53+((MAX(MIN(S_1_Es*(O35+P35*'Geometry'!$G$54+Q35*'Geometry'!$F$54),S_1_fy),-S_1_fy))-(IF((O35+P35*'Geometry'!$G$54+Q35*'Geometry'!$F$54)&gt;0,IF((O35+P35*'Geometry'!$G$54+Q35*'Geometry'!$F$54)&lt;=C_eco,C_alpha*C_fck*(1-(1-(O35+P35*'Geometry'!$G$54+Q35*'Geometry'!$F$54)/C_eco)^C_n),C_alpha*C_fck),0)))*'Geometry'!$H$54+((MAX(MIN(S_1_Es*(O35+P35*'Geometry'!$G$55+Q35*'Geometry'!$F$55),S_1_fy),-S_1_fy))-(IF((O35+P35*'Geometry'!$G$55+Q35*'Geometry'!$F$55)&gt;0,IF((O35+P35*'Geometry'!$G$55+Q35*'Geometry'!$F$55)&lt;=C_eco,C_alpha*C_fck*(1-(1-(O35+P35*'Geometry'!$G$55+Q35*'Geometry'!$F$55)/C_eco)^C_n),C_alpha*C_fck),0)))*'Geometry'!$H$55+((MAX(MIN(S_1_Es*(O35+P35*'Geometry'!$G$56+Q35*'Geometry'!$F$56),S_1_fy),-S_1_fy))-(IF((O35+P35*'Geometry'!$G$56+Q35*'Geometry'!$F$56)&gt;0,IF((O35+P35*'Geometry'!$G$56+Q35*'Geometry'!$F$56)&lt;=C_eco,C_alpha*C_fck*(1-(1-(O35+P35*'Geometry'!$G$56+Q35*'Geometry'!$F$56)/C_eco)^C_n),C_alpha*C_fck),0)))*'Geometry'!$H$56+((MAX(MIN(S_1_Es*(O35+P35*'Geometry'!$G$57+Q35*'Geometry'!$F$57),S_1_fy),-S_1_fy))-(IF((O35+P35*'Geometry'!$G$57+Q35*'Geometry'!$F$57)&gt;0,IF((O35+P35*'Geometry'!$G$57+Q35*'Geometry'!$F$57)&lt;=C_eco,C_alpha*C_fck*(1-(1-(O35+P35*'Geometry'!$G$57+Q35*'Geometry'!$F$57)/C_eco)^C_n),C_alpha*C_fck),0)))*'Geometry'!$H$57)/1000</f>
        <v>-3299.0241446464843</v>
      </c>
      <c r="V35" s="10">
        <f>(((MAX(MIN(S_1_Es*(O35+P35*'Geometry'!$G$40+Q35*'Geometry'!$F$40),S_1_fy),-S_1_fy))-(IF((O35+P35*'Geometry'!$G$40+Q35*'Geometry'!$F$40)&gt;0,IF((O35+P35*'Geometry'!$G$40+Q35*'Geometry'!$F$40)&lt;=C_eco,C_alpha*C_fck*(1-(1-(O35+P35*'Geometry'!$G$40+Q35*'Geometry'!$F$40)/C_eco)^C_n),C_alpha*C_fck),0)))*'Geometry'!$H$40*'Geometry'!$G$40+((MAX(MIN(S_1_Es*(O35+P35*'Geometry'!$G$41+Q35*'Geometry'!$F$41),S_1_fy),-S_1_fy))-(IF((O35+P35*'Geometry'!$G$41+Q35*'Geometry'!$F$41)&gt;0,IF((O35+P35*'Geometry'!$G$41+Q35*'Geometry'!$F$41)&lt;=C_eco,C_alpha*C_fck*(1-(1-(O35+P35*'Geometry'!$G$41+Q35*'Geometry'!$F$41)/C_eco)^C_n),C_alpha*C_fck),0)))*'Geometry'!$H$41*'Geometry'!$G$41+((MAX(MIN(S_1_Es*(O35+P35*'Geometry'!$G$42+Q35*'Geometry'!$F$42),S_1_fy),-S_1_fy))-(IF((O35+P35*'Geometry'!$G$42+Q35*'Geometry'!$F$42)&gt;0,IF((O35+P35*'Geometry'!$G$42+Q35*'Geometry'!$F$42)&lt;=C_eco,C_alpha*C_fck*(1-(1-(O35+P35*'Geometry'!$G$42+Q35*'Geometry'!$F$42)/C_eco)^C_n),C_alpha*C_fck),0)))*'Geometry'!$H$42*'Geometry'!$G$42+((MAX(MIN(S_1_Es*(O35+P35*'Geometry'!$G$43+Q35*'Geometry'!$F$43),S_1_fy),-S_1_fy))-(IF((O35+P35*'Geometry'!$G$43+Q35*'Geometry'!$F$43)&gt;0,IF((O35+P35*'Geometry'!$G$43+Q35*'Geometry'!$F$43)&lt;=C_eco,C_alpha*C_fck*(1-(1-(O35+P35*'Geometry'!$G$43+Q35*'Geometry'!$F$43)/C_eco)^C_n),C_alpha*C_fck),0)))*'Geometry'!$H$43*'Geometry'!$G$43+((MAX(MIN(S_1_Es*(O35+P35*'Geometry'!$G$44+Q35*'Geometry'!$F$44),S_1_fy),-S_1_fy))-(IF((O35+P35*'Geometry'!$G$44+Q35*'Geometry'!$F$44)&gt;0,IF((O35+P35*'Geometry'!$G$44+Q35*'Geometry'!$F$44)&lt;=C_eco,C_alpha*C_fck*(1-(1-(O35+P35*'Geometry'!$G$44+Q35*'Geometry'!$F$44)/C_eco)^C_n),C_alpha*C_fck),0)))*'Geometry'!$H$44*'Geometry'!$G$44+((MAX(MIN(S_1_Es*(O35+P35*'Geometry'!$G$45+Q35*'Geometry'!$F$45),S_1_fy),-S_1_fy))-(IF((O35+P35*'Geometry'!$G$45+Q35*'Geometry'!$F$45)&gt;0,IF((O35+P35*'Geometry'!$G$45+Q35*'Geometry'!$F$45)&lt;=C_eco,C_alpha*C_fck*(1-(1-(O35+P35*'Geometry'!$G$45+Q35*'Geometry'!$F$45)/C_eco)^C_n),C_alpha*C_fck),0)))*'Geometry'!$H$45*'Geometry'!$G$45+((MAX(MIN(S_1_Es*(O35+P35*'Geometry'!$G$46+Q35*'Geometry'!$F$46),S_1_fy),-S_1_fy))-(IF((O35+P35*'Geometry'!$G$46+Q35*'Geometry'!$F$46)&gt;0,IF((O35+P35*'Geometry'!$G$46+Q35*'Geometry'!$F$46)&lt;=C_eco,C_alpha*C_fck*(1-(1-(O35+P35*'Geometry'!$G$46+Q35*'Geometry'!$F$46)/C_eco)^C_n),C_alpha*C_fck),0)))*'Geometry'!$H$46*'Geometry'!$G$46+((MAX(MIN(S_1_Es*(O35+P35*'Geometry'!$G$47+Q35*'Geometry'!$F$47),S_1_fy),-S_1_fy))-(IF((O35+P35*'Geometry'!$G$47+Q35*'Geometry'!$F$47)&gt;0,IF((O35+P35*'Geometry'!$G$47+Q35*'Geometry'!$F$47)&lt;=C_eco,C_alpha*C_fck*(1-(1-(O35+P35*'Geometry'!$G$47+Q35*'Geometry'!$F$47)/C_eco)^C_n),C_alpha*C_fck),0)))*'Geometry'!$H$47*'Geometry'!$G$47+((MAX(MIN(S_1_Es*(O35+P35*'Geometry'!$G$48+Q35*'Geometry'!$F$48),S_1_fy),-S_1_fy))-(IF((O35+P35*'Geometry'!$G$48+Q35*'Geometry'!$F$48)&gt;0,IF((O35+P35*'Geometry'!$G$48+Q35*'Geometry'!$F$48)&lt;=C_eco,C_alpha*C_fck*(1-(1-(O35+P35*'Geometry'!$G$48+Q35*'Geometry'!$F$48)/C_eco)^C_n),C_alpha*C_fck),0)))*'Geometry'!$H$48*'Geometry'!$G$48+((MAX(MIN(S_1_Es*(O35+P35*'Geometry'!$G$49+Q35*'Geometry'!$F$49),S_1_fy),-S_1_fy))-(IF((O35+P35*'Geometry'!$G$49+Q35*'Geometry'!$F$49)&gt;0,IF((O35+P35*'Geometry'!$G$49+Q35*'Geometry'!$F$49)&lt;=C_eco,C_alpha*C_fck*(1-(1-(O35+P35*'Geometry'!$G$49+Q35*'Geometry'!$F$49)/C_eco)^C_n),C_alpha*C_fck),0)))*'Geometry'!$H$49*'Geometry'!$G$49+((MAX(MIN(S_1_Es*(O35+P35*'Geometry'!$G$50+Q35*'Geometry'!$F$50),S_1_fy),-S_1_fy))-(IF((O35+P35*'Geometry'!$G$50+Q35*'Geometry'!$F$50)&gt;0,IF((O35+P35*'Geometry'!$G$50+Q35*'Geometry'!$F$50)&lt;=C_eco,C_alpha*C_fck*(1-(1-(O35+P35*'Geometry'!$G$50+Q35*'Geometry'!$F$50)/C_eco)^C_n),C_alpha*C_fck),0)))*'Geometry'!$H$50*'Geometry'!$G$50+((MAX(MIN(S_1_Es*(O35+P35*'Geometry'!$G$51+Q35*'Geometry'!$F$51),S_1_fy),-S_1_fy))-(IF((O35+P35*'Geometry'!$G$51+Q35*'Geometry'!$F$51)&gt;0,IF((O35+P35*'Geometry'!$G$51+Q35*'Geometry'!$F$51)&lt;=C_eco,C_alpha*C_fck*(1-(1-(O35+P35*'Geometry'!$G$51+Q35*'Geometry'!$F$51)/C_eco)^C_n),C_alpha*C_fck),0)))*'Geometry'!$H$51*'Geometry'!$G$51+((MAX(MIN(S_1_Es*(O35+P35*'Geometry'!$G$52+Q35*'Geometry'!$F$52),S_1_fy),-S_1_fy))-(IF((O35+P35*'Geometry'!$G$52+Q35*'Geometry'!$F$52)&gt;0,IF((O35+P35*'Geometry'!$G$52+Q35*'Geometry'!$F$52)&lt;=C_eco,C_alpha*C_fck*(1-(1-(O35+P35*'Geometry'!$G$52+Q35*'Geometry'!$F$52)/C_eco)^C_n),C_alpha*C_fck),0)))*'Geometry'!$H$52*'Geometry'!$G$52+((MAX(MIN(S_1_Es*(O35+P35*'Geometry'!$G$53+Q35*'Geometry'!$F$53),S_1_fy),-S_1_fy))-(IF((O35+P35*'Geometry'!$G$53+Q35*'Geometry'!$F$53)&gt;0,IF((O35+P35*'Geometry'!$G$53+Q35*'Geometry'!$F$53)&lt;=C_eco,C_alpha*C_fck*(1-(1-(O35+P35*'Geometry'!$G$53+Q35*'Geometry'!$F$53)/C_eco)^C_n),C_alpha*C_fck),0)))*'Geometry'!$H$53*'Geometry'!$G$53+((MAX(MIN(S_1_Es*(O35+P35*'Geometry'!$G$54+Q35*'Geometry'!$F$54),S_1_fy),-S_1_fy))-(IF((O35+P35*'Geometry'!$G$54+Q35*'Geometry'!$F$54)&gt;0,IF((O35+P35*'Geometry'!$G$54+Q35*'Geometry'!$F$54)&lt;=C_eco,C_alpha*C_fck*(1-(1-(O35+P35*'Geometry'!$G$54+Q35*'Geometry'!$F$54)/C_eco)^C_n),C_alpha*C_fck),0)))*'Geometry'!$H$54*'Geometry'!$G$54+((MAX(MIN(S_1_Es*(O35+P35*'Geometry'!$G$55+Q35*'Geometry'!$F$55),S_1_fy),-S_1_fy))-(IF((O35+P35*'Geometry'!$G$55+Q35*'Geometry'!$F$55)&gt;0,IF((O35+P35*'Geometry'!$G$55+Q35*'Geometry'!$F$55)&lt;=C_eco,C_alpha*C_fck*(1-(1-(O35+P35*'Geometry'!$G$55+Q35*'Geometry'!$F$55)/C_eco)^C_n),C_alpha*C_fck),0)))*'Geometry'!$H$55*'Geometry'!$G$55+((MAX(MIN(S_1_Es*(O35+P35*'Geometry'!$G$56+Q35*'Geometry'!$F$56),S_1_fy),-S_1_fy))-(IF((O35+P35*'Geometry'!$G$56+Q35*'Geometry'!$F$56)&gt;0,IF((O35+P35*'Geometry'!$G$56+Q35*'Geometry'!$F$56)&lt;=C_eco,C_alpha*C_fck*(1-(1-(O35+P35*'Geometry'!$G$56+Q35*'Geometry'!$F$56)/C_eco)^C_n),C_alpha*C_fck),0)))*'Geometry'!$H$56*'Geometry'!$G$56+((MAX(MIN(S_1_Es*(O35+P35*'Geometry'!$G$57+Q35*'Geometry'!$F$57),S_1_fy),-S_1_fy))-(IF((O35+P35*'Geometry'!$G$57+Q35*'Geometry'!$F$57)&gt;0,IF((O35+P35*'Geometry'!$G$57+Q35*'Geometry'!$F$57)&lt;=C_eco,C_alpha*C_fck*(1-(1-(O35+P35*'Geometry'!$G$57+Q35*'Geometry'!$F$57)/C_eco)^C_n),C_alpha*C_fck),0)))*'Geometry'!$H$57*'Geometry'!$G$57)/1000000</f>
        <v>0</v>
      </c>
      <c r="W35" s="10">
        <f>(((MAX(MIN(S_1_Es*(O35+P35*'Geometry'!$G$40+Q35*'Geometry'!$F$40),S_1_fy),-S_1_fy))-(IF((O35+P35*'Geometry'!$G$40+Q35*'Geometry'!$F$40)&gt;0,IF((O35+P35*'Geometry'!$G$40+Q35*'Geometry'!$F$40)&lt;=C_eco,C_alpha*C_fck*(1-(1-(O35+P35*'Geometry'!$G$40+Q35*'Geometry'!$F$40)/C_eco)^C_n),C_alpha*C_fck),0)))*'Geometry'!$H$40*'Geometry'!$F$40+((MAX(MIN(S_1_Es*(O35+P35*'Geometry'!$G$41+Q35*'Geometry'!$F$41),S_1_fy),-S_1_fy))-(IF((O35+P35*'Geometry'!$G$41+Q35*'Geometry'!$F$41)&gt;0,IF((O35+P35*'Geometry'!$G$41+Q35*'Geometry'!$F$41)&lt;=C_eco,C_alpha*C_fck*(1-(1-(O35+P35*'Geometry'!$G$41+Q35*'Geometry'!$F$41)/C_eco)^C_n),C_alpha*C_fck),0)))*'Geometry'!$H$41*'Geometry'!$F$41+((MAX(MIN(S_1_Es*(O35+P35*'Geometry'!$G$42+Q35*'Geometry'!$F$42),S_1_fy),-S_1_fy))-(IF((O35+P35*'Geometry'!$G$42+Q35*'Geometry'!$F$42)&gt;0,IF((O35+P35*'Geometry'!$G$42+Q35*'Geometry'!$F$42)&lt;=C_eco,C_alpha*C_fck*(1-(1-(O35+P35*'Geometry'!$G$42+Q35*'Geometry'!$F$42)/C_eco)^C_n),C_alpha*C_fck),0)))*'Geometry'!$H$42*'Geometry'!$F$42+((MAX(MIN(S_1_Es*(O35+P35*'Geometry'!$G$43+Q35*'Geometry'!$F$43),S_1_fy),-S_1_fy))-(IF((O35+P35*'Geometry'!$G$43+Q35*'Geometry'!$F$43)&gt;0,IF((O35+P35*'Geometry'!$G$43+Q35*'Geometry'!$F$43)&lt;=C_eco,C_alpha*C_fck*(1-(1-(O35+P35*'Geometry'!$G$43+Q35*'Geometry'!$F$43)/C_eco)^C_n),C_alpha*C_fck),0)))*'Geometry'!$H$43*'Geometry'!$F$43+((MAX(MIN(S_1_Es*(O35+P35*'Geometry'!$G$44+Q35*'Geometry'!$F$44),S_1_fy),-S_1_fy))-(IF((O35+P35*'Geometry'!$G$44+Q35*'Geometry'!$F$44)&gt;0,IF((O35+P35*'Geometry'!$G$44+Q35*'Geometry'!$F$44)&lt;=C_eco,C_alpha*C_fck*(1-(1-(O35+P35*'Geometry'!$G$44+Q35*'Geometry'!$F$44)/C_eco)^C_n),C_alpha*C_fck),0)))*'Geometry'!$H$44*'Geometry'!$F$44+((MAX(MIN(S_1_Es*(O35+P35*'Geometry'!$G$45+Q35*'Geometry'!$F$45),S_1_fy),-S_1_fy))-(IF((O35+P35*'Geometry'!$G$45+Q35*'Geometry'!$F$45)&gt;0,IF((O35+P35*'Geometry'!$G$45+Q35*'Geometry'!$F$45)&lt;=C_eco,C_alpha*C_fck*(1-(1-(O35+P35*'Geometry'!$G$45+Q35*'Geometry'!$F$45)/C_eco)^C_n),C_alpha*C_fck),0)))*'Geometry'!$H$45*'Geometry'!$F$45+((MAX(MIN(S_1_Es*(O35+P35*'Geometry'!$G$46+Q35*'Geometry'!$F$46),S_1_fy),-S_1_fy))-(IF((O35+P35*'Geometry'!$G$46+Q35*'Geometry'!$F$46)&gt;0,IF((O35+P35*'Geometry'!$G$46+Q35*'Geometry'!$F$46)&lt;=C_eco,C_alpha*C_fck*(1-(1-(O35+P35*'Geometry'!$G$46+Q35*'Geometry'!$F$46)/C_eco)^C_n),C_alpha*C_fck),0)))*'Geometry'!$H$46*'Geometry'!$F$46+((MAX(MIN(S_1_Es*(O35+P35*'Geometry'!$G$47+Q35*'Geometry'!$F$47),S_1_fy),-S_1_fy))-(IF((O35+P35*'Geometry'!$G$47+Q35*'Geometry'!$F$47)&gt;0,IF((O35+P35*'Geometry'!$G$47+Q35*'Geometry'!$F$47)&lt;=C_eco,C_alpha*C_fck*(1-(1-(O35+P35*'Geometry'!$G$47+Q35*'Geometry'!$F$47)/C_eco)^C_n),C_alpha*C_fck),0)))*'Geometry'!$H$47*'Geometry'!$F$47+((MAX(MIN(S_1_Es*(O35+P35*'Geometry'!$G$48+Q35*'Geometry'!$F$48),S_1_fy),-S_1_fy))-(IF((O35+P35*'Geometry'!$G$48+Q35*'Geometry'!$F$48)&gt;0,IF((O35+P35*'Geometry'!$G$48+Q35*'Geometry'!$F$48)&lt;=C_eco,C_alpha*C_fck*(1-(1-(O35+P35*'Geometry'!$G$48+Q35*'Geometry'!$F$48)/C_eco)^C_n),C_alpha*C_fck),0)))*'Geometry'!$H$48*'Geometry'!$F$48+((MAX(MIN(S_1_Es*(O35+P35*'Geometry'!$G$49+Q35*'Geometry'!$F$49),S_1_fy),-S_1_fy))-(IF((O35+P35*'Geometry'!$G$49+Q35*'Geometry'!$F$49)&gt;0,IF((O35+P35*'Geometry'!$G$49+Q35*'Geometry'!$F$49)&lt;=C_eco,C_alpha*C_fck*(1-(1-(O35+P35*'Geometry'!$G$49+Q35*'Geometry'!$F$49)/C_eco)^C_n),C_alpha*C_fck),0)))*'Geometry'!$H$49*'Geometry'!$F$49+((MAX(MIN(S_1_Es*(O35+P35*'Geometry'!$G$50+Q35*'Geometry'!$F$50),S_1_fy),-S_1_fy))-(IF((O35+P35*'Geometry'!$G$50+Q35*'Geometry'!$F$50)&gt;0,IF((O35+P35*'Geometry'!$G$50+Q35*'Geometry'!$F$50)&lt;=C_eco,C_alpha*C_fck*(1-(1-(O35+P35*'Geometry'!$G$50+Q35*'Geometry'!$F$50)/C_eco)^C_n),C_alpha*C_fck),0)))*'Geometry'!$H$50*'Geometry'!$F$50+((MAX(MIN(S_1_Es*(O35+P35*'Geometry'!$G$51+Q35*'Geometry'!$F$51),S_1_fy),-S_1_fy))-(IF((O35+P35*'Geometry'!$G$51+Q35*'Geometry'!$F$51)&gt;0,IF((O35+P35*'Geometry'!$G$51+Q35*'Geometry'!$F$51)&lt;=C_eco,C_alpha*C_fck*(1-(1-(O35+P35*'Geometry'!$G$51+Q35*'Geometry'!$F$51)/C_eco)^C_n),C_alpha*C_fck),0)))*'Geometry'!$H$51*'Geometry'!$F$51+((MAX(MIN(S_1_Es*(O35+P35*'Geometry'!$G$52+Q35*'Geometry'!$F$52),S_1_fy),-S_1_fy))-(IF((O35+P35*'Geometry'!$G$52+Q35*'Geometry'!$F$52)&gt;0,IF((O35+P35*'Geometry'!$G$52+Q35*'Geometry'!$F$52)&lt;=C_eco,C_alpha*C_fck*(1-(1-(O35+P35*'Geometry'!$G$52+Q35*'Geometry'!$F$52)/C_eco)^C_n),C_alpha*C_fck),0)))*'Geometry'!$H$52*'Geometry'!$F$52+((MAX(MIN(S_1_Es*(O35+P35*'Geometry'!$G$53+Q35*'Geometry'!$F$53),S_1_fy),-S_1_fy))-(IF((O35+P35*'Geometry'!$G$53+Q35*'Geometry'!$F$53)&gt;0,IF((O35+P35*'Geometry'!$G$53+Q35*'Geometry'!$F$53)&lt;=C_eco,C_alpha*C_fck*(1-(1-(O35+P35*'Geometry'!$G$53+Q35*'Geometry'!$F$53)/C_eco)^C_n),C_alpha*C_fck),0)))*'Geometry'!$H$53*'Geometry'!$F$53+((MAX(MIN(S_1_Es*(O35+P35*'Geometry'!$G$54+Q35*'Geometry'!$F$54),S_1_fy),-S_1_fy))-(IF((O35+P35*'Geometry'!$G$54+Q35*'Geometry'!$F$54)&gt;0,IF((O35+P35*'Geometry'!$G$54+Q35*'Geometry'!$F$54)&lt;=C_eco,C_alpha*C_fck*(1-(1-(O35+P35*'Geometry'!$G$54+Q35*'Geometry'!$F$54)/C_eco)^C_n),C_alpha*C_fck),0)))*'Geometry'!$H$54*'Geometry'!$F$54+((MAX(MIN(S_1_Es*(O35+P35*'Geometry'!$G$55+Q35*'Geometry'!$F$55),S_1_fy),-S_1_fy))-(IF((O35+P35*'Geometry'!$G$55+Q35*'Geometry'!$F$55)&gt;0,IF((O35+P35*'Geometry'!$G$55+Q35*'Geometry'!$F$55)&lt;=C_eco,C_alpha*C_fck*(1-(1-(O35+P35*'Geometry'!$G$55+Q35*'Geometry'!$F$55)/C_eco)^C_n),C_alpha*C_fck),0)))*'Geometry'!$H$55*'Geometry'!$F$55+((MAX(MIN(S_1_Es*(O35+P35*'Geometry'!$G$56+Q35*'Geometry'!$F$56),S_1_fy),-S_1_fy))-(IF((O35+P35*'Geometry'!$G$56+Q35*'Geometry'!$F$56)&gt;0,IF((O35+P35*'Geometry'!$G$56+Q35*'Geometry'!$F$56)&lt;=C_eco,C_alpha*C_fck*(1-(1-(O35+P35*'Geometry'!$G$56+Q35*'Geometry'!$F$56)/C_eco)^C_n),C_alpha*C_fck),0)))*'Geometry'!$H$56*'Geometry'!$F$56+((MAX(MIN(S_1_Es*(O35+P35*'Geometry'!$G$57+Q35*'Geometry'!$F$57),S_1_fy),-S_1_fy))-(IF((O35+P35*'Geometry'!$G$57+Q35*'Geometry'!$F$57)&gt;0,IF((O35+P35*'Geometry'!$G$57+Q35*'Geometry'!$F$57)&lt;=C_eco,C_alpha*C_fck*(1-(1-(O35+P35*'Geometry'!$G$57+Q35*'Geometry'!$F$57)/C_eco)^C_n),C_alpha*C_fck),0)))*'Geometry'!$H$57*'Geometry'!$F$57)/1000000</f>
        <v>-1694.2604154261505</v>
      </c>
      <c r="X35" s="10">
        <f>R35+U35</f>
        <v>694.5910091015198</v>
      </c>
      <c r="Y35" s="10">
        <f>S35+V35</f>
        <v>-2.211958027172154</v>
      </c>
      <c r="Z35" s="10">
        <f>T35+W35</f>
        <v>-4331.479067794056</v>
      </c>
      <c r="AA35" s="7">
        <v>0.85</v>
      </c>
      <c r="AB35" s="7">
        <v>0.8499999999999999</v>
      </c>
      <c r="AC35" s="10">
        <f>X35*AA35</f>
        <v>590.4023577362918</v>
      </c>
      <c r="AD35" s="10">
        <f>Y35*AB35</f>
        <v>-1.8801643230963307</v>
      </c>
      <c r="AE35" s="10">
        <f>Z35*AB35</f>
        <v>-3681.7572076249476</v>
      </c>
      <c r="AF35" s="7">
        <v>590.4023577362918</v>
      </c>
      <c r="AG35" s="7">
        <v>-1.8801643230963307</v>
      </c>
      <c r="AH35" s="7">
        <v>-3681.7572076249476</v>
      </c>
      <c r="AI35" s="15">
        <f>AC35-AF35</f>
        <v>0</v>
      </c>
      <c r="AJ35" s="15">
        <f>SQRT((AD35-AG35)^2+(AE35-AH35)^2)</f>
        <v>0</v>
      </c>
      <c r="AK35" s="7" t="s">
        <v>189</v>
      </c>
      <c r="AL35" s="7">
        <v>694.5910091015198</v>
      </c>
      <c r="AM35" s="7">
        <v>-2.211958027172154</v>
      </c>
      <c r="AN35" s="7">
        <v>-4331.479067794056</v>
      </c>
      <c r="AO35" s="7">
        <v>3993.615153748004</v>
      </c>
      <c r="AP35" s="7">
        <v>-2.211958027172154</v>
      </c>
      <c r="AQ35" s="7">
        <v>-2637.218652367905</v>
      </c>
      <c r="AR35" s="7">
        <v>-3299.0241446464843</v>
      </c>
      <c r="AS35" s="7">
        <v>0</v>
      </c>
      <c r="AT35" s="7">
        <v>-1694.2604154261505</v>
      </c>
    </row>
    <row r="36" spans="1:46" x14ac:dyDescent="0.25">
      <c r="A36" s="7" t="s">
        <v>246</v>
      </c>
      <c r="B36" s="7">
        <v>1</v>
      </c>
      <c r="C36" s="18">
        <v>280</v>
      </c>
      <c r="D36" s="7" t="s">
        <v>295</v>
      </c>
      <c r="E36" s="7" t="s">
        <v>275</v>
      </c>
      <c r="F36" s="19">
        <v>280</v>
      </c>
      <c r="G36" s="7" t="s">
        <v>188</v>
      </c>
      <c r="H36" s="20">
        <v>7.5</v>
      </c>
      <c r="I36" s="10">
        <f>MAX(('Geometry'!$G$13*COS(RADIANS(F36))+'Geometry'!$F$13*SIN(RADIANS(F36))),('Geometry'!$G$14*COS(RADIANS(F36))+'Geometry'!$F$14*SIN(RADIANS(F36))),('Geometry'!$G$15*COS(RADIANS(F36))+'Geometry'!$F$15*SIN(RADIANS(F36))),('Geometry'!$G$16*COS(RADIANS(F36))+'Geometry'!$F$16*SIN(RADIANS(F36))),('Geometry'!$G$17*COS(RADIANS(F36))+'Geometry'!$F$17*SIN(RADIANS(F36))),('Geometry'!$G$18*COS(RADIANS(F36))+'Geometry'!$F$18*SIN(RADIANS(F36))),('Geometry'!$G$19*COS(RADIANS(F36))+'Geometry'!$F$19*SIN(RADIANS(F36))),('Geometry'!$G$20*COS(RADIANS(F36))+'Geometry'!$F$20*SIN(RADIANS(F36))))</f>
        <v>808.0650858259281</v>
      </c>
      <c r="J36" s="10">
        <f>MIN(('Geometry'!$G$40*COS(RADIANS(F36))+'Geometry'!$F$40*SIN(RADIANS(F36))),('Geometry'!$G$41*COS(RADIANS(F36))+'Geometry'!$F$41*SIN(RADIANS(F36))),('Geometry'!$G$42*COS(RADIANS(F36))+'Geometry'!$F$42*SIN(RADIANS(F36))),('Geometry'!$G$43*COS(RADIANS(F36))+'Geometry'!$F$43*SIN(RADIANS(F36))),('Geometry'!$G$44*COS(RADIANS(F36))+'Geometry'!$F$44*SIN(RADIANS(F36))),('Geometry'!$G$45*COS(RADIANS(F36))+'Geometry'!$F$45*SIN(RADIANS(F36))),('Geometry'!$G$46*COS(RADIANS(F36))+'Geometry'!$F$46*SIN(RADIANS(F36))),('Geometry'!$G$47*COS(RADIANS(F36))+'Geometry'!$F$47*SIN(RADIANS(F36))),('Geometry'!$G$48*COS(RADIANS(F36))+'Geometry'!$F$48*SIN(RADIANS(F36))),('Geometry'!$G$49*COS(RADIANS(F36))+'Geometry'!$F$49*SIN(RADIANS(F36))),('Geometry'!$G$50*COS(RADIANS(F36))+'Geometry'!$F$50*SIN(RADIANS(F36))),('Geometry'!$G$51*COS(RADIANS(F36))+'Geometry'!$F$51*SIN(RADIANS(F36))),('Geometry'!$G$52*COS(RADIANS(F36))+'Geometry'!$F$52*SIN(RADIANS(F36))),('Geometry'!$G$53*COS(RADIANS(F36))+'Geometry'!$F$53*SIN(RADIANS(F36))),('Geometry'!$G$54*COS(RADIANS(F36))+'Geometry'!$F$54*SIN(RADIANS(F36))),('Geometry'!$G$55*COS(RADIANS(F36))+'Geometry'!$F$55*SIN(RADIANS(F36))),('Geometry'!$G$56*COS(RADIANS(F36))+'Geometry'!$F$56*SIN(RADIANS(F36))),('Geometry'!$G$57*COS(RADIANS(F36))+'Geometry'!$F$57*SIN(RADIANS(F36))))</f>
        <v>-721.7637253483805</v>
      </c>
      <c r="K36" s="10">
        <f>I36-MIN(('Geometry'!$G$13*COS(RADIANS(F36))+'Geometry'!$F$13*SIN(RADIANS(F36))),('Geometry'!$G$14*COS(RADIANS(F36))+'Geometry'!$F$14*SIN(RADIANS(F36))),('Geometry'!$G$15*COS(RADIANS(F36))+'Geometry'!$F$15*SIN(RADIANS(F36))),('Geometry'!$G$16*COS(RADIANS(F36))+'Geometry'!$F$16*SIN(RADIANS(F36))),('Geometry'!$G$17*COS(RADIANS(F36))+'Geometry'!$F$17*SIN(RADIANS(F36))),('Geometry'!$G$18*COS(RADIANS(F36))+'Geometry'!$F$18*SIN(RADIANS(F36))),('Geometry'!$G$19*COS(RADIANS(F36))+'Geometry'!$F$19*SIN(RADIANS(F36))),('Geometry'!$G$20*COS(RADIANS(F36))+'Geometry'!$F$20*SIN(RADIANS(F36))))</f>
        <v>1616.1301716518562</v>
      </c>
      <c r="L36" s="15">
        <f>C_ecu</f>
        <v>0.0033</v>
      </c>
      <c r="M36" s="15">
        <f>-H36*S_1_fy/S_1_Es</f>
        <v>-0.015</v>
      </c>
      <c r="N36" s="21">
        <f>IF(ABS(I36-J36)&lt;0.000000000001,0,(L36-M36)/(I36-J36))</f>
        <v>0.000011962122733165665</v>
      </c>
      <c r="O36" s="15">
        <f>L36-N36*I36</f>
        <v>-0.006366173733035799</v>
      </c>
      <c r="P36" s="21">
        <f>N36*COS(RADIANS(F36))</f>
        <v>0.0000020772008136423734</v>
      </c>
      <c r="Q36" s="21">
        <f>N36*SIN(RADIANS(F36))</f>
        <v>-0.000011780391210105132</v>
      </c>
      <c r="R36" s="10">
        <f>SUMPRODUCT(C_alpha*C_fck*(1-(1-(((O36+P36*Mesh_Y+Q36*Mesh_X))*((O36+P36*Mesh_Y+Q36*Mesh_X)&gt;0)*((O36+P36*Mesh_Y+Q36*Mesh_X)&lt;C_eco)+C_eco*((O36+P36*Mesh_Y+Q36*Mesh_X)&gt;=C_eco))/C_eco)^C_n)*(((O36+P36*Mesh_Y+Q36*Mesh_X))&gt;0),Mesh_A)/1000</f>
        <v>3850.096004613898</v>
      </c>
      <c r="S36" s="10">
        <f>SUMPRODUCT(C_alpha*C_fck*(1-(1-(((O36+P36*Mesh_Y+Q36*Mesh_X))*((O36+P36*Mesh_Y+Q36*Mesh_X)&gt;0)*((O36+P36*Mesh_Y+Q36*Mesh_X)&lt;C_eco)+C_eco*((O36+P36*Mesh_Y+Q36*Mesh_X)&gt;=C_eco))/C_eco)^C_n)*(((O36+P36*Mesh_Y+Q36*Mesh_X))&gt;0),Mesh_A,Mesh_Y)/1000000</f>
        <v>481.0699596062951</v>
      </c>
      <c r="T36" s="10">
        <f>SUMPRODUCT(C_alpha*C_fck*(1-(1-(((O36+P36*Mesh_Y+Q36*Mesh_X))*((O36+P36*Mesh_Y+Q36*Mesh_X)&gt;0)*((O36+P36*Mesh_Y+Q36*Mesh_X)&lt;C_eco)+C_eco*((O36+P36*Mesh_Y+Q36*Mesh_X)&gt;=C_eco))/C_eco)^C_n)*(((O36+P36*Mesh_Y+Q36*Mesh_X))&gt;0),Mesh_A,Mesh_X)/1000000</f>
        <v>-2508.305936948127</v>
      </c>
      <c r="U36" s="10">
        <f>(((MAX(MIN(S_1_Es*(O36+P36*'Geometry'!$G$40+Q36*'Geometry'!$F$40),S_1_fy),-S_1_fy))-(IF((O36+P36*'Geometry'!$G$40+Q36*'Geometry'!$F$40)&gt;0,IF((O36+P36*'Geometry'!$G$40+Q36*'Geometry'!$F$40)&lt;=C_eco,C_alpha*C_fck*(1-(1-(O36+P36*'Geometry'!$G$40+Q36*'Geometry'!$F$40)/C_eco)^C_n),C_alpha*C_fck),0)))*'Geometry'!$H$40+((MAX(MIN(S_1_Es*(O36+P36*'Geometry'!$G$41+Q36*'Geometry'!$F$41),S_1_fy),-S_1_fy))-(IF((O36+P36*'Geometry'!$G$41+Q36*'Geometry'!$F$41)&gt;0,IF((O36+P36*'Geometry'!$G$41+Q36*'Geometry'!$F$41)&lt;=C_eco,C_alpha*C_fck*(1-(1-(O36+P36*'Geometry'!$G$41+Q36*'Geometry'!$F$41)/C_eco)^C_n),C_alpha*C_fck),0)))*'Geometry'!$H$41+((MAX(MIN(S_1_Es*(O36+P36*'Geometry'!$G$42+Q36*'Geometry'!$F$42),S_1_fy),-S_1_fy))-(IF((O36+P36*'Geometry'!$G$42+Q36*'Geometry'!$F$42)&gt;0,IF((O36+P36*'Geometry'!$G$42+Q36*'Geometry'!$F$42)&lt;=C_eco,C_alpha*C_fck*(1-(1-(O36+P36*'Geometry'!$G$42+Q36*'Geometry'!$F$42)/C_eco)^C_n),C_alpha*C_fck),0)))*'Geometry'!$H$42+((MAX(MIN(S_1_Es*(O36+P36*'Geometry'!$G$43+Q36*'Geometry'!$F$43),S_1_fy),-S_1_fy))-(IF((O36+P36*'Geometry'!$G$43+Q36*'Geometry'!$F$43)&gt;0,IF((O36+P36*'Geometry'!$G$43+Q36*'Geometry'!$F$43)&lt;=C_eco,C_alpha*C_fck*(1-(1-(O36+P36*'Geometry'!$G$43+Q36*'Geometry'!$F$43)/C_eco)^C_n),C_alpha*C_fck),0)))*'Geometry'!$H$43+((MAX(MIN(S_1_Es*(O36+P36*'Geometry'!$G$44+Q36*'Geometry'!$F$44),S_1_fy),-S_1_fy))-(IF((O36+P36*'Geometry'!$G$44+Q36*'Geometry'!$F$44)&gt;0,IF((O36+P36*'Geometry'!$G$44+Q36*'Geometry'!$F$44)&lt;=C_eco,C_alpha*C_fck*(1-(1-(O36+P36*'Geometry'!$G$44+Q36*'Geometry'!$F$44)/C_eco)^C_n),C_alpha*C_fck),0)))*'Geometry'!$H$44+((MAX(MIN(S_1_Es*(O36+P36*'Geometry'!$G$45+Q36*'Geometry'!$F$45),S_1_fy),-S_1_fy))-(IF((O36+P36*'Geometry'!$G$45+Q36*'Geometry'!$F$45)&gt;0,IF((O36+P36*'Geometry'!$G$45+Q36*'Geometry'!$F$45)&lt;=C_eco,C_alpha*C_fck*(1-(1-(O36+P36*'Geometry'!$G$45+Q36*'Geometry'!$F$45)/C_eco)^C_n),C_alpha*C_fck),0)))*'Geometry'!$H$45+((MAX(MIN(S_1_Es*(O36+P36*'Geometry'!$G$46+Q36*'Geometry'!$F$46),S_1_fy),-S_1_fy))-(IF((O36+P36*'Geometry'!$G$46+Q36*'Geometry'!$F$46)&gt;0,IF((O36+P36*'Geometry'!$G$46+Q36*'Geometry'!$F$46)&lt;=C_eco,C_alpha*C_fck*(1-(1-(O36+P36*'Geometry'!$G$46+Q36*'Geometry'!$F$46)/C_eco)^C_n),C_alpha*C_fck),0)))*'Geometry'!$H$46+((MAX(MIN(S_1_Es*(O36+P36*'Geometry'!$G$47+Q36*'Geometry'!$F$47),S_1_fy),-S_1_fy))-(IF((O36+P36*'Geometry'!$G$47+Q36*'Geometry'!$F$47)&gt;0,IF((O36+P36*'Geometry'!$G$47+Q36*'Geometry'!$F$47)&lt;=C_eco,C_alpha*C_fck*(1-(1-(O36+P36*'Geometry'!$G$47+Q36*'Geometry'!$F$47)/C_eco)^C_n),C_alpha*C_fck),0)))*'Geometry'!$H$47+((MAX(MIN(S_1_Es*(O36+P36*'Geometry'!$G$48+Q36*'Geometry'!$F$48),S_1_fy),-S_1_fy))-(IF((O36+P36*'Geometry'!$G$48+Q36*'Geometry'!$F$48)&gt;0,IF((O36+P36*'Geometry'!$G$48+Q36*'Geometry'!$F$48)&lt;=C_eco,C_alpha*C_fck*(1-(1-(O36+P36*'Geometry'!$G$48+Q36*'Geometry'!$F$48)/C_eco)^C_n),C_alpha*C_fck),0)))*'Geometry'!$H$48+((MAX(MIN(S_1_Es*(O36+P36*'Geometry'!$G$49+Q36*'Geometry'!$F$49),S_1_fy),-S_1_fy))-(IF((O36+P36*'Geometry'!$G$49+Q36*'Geometry'!$F$49)&gt;0,IF((O36+P36*'Geometry'!$G$49+Q36*'Geometry'!$F$49)&lt;=C_eco,C_alpha*C_fck*(1-(1-(O36+P36*'Geometry'!$G$49+Q36*'Geometry'!$F$49)/C_eco)^C_n),C_alpha*C_fck),0)))*'Geometry'!$H$49+((MAX(MIN(S_1_Es*(O36+P36*'Geometry'!$G$50+Q36*'Geometry'!$F$50),S_1_fy),-S_1_fy))-(IF((O36+P36*'Geometry'!$G$50+Q36*'Geometry'!$F$50)&gt;0,IF((O36+P36*'Geometry'!$G$50+Q36*'Geometry'!$F$50)&lt;=C_eco,C_alpha*C_fck*(1-(1-(O36+P36*'Geometry'!$G$50+Q36*'Geometry'!$F$50)/C_eco)^C_n),C_alpha*C_fck),0)))*'Geometry'!$H$50+((MAX(MIN(S_1_Es*(O36+P36*'Geometry'!$G$51+Q36*'Geometry'!$F$51),S_1_fy),-S_1_fy))-(IF((O36+P36*'Geometry'!$G$51+Q36*'Geometry'!$F$51)&gt;0,IF((O36+P36*'Geometry'!$G$51+Q36*'Geometry'!$F$51)&lt;=C_eco,C_alpha*C_fck*(1-(1-(O36+P36*'Geometry'!$G$51+Q36*'Geometry'!$F$51)/C_eco)^C_n),C_alpha*C_fck),0)))*'Geometry'!$H$51+((MAX(MIN(S_1_Es*(O36+P36*'Geometry'!$G$52+Q36*'Geometry'!$F$52),S_1_fy),-S_1_fy))-(IF((O36+P36*'Geometry'!$G$52+Q36*'Geometry'!$F$52)&gt;0,IF((O36+P36*'Geometry'!$G$52+Q36*'Geometry'!$F$52)&lt;=C_eco,C_alpha*C_fck*(1-(1-(O36+P36*'Geometry'!$G$52+Q36*'Geometry'!$F$52)/C_eco)^C_n),C_alpha*C_fck),0)))*'Geometry'!$H$52+((MAX(MIN(S_1_Es*(O36+P36*'Geometry'!$G$53+Q36*'Geometry'!$F$53),S_1_fy),-S_1_fy))-(IF((O36+P36*'Geometry'!$G$53+Q36*'Geometry'!$F$53)&gt;0,IF((O36+P36*'Geometry'!$G$53+Q36*'Geometry'!$F$53)&lt;=C_eco,C_alpha*C_fck*(1-(1-(O36+P36*'Geometry'!$G$53+Q36*'Geometry'!$F$53)/C_eco)^C_n),C_alpha*C_fck),0)))*'Geometry'!$H$53+((MAX(MIN(S_1_Es*(O36+P36*'Geometry'!$G$54+Q36*'Geometry'!$F$54),S_1_fy),-S_1_fy))-(IF((O36+P36*'Geometry'!$G$54+Q36*'Geometry'!$F$54)&gt;0,IF((O36+P36*'Geometry'!$G$54+Q36*'Geometry'!$F$54)&lt;=C_eco,C_alpha*C_fck*(1-(1-(O36+P36*'Geometry'!$G$54+Q36*'Geometry'!$F$54)/C_eco)^C_n),C_alpha*C_fck),0)))*'Geometry'!$H$54+((MAX(MIN(S_1_Es*(O36+P36*'Geometry'!$G$55+Q36*'Geometry'!$F$55),S_1_fy),-S_1_fy))-(IF((O36+P36*'Geometry'!$G$55+Q36*'Geometry'!$F$55)&gt;0,IF((O36+P36*'Geometry'!$G$55+Q36*'Geometry'!$F$55)&lt;=C_eco,C_alpha*C_fck*(1-(1-(O36+P36*'Geometry'!$G$55+Q36*'Geometry'!$F$55)/C_eco)^C_n),C_alpha*C_fck),0)))*'Geometry'!$H$55+((MAX(MIN(S_1_Es*(O36+P36*'Geometry'!$G$56+Q36*'Geometry'!$F$56),S_1_fy),-S_1_fy))-(IF((O36+P36*'Geometry'!$G$56+Q36*'Geometry'!$F$56)&gt;0,IF((O36+P36*'Geometry'!$G$56+Q36*'Geometry'!$F$56)&lt;=C_eco,C_alpha*C_fck*(1-(1-(O36+P36*'Geometry'!$G$56+Q36*'Geometry'!$F$56)/C_eco)^C_n),C_alpha*C_fck),0)))*'Geometry'!$H$56+((MAX(MIN(S_1_Es*(O36+P36*'Geometry'!$G$57+Q36*'Geometry'!$F$57),S_1_fy),-S_1_fy))-(IF((O36+P36*'Geometry'!$G$57+Q36*'Geometry'!$F$57)&gt;0,IF((O36+P36*'Geometry'!$G$57+Q36*'Geometry'!$F$57)&lt;=C_eco,C_alpha*C_fck*(1-(1-(O36+P36*'Geometry'!$G$57+Q36*'Geometry'!$F$57)/C_eco)^C_n),C_alpha*C_fck),0)))*'Geometry'!$H$57)/1000</f>
        <v>-3331.4267791258485</v>
      </c>
      <c r="V36" s="10">
        <f>(((MAX(MIN(S_1_Es*(O36+P36*'Geometry'!$G$40+Q36*'Geometry'!$F$40),S_1_fy),-S_1_fy))-(IF((O36+P36*'Geometry'!$G$40+Q36*'Geometry'!$F$40)&gt;0,IF((O36+P36*'Geometry'!$G$40+Q36*'Geometry'!$F$40)&lt;=C_eco,C_alpha*C_fck*(1-(1-(O36+P36*'Geometry'!$G$40+Q36*'Geometry'!$F$40)/C_eco)^C_n),C_alpha*C_fck),0)))*'Geometry'!$H$40*'Geometry'!$G$40+((MAX(MIN(S_1_Es*(O36+P36*'Geometry'!$G$41+Q36*'Geometry'!$F$41),S_1_fy),-S_1_fy))-(IF((O36+P36*'Geometry'!$G$41+Q36*'Geometry'!$F$41)&gt;0,IF((O36+P36*'Geometry'!$G$41+Q36*'Geometry'!$F$41)&lt;=C_eco,C_alpha*C_fck*(1-(1-(O36+P36*'Geometry'!$G$41+Q36*'Geometry'!$F$41)/C_eco)^C_n),C_alpha*C_fck),0)))*'Geometry'!$H$41*'Geometry'!$G$41+((MAX(MIN(S_1_Es*(O36+P36*'Geometry'!$G$42+Q36*'Geometry'!$F$42),S_1_fy),-S_1_fy))-(IF((O36+P36*'Geometry'!$G$42+Q36*'Geometry'!$F$42)&gt;0,IF((O36+P36*'Geometry'!$G$42+Q36*'Geometry'!$F$42)&lt;=C_eco,C_alpha*C_fck*(1-(1-(O36+P36*'Geometry'!$G$42+Q36*'Geometry'!$F$42)/C_eco)^C_n),C_alpha*C_fck),0)))*'Geometry'!$H$42*'Geometry'!$G$42+((MAX(MIN(S_1_Es*(O36+P36*'Geometry'!$G$43+Q36*'Geometry'!$F$43),S_1_fy),-S_1_fy))-(IF((O36+P36*'Geometry'!$G$43+Q36*'Geometry'!$F$43)&gt;0,IF((O36+P36*'Geometry'!$G$43+Q36*'Geometry'!$F$43)&lt;=C_eco,C_alpha*C_fck*(1-(1-(O36+P36*'Geometry'!$G$43+Q36*'Geometry'!$F$43)/C_eco)^C_n),C_alpha*C_fck),0)))*'Geometry'!$H$43*'Geometry'!$G$43+((MAX(MIN(S_1_Es*(O36+P36*'Geometry'!$G$44+Q36*'Geometry'!$F$44),S_1_fy),-S_1_fy))-(IF((O36+P36*'Geometry'!$G$44+Q36*'Geometry'!$F$44)&gt;0,IF((O36+P36*'Geometry'!$G$44+Q36*'Geometry'!$F$44)&lt;=C_eco,C_alpha*C_fck*(1-(1-(O36+P36*'Geometry'!$G$44+Q36*'Geometry'!$F$44)/C_eco)^C_n),C_alpha*C_fck),0)))*'Geometry'!$H$44*'Geometry'!$G$44+((MAX(MIN(S_1_Es*(O36+P36*'Geometry'!$G$45+Q36*'Geometry'!$F$45),S_1_fy),-S_1_fy))-(IF((O36+P36*'Geometry'!$G$45+Q36*'Geometry'!$F$45)&gt;0,IF((O36+P36*'Geometry'!$G$45+Q36*'Geometry'!$F$45)&lt;=C_eco,C_alpha*C_fck*(1-(1-(O36+P36*'Geometry'!$G$45+Q36*'Geometry'!$F$45)/C_eco)^C_n),C_alpha*C_fck),0)))*'Geometry'!$H$45*'Geometry'!$G$45+((MAX(MIN(S_1_Es*(O36+P36*'Geometry'!$G$46+Q36*'Geometry'!$F$46),S_1_fy),-S_1_fy))-(IF((O36+P36*'Geometry'!$G$46+Q36*'Geometry'!$F$46)&gt;0,IF((O36+P36*'Geometry'!$G$46+Q36*'Geometry'!$F$46)&lt;=C_eco,C_alpha*C_fck*(1-(1-(O36+P36*'Geometry'!$G$46+Q36*'Geometry'!$F$46)/C_eco)^C_n),C_alpha*C_fck),0)))*'Geometry'!$H$46*'Geometry'!$G$46+((MAX(MIN(S_1_Es*(O36+P36*'Geometry'!$G$47+Q36*'Geometry'!$F$47),S_1_fy),-S_1_fy))-(IF((O36+P36*'Geometry'!$G$47+Q36*'Geometry'!$F$47)&gt;0,IF((O36+P36*'Geometry'!$G$47+Q36*'Geometry'!$F$47)&lt;=C_eco,C_alpha*C_fck*(1-(1-(O36+P36*'Geometry'!$G$47+Q36*'Geometry'!$F$47)/C_eco)^C_n),C_alpha*C_fck),0)))*'Geometry'!$H$47*'Geometry'!$G$47+((MAX(MIN(S_1_Es*(O36+P36*'Geometry'!$G$48+Q36*'Geometry'!$F$48),S_1_fy),-S_1_fy))-(IF((O36+P36*'Geometry'!$G$48+Q36*'Geometry'!$F$48)&gt;0,IF((O36+P36*'Geometry'!$G$48+Q36*'Geometry'!$F$48)&lt;=C_eco,C_alpha*C_fck*(1-(1-(O36+P36*'Geometry'!$G$48+Q36*'Geometry'!$F$48)/C_eco)^C_n),C_alpha*C_fck),0)))*'Geometry'!$H$48*'Geometry'!$G$48+((MAX(MIN(S_1_Es*(O36+P36*'Geometry'!$G$49+Q36*'Geometry'!$F$49),S_1_fy),-S_1_fy))-(IF((O36+P36*'Geometry'!$G$49+Q36*'Geometry'!$F$49)&gt;0,IF((O36+P36*'Geometry'!$G$49+Q36*'Geometry'!$F$49)&lt;=C_eco,C_alpha*C_fck*(1-(1-(O36+P36*'Geometry'!$G$49+Q36*'Geometry'!$F$49)/C_eco)^C_n),C_alpha*C_fck),0)))*'Geometry'!$H$49*'Geometry'!$G$49+((MAX(MIN(S_1_Es*(O36+P36*'Geometry'!$G$50+Q36*'Geometry'!$F$50),S_1_fy),-S_1_fy))-(IF((O36+P36*'Geometry'!$G$50+Q36*'Geometry'!$F$50)&gt;0,IF((O36+P36*'Geometry'!$G$50+Q36*'Geometry'!$F$50)&lt;=C_eco,C_alpha*C_fck*(1-(1-(O36+P36*'Geometry'!$G$50+Q36*'Geometry'!$F$50)/C_eco)^C_n),C_alpha*C_fck),0)))*'Geometry'!$H$50*'Geometry'!$G$50+((MAX(MIN(S_1_Es*(O36+P36*'Geometry'!$G$51+Q36*'Geometry'!$F$51),S_1_fy),-S_1_fy))-(IF((O36+P36*'Geometry'!$G$51+Q36*'Geometry'!$F$51)&gt;0,IF((O36+P36*'Geometry'!$G$51+Q36*'Geometry'!$F$51)&lt;=C_eco,C_alpha*C_fck*(1-(1-(O36+P36*'Geometry'!$G$51+Q36*'Geometry'!$F$51)/C_eco)^C_n),C_alpha*C_fck),0)))*'Geometry'!$H$51*'Geometry'!$G$51+((MAX(MIN(S_1_Es*(O36+P36*'Geometry'!$G$52+Q36*'Geometry'!$F$52),S_1_fy),-S_1_fy))-(IF((O36+P36*'Geometry'!$G$52+Q36*'Geometry'!$F$52)&gt;0,IF((O36+P36*'Geometry'!$G$52+Q36*'Geometry'!$F$52)&lt;=C_eco,C_alpha*C_fck*(1-(1-(O36+P36*'Geometry'!$G$52+Q36*'Geometry'!$F$52)/C_eco)^C_n),C_alpha*C_fck),0)))*'Geometry'!$H$52*'Geometry'!$G$52+((MAX(MIN(S_1_Es*(O36+P36*'Geometry'!$G$53+Q36*'Geometry'!$F$53),S_1_fy),-S_1_fy))-(IF((O36+P36*'Geometry'!$G$53+Q36*'Geometry'!$F$53)&gt;0,IF((O36+P36*'Geometry'!$G$53+Q36*'Geometry'!$F$53)&lt;=C_eco,C_alpha*C_fck*(1-(1-(O36+P36*'Geometry'!$G$53+Q36*'Geometry'!$F$53)/C_eco)^C_n),C_alpha*C_fck),0)))*'Geometry'!$H$53*'Geometry'!$G$53+((MAX(MIN(S_1_Es*(O36+P36*'Geometry'!$G$54+Q36*'Geometry'!$F$54),S_1_fy),-S_1_fy))-(IF((O36+P36*'Geometry'!$G$54+Q36*'Geometry'!$F$54)&gt;0,IF((O36+P36*'Geometry'!$G$54+Q36*'Geometry'!$F$54)&lt;=C_eco,C_alpha*C_fck*(1-(1-(O36+P36*'Geometry'!$G$54+Q36*'Geometry'!$F$54)/C_eco)^C_n),C_alpha*C_fck),0)))*'Geometry'!$H$54*'Geometry'!$G$54+((MAX(MIN(S_1_Es*(O36+P36*'Geometry'!$G$55+Q36*'Geometry'!$F$55),S_1_fy),-S_1_fy))-(IF((O36+P36*'Geometry'!$G$55+Q36*'Geometry'!$F$55)&gt;0,IF((O36+P36*'Geometry'!$G$55+Q36*'Geometry'!$F$55)&lt;=C_eco,C_alpha*C_fck*(1-(1-(O36+P36*'Geometry'!$G$55+Q36*'Geometry'!$F$55)/C_eco)^C_n),C_alpha*C_fck),0)))*'Geometry'!$H$55*'Geometry'!$G$55+((MAX(MIN(S_1_Es*(O36+P36*'Geometry'!$G$56+Q36*'Geometry'!$F$56),S_1_fy),-S_1_fy))-(IF((O36+P36*'Geometry'!$G$56+Q36*'Geometry'!$F$56)&gt;0,IF((O36+P36*'Geometry'!$G$56+Q36*'Geometry'!$F$56)&lt;=C_eco,C_alpha*C_fck*(1-(1-(O36+P36*'Geometry'!$G$56+Q36*'Geometry'!$F$56)/C_eco)^C_n),C_alpha*C_fck),0)))*'Geometry'!$H$56*'Geometry'!$G$56+((MAX(MIN(S_1_Es*(O36+P36*'Geometry'!$G$57+Q36*'Geometry'!$F$57),S_1_fy),-S_1_fy))-(IF((O36+P36*'Geometry'!$G$57+Q36*'Geometry'!$F$57)&gt;0,IF((O36+P36*'Geometry'!$G$57+Q36*'Geometry'!$F$57)&lt;=C_eco,C_alpha*C_fck*(1-(1-(O36+P36*'Geometry'!$G$57+Q36*'Geometry'!$F$57)/C_eco)^C_n),C_alpha*C_fck),0)))*'Geometry'!$H$57*'Geometry'!$G$57)/1000000</f>
        <v>175.63170627781116</v>
      </c>
      <c r="W36" s="10">
        <f>(((MAX(MIN(S_1_Es*(O36+P36*'Geometry'!$G$40+Q36*'Geometry'!$F$40),S_1_fy),-S_1_fy))-(IF((O36+P36*'Geometry'!$G$40+Q36*'Geometry'!$F$40)&gt;0,IF((O36+P36*'Geometry'!$G$40+Q36*'Geometry'!$F$40)&lt;=C_eco,C_alpha*C_fck*(1-(1-(O36+P36*'Geometry'!$G$40+Q36*'Geometry'!$F$40)/C_eco)^C_n),C_alpha*C_fck),0)))*'Geometry'!$H$40*'Geometry'!$F$40+((MAX(MIN(S_1_Es*(O36+P36*'Geometry'!$G$41+Q36*'Geometry'!$F$41),S_1_fy),-S_1_fy))-(IF((O36+P36*'Geometry'!$G$41+Q36*'Geometry'!$F$41)&gt;0,IF((O36+P36*'Geometry'!$G$41+Q36*'Geometry'!$F$41)&lt;=C_eco,C_alpha*C_fck*(1-(1-(O36+P36*'Geometry'!$G$41+Q36*'Geometry'!$F$41)/C_eco)^C_n),C_alpha*C_fck),0)))*'Geometry'!$H$41*'Geometry'!$F$41+((MAX(MIN(S_1_Es*(O36+P36*'Geometry'!$G$42+Q36*'Geometry'!$F$42),S_1_fy),-S_1_fy))-(IF((O36+P36*'Geometry'!$G$42+Q36*'Geometry'!$F$42)&gt;0,IF((O36+P36*'Geometry'!$G$42+Q36*'Geometry'!$F$42)&lt;=C_eco,C_alpha*C_fck*(1-(1-(O36+P36*'Geometry'!$G$42+Q36*'Geometry'!$F$42)/C_eco)^C_n),C_alpha*C_fck),0)))*'Geometry'!$H$42*'Geometry'!$F$42+((MAX(MIN(S_1_Es*(O36+P36*'Geometry'!$G$43+Q36*'Geometry'!$F$43),S_1_fy),-S_1_fy))-(IF((O36+P36*'Geometry'!$G$43+Q36*'Geometry'!$F$43)&gt;0,IF((O36+P36*'Geometry'!$G$43+Q36*'Geometry'!$F$43)&lt;=C_eco,C_alpha*C_fck*(1-(1-(O36+P36*'Geometry'!$G$43+Q36*'Geometry'!$F$43)/C_eco)^C_n),C_alpha*C_fck),0)))*'Geometry'!$H$43*'Geometry'!$F$43+((MAX(MIN(S_1_Es*(O36+P36*'Geometry'!$G$44+Q36*'Geometry'!$F$44),S_1_fy),-S_1_fy))-(IF((O36+P36*'Geometry'!$G$44+Q36*'Geometry'!$F$44)&gt;0,IF((O36+P36*'Geometry'!$G$44+Q36*'Geometry'!$F$44)&lt;=C_eco,C_alpha*C_fck*(1-(1-(O36+P36*'Geometry'!$G$44+Q36*'Geometry'!$F$44)/C_eco)^C_n),C_alpha*C_fck),0)))*'Geometry'!$H$44*'Geometry'!$F$44+((MAX(MIN(S_1_Es*(O36+P36*'Geometry'!$G$45+Q36*'Geometry'!$F$45),S_1_fy),-S_1_fy))-(IF((O36+P36*'Geometry'!$G$45+Q36*'Geometry'!$F$45)&gt;0,IF((O36+P36*'Geometry'!$G$45+Q36*'Geometry'!$F$45)&lt;=C_eco,C_alpha*C_fck*(1-(1-(O36+P36*'Geometry'!$G$45+Q36*'Geometry'!$F$45)/C_eco)^C_n),C_alpha*C_fck),0)))*'Geometry'!$H$45*'Geometry'!$F$45+((MAX(MIN(S_1_Es*(O36+P36*'Geometry'!$G$46+Q36*'Geometry'!$F$46),S_1_fy),-S_1_fy))-(IF((O36+P36*'Geometry'!$G$46+Q36*'Geometry'!$F$46)&gt;0,IF((O36+P36*'Geometry'!$G$46+Q36*'Geometry'!$F$46)&lt;=C_eco,C_alpha*C_fck*(1-(1-(O36+P36*'Geometry'!$G$46+Q36*'Geometry'!$F$46)/C_eco)^C_n),C_alpha*C_fck),0)))*'Geometry'!$H$46*'Geometry'!$F$46+((MAX(MIN(S_1_Es*(O36+P36*'Geometry'!$G$47+Q36*'Geometry'!$F$47),S_1_fy),-S_1_fy))-(IF((O36+P36*'Geometry'!$G$47+Q36*'Geometry'!$F$47)&gt;0,IF((O36+P36*'Geometry'!$G$47+Q36*'Geometry'!$F$47)&lt;=C_eco,C_alpha*C_fck*(1-(1-(O36+P36*'Geometry'!$G$47+Q36*'Geometry'!$F$47)/C_eco)^C_n),C_alpha*C_fck),0)))*'Geometry'!$H$47*'Geometry'!$F$47+((MAX(MIN(S_1_Es*(O36+P36*'Geometry'!$G$48+Q36*'Geometry'!$F$48),S_1_fy),-S_1_fy))-(IF((O36+P36*'Geometry'!$G$48+Q36*'Geometry'!$F$48)&gt;0,IF((O36+P36*'Geometry'!$G$48+Q36*'Geometry'!$F$48)&lt;=C_eco,C_alpha*C_fck*(1-(1-(O36+P36*'Geometry'!$G$48+Q36*'Geometry'!$F$48)/C_eco)^C_n),C_alpha*C_fck),0)))*'Geometry'!$H$48*'Geometry'!$F$48+((MAX(MIN(S_1_Es*(O36+P36*'Geometry'!$G$49+Q36*'Geometry'!$F$49),S_1_fy),-S_1_fy))-(IF((O36+P36*'Geometry'!$G$49+Q36*'Geometry'!$F$49)&gt;0,IF((O36+P36*'Geometry'!$G$49+Q36*'Geometry'!$F$49)&lt;=C_eco,C_alpha*C_fck*(1-(1-(O36+P36*'Geometry'!$G$49+Q36*'Geometry'!$F$49)/C_eco)^C_n),C_alpha*C_fck),0)))*'Geometry'!$H$49*'Geometry'!$F$49+((MAX(MIN(S_1_Es*(O36+P36*'Geometry'!$G$50+Q36*'Geometry'!$F$50),S_1_fy),-S_1_fy))-(IF((O36+P36*'Geometry'!$G$50+Q36*'Geometry'!$F$50)&gt;0,IF((O36+P36*'Geometry'!$G$50+Q36*'Geometry'!$F$50)&lt;=C_eco,C_alpha*C_fck*(1-(1-(O36+P36*'Geometry'!$G$50+Q36*'Geometry'!$F$50)/C_eco)^C_n),C_alpha*C_fck),0)))*'Geometry'!$H$50*'Geometry'!$F$50+((MAX(MIN(S_1_Es*(O36+P36*'Geometry'!$G$51+Q36*'Geometry'!$F$51),S_1_fy),-S_1_fy))-(IF((O36+P36*'Geometry'!$G$51+Q36*'Geometry'!$F$51)&gt;0,IF((O36+P36*'Geometry'!$G$51+Q36*'Geometry'!$F$51)&lt;=C_eco,C_alpha*C_fck*(1-(1-(O36+P36*'Geometry'!$G$51+Q36*'Geometry'!$F$51)/C_eco)^C_n),C_alpha*C_fck),0)))*'Geometry'!$H$51*'Geometry'!$F$51+((MAX(MIN(S_1_Es*(O36+P36*'Geometry'!$G$52+Q36*'Geometry'!$F$52),S_1_fy),-S_1_fy))-(IF((O36+P36*'Geometry'!$G$52+Q36*'Geometry'!$F$52)&gt;0,IF((O36+P36*'Geometry'!$G$52+Q36*'Geometry'!$F$52)&lt;=C_eco,C_alpha*C_fck*(1-(1-(O36+P36*'Geometry'!$G$52+Q36*'Geometry'!$F$52)/C_eco)^C_n),C_alpha*C_fck),0)))*'Geometry'!$H$52*'Geometry'!$F$52+((MAX(MIN(S_1_Es*(O36+P36*'Geometry'!$G$53+Q36*'Geometry'!$F$53),S_1_fy),-S_1_fy))-(IF((O36+P36*'Geometry'!$G$53+Q36*'Geometry'!$F$53)&gt;0,IF((O36+P36*'Geometry'!$G$53+Q36*'Geometry'!$F$53)&lt;=C_eco,C_alpha*C_fck*(1-(1-(O36+P36*'Geometry'!$G$53+Q36*'Geometry'!$F$53)/C_eco)^C_n),C_alpha*C_fck),0)))*'Geometry'!$H$53*'Geometry'!$F$53+((MAX(MIN(S_1_Es*(O36+P36*'Geometry'!$G$54+Q36*'Geometry'!$F$54),S_1_fy),-S_1_fy))-(IF((O36+P36*'Geometry'!$G$54+Q36*'Geometry'!$F$54)&gt;0,IF((O36+P36*'Geometry'!$G$54+Q36*'Geometry'!$F$54)&lt;=C_eco,C_alpha*C_fck*(1-(1-(O36+P36*'Geometry'!$G$54+Q36*'Geometry'!$F$54)/C_eco)^C_n),C_alpha*C_fck),0)))*'Geometry'!$H$54*'Geometry'!$F$54+((MAX(MIN(S_1_Es*(O36+P36*'Geometry'!$G$55+Q36*'Geometry'!$F$55),S_1_fy),-S_1_fy))-(IF((O36+P36*'Geometry'!$G$55+Q36*'Geometry'!$F$55)&gt;0,IF((O36+P36*'Geometry'!$G$55+Q36*'Geometry'!$F$55)&lt;=C_eco,C_alpha*C_fck*(1-(1-(O36+P36*'Geometry'!$G$55+Q36*'Geometry'!$F$55)/C_eco)^C_n),C_alpha*C_fck),0)))*'Geometry'!$H$55*'Geometry'!$F$55+((MAX(MIN(S_1_Es*(O36+P36*'Geometry'!$G$56+Q36*'Geometry'!$F$56),S_1_fy),-S_1_fy))-(IF((O36+P36*'Geometry'!$G$56+Q36*'Geometry'!$F$56)&gt;0,IF((O36+P36*'Geometry'!$G$56+Q36*'Geometry'!$F$56)&lt;=C_eco,C_alpha*C_fck*(1-(1-(O36+P36*'Geometry'!$G$56+Q36*'Geometry'!$F$56)/C_eco)^C_n),C_alpha*C_fck),0)))*'Geometry'!$H$56*'Geometry'!$F$56+((MAX(MIN(S_1_Es*(O36+P36*'Geometry'!$G$57+Q36*'Geometry'!$F$57),S_1_fy),-S_1_fy))-(IF((O36+P36*'Geometry'!$G$57+Q36*'Geometry'!$F$57)&gt;0,IF((O36+P36*'Geometry'!$G$57+Q36*'Geometry'!$F$57)&lt;=C_eco,C_alpha*C_fck*(1-(1-(O36+P36*'Geometry'!$G$57+Q36*'Geometry'!$F$57)/C_eco)^C_n),C_alpha*C_fck),0)))*'Geometry'!$H$57*'Geometry'!$F$57)/1000000</f>
        <v>-1607.0613634058739</v>
      </c>
      <c r="X36" s="10">
        <f>R36+U36</f>
        <v>518.66922548805</v>
      </c>
      <c r="Y36" s="10">
        <f>S36+V36</f>
        <v>656.7016658841062</v>
      </c>
      <c r="Z36" s="10">
        <f>T36+W36</f>
        <v>-4115.367300354001</v>
      </c>
      <c r="AA36" s="7">
        <v>0.85</v>
      </c>
      <c r="AB36" s="7">
        <v>0.85</v>
      </c>
      <c r="AC36" s="10">
        <f>X36*AA36</f>
        <v>440.86884166484236</v>
      </c>
      <c r="AD36" s="10">
        <f>Y36*AB36</f>
        <v>558.1964160014902</v>
      </c>
      <c r="AE36" s="10">
        <f>Z36*AB36</f>
        <v>-3498.062205300901</v>
      </c>
      <c r="AF36" s="7">
        <v>440.86884166484236</v>
      </c>
      <c r="AG36" s="7">
        <v>558.1964160014902</v>
      </c>
      <c r="AH36" s="7">
        <v>-3498.062205300901</v>
      </c>
      <c r="AI36" s="15">
        <f>AC36-AF36</f>
        <v>0</v>
      </c>
      <c r="AJ36" s="15">
        <f>SQRT((AD36-AG36)^2+(AE36-AH36)^2)</f>
        <v>0</v>
      </c>
      <c r="AK36" s="7" t="s">
        <v>189</v>
      </c>
      <c r="AL36" s="7">
        <v>518.66922548805</v>
      </c>
      <c r="AM36" s="7">
        <v>656.7016658841062</v>
      </c>
      <c r="AN36" s="7">
        <v>-4115.367300354001</v>
      </c>
      <c r="AO36" s="7">
        <v>3850.096004613898</v>
      </c>
      <c r="AP36" s="7">
        <v>481.0699596062951</v>
      </c>
      <c r="AQ36" s="7">
        <v>-2508.305936948127</v>
      </c>
      <c r="AR36" s="7">
        <v>-3331.4267791258485</v>
      </c>
      <c r="AS36" s="7">
        <v>175.63170627781116</v>
      </c>
      <c r="AT36" s="7">
        <v>-1607.0613634058739</v>
      </c>
    </row>
    <row r="37" spans="1:46" x14ac:dyDescent="0.25">
      <c r="A37" s="7" t="s">
        <v>248</v>
      </c>
      <c r="B37" s="7">
        <v>1</v>
      </c>
      <c r="C37" s="18">
        <v>290</v>
      </c>
      <c r="D37" s="7" t="s">
        <v>296</v>
      </c>
      <c r="E37" s="7" t="s">
        <v>267</v>
      </c>
      <c r="F37" s="19">
        <v>290</v>
      </c>
      <c r="G37" s="7" t="s">
        <v>188</v>
      </c>
      <c r="H37" s="20">
        <v>5.000000000000001</v>
      </c>
      <c r="I37" s="10">
        <f>MAX(('Geometry'!$G$13*COS(RADIANS(F37))+'Geometry'!$F$13*SIN(RADIANS(F37))),('Geometry'!$G$14*COS(RADIANS(F37))+'Geometry'!$F$14*SIN(RADIANS(F37))),('Geometry'!$G$15*COS(RADIANS(F37))+'Geometry'!$F$15*SIN(RADIANS(F37))),('Geometry'!$G$16*COS(RADIANS(F37))+'Geometry'!$F$16*SIN(RADIANS(F37))),('Geometry'!$G$17*COS(RADIANS(F37))+'Geometry'!$F$17*SIN(RADIANS(F37))),('Geometry'!$G$18*COS(RADIANS(F37))+'Geometry'!$F$18*SIN(RADIANS(F37))),('Geometry'!$G$19*COS(RADIANS(F37))+'Geometry'!$F$19*SIN(RADIANS(F37))),('Geometry'!$G$20*COS(RADIANS(F37))+'Geometry'!$F$20*SIN(RADIANS(F37))))</f>
        <v>841.5775229196987</v>
      </c>
      <c r="J37" s="10">
        <f>MIN(('Geometry'!$G$40*COS(RADIANS(F37))+'Geometry'!$F$40*SIN(RADIANS(F37))),('Geometry'!$G$41*COS(RADIANS(F37))+'Geometry'!$F$41*SIN(RADIANS(F37))),('Geometry'!$G$42*COS(RADIANS(F37))+'Geometry'!$F$42*SIN(RADIANS(F37))),('Geometry'!$G$43*COS(RADIANS(F37))+'Geometry'!$F$43*SIN(RADIANS(F37))),('Geometry'!$G$44*COS(RADIANS(F37))+'Geometry'!$F$44*SIN(RADIANS(F37))),('Geometry'!$G$45*COS(RADIANS(F37))+'Geometry'!$F$45*SIN(RADIANS(F37))),('Geometry'!$G$46*COS(RADIANS(F37))+'Geometry'!$F$46*SIN(RADIANS(F37))),('Geometry'!$G$47*COS(RADIANS(F37))+'Geometry'!$F$47*SIN(RADIANS(F37))),('Geometry'!$G$48*COS(RADIANS(F37))+'Geometry'!$F$48*SIN(RADIANS(F37))),('Geometry'!$G$49*COS(RADIANS(F37))+'Geometry'!$F$49*SIN(RADIANS(F37))),('Geometry'!$G$50*COS(RADIANS(F37))+'Geometry'!$F$50*SIN(RADIANS(F37))),('Geometry'!$G$51*COS(RADIANS(F37))+'Geometry'!$F$51*SIN(RADIANS(F37))),('Geometry'!$G$52*COS(RADIANS(F37))+'Geometry'!$F$52*SIN(RADIANS(F37))),('Geometry'!$G$53*COS(RADIANS(F37))+'Geometry'!$F$53*SIN(RADIANS(F37))),('Geometry'!$G$54*COS(RADIANS(F37))+'Geometry'!$F$54*SIN(RADIANS(F37))),('Geometry'!$G$55*COS(RADIANS(F37))+'Geometry'!$F$55*SIN(RADIANS(F37))),('Geometry'!$G$56*COS(RADIANS(F37))+'Geometry'!$F$56*SIN(RADIANS(F37))),('Geometry'!$G$57*COS(RADIANS(F37))+'Geometry'!$F$57*SIN(RADIANS(F37))))</f>
        <v>-741.5970251321182</v>
      </c>
      <c r="K37" s="10">
        <f>I37-MIN(('Geometry'!$G$13*COS(RADIANS(F37))+'Geometry'!$F$13*SIN(RADIANS(F37))),('Geometry'!$G$14*COS(RADIANS(F37))+'Geometry'!$F$14*SIN(RADIANS(F37))),('Geometry'!$G$15*COS(RADIANS(F37))+'Geometry'!$F$15*SIN(RADIANS(F37))),('Geometry'!$G$16*COS(RADIANS(F37))+'Geometry'!$F$16*SIN(RADIANS(F37))),('Geometry'!$G$17*COS(RADIANS(F37))+'Geometry'!$F$17*SIN(RADIANS(F37))),('Geometry'!$G$18*COS(RADIANS(F37))+'Geometry'!$F$18*SIN(RADIANS(F37))),('Geometry'!$G$19*COS(RADIANS(F37))+'Geometry'!$F$19*SIN(RADIANS(F37))),('Geometry'!$G$20*COS(RADIANS(F37))+'Geometry'!$F$20*SIN(RADIANS(F37))))</f>
        <v>1683.1550458393974</v>
      </c>
      <c r="L37" s="15">
        <f>C_ecu</f>
        <v>0.0033</v>
      </c>
      <c r="M37" s="15">
        <f>-H37*S_1_fy/S_1_Es</f>
        <v>-0.010000000000000002</v>
      </c>
      <c r="N37" s="21">
        <f>IF(ABS(I37-J37)&lt;0.000000000001,0,(L37-M37)/(I37-J37))</f>
        <v>0.000008400842482192744</v>
      </c>
      <c r="O37" s="15">
        <f>L37-N37*I37</f>
        <v>-0.003769960206602342</v>
      </c>
      <c r="P37" s="21">
        <f>N37*COS(RADIANS(F37))</f>
        <v>0.0000028732573498159306</v>
      </c>
      <c r="Q37" s="21">
        <f>N37*SIN(RADIANS(F37))</f>
        <v>-0.000007894209688901294</v>
      </c>
      <c r="R37" s="10">
        <f>SUMPRODUCT(C_alpha*C_fck*(1-(1-(((O37+P37*Mesh_Y+Q37*Mesh_X))*((O37+P37*Mesh_Y+Q37*Mesh_X)&gt;0)*((O37+P37*Mesh_Y+Q37*Mesh_X)&lt;C_eco)+C_eco*((O37+P37*Mesh_Y+Q37*Mesh_X)&gt;=C_eco))/C_eco)^C_n)*(((O37+P37*Mesh_Y+Q37*Mesh_X))&gt;0),Mesh_A)/1000</f>
        <v>4628.543587001654</v>
      </c>
      <c r="S37" s="10">
        <f>SUMPRODUCT(C_alpha*C_fck*(1-(1-(((O37+P37*Mesh_Y+Q37*Mesh_X))*((O37+P37*Mesh_Y+Q37*Mesh_X)&gt;0)*((O37+P37*Mesh_Y+Q37*Mesh_X)&lt;C_eco)+C_eco*((O37+P37*Mesh_Y+Q37*Mesh_X)&gt;=C_eco))/C_eco)^C_n)*(((O37+P37*Mesh_Y+Q37*Mesh_X))&gt;0),Mesh_A,Mesh_Y)/1000000</f>
        <v>904.5161316497187</v>
      </c>
      <c r="T37" s="10">
        <f>SUMPRODUCT(C_alpha*C_fck*(1-(1-(((O37+P37*Mesh_Y+Q37*Mesh_X))*((O37+P37*Mesh_Y+Q37*Mesh_X)&gt;0)*((O37+P37*Mesh_Y+Q37*Mesh_X)&lt;C_eco)+C_eco*((O37+P37*Mesh_Y+Q37*Mesh_X)&gt;=C_eco))/C_eco)^C_n)*(((O37+P37*Mesh_Y+Q37*Mesh_X))&gt;0),Mesh_A,Mesh_X)/1000000</f>
        <v>-2846.6638486593642</v>
      </c>
      <c r="U37" s="10">
        <f>(((MAX(MIN(S_1_Es*(O37+P37*'Geometry'!$G$40+Q37*'Geometry'!$F$40),S_1_fy),-S_1_fy))-(IF((O37+P37*'Geometry'!$G$40+Q37*'Geometry'!$F$40)&gt;0,IF((O37+P37*'Geometry'!$G$40+Q37*'Geometry'!$F$40)&lt;=C_eco,C_alpha*C_fck*(1-(1-(O37+P37*'Geometry'!$G$40+Q37*'Geometry'!$F$40)/C_eco)^C_n),C_alpha*C_fck),0)))*'Geometry'!$H$40+((MAX(MIN(S_1_Es*(O37+P37*'Geometry'!$G$41+Q37*'Geometry'!$F$41),S_1_fy),-S_1_fy))-(IF((O37+P37*'Geometry'!$G$41+Q37*'Geometry'!$F$41)&gt;0,IF((O37+P37*'Geometry'!$G$41+Q37*'Geometry'!$F$41)&lt;=C_eco,C_alpha*C_fck*(1-(1-(O37+P37*'Geometry'!$G$41+Q37*'Geometry'!$F$41)/C_eco)^C_n),C_alpha*C_fck),0)))*'Geometry'!$H$41+((MAX(MIN(S_1_Es*(O37+P37*'Geometry'!$G$42+Q37*'Geometry'!$F$42),S_1_fy),-S_1_fy))-(IF((O37+P37*'Geometry'!$G$42+Q37*'Geometry'!$F$42)&gt;0,IF((O37+P37*'Geometry'!$G$42+Q37*'Geometry'!$F$42)&lt;=C_eco,C_alpha*C_fck*(1-(1-(O37+P37*'Geometry'!$G$42+Q37*'Geometry'!$F$42)/C_eco)^C_n),C_alpha*C_fck),0)))*'Geometry'!$H$42+((MAX(MIN(S_1_Es*(O37+P37*'Geometry'!$G$43+Q37*'Geometry'!$F$43),S_1_fy),-S_1_fy))-(IF((O37+P37*'Geometry'!$G$43+Q37*'Geometry'!$F$43)&gt;0,IF((O37+P37*'Geometry'!$G$43+Q37*'Geometry'!$F$43)&lt;=C_eco,C_alpha*C_fck*(1-(1-(O37+P37*'Geometry'!$G$43+Q37*'Geometry'!$F$43)/C_eco)^C_n),C_alpha*C_fck),0)))*'Geometry'!$H$43+((MAX(MIN(S_1_Es*(O37+P37*'Geometry'!$G$44+Q37*'Geometry'!$F$44),S_1_fy),-S_1_fy))-(IF((O37+P37*'Geometry'!$G$44+Q37*'Geometry'!$F$44)&gt;0,IF((O37+P37*'Geometry'!$G$44+Q37*'Geometry'!$F$44)&lt;=C_eco,C_alpha*C_fck*(1-(1-(O37+P37*'Geometry'!$G$44+Q37*'Geometry'!$F$44)/C_eco)^C_n),C_alpha*C_fck),0)))*'Geometry'!$H$44+((MAX(MIN(S_1_Es*(O37+P37*'Geometry'!$G$45+Q37*'Geometry'!$F$45),S_1_fy),-S_1_fy))-(IF((O37+P37*'Geometry'!$G$45+Q37*'Geometry'!$F$45)&gt;0,IF((O37+P37*'Geometry'!$G$45+Q37*'Geometry'!$F$45)&lt;=C_eco,C_alpha*C_fck*(1-(1-(O37+P37*'Geometry'!$G$45+Q37*'Geometry'!$F$45)/C_eco)^C_n),C_alpha*C_fck),0)))*'Geometry'!$H$45+((MAX(MIN(S_1_Es*(O37+P37*'Geometry'!$G$46+Q37*'Geometry'!$F$46),S_1_fy),-S_1_fy))-(IF((O37+P37*'Geometry'!$G$46+Q37*'Geometry'!$F$46)&gt;0,IF((O37+P37*'Geometry'!$G$46+Q37*'Geometry'!$F$46)&lt;=C_eco,C_alpha*C_fck*(1-(1-(O37+P37*'Geometry'!$G$46+Q37*'Geometry'!$F$46)/C_eco)^C_n),C_alpha*C_fck),0)))*'Geometry'!$H$46+((MAX(MIN(S_1_Es*(O37+P37*'Geometry'!$G$47+Q37*'Geometry'!$F$47),S_1_fy),-S_1_fy))-(IF((O37+P37*'Geometry'!$G$47+Q37*'Geometry'!$F$47)&gt;0,IF((O37+P37*'Geometry'!$G$47+Q37*'Geometry'!$F$47)&lt;=C_eco,C_alpha*C_fck*(1-(1-(O37+P37*'Geometry'!$G$47+Q37*'Geometry'!$F$47)/C_eco)^C_n),C_alpha*C_fck),0)))*'Geometry'!$H$47+((MAX(MIN(S_1_Es*(O37+P37*'Geometry'!$G$48+Q37*'Geometry'!$F$48),S_1_fy),-S_1_fy))-(IF((O37+P37*'Geometry'!$G$48+Q37*'Geometry'!$F$48)&gt;0,IF((O37+P37*'Geometry'!$G$48+Q37*'Geometry'!$F$48)&lt;=C_eco,C_alpha*C_fck*(1-(1-(O37+P37*'Geometry'!$G$48+Q37*'Geometry'!$F$48)/C_eco)^C_n),C_alpha*C_fck),0)))*'Geometry'!$H$48+((MAX(MIN(S_1_Es*(O37+P37*'Geometry'!$G$49+Q37*'Geometry'!$F$49),S_1_fy),-S_1_fy))-(IF((O37+P37*'Geometry'!$G$49+Q37*'Geometry'!$F$49)&gt;0,IF((O37+P37*'Geometry'!$G$49+Q37*'Geometry'!$F$49)&lt;=C_eco,C_alpha*C_fck*(1-(1-(O37+P37*'Geometry'!$G$49+Q37*'Geometry'!$F$49)/C_eco)^C_n),C_alpha*C_fck),0)))*'Geometry'!$H$49+((MAX(MIN(S_1_Es*(O37+P37*'Geometry'!$G$50+Q37*'Geometry'!$F$50),S_1_fy),-S_1_fy))-(IF((O37+P37*'Geometry'!$G$50+Q37*'Geometry'!$F$50)&gt;0,IF((O37+P37*'Geometry'!$G$50+Q37*'Geometry'!$F$50)&lt;=C_eco,C_alpha*C_fck*(1-(1-(O37+P37*'Geometry'!$G$50+Q37*'Geometry'!$F$50)/C_eco)^C_n),C_alpha*C_fck),0)))*'Geometry'!$H$50+((MAX(MIN(S_1_Es*(O37+P37*'Geometry'!$G$51+Q37*'Geometry'!$F$51),S_1_fy),-S_1_fy))-(IF((O37+P37*'Geometry'!$G$51+Q37*'Geometry'!$F$51)&gt;0,IF((O37+P37*'Geometry'!$G$51+Q37*'Geometry'!$F$51)&lt;=C_eco,C_alpha*C_fck*(1-(1-(O37+P37*'Geometry'!$G$51+Q37*'Geometry'!$F$51)/C_eco)^C_n),C_alpha*C_fck),0)))*'Geometry'!$H$51+((MAX(MIN(S_1_Es*(O37+P37*'Geometry'!$G$52+Q37*'Geometry'!$F$52),S_1_fy),-S_1_fy))-(IF((O37+P37*'Geometry'!$G$52+Q37*'Geometry'!$F$52)&gt;0,IF((O37+P37*'Geometry'!$G$52+Q37*'Geometry'!$F$52)&lt;=C_eco,C_alpha*C_fck*(1-(1-(O37+P37*'Geometry'!$G$52+Q37*'Geometry'!$F$52)/C_eco)^C_n),C_alpha*C_fck),0)))*'Geometry'!$H$52+((MAX(MIN(S_1_Es*(O37+P37*'Geometry'!$G$53+Q37*'Geometry'!$F$53),S_1_fy),-S_1_fy))-(IF((O37+P37*'Geometry'!$G$53+Q37*'Geometry'!$F$53)&gt;0,IF((O37+P37*'Geometry'!$G$53+Q37*'Geometry'!$F$53)&lt;=C_eco,C_alpha*C_fck*(1-(1-(O37+P37*'Geometry'!$G$53+Q37*'Geometry'!$F$53)/C_eco)^C_n),C_alpha*C_fck),0)))*'Geometry'!$H$53+((MAX(MIN(S_1_Es*(O37+P37*'Geometry'!$G$54+Q37*'Geometry'!$F$54),S_1_fy),-S_1_fy))-(IF((O37+P37*'Geometry'!$G$54+Q37*'Geometry'!$F$54)&gt;0,IF((O37+P37*'Geometry'!$G$54+Q37*'Geometry'!$F$54)&lt;=C_eco,C_alpha*C_fck*(1-(1-(O37+P37*'Geometry'!$G$54+Q37*'Geometry'!$F$54)/C_eco)^C_n),C_alpha*C_fck),0)))*'Geometry'!$H$54+((MAX(MIN(S_1_Es*(O37+P37*'Geometry'!$G$55+Q37*'Geometry'!$F$55),S_1_fy),-S_1_fy))-(IF((O37+P37*'Geometry'!$G$55+Q37*'Geometry'!$F$55)&gt;0,IF((O37+P37*'Geometry'!$G$55+Q37*'Geometry'!$F$55)&lt;=C_eco,C_alpha*C_fck*(1-(1-(O37+P37*'Geometry'!$G$55+Q37*'Geometry'!$F$55)/C_eco)^C_n),C_alpha*C_fck),0)))*'Geometry'!$H$55+((MAX(MIN(S_1_Es*(O37+P37*'Geometry'!$G$56+Q37*'Geometry'!$F$56),S_1_fy),-S_1_fy))-(IF((O37+P37*'Geometry'!$G$56+Q37*'Geometry'!$F$56)&gt;0,IF((O37+P37*'Geometry'!$G$56+Q37*'Geometry'!$F$56)&lt;=C_eco,C_alpha*C_fck*(1-(1-(O37+P37*'Geometry'!$G$56+Q37*'Geometry'!$F$56)/C_eco)^C_n),C_alpha*C_fck),0)))*'Geometry'!$H$56+((MAX(MIN(S_1_Es*(O37+P37*'Geometry'!$G$57+Q37*'Geometry'!$F$57),S_1_fy),-S_1_fy))-(IF((O37+P37*'Geometry'!$G$57+Q37*'Geometry'!$F$57)&gt;0,IF((O37+P37*'Geometry'!$G$57+Q37*'Geometry'!$F$57)&lt;=C_eco,C_alpha*C_fck*(1-(1-(O37+P37*'Geometry'!$G$57+Q37*'Geometry'!$F$57)/C_eco)^C_n),C_alpha*C_fck),0)))*'Geometry'!$H$57)/1000</f>
        <v>-2952.972912430784</v>
      </c>
      <c r="V37" s="10">
        <f>(((MAX(MIN(S_1_Es*(O37+P37*'Geometry'!$G$40+Q37*'Geometry'!$F$40),S_1_fy),-S_1_fy))-(IF((O37+P37*'Geometry'!$G$40+Q37*'Geometry'!$F$40)&gt;0,IF((O37+P37*'Geometry'!$G$40+Q37*'Geometry'!$F$40)&lt;=C_eco,C_alpha*C_fck*(1-(1-(O37+P37*'Geometry'!$G$40+Q37*'Geometry'!$F$40)/C_eco)^C_n),C_alpha*C_fck),0)))*'Geometry'!$H$40*'Geometry'!$G$40+((MAX(MIN(S_1_Es*(O37+P37*'Geometry'!$G$41+Q37*'Geometry'!$F$41),S_1_fy),-S_1_fy))-(IF((O37+P37*'Geometry'!$G$41+Q37*'Geometry'!$F$41)&gt;0,IF((O37+P37*'Geometry'!$G$41+Q37*'Geometry'!$F$41)&lt;=C_eco,C_alpha*C_fck*(1-(1-(O37+P37*'Geometry'!$G$41+Q37*'Geometry'!$F$41)/C_eco)^C_n),C_alpha*C_fck),0)))*'Geometry'!$H$41*'Geometry'!$G$41+((MAX(MIN(S_1_Es*(O37+P37*'Geometry'!$G$42+Q37*'Geometry'!$F$42),S_1_fy),-S_1_fy))-(IF((O37+P37*'Geometry'!$G$42+Q37*'Geometry'!$F$42)&gt;0,IF((O37+P37*'Geometry'!$G$42+Q37*'Geometry'!$F$42)&lt;=C_eco,C_alpha*C_fck*(1-(1-(O37+P37*'Geometry'!$G$42+Q37*'Geometry'!$F$42)/C_eco)^C_n),C_alpha*C_fck),0)))*'Geometry'!$H$42*'Geometry'!$G$42+((MAX(MIN(S_1_Es*(O37+P37*'Geometry'!$G$43+Q37*'Geometry'!$F$43),S_1_fy),-S_1_fy))-(IF((O37+P37*'Geometry'!$G$43+Q37*'Geometry'!$F$43)&gt;0,IF((O37+P37*'Geometry'!$G$43+Q37*'Geometry'!$F$43)&lt;=C_eco,C_alpha*C_fck*(1-(1-(O37+P37*'Geometry'!$G$43+Q37*'Geometry'!$F$43)/C_eco)^C_n),C_alpha*C_fck),0)))*'Geometry'!$H$43*'Geometry'!$G$43+((MAX(MIN(S_1_Es*(O37+P37*'Geometry'!$G$44+Q37*'Geometry'!$F$44),S_1_fy),-S_1_fy))-(IF((O37+P37*'Geometry'!$G$44+Q37*'Geometry'!$F$44)&gt;0,IF((O37+P37*'Geometry'!$G$44+Q37*'Geometry'!$F$44)&lt;=C_eco,C_alpha*C_fck*(1-(1-(O37+P37*'Geometry'!$G$44+Q37*'Geometry'!$F$44)/C_eco)^C_n),C_alpha*C_fck),0)))*'Geometry'!$H$44*'Geometry'!$G$44+((MAX(MIN(S_1_Es*(O37+P37*'Geometry'!$G$45+Q37*'Geometry'!$F$45),S_1_fy),-S_1_fy))-(IF((O37+P37*'Geometry'!$G$45+Q37*'Geometry'!$F$45)&gt;0,IF((O37+P37*'Geometry'!$G$45+Q37*'Geometry'!$F$45)&lt;=C_eco,C_alpha*C_fck*(1-(1-(O37+P37*'Geometry'!$G$45+Q37*'Geometry'!$F$45)/C_eco)^C_n),C_alpha*C_fck),0)))*'Geometry'!$H$45*'Geometry'!$G$45+((MAX(MIN(S_1_Es*(O37+P37*'Geometry'!$G$46+Q37*'Geometry'!$F$46),S_1_fy),-S_1_fy))-(IF((O37+P37*'Geometry'!$G$46+Q37*'Geometry'!$F$46)&gt;0,IF((O37+P37*'Geometry'!$G$46+Q37*'Geometry'!$F$46)&lt;=C_eco,C_alpha*C_fck*(1-(1-(O37+P37*'Geometry'!$G$46+Q37*'Geometry'!$F$46)/C_eco)^C_n),C_alpha*C_fck),0)))*'Geometry'!$H$46*'Geometry'!$G$46+((MAX(MIN(S_1_Es*(O37+P37*'Geometry'!$G$47+Q37*'Geometry'!$F$47),S_1_fy),-S_1_fy))-(IF((O37+P37*'Geometry'!$G$47+Q37*'Geometry'!$F$47)&gt;0,IF((O37+P37*'Geometry'!$G$47+Q37*'Geometry'!$F$47)&lt;=C_eco,C_alpha*C_fck*(1-(1-(O37+P37*'Geometry'!$G$47+Q37*'Geometry'!$F$47)/C_eco)^C_n),C_alpha*C_fck),0)))*'Geometry'!$H$47*'Geometry'!$G$47+((MAX(MIN(S_1_Es*(O37+P37*'Geometry'!$G$48+Q37*'Geometry'!$F$48),S_1_fy),-S_1_fy))-(IF((O37+P37*'Geometry'!$G$48+Q37*'Geometry'!$F$48)&gt;0,IF((O37+P37*'Geometry'!$G$48+Q37*'Geometry'!$F$48)&lt;=C_eco,C_alpha*C_fck*(1-(1-(O37+P37*'Geometry'!$G$48+Q37*'Geometry'!$F$48)/C_eco)^C_n),C_alpha*C_fck),0)))*'Geometry'!$H$48*'Geometry'!$G$48+((MAX(MIN(S_1_Es*(O37+P37*'Geometry'!$G$49+Q37*'Geometry'!$F$49),S_1_fy),-S_1_fy))-(IF((O37+P37*'Geometry'!$G$49+Q37*'Geometry'!$F$49)&gt;0,IF((O37+P37*'Geometry'!$G$49+Q37*'Geometry'!$F$49)&lt;=C_eco,C_alpha*C_fck*(1-(1-(O37+P37*'Geometry'!$G$49+Q37*'Geometry'!$F$49)/C_eco)^C_n),C_alpha*C_fck),0)))*'Geometry'!$H$49*'Geometry'!$G$49+((MAX(MIN(S_1_Es*(O37+P37*'Geometry'!$G$50+Q37*'Geometry'!$F$50),S_1_fy),-S_1_fy))-(IF((O37+P37*'Geometry'!$G$50+Q37*'Geometry'!$F$50)&gt;0,IF((O37+P37*'Geometry'!$G$50+Q37*'Geometry'!$F$50)&lt;=C_eco,C_alpha*C_fck*(1-(1-(O37+P37*'Geometry'!$G$50+Q37*'Geometry'!$F$50)/C_eco)^C_n),C_alpha*C_fck),0)))*'Geometry'!$H$50*'Geometry'!$G$50+((MAX(MIN(S_1_Es*(O37+P37*'Geometry'!$G$51+Q37*'Geometry'!$F$51),S_1_fy),-S_1_fy))-(IF((O37+P37*'Geometry'!$G$51+Q37*'Geometry'!$F$51)&gt;0,IF((O37+P37*'Geometry'!$G$51+Q37*'Geometry'!$F$51)&lt;=C_eco,C_alpha*C_fck*(1-(1-(O37+P37*'Geometry'!$G$51+Q37*'Geometry'!$F$51)/C_eco)^C_n),C_alpha*C_fck),0)))*'Geometry'!$H$51*'Geometry'!$G$51+((MAX(MIN(S_1_Es*(O37+P37*'Geometry'!$G$52+Q37*'Geometry'!$F$52),S_1_fy),-S_1_fy))-(IF((O37+P37*'Geometry'!$G$52+Q37*'Geometry'!$F$52)&gt;0,IF((O37+P37*'Geometry'!$G$52+Q37*'Geometry'!$F$52)&lt;=C_eco,C_alpha*C_fck*(1-(1-(O37+P37*'Geometry'!$G$52+Q37*'Geometry'!$F$52)/C_eco)^C_n),C_alpha*C_fck),0)))*'Geometry'!$H$52*'Geometry'!$G$52+((MAX(MIN(S_1_Es*(O37+P37*'Geometry'!$G$53+Q37*'Geometry'!$F$53),S_1_fy),-S_1_fy))-(IF((O37+P37*'Geometry'!$G$53+Q37*'Geometry'!$F$53)&gt;0,IF((O37+P37*'Geometry'!$G$53+Q37*'Geometry'!$F$53)&lt;=C_eco,C_alpha*C_fck*(1-(1-(O37+P37*'Geometry'!$G$53+Q37*'Geometry'!$F$53)/C_eco)^C_n),C_alpha*C_fck),0)))*'Geometry'!$H$53*'Geometry'!$G$53+((MAX(MIN(S_1_Es*(O37+P37*'Geometry'!$G$54+Q37*'Geometry'!$F$54),S_1_fy),-S_1_fy))-(IF((O37+P37*'Geometry'!$G$54+Q37*'Geometry'!$F$54)&gt;0,IF((O37+P37*'Geometry'!$G$54+Q37*'Geometry'!$F$54)&lt;=C_eco,C_alpha*C_fck*(1-(1-(O37+P37*'Geometry'!$G$54+Q37*'Geometry'!$F$54)/C_eco)^C_n),C_alpha*C_fck),0)))*'Geometry'!$H$54*'Geometry'!$G$54+((MAX(MIN(S_1_Es*(O37+P37*'Geometry'!$G$55+Q37*'Geometry'!$F$55),S_1_fy),-S_1_fy))-(IF((O37+P37*'Geometry'!$G$55+Q37*'Geometry'!$F$55)&gt;0,IF((O37+P37*'Geometry'!$G$55+Q37*'Geometry'!$F$55)&lt;=C_eco,C_alpha*C_fck*(1-(1-(O37+P37*'Geometry'!$G$55+Q37*'Geometry'!$F$55)/C_eco)^C_n),C_alpha*C_fck),0)))*'Geometry'!$H$55*'Geometry'!$G$55+((MAX(MIN(S_1_Es*(O37+P37*'Geometry'!$G$56+Q37*'Geometry'!$F$56),S_1_fy),-S_1_fy))-(IF((O37+P37*'Geometry'!$G$56+Q37*'Geometry'!$F$56)&gt;0,IF((O37+P37*'Geometry'!$G$56+Q37*'Geometry'!$F$56)&lt;=C_eco,C_alpha*C_fck*(1-(1-(O37+P37*'Geometry'!$G$56+Q37*'Geometry'!$F$56)/C_eco)^C_n),C_alpha*C_fck),0)))*'Geometry'!$H$56*'Geometry'!$G$56+((MAX(MIN(S_1_Es*(O37+P37*'Geometry'!$G$57+Q37*'Geometry'!$F$57),S_1_fy),-S_1_fy))-(IF((O37+P37*'Geometry'!$G$57+Q37*'Geometry'!$F$57)&gt;0,IF((O37+P37*'Geometry'!$G$57+Q37*'Geometry'!$F$57)&lt;=C_eco,C_alpha*C_fck*(1-(1-(O37+P37*'Geometry'!$G$57+Q37*'Geometry'!$F$57)/C_eco)^C_n),C_alpha*C_fck),0)))*'Geometry'!$H$57*'Geometry'!$G$57)/1000000</f>
        <v>421.5469876057081</v>
      </c>
      <c r="W37" s="10">
        <f>(((MAX(MIN(S_1_Es*(O37+P37*'Geometry'!$G$40+Q37*'Geometry'!$F$40),S_1_fy),-S_1_fy))-(IF((O37+P37*'Geometry'!$G$40+Q37*'Geometry'!$F$40)&gt;0,IF((O37+P37*'Geometry'!$G$40+Q37*'Geometry'!$F$40)&lt;=C_eco,C_alpha*C_fck*(1-(1-(O37+P37*'Geometry'!$G$40+Q37*'Geometry'!$F$40)/C_eco)^C_n),C_alpha*C_fck),0)))*'Geometry'!$H$40*'Geometry'!$F$40+((MAX(MIN(S_1_Es*(O37+P37*'Geometry'!$G$41+Q37*'Geometry'!$F$41),S_1_fy),-S_1_fy))-(IF((O37+P37*'Geometry'!$G$41+Q37*'Geometry'!$F$41)&gt;0,IF((O37+P37*'Geometry'!$G$41+Q37*'Geometry'!$F$41)&lt;=C_eco,C_alpha*C_fck*(1-(1-(O37+P37*'Geometry'!$G$41+Q37*'Geometry'!$F$41)/C_eco)^C_n),C_alpha*C_fck),0)))*'Geometry'!$H$41*'Geometry'!$F$41+((MAX(MIN(S_1_Es*(O37+P37*'Geometry'!$G$42+Q37*'Geometry'!$F$42),S_1_fy),-S_1_fy))-(IF((O37+P37*'Geometry'!$G$42+Q37*'Geometry'!$F$42)&gt;0,IF((O37+P37*'Geometry'!$G$42+Q37*'Geometry'!$F$42)&lt;=C_eco,C_alpha*C_fck*(1-(1-(O37+P37*'Geometry'!$G$42+Q37*'Geometry'!$F$42)/C_eco)^C_n),C_alpha*C_fck),0)))*'Geometry'!$H$42*'Geometry'!$F$42+((MAX(MIN(S_1_Es*(O37+P37*'Geometry'!$G$43+Q37*'Geometry'!$F$43),S_1_fy),-S_1_fy))-(IF((O37+P37*'Geometry'!$G$43+Q37*'Geometry'!$F$43)&gt;0,IF((O37+P37*'Geometry'!$G$43+Q37*'Geometry'!$F$43)&lt;=C_eco,C_alpha*C_fck*(1-(1-(O37+P37*'Geometry'!$G$43+Q37*'Geometry'!$F$43)/C_eco)^C_n),C_alpha*C_fck),0)))*'Geometry'!$H$43*'Geometry'!$F$43+((MAX(MIN(S_1_Es*(O37+P37*'Geometry'!$G$44+Q37*'Geometry'!$F$44),S_1_fy),-S_1_fy))-(IF((O37+P37*'Geometry'!$G$44+Q37*'Geometry'!$F$44)&gt;0,IF((O37+P37*'Geometry'!$G$44+Q37*'Geometry'!$F$44)&lt;=C_eco,C_alpha*C_fck*(1-(1-(O37+P37*'Geometry'!$G$44+Q37*'Geometry'!$F$44)/C_eco)^C_n),C_alpha*C_fck),0)))*'Geometry'!$H$44*'Geometry'!$F$44+((MAX(MIN(S_1_Es*(O37+P37*'Geometry'!$G$45+Q37*'Geometry'!$F$45),S_1_fy),-S_1_fy))-(IF((O37+P37*'Geometry'!$G$45+Q37*'Geometry'!$F$45)&gt;0,IF((O37+P37*'Geometry'!$G$45+Q37*'Geometry'!$F$45)&lt;=C_eco,C_alpha*C_fck*(1-(1-(O37+P37*'Geometry'!$G$45+Q37*'Geometry'!$F$45)/C_eco)^C_n),C_alpha*C_fck),0)))*'Geometry'!$H$45*'Geometry'!$F$45+((MAX(MIN(S_1_Es*(O37+P37*'Geometry'!$G$46+Q37*'Geometry'!$F$46),S_1_fy),-S_1_fy))-(IF((O37+P37*'Geometry'!$G$46+Q37*'Geometry'!$F$46)&gt;0,IF((O37+P37*'Geometry'!$G$46+Q37*'Geometry'!$F$46)&lt;=C_eco,C_alpha*C_fck*(1-(1-(O37+P37*'Geometry'!$G$46+Q37*'Geometry'!$F$46)/C_eco)^C_n),C_alpha*C_fck),0)))*'Geometry'!$H$46*'Geometry'!$F$46+((MAX(MIN(S_1_Es*(O37+P37*'Geometry'!$G$47+Q37*'Geometry'!$F$47),S_1_fy),-S_1_fy))-(IF((O37+P37*'Geometry'!$G$47+Q37*'Geometry'!$F$47)&gt;0,IF((O37+P37*'Geometry'!$G$47+Q37*'Geometry'!$F$47)&lt;=C_eco,C_alpha*C_fck*(1-(1-(O37+P37*'Geometry'!$G$47+Q37*'Geometry'!$F$47)/C_eco)^C_n),C_alpha*C_fck),0)))*'Geometry'!$H$47*'Geometry'!$F$47+((MAX(MIN(S_1_Es*(O37+P37*'Geometry'!$G$48+Q37*'Geometry'!$F$48),S_1_fy),-S_1_fy))-(IF((O37+P37*'Geometry'!$G$48+Q37*'Geometry'!$F$48)&gt;0,IF((O37+P37*'Geometry'!$G$48+Q37*'Geometry'!$F$48)&lt;=C_eco,C_alpha*C_fck*(1-(1-(O37+P37*'Geometry'!$G$48+Q37*'Geometry'!$F$48)/C_eco)^C_n),C_alpha*C_fck),0)))*'Geometry'!$H$48*'Geometry'!$F$48+((MAX(MIN(S_1_Es*(O37+P37*'Geometry'!$G$49+Q37*'Geometry'!$F$49),S_1_fy),-S_1_fy))-(IF((O37+P37*'Geometry'!$G$49+Q37*'Geometry'!$F$49)&gt;0,IF((O37+P37*'Geometry'!$G$49+Q37*'Geometry'!$F$49)&lt;=C_eco,C_alpha*C_fck*(1-(1-(O37+P37*'Geometry'!$G$49+Q37*'Geometry'!$F$49)/C_eco)^C_n),C_alpha*C_fck),0)))*'Geometry'!$H$49*'Geometry'!$F$49+((MAX(MIN(S_1_Es*(O37+P37*'Geometry'!$G$50+Q37*'Geometry'!$F$50),S_1_fy),-S_1_fy))-(IF((O37+P37*'Geometry'!$G$50+Q37*'Geometry'!$F$50)&gt;0,IF((O37+P37*'Geometry'!$G$50+Q37*'Geometry'!$F$50)&lt;=C_eco,C_alpha*C_fck*(1-(1-(O37+P37*'Geometry'!$G$50+Q37*'Geometry'!$F$50)/C_eco)^C_n),C_alpha*C_fck),0)))*'Geometry'!$H$50*'Geometry'!$F$50+((MAX(MIN(S_1_Es*(O37+P37*'Geometry'!$G$51+Q37*'Geometry'!$F$51),S_1_fy),-S_1_fy))-(IF((O37+P37*'Geometry'!$G$51+Q37*'Geometry'!$F$51)&gt;0,IF((O37+P37*'Geometry'!$G$51+Q37*'Geometry'!$F$51)&lt;=C_eco,C_alpha*C_fck*(1-(1-(O37+P37*'Geometry'!$G$51+Q37*'Geometry'!$F$51)/C_eco)^C_n),C_alpha*C_fck),0)))*'Geometry'!$H$51*'Geometry'!$F$51+((MAX(MIN(S_1_Es*(O37+P37*'Geometry'!$G$52+Q37*'Geometry'!$F$52),S_1_fy),-S_1_fy))-(IF((O37+P37*'Geometry'!$G$52+Q37*'Geometry'!$F$52)&gt;0,IF((O37+P37*'Geometry'!$G$52+Q37*'Geometry'!$F$52)&lt;=C_eco,C_alpha*C_fck*(1-(1-(O37+P37*'Geometry'!$G$52+Q37*'Geometry'!$F$52)/C_eco)^C_n),C_alpha*C_fck),0)))*'Geometry'!$H$52*'Geometry'!$F$52+((MAX(MIN(S_1_Es*(O37+P37*'Geometry'!$G$53+Q37*'Geometry'!$F$53),S_1_fy),-S_1_fy))-(IF((O37+P37*'Geometry'!$G$53+Q37*'Geometry'!$F$53)&gt;0,IF((O37+P37*'Geometry'!$G$53+Q37*'Geometry'!$F$53)&lt;=C_eco,C_alpha*C_fck*(1-(1-(O37+P37*'Geometry'!$G$53+Q37*'Geometry'!$F$53)/C_eco)^C_n),C_alpha*C_fck),0)))*'Geometry'!$H$53*'Geometry'!$F$53+((MAX(MIN(S_1_Es*(O37+P37*'Geometry'!$G$54+Q37*'Geometry'!$F$54),S_1_fy),-S_1_fy))-(IF((O37+P37*'Geometry'!$G$54+Q37*'Geometry'!$F$54)&gt;0,IF((O37+P37*'Geometry'!$G$54+Q37*'Geometry'!$F$54)&lt;=C_eco,C_alpha*C_fck*(1-(1-(O37+P37*'Geometry'!$G$54+Q37*'Geometry'!$F$54)/C_eco)^C_n),C_alpha*C_fck),0)))*'Geometry'!$H$54*'Geometry'!$F$54+((MAX(MIN(S_1_Es*(O37+P37*'Geometry'!$G$55+Q37*'Geometry'!$F$55),S_1_fy),-S_1_fy))-(IF((O37+P37*'Geometry'!$G$55+Q37*'Geometry'!$F$55)&gt;0,IF((O37+P37*'Geometry'!$G$55+Q37*'Geometry'!$F$55)&lt;=C_eco,C_alpha*C_fck*(1-(1-(O37+P37*'Geometry'!$G$55+Q37*'Geometry'!$F$55)/C_eco)^C_n),C_alpha*C_fck),0)))*'Geometry'!$H$55*'Geometry'!$F$55+((MAX(MIN(S_1_Es*(O37+P37*'Geometry'!$G$56+Q37*'Geometry'!$F$56),S_1_fy),-S_1_fy))-(IF((O37+P37*'Geometry'!$G$56+Q37*'Geometry'!$F$56)&gt;0,IF((O37+P37*'Geometry'!$G$56+Q37*'Geometry'!$F$56)&lt;=C_eco,C_alpha*C_fck*(1-(1-(O37+P37*'Geometry'!$G$56+Q37*'Geometry'!$F$56)/C_eco)^C_n),C_alpha*C_fck),0)))*'Geometry'!$H$56*'Geometry'!$F$56+((MAX(MIN(S_1_Es*(O37+P37*'Geometry'!$G$57+Q37*'Geometry'!$F$57),S_1_fy),-S_1_fy))-(IF((O37+P37*'Geometry'!$G$57+Q37*'Geometry'!$F$57)&gt;0,IF((O37+P37*'Geometry'!$G$57+Q37*'Geometry'!$F$57)&lt;=C_eco,C_alpha*C_fck*(1-(1-(O37+P37*'Geometry'!$G$57+Q37*'Geometry'!$F$57)/C_eco)^C_n),C_alpha*C_fck),0)))*'Geometry'!$H$57*'Geometry'!$F$57)/1000000</f>
        <v>-1699.710476357681</v>
      </c>
      <c r="X37" s="10">
        <f>R37+U37</f>
        <v>1675.5706745708692</v>
      </c>
      <c r="Y37" s="10">
        <f>S37+V37</f>
        <v>1326.063119255427</v>
      </c>
      <c r="Z37" s="10">
        <f>T37+W37</f>
        <v>-4546.374325017045</v>
      </c>
      <c r="AA37" s="7">
        <v>0.8500000000000001</v>
      </c>
      <c r="AB37" s="7">
        <v>0.8499999999999999</v>
      </c>
      <c r="AC37" s="10">
        <f>X37*AA37</f>
        <v>1424.2350733852388</v>
      </c>
      <c r="AD37" s="10">
        <f>Y37*AB37</f>
        <v>1127.1536513671128</v>
      </c>
      <c r="AE37" s="10">
        <f>Z37*AB37</f>
        <v>-3864.418176264488</v>
      </c>
      <c r="AF37" s="7">
        <v>1424.2350733852388</v>
      </c>
      <c r="AG37" s="7">
        <v>1127.1536513671128</v>
      </c>
      <c r="AH37" s="7">
        <v>-3864.418176264488</v>
      </c>
      <c r="AI37" s="15">
        <f>AC37-AF37</f>
        <v>0</v>
      </c>
      <c r="AJ37" s="15">
        <f>SQRT((AD37-AG37)^2+(AE37-AH37)^2)</f>
        <v>0</v>
      </c>
      <c r="AK37" s="7" t="s">
        <v>189</v>
      </c>
      <c r="AL37" s="7">
        <v>1675.5706745708692</v>
      </c>
      <c r="AM37" s="7">
        <v>1326.063119255427</v>
      </c>
      <c r="AN37" s="7">
        <v>-4546.374325017045</v>
      </c>
      <c r="AO37" s="7">
        <v>4628.543587001654</v>
      </c>
      <c r="AP37" s="7">
        <v>904.5161316497187</v>
      </c>
      <c r="AQ37" s="7">
        <v>-2846.6638486593642</v>
      </c>
      <c r="AR37" s="7">
        <v>-2952.972912430784</v>
      </c>
      <c r="AS37" s="7">
        <v>421.5469876057081</v>
      </c>
      <c r="AT37" s="7">
        <v>-1699.710476357681</v>
      </c>
    </row>
    <row r="38" spans="1:46" x14ac:dyDescent="0.25">
      <c r="A38" s="7" t="s">
        <v>250</v>
      </c>
      <c r="B38" s="7">
        <v>1</v>
      </c>
      <c r="C38" s="18">
        <v>300</v>
      </c>
      <c r="D38" s="7" t="s">
        <v>297</v>
      </c>
      <c r="E38" s="7" t="s">
        <v>267</v>
      </c>
      <c r="F38" s="19">
        <v>299.99999999999994</v>
      </c>
      <c r="G38" s="7" t="s">
        <v>188</v>
      </c>
      <c r="H38" s="20">
        <v>4.999999999999999</v>
      </c>
      <c r="I38" s="10">
        <f>MAX(('Geometry'!$G$13*COS(RADIANS(F38))+'Geometry'!$F$13*SIN(RADIANS(F38))),('Geometry'!$G$14*COS(RADIANS(F38))+'Geometry'!$F$14*SIN(RADIANS(F38))),('Geometry'!$G$15*COS(RADIANS(F38))+'Geometry'!$F$15*SIN(RADIANS(F38))),('Geometry'!$G$16*COS(RADIANS(F38))+'Geometry'!$F$16*SIN(RADIANS(F38))),('Geometry'!$G$17*COS(RADIANS(F38))+'Geometry'!$F$17*SIN(RADIANS(F38))),('Geometry'!$G$18*COS(RADIANS(F38))+'Geometry'!$F$18*SIN(RADIANS(F38))),('Geometry'!$G$19*COS(RADIANS(F38))+'Geometry'!$F$19*SIN(RADIANS(F38))),('Geometry'!$G$20*COS(RADIANS(F38))+'Geometry'!$F$20*SIN(RADIANS(F38))))</f>
        <v>849.519052838329</v>
      </c>
      <c r="J38" s="10">
        <f>MIN(('Geometry'!$G$40*COS(RADIANS(F38))+'Geometry'!$F$40*SIN(RADIANS(F38))),('Geometry'!$G$41*COS(RADIANS(F38))+'Geometry'!$F$41*SIN(RADIANS(F38))),('Geometry'!$G$42*COS(RADIANS(F38))+'Geometry'!$F$42*SIN(RADIANS(F38))),('Geometry'!$G$43*COS(RADIANS(F38))+'Geometry'!$F$43*SIN(RADIANS(F38))),('Geometry'!$G$44*COS(RADIANS(F38))+'Geometry'!$F$44*SIN(RADIANS(F38))),('Geometry'!$G$45*COS(RADIANS(F38))+'Geometry'!$F$45*SIN(RADIANS(F38))),('Geometry'!$G$46*COS(RADIANS(F38))+'Geometry'!$F$46*SIN(RADIANS(F38))),('Geometry'!$G$47*COS(RADIANS(F38))+'Geometry'!$F$47*SIN(RADIANS(F38))),('Geometry'!$G$48*COS(RADIANS(F38))+'Geometry'!$F$48*SIN(RADIANS(F38))),('Geometry'!$G$49*COS(RADIANS(F38))+'Geometry'!$F$49*SIN(RADIANS(F38))),('Geometry'!$G$50*COS(RADIANS(F38))+'Geometry'!$F$50*SIN(RADIANS(F38))),('Geometry'!$G$51*COS(RADIANS(F38))+'Geometry'!$F$51*SIN(RADIANS(F38))),('Geometry'!$G$52*COS(RADIANS(F38))+'Geometry'!$F$52*SIN(RADIANS(F38))),('Geometry'!$G$53*COS(RADIANS(F38))+'Geometry'!$F$53*SIN(RADIANS(F38))),('Geometry'!$G$54*COS(RADIANS(F38))+'Geometry'!$F$54*SIN(RADIANS(F38))),('Geometry'!$G$55*COS(RADIANS(F38))+'Geometry'!$F$55*SIN(RADIANS(F38))),('Geometry'!$G$56*COS(RADIANS(F38))+'Geometry'!$F$56*SIN(RADIANS(F38))),('Geometry'!$G$57*COS(RADIANS(F38))+'Geometry'!$F$57*SIN(RADIANS(F38))))</f>
        <v>-738.8972745734184</v>
      </c>
      <c r="K38" s="10">
        <f>I38-MIN(('Geometry'!$G$13*COS(RADIANS(F38))+'Geometry'!$F$13*SIN(RADIANS(F38))),('Geometry'!$G$14*COS(RADIANS(F38))+'Geometry'!$F$14*SIN(RADIANS(F38))),('Geometry'!$G$15*COS(RADIANS(F38))+'Geometry'!$F$15*SIN(RADIANS(F38))),('Geometry'!$G$16*COS(RADIANS(F38))+'Geometry'!$F$16*SIN(RADIANS(F38))),('Geometry'!$G$17*COS(RADIANS(F38))+'Geometry'!$F$17*SIN(RADIANS(F38))),('Geometry'!$G$18*COS(RADIANS(F38))+'Geometry'!$F$18*SIN(RADIANS(F38))),('Geometry'!$G$19*COS(RADIANS(F38))+'Geometry'!$F$19*SIN(RADIANS(F38))),('Geometry'!$G$20*COS(RADIANS(F38))+'Geometry'!$F$20*SIN(RADIANS(F38))))</f>
        <v>1699.038105676658</v>
      </c>
      <c r="L38" s="15">
        <f>C_ecu</f>
        <v>0.0033</v>
      </c>
      <c r="M38" s="15">
        <f>-H38*S_1_fy/S_1_Es</f>
        <v>-0.009999999999999998</v>
      </c>
      <c r="N38" s="21">
        <f>IF(ABS(I38-J38)&lt;0.000000000001,0,(L38-M38)/(I38-J38))</f>
        <v>0.000008373119673021587</v>
      </c>
      <c r="O38" s="15">
        <f>L38-N38*I38</f>
        <v>-0.003813124693927277</v>
      </c>
      <c r="P38" s="21">
        <f>N38*COS(RADIANS(F38))</f>
        <v>0.000004186559836510787</v>
      </c>
      <c r="Q38" s="21">
        <f>N38*SIN(RADIANS(F38))</f>
        <v>-0.00000725133434576395</v>
      </c>
      <c r="R38" s="10">
        <f>SUMPRODUCT(C_alpha*C_fck*(1-(1-(((O38+P38*Mesh_Y+Q38*Mesh_X))*((O38+P38*Mesh_Y+Q38*Mesh_X)&gt;0)*((O38+P38*Mesh_Y+Q38*Mesh_X)&lt;C_eco)+C_eco*((O38+P38*Mesh_Y+Q38*Mesh_X)&gt;=C_eco))/C_eco)^C_n)*(((O38+P38*Mesh_Y+Q38*Mesh_X))&gt;0),Mesh_A)/1000</f>
        <v>4089.8663880033787</v>
      </c>
      <c r="S38" s="10">
        <f>SUMPRODUCT(C_alpha*C_fck*(1-(1-(((O38+P38*Mesh_Y+Q38*Mesh_X))*((O38+P38*Mesh_Y+Q38*Mesh_X)&gt;0)*((O38+P38*Mesh_Y+Q38*Mesh_X)&lt;C_eco)+C_eco*((O38+P38*Mesh_Y+Q38*Mesh_X)&gt;=C_eco))/C_eco)^C_n)*(((O38+P38*Mesh_Y+Q38*Mesh_X))&gt;0),Mesh_A,Mesh_Y)/1000000</f>
        <v>1201.3170793034199</v>
      </c>
      <c r="T38" s="10">
        <f>SUMPRODUCT(C_alpha*C_fck*(1-(1-(((O38+P38*Mesh_Y+Q38*Mesh_X))*((O38+P38*Mesh_Y+Q38*Mesh_X)&gt;0)*((O38+P38*Mesh_Y+Q38*Mesh_X)&lt;C_eco)+C_eco*((O38+P38*Mesh_Y+Q38*Mesh_X)&gt;=C_eco))/C_eco)^C_n)*(((O38+P38*Mesh_Y+Q38*Mesh_X))&gt;0),Mesh_A,Mesh_X)/1000000</f>
        <v>-2400.6893155675684</v>
      </c>
      <c r="U38" s="10">
        <f>(((MAX(MIN(S_1_Es*(O38+P38*'Geometry'!$G$40+Q38*'Geometry'!$F$40),S_1_fy),-S_1_fy))-(IF((O38+P38*'Geometry'!$G$40+Q38*'Geometry'!$F$40)&gt;0,IF((O38+P38*'Geometry'!$G$40+Q38*'Geometry'!$F$40)&lt;=C_eco,C_alpha*C_fck*(1-(1-(O38+P38*'Geometry'!$G$40+Q38*'Geometry'!$F$40)/C_eco)^C_n),C_alpha*C_fck),0)))*'Geometry'!$H$40+((MAX(MIN(S_1_Es*(O38+P38*'Geometry'!$G$41+Q38*'Geometry'!$F$41),S_1_fy),-S_1_fy))-(IF((O38+P38*'Geometry'!$G$41+Q38*'Geometry'!$F$41)&gt;0,IF((O38+P38*'Geometry'!$G$41+Q38*'Geometry'!$F$41)&lt;=C_eco,C_alpha*C_fck*(1-(1-(O38+P38*'Geometry'!$G$41+Q38*'Geometry'!$F$41)/C_eco)^C_n),C_alpha*C_fck),0)))*'Geometry'!$H$41+((MAX(MIN(S_1_Es*(O38+P38*'Geometry'!$G$42+Q38*'Geometry'!$F$42),S_1_fy),-S_1_fy))-(IF((O38+P38*'Geometry'!$G$42+Q38*'Geometry'!$F$42)&gt;0,IF((O38+P38*'Geometry'!$G$42+Q38*'Geometry'!$F$42)&lt;=C_eco,C_alpha*C_fck*(1-(1-(O38+P38*'Geometry'!$G$42+Q38*'Geometry'!$F$42)/C_eco)^C_n),C_alpha*C_fck),0)))*'Geometry'!$H$42+((MAX(MIN(S_1_Es*(O38+P38*'Geometry'!$G$43+Q38*'Geometry'!$F$43),S_1_fy),-S_1_fy))-(IF((O38+P38*'Geometry'!$G$43+Q38*'Geometry'!$F$43)&gt;0,IF((O38+P38*'Geometry'!$G$43+Q38*'Geometry'!$F$43)&lt;=C_eco,C_alpha*C_fck*(1-(1-(O38+P38*'Geometry'!$G$43+Q38*'Geometry'!$F$43)/C_eco)^C_n),C_alpha*C_fck),0)))*'Geometry'!$H$43+((MAX(MIN(S_1_Es*(O38+P38*'Geometry'!$G$44+Q38*'Geometry'!$F$44),S_1_fy),-S_1_fy))-(IF((O38+P38*'Geometry'!$G$44+Q38*'Geometry'!$F$44)&gt;0,IF((O38+P38*'Geometry'!$G$44+Q38*'Geometry'!$F$44)&lt;=C_eco,C_alpha*C_fck*(1-(1-(O38+P38*'Geometry'!$G$44+Q38*'Geometry'!$F$44)/C_eco)^C_n),C_alpha*C_fck),0)))*'Geometry'!$H$44+((MAX(MIN(S_1_Es*(O38+P38*'Geometry'!$G$45+Q38*'Geometry'!$F$45),S_1_fy),-S_1_fy))-(IF((O38+P38*'Geometry'!$G$45+Q38*'Geometry'!$F$45)&gt;0,IF((O38+P38*'Geometry'!$G$45+Q38*'Geometry'!$F$45)&lt;=C_eco,C_alpha*C_fck*(1-(1-(O38+P38*'Geometry'!$G$45+Q38*'Geometry'!$F$45)/C_eco)^C_n),C_alpha*C_fck),0)))*'Geometry'!$H$45+((MAX(MIN(S_1_Es*(O38+P38*'Geometry'!$G$46+Q38*'Geometry'!$F$46),S_1_fy),-S_1_fy))-(IF((O38+P38*'Geometry'!$G$46+Q38*'Geometry'!$F$46)&gt;0,IF((O38+P38*'Geometry'!$G$46+Q38*'Geometry'!$F$46)&lt;=C_eco,C_alpha*C_fck*(1-(1-(O38+P38*'Geometry'!$G$46+Q38*'Geometry'!$F$46)/C_eco)^C_n),C_alpha*C_fck),0)))*'Geometry'!$H$46+((MAX(MIN(S_1_Es*(O38+P38*'Geometry'!$G$47+Q38*'Geometry'!$F$47),S_1_fy),-S_1_fy))-(IF((O38+P38*'Geometry'!$G$47+Q38*'Geometry'!$F$47)&gt;0,IF((O38+P38*'Geometry'!$G$47+Q38*'Geometry'!$F$47)&lt;=C_eco,C_alpha*C_fck*(1-(1-(O38+P38*'Geometry'!$G$47+Q38*'Geometry'!$F$47)/C_eco)^C_n),C_alpha*C_fck),0)))*'Geometry'!$H$47+((MAX(MIN(S_1_Es*(O38+P38*'Geometry'!$G$48+Q38*'Geometry'!$F$48),S_1_fy),-S_1_fy))-(IF((O38+P38*'Geometry'!$G$48+Q38*'Geometry'!$F$48)&gt;0,IF((O38+P38*'Geometry'!$G$48+Q38*'Geometry'!$F$48)&lt;=C_eco,C_alpha*C_fck*(1-(1-(O38+P38*'Geometry'!$G$48+Q38*'Geometry'!$F$48)/C_eco)^C_n),C_alpha*C_fck),0)))*'Geometry'!$H$48+((MAX(MIN(S_1_Es*(O38+P38*'Geometry'!$G$49+Q38*'Geometry'!$F$49),S_1_fy),-S_1_fy))-(IF((O38+P38*'Geometry'!$G$49+Q38*'Geometry'!$F$49)&gt;0,IF((O38+P38*'Geometry'!$G$49+Q38*'Geometry'!$F$49)&lt;=C_eco,C_alpha*C_fck*(1-(1-(O38+P38*'Geometry'!$G$49+Q38*'Geometry'!$F$49)/C_eco)^C_n),C_alpha*C_fck),0)))*'Geometry'!$H$49+((MAX(MIN(S_1_Es*(O38+P38*'Geometry'!$G$50+Q38*'Geometry'!$F$50),S_1_fy),-S_1_fy))-(IF((O38+P38*'Geometry'!$G$50+Q38*'Geometry'!$F$50)&gt;0,IF((O38+P38*'Geometry'!$G$50+Q38*'Geometry'!$F$50)&lt;=C_eco,C_alpha*C_fck*(1-(1-(O38+P38*'Geometry'!$G$50+Q38*'Geometry'!$F$50)/C_eco)^C_n),C_alpha*C_fck),0)))*'Geometry'!$H$50+((MAX(MIN(S_1_Es*(O38+P38*'Geometry'!$G$51+Q38*'Geometry'!$F$51),S_1_fy),-S_1_fy))-(IF((O38+P38*'Geometry'!$G$51+Q38*'Geometry'!$F$51)&gt;0,IF((O38+P38*'Geometry'!$G$51+Q38*'Geometry'!$F$51)&lt;=C_eco,C_alpha*C_fck*(1-(1-(O38+P38*'Geometry'!$G$51+Q38*'Geometry'!$F$51)/C_eco)^C_n),C_alpha*C_fck),0)))*'Geometry'!$H$51+((MAX(MIN(S_1_Es*(O38+P38*'Geometry'!$G$52+Q38*'Geometry'!$F$52),S_1_fy),-S_1_fy))-(IF((O38+P38*'Geometry'!$G$52+Q38*'Geometry'!$F$52)&gt;0,IF((O38+P38*'Geometry'!$G$52+Q38*'Geometry'!$F$52)&lt;=C_eco,C_alpha*C_fck*(1-(1-(O38+P38*'Geometry'!$G$52+Q38*'Geometry'!$F$52)/C_eco)^C_n),C_alpha*C_fck),0)))*'Geometry'!$H$52+((MAX(MIN(S_1_Es*(O38+P38*'Geometry'!$G$53+Q38*'Geometry'!$F$53),S_1_fy),-S_1_fy))-(IF((O38+P38*'Geometry'!$G$53+Q38*'Geometry'!$F$53)&gt;0,IF((O38+P38*'Geometry'!$G$53+Q38*'Geometry'!$F$53)&lt;=C_eco,C_alpha*C_fck*(1-(1-(O38+P38*'Geometry'!$G$53+Q38*'Geometry'!$F$53)/C_eco)^C_n),C_alpha*C_fck),0)))*'Geometry'!$H$53+((MAX(MIN(S_1_Es*(O38+P38*'Geometry'!$G$54+Q38*'Geometry'!$F$54),S_1_fy),-S_1_fy))-(IF((O38+P38*'Geometry'!$G$54+Q38*'Geometry'!$F$54)&gt;0,IF((O38+P38*'Geometry'!$G$54+Q38*'Geometry'!$F$54)&lt;=C_eco,C_alpha*C_fck*(1-(1-(O38+P38*'Geometry'!$G$54+Q38*'Geometry'!$F$54)/C_eco)^C_n),C_alpha*C_fck),0)))*'Geometry'!$H$54+((MAX(MIN(S_1_Es*(O38+P38*'Geometry'!$G$55+Q38*'Geometry'!$F$55),S_1_fy),-S_1_fy))-(IF((O38+P38*'Geometry'!$G$55+Q38*'Geometry'!$F$55)&gt;0,IF((O38+P38*'Geometry'!$G$55+Q38*'Geometry'!$F$55)&lt;=C_eco,C_alpha*C_fck*(1-(1-(O38+P38*'Geometry'!$G$55+Q38*'Geometry'!$F$55)/C_eco)^C_n),C_alpha*C_fck),0)))*'Geometry'!$H$55+((MAX(MIN(S_1_Es*(O38+P38*'Geometry'!$G$56+Q38*'Geometry'!$F$56),S_1_fy),-S_1_fy))-(IF((O38+P38*'Geometry'!$G$56+Q38*'Geometry'!$F$56)&gt;0,IF((O38+P38*'Geometry'!$G$56+Q38*'Geometry'!$F$56)&lt;=C_eco,C_alpha*C_fck*(1-(1-(O38+P38*'Geometry'!$G$56+Q38*'Geometry'!$F$56)/C_eco)^C_n),C_alpha*C_fck),0)))*'Geometry'!$H$56+((MAX(MIN(S_1_Es*(O38+P38*'Geometry'!$G$57+Q38*'Geometry'!$F$57),S_1_fy),-S_1_fy))-(IF((O38+P38*'Geometry'!$G$57+Q38*'Geometry'!$F$57)&gt;0,IF((O38+P38*'Geometry'!$G$57+Q38*'Geometry'!$F$57)&lt;=C_eco,C_alpha*C_fck*(1-(1-(O38+P38*'Geometry'!$G$57+Q38*'Geometry'!$F$57)/C_eco)^C_n),C_alpha*C_fck),0)))*'Geometry'!$H$57)/1000</f>
        <v>-3018.8938954931527</v>
      </c>
      <c r="V38" s="10">
        <f>(((MAX(MIN(S_1_Es*(O38+P38*'Geometry'!$G$40+Q38*'Geometry'!$F$40),S_1_fy),-S_1_fy))-(IF((O38+P38*'Geometry'!$G$40+Q38*'Geometry'!$F$40)&gt;0,IF((O38+P38*'Geometry'!$G$40+Q38*'Geometry'!$F$40)&lt;=C_eco,C_alpha*C_fck*(1-(1-(O38+P38*'Geometry'!$G$40+Q38*'Geometry'!$F$40)/C_eco)^C_n),C_alpha*C_fck),0)))*'Geometry'!$H$40*'Geometry'!$G$40+((MAX(MIN(S_1_Es*(O38+P38*'Geometry'!$G$41+Q38*'Geometry'!$F$41),S_1_fy),-S_1_fy))-(IF((O38+P38*'Geometry'!$G$41+Q38*'Geometry'!$F$41)&gt;0,IF((O38+P38*'Geometry'!$G$41+Q38*'Geometry'!$F$41)&lt;=C_eco,C_alpha*C_fck*(1-(1-(O38+P38*'Geometry'!$G$41+Q38*'Geometry'!$F$41)/C_eco)^C_n),C_alpha*C_fck),0)))*'Geometry'!$H$41*'Geometry'!$G$41+((MAX(MIN(S_1_Es*(O38+P38*'Geometry'!$G$42+Q38*'Geometry'!$F$42),S_1_fy),-S_1_fy))-(IF((O38+P38*'Geometry'!$G$42+Q38*'Geometry'!$F$42)&gt;0,IF((O38+P38*'Geometry'!$G$42+Q38*'Geometry'!$F$42)&lt;=C_eco,C_alpha*C_fck*(1-(1-(O38+P38*'Geometry'!$G$42+Q38*'Geometry'!$F$42)/C_eco)^C_n),C_alpha*C_fck),0)))*'Geometry'!$H$42*'Geometry'!$G$42+((MAX(MIN(S_1_Es*(O38+P38*'Geometry'!$G$43+Q38*'Geometry'!$F$43),S_1_fy),-S_1_fy))-(IF((O38+P38*'Geometry'!$G$43+Q38*'Geometry'!$F$43)&gt;0,IF((O38+P38*'Geometry'!$G$43+Q38*'Geometry'!$F$43)&lt;=C_eco,C_alpha*C_fck*(1-(1-(O38+P38*'Geometry'!$G$43+Q38*'Geometry'!$F$43)/C_eco)^C_n),C_alpha*C_fck),0)))*'Geometry'!$H$43*'Geometry'!$G$43+((MAX(MIN(S_1_Es*(O38+P38*'Geometry'!$G$44+Q38*'Geometry'!$F$44),S_1_fy),-S_1_fy))-(IF((O38+P38*'Geometry'!$G$44+Q38*'Geometry'!$F$44)&gt;0,IF((O38+P38*'Geometry'!$G$44+Q38*'Geometry'!$F$44)&lt;=C_eco,C_alpha*C_fck*(1-(1-(O38+P38*'Geometry'!$G$44+Q38*'Geometry'!$F$44)/C_eco)^C_n),C_alpha*C_fck),0)))*'Geometry'!$H$44*'Geometry'!$G$44+((MAX(MIN(S_1_Es*(O38+P38*'Geometry'!$G$45+Q38*'Geometry'!$F$45),S_1_fy),-S_1_fy))-(IF((O38+P38*'Geometry'!$G$45+Q38*'Geometry'!$F$45)&gt;0,IF((O38+P38*'Geometry'!$G$45+Q38*'Geometry'!$F$45)&lt;=C_eco,C_alpha*C_fck*(1-(1-(O38+P38*'Geometry'!$G$45+Q38*'Geometry'!$F$45)/C_eco)^C_n),C_alpha*C_fck),0)))*'Geometry'!$H$45*'Geometry'!$G$45+((MAX(MIN(S_1_Es*(O38+P38*'Geometry'!$G$46+Q38*'Geometry'!$F$46),S_1_fy),-S_1_fy))-(IF((O38+P38*'Geometry'!$G$46+Q38*'Geometry'!$F$46)&gt;0,IF((O38+P38*'Geometry'!$G$46+Q38*'Geometry'!$F$46)&lt;=C_eco,C_alpha*C_fck*(1-(1-(O38+P38*'Geometry'!$G$46+Q38*'Geometry'!$F$46)/C_eco)^C_n),C_alpha*C_fck),0)))*'Geometry'!$H$46*'Geometry'!$G$46+((MAX(MIN(S_1_Es*(O38+P38*'Geometry'!$G$47+Q38*'Geometry'!$F$47),S_1_fy),-S_1_fy))-(IF((O38+P38*'Geometry'!$G$47+Q38*'Geometry'!$F$47)&gt;0,IF((O38+P38*'Geometry'!$G$47+Q38*'Geometry'!$F$47)&lt;=C_eco,C_alpha*C_fck*(1-(1-(O38+P38*'Geometry'!$G$47+Q38*'Geometry'!$F$47)/C_eco)^C_n),C_alpha*C_fck),0)))*'Geometry'!$H$47*'Geometry'!$G$47+((MAX(MIN(S_1_Es*(O38+P38*'Geometry'!$G$48+Q38*'Geometry'!$F$48),S_1_fy),-S_1_fy))-(IF((O38+P38*'Geometry'!$G$48+Q38*'Geometry'!$F$48)&gt;0,IF((O38+P38*'Geometry'!$G$48+Q38*'Geometry'!$F$48)&lt;=C_eco,C_alpha*C_fck*(1-(1-(O38+P38*'Geometry'!$G$48+Q38*'Geometry'!$F$48)/C_eco)^C_n),C_alpha*C_fck),0)))*'Geometry'!$H$48*'Geometry'!$G$48+((MAX(MIN(S_1_Es*(O38+P38*'Geometry'!$G$49+Q38*'Geometry'!$F$49),S_1_fy),-S_1_fy))-(IF((O38+P38*'Geometry'!$G$49+Q38*'Geometry'!$F$49)&gt;0,IF((O38+P38*'Geometry'!$G$49+Q38*'Geometry'!$F$49)&lt;=C_eco,C_alpha*C_fck*(1-(1-(O38+P38*'Geometry'!$G$49+Q38*'Geometry'!$F$49)/C_eco)^C_n),C_alpha*C_fck),0)))*'Geometry'!$H$49*'Geometry'!$G$49+((MAX(MIN(S_1_Es*(O38+P38*'Geometry'!$G$50+Q38*'Geometry'!$F$50),S_1_fy),-S_1_fy))-(IF((O38+P38*'Geometry'!$G$50+Q38*'Geometry'!$F$50)&gt;0,IF((O38+P38*'Geometry'!$G$50+Q38*'Geometry'!$F$50)&lt;=C_eco,C_alpha*C_fck*(1-(1-(O38+P38*'Geometry'!$G$50+Q38*'Geometry'!$F$50)/C_eco)^C_n),C_alpha*C_fck),0)))*'Geometry'!$H$50*'Geometry'!$G$50+((MAX(MIN(S_1_Es*(O38+P38*'Geometry'!$G$51+Q38*'Geometry'!$F$51),S_1_fy),-S_1_fy))-(IF((O38+P38*'Geometry'!$G$51+Q38*'Geometry'!$F$51)&gt;0,IF((O38+P38*'Geometry'!$G$51+Q38*'Geometry'!$F$51)&lt;=C_eco,C_alpha*C_fck*(1-(1-(O38+P38*'Geometry'!$G$51+Q38*'Geometry'!$F$51)/C_eco)^C_n),C_alpha*C_fck),0)))*'Geometry'!$H$51*'Geometry'!$G$51+((MAX(MIN(S_1_Es*(O38+P38*'Geometry'!$G$52+Q38*'Geometry'!$F$52),S_1_fy),-S_1_fy))-(IF((O38+P38*'Geometry'!$G$52+Q38*'Geometry'!$F$52)&gt;0,IF((O38+P38*'Geometry'!$G$52+Q38*'Geometry'!$F$52)&lt;=C_eco,C_alpha*C_fck*(1-(1-(O38+P38*'Geometry'!$G$52+Q38*'Geometry'!$F$52)/C_eco)^C_n),C_alpha*C_fck),0)))*'Geometry'!$H$52*'Geometry'!$G$52+((MAX(MIN(S_1_Es*(O38+P38*'Geometry'!$G$53+Q38*'Geometry'!$F$53),S_1_fy),-S_1_fy))-(IF((O38+P38*'Geometry'!$G$53+Q38*'Geometry'!$F$53)&gt;0,IF((O38+P38*'Geometry'!$G$53+Q38*'Geometry'!$F$53)&lt;=C_eco,C_alpha*C_fck*(1-(1-(O38+P38*'Geometry'!$G$53+Q38*'Geometry'!$F$53)/C_eco)^C_n),C_alpha*C_fck),0)))*'Geometry'!$H$53*'Geometry'!$G$53+((MAX(MIN(S_1_Es*(O38+P38*'Geometry'!$G$54+Q38*'Geometry'!$F$54),S_1_fy),-S_1_fy))-(IF((O38+P38*'Geometry'!$G$54+Q38*'Geometry'!$F$54)&gt;0,IF((O38+P38*'Geometry'!$G$54+Q38*'Geometry'!$F$54)&lt;=C_eco,C_alpha*C_fck*(1-(1-(O38+P38*'Geometry'!$G$54+Q38*'Geometry'!$F$54)/C_eco)^C_n),C_alpha*C_fck),0)))*'Geometry'!$H$54*'Geometry'!$G$54+((MAX(MIN(S_1_Es*(O38+P38*'Geometry'!$G$55+Q38*'Geometry'!$F$55),S_1_fy),-S_1_fy))-(IF((O38+P38*'Geometry'!$G$55+Q38*'Geometry'!$F$55)&gt;0,IF((O38+P38*'Geometry'!$G$55+Q38*'Geometry'!$F$55)&lt;=C_eco,C_alpha*C_fck*(1-(1-(O38+P38*'Geometry'!$G$55+Q38*'Geometry'!$F$55)/C_eco)^C_n),C_alpha*C_fck),0)))*'Geometry'!$H$55*'Geometry'!$G$55+((MAX(MIN(S_1_Es*(O38+P38*'Geometry'!$G$56+Q38*'Geometry'!$F$56),S_1_fy),-S_1_fy))-(IF((O38+P38*'Geometry'!$G$56+Q38*'Geometry'!$F$56)&gt;0,IF((O38+P38*'Geometry'!$G$56+Q38*'Geometry'!$F$56)&lt;=C_eco,C_alpha*C_fck*(1-(1-(O38+P38*'Geometry'!$G$56+Q38*'Geometry'!$F$56)/C_eco)^C_n),C_alpha*C_fck),0)))*'Geometry'!$H$56*'Geometry'!$G$56+((MAX(MIN(S_1_Es*(O38+P38*'Geometry'!$G$57+Q38*'Geometry'!$F$57),S_1_fy),-S_1_fy))-(IF((O38+P38*'Geometry'!$G$57+Q38*'Geometry'!$F$57)&gt;0,IF((O38+P38*'Geometry'!$G$57+Q38*'Geometry'!$F$57)&lt;=C_eco,C_alpha*C_fck*(1-(1-(O38+P38*'Geometry'!$G$57+Q38*'Geometry'!$F$57)/C_eco)^C_n),C_alpha*C_fck),0)))*'Geometry'!$H$57*'Geometry'!$G$57)/1000000</f>
        <v>574.8525604600505</v>
      </c>
      <c r="W38" s="10">
        <f>(((MAX(MIN(S_1_Es*(O38+P38*'Geometry'!$G$40+Q38*'Geometry'!$F$40),S_1_fy),-S_1_fy))-(IF((O38+P38*'Geometry'!$G$40+Q38*'Geometry'!$F$40)&gt;0,IF((O38+P38*'Geometry'!$G$40+Q38*'Geometry'!$F$40)&lt;=C_eco,C_alpha*C_fck*(1-(1-(O38+P38*'Geometry'!$G$40+Q38*'Geometry'!$F$40)/C_eco)^C_n),C_alpha*C_fck),0)))*'Geometry'!$H$40*'Geometry'!$F$40+((MAX(MIN(S_1_Es*(O38+P38*'Geometry'!$G$41+Q38*'Geometry'!$F$41),S_1_fy),-S_1_fy))-(IF((O38+P38*'Geometry'!$G$41+Q38*'Geometry'!$F$41)&gt;0,IF((O38+P38*'Geometry'!$G$41+Q38*'Geometry'!$F$41)&lt;=C_eco,C_alpha*C_fck*(1-(1-(O38+P38*'Geometry'!$G$41+Q38*'Geometry'!$F$41)/C_eco)^C_n),C_alpha*C_fck),0)))*'Geometry'!$H$41*'Geometry'!$F$41+((MAX(MIN(S_1_Es*(O38+P38*'Geometry'!$G$42+Q38*'Geometry'!$F$42),S_1_fy),-S_1_fy))-(IF((O38+P38*'Geometry'!$G$42+Q38*'Geometry'!$F$42)&gt;0,IF((O38+P38*'Geometry'!$G$42+Q38*'Geometry'!$F$42)&lt;=C_eco,C_alpha*C_fck*(1-(1-(O38+P38*'Geometry'!$G$42+Q38*'Geometry'!$F$42)/C_eco)^C_n),C_alpha*C_fck),0)))*'Geometry'!$H$42*'Geometry'!$F$42+((MAX(MIN(S_1_Es*(O38+P38*'Geometry'!$G$43+Q38*'Geometry'!$F$43),S_1_fy),-S_1_fy))-(IF((O38+P38*'Geometry'!$G$43+Q38*'Geometry'!$F$43)&gt;0,IF((O38+P38*'Geometry'!$G$43+Q38*'Geometry'!$F$43)&lt;=C_eco,C_alpha*C_fck*(1-(1-(O38+P38*'Geometry'!$G$43+Q38*'Geometry'!$F$43)/C_eco)^C_n),C_alpha*C_fck),0)))*'Geometry'!$H$43*'Geometry'!$F$43+((MAX(MIN(S_1_Es*(O38+P38*'Geometry'!$G$44+Q38*'Geometry'!$F$44),S_1_fy),-S_1_fy))-(IF((O38+P38*'Geometry'!$G$44+Q38*'Geometry'!$F$44)&gt;0,IF((O38+P38*'Geometry'!$G$44+Q38*'Geometry'!$F$44)&lt;=C_eco,C_alpha*C_fck*(1-(1-(O38+P38*'Geometry'!$G$44+Q38*'Geometry'!$F$44)/C_eco)^C_n),C_alpha*C_fck),0)))*'Geometry'!$H$44*'Geometry'!$F$44+((MAX(MIN(S_1_Es*(O38+P38*'Geometry'!$G$45+Q38*'Geometry'!$F$45),S_1_fy),-S_1_fy))-(IF((O38+P38*'Geometry'!$G$45+Q38*'Geometry'!$F$45)&gt;0,IF((O38+P38*'Geometry'!$G$45+Q38*'Geometry'!$F$45)&lt;=C_eco,C_alpha*C_fck*(1-(1-(O38+P38*'Geometry'!$G$45+Q38*'Geometry'!$F$45)/C_eco)^C_n),C_alpha*C_fck),0)))*'Geometry'!$H$45*'Geometry'!$F$45+((MAX(MIN(S_1_Es*(O38+P38*'Geometry'!$G$46+Q38*'Geometry'!$F$46),S_1_fy),-S_1_fy))-(IF((O38+P38*'Geometry'!$G$46+Q38*'Geometry'!$F$46)&gt;0,IF((O38+P38*'Geometry'!$G$46+Q38*'Geometry'!$F$46)&lt;=C_eco,C_alpha*C_fck*(1-(1-(O38+P38*'Geometry'!$G$46+Q38*'Geometry'!$F$46)/C_eco)^C_n),C_alpha*C_fck),0)))*'Geometry'!$H$46*'Geometry'!$F$46+((MAX(MIN(S_1_Es*(O38+P38*'Geometry'!$G$47+Q38*'Geometry'!$F$47),S_1_fy),-S_1_fy))-(IF((O38+P38*'Geometry'!$G$47+Q38*'Geometry'!$F$47)&gt;0,IF((O38+P38*'Geometry'!$G$47+Q38*'Geometry'!$F$47)&lt;=C_eco,C_alpha*C_fck*(1-(1-(O38+P38*'Geometry'!$G$47+Q38*'Geometry'!$F$47)/C_eco)^C_n),C_alpha*C_fck),0)))*'Geometry'!$H$47*'Geometry'!$F$47+((MAX(MIN(S_1_Es*(O38+P38*'Geometry'!$G$48+Q38*'Geometry'!$F$48),S_1_fy),-S_1_fy))-(IF((O38+P38*'Geometry'!$G$48+Q38*'Geometry'!$F$48)&gt;0,IF((O38+P38*'Geometry'!$G$48+Q38*'Geometry'!$F$48)&lt;=C_eco,C_alpha*C_fck*(1-(1-(O38+P38*'Geometry'!$G$48+Q38*'Geometry'!$F$48)/C_eco)^C_n),C_alpha*C_fck),0)))*'Geometry'!$H$48*'Geometry'!$F$48+((MAX(MIN(S_1_Es*(O38+P38*'Geometry'!$G$49+Q38*'Geometry'!$F$49),S_1_fy),-S_1_fy))-(IF((O38+P38*'Geometry'!$G$49+Q38*'Geometry'!$F$49)&gt;0,IF((O38+P38*'Geometry'!$G$49+Q38*'Geometry'!$F$49)&lt;=C_eco,C_alpha*C_fck*(1-(1-(O38+P38*'Geometry'!$G$49+Q38*'Geometry'!$F$49)/C_eco)^C_n),C_alpha*C_fck),0)))*'Geometry'!$H$49*'Geometry'!$F$49+((MAX(MIN(S_1_Es*(O38+P38*'Geometry'!$G$50+Q38*'Geometry'!$F$50),S_1_fy),-S_1_fy))-(IF((O38+P38*'Geometry'!$G$50+Q38*'Geometry'!$F$50)&gt;0,IF((O38+P38*'Geometry'!$G$50+Q38*'Geometry'!$F$50)&lt;=C_eco,C_alpha*C_fck*(1-(1-(O38+P38*'Geometry'!$G$50+Q38*'Geometry'!$F$50)/C_eco)^C_n),C_alpha*C_fck),0)))*'Geometry'!$H$50*'Geometry'!$F$50+((MAX(MIN(S_1_Es*(O38+P38*'Geometry'!$G$51+Q38*'Geometry'!$F$51),S_1_fy),-S_1_fy))-(IF((O38+P38*'Geometry'!$G$51+Q38*'Geometry'!$F$51)&gt;0,IF((O38+P38*'Geometry'!$G$51+Q38*'Geometry'!$F$51)&lt;=C_eco,C_alpha*C_fck*(1-(1-(O38+P38*'Geometry'!$G$51+Q38*'Geometry'!$F$51)/C_eco)^C_n),C_alpha*C_fck),0)))*'Geometry'!$H$51*'Geometry'!$F$51+((MAX(MIN(S_1_Es*(O38+P38*'Geometry'!$G$52+Q38*'Geometry'!$F$52),S_1_fy),-S_1_fy))-(IF((O38+P38*'Geometry'!$G$52+Q38*'Geometry'!$F$52)&gt;0,IF((O38+P38*'Geometry'!$G$52+Q38*'Geometry'!$F$52)&lt;=C_eco,C_alpha*C_fck*(1-(1-(O38+P38*'Geometry'!$G$52+Q38*'Geometry'!$F$52)/C_eco)^C_n),C_alpha*C_fck),0)))*'Geometry'!$H$52*'Geometry'!$F$52+((MAX(MIN(S_1_Es*(O38+P38*'Geometry'!$G$53+Q38*'Geometry'!$F$53),S_1_fy),-S_1_fy))-(IF((O38+P38*'Geometry'!$G$53+Q38*'Geometry'!$F$53)&gt;0,IF((O38+P38*'Geometry'!$G$53+Q38*'Geometry'!$F$53)&lt;=C_eco,C_alpha*C_fck*(1-(1-(O38+P38*'Geometry'!$G$53+Q38*'Geometry'!$F$53)/C_eco)^C_n),C_alpha*C_fck),0)))*'Geometry'!$H$53*'Geometry'!$F$53+((MAX(MIN(S_1_Es*(O38+P38*'Geometry'!$G$54+Q38*'Geometry'!$F$54),S_1_fy),-S_1_fy))-(IF((O38+P38*'Geometry'!$G$54+Q38*'Geometry'!$F$54)&gt;0,IF((O38+P38*'Geometry'!$G$54+Q38*'Geometry'!$F$54)&lt;=C_eco,C_alpha*C_fck*(1-(1-(O38+P38*'Geometry'!$G$54+Q38*'Geometry'!$F$54)/C_eco)^C_n),C_alpha*C_fck),0)))*'Geometry'!$H$54*'Geometry'!$F$54+((MAX(MIN(S_1_Es*(O38+P38*'Geometry'!$G$55+Q38*'Geometry'!$F$55),S_1_fy),-S_1_fy))-(IF((O38+P38*'Geometry'!$G$55+Q38*'Geometry'!$F$55)&gt;0,IF((O38+P38*'Geometry'!$G$55+Q38*'Geometry'!$F$55)&lt;=C_eco,C_alpha*C_fck*(1-(1-(O38+P38*'Geometry'!$G$55+Q38*'Geometry'!$F$55)/C_eco)^C_n),C_alpha*C_fck),0)))*'Geometry'!$H$55*'Geometry'!$F$55+((MAX(MIN(S_1_Es*(O38+P38*'Geometry'!$G$56+Q38*'Geometry'!$F$56),S_1_fy),-S_1_fy))-(IF((O38+P38*'Geometry'!$G$56+Q38*'Geometry'!$F$56)&gt;0,IF((O38+P38*'Geometry'!$G$56+Q38*'Geometry'!$F$56)&lt;=C_eco,C_alpha*C_fck*(1-(1-(O38+P38*'Geometry'!$G$56+Q38*'Geometry'!$F$56)/C_eco)^C_n),C_alpha*C_fck),0)))*'Geometry'!$H$56*'Geometry'!$F$56+((MAX(MIN(S_1_Es*(O38+P38*'Geometry'!$G$57+Q38*'Geometry'!$F$57),S_1_fy),-S_1_fy))-(IF((O38+P38*'Geometry'!$G$57+Q38*'Geometry'!$F$57)&gt;0,IF((O38+P38*'Geometry'!$G$57+Q38*'Geometry'!$F$57)&lt;=C_eco,C_alpha*C_fck*(1-(1-(O38+P38*'Geometry'!$G$57+Q38*'Geometry'!$F$57)/C_eco)^C_n),C_alpha*C_fck),0)))*'Geometry'!$H$57*'Geometry'!$F$57)/1000000</f>
        <v>-1553.213060594499</v>
      </c>
      <c r="X38" s="10">
        <f>R38+U38</f>
        <v>1070.9724925102262</v>
      </c>
      <c r="Y38" s="10">
        <f>S38+V38</f>
        <v>1776.1696397634705</v>
      </c>
      <c r="Z38" s="10">
        <f>T38+W38</f>
        <v>-3953.9023761620674</v>
      </c>
      <c r="AA38" s="7">
        <v>0.85</v>
      </c>
      <c r="AB38" s="7">
        <v>0.85</v>
      </c>
      <c r="AC38" s="10">
        <f>X38*AA38</f>
        <v>910.3266186336922</v>
      </c>
      <c r="AD38" s="10">
        <f>Y38*AB38</f>
        <v>1509.7441937989497</v>
      </c>
      <c r="AE38" s="10">
        <f>Z38*AB38</f>
        <v>-3360.817019737757</v>
      </c>
      <c r="AF38" s="7">
        <v>910.3266186336922</v>
      </c>
      <c r="AG38" s="7">
        <v>1509.7441937989497</v>
      </c>
      <c r="AH38" s="7">
        <v>-3360.817019737757</v>
      </c>
      <c r="AI38" s="15">
        <f>AC38-AF38</f>
        <v>0</v>
      </c>
      <c r="AJ38" s="15">
        <f>SQRT((AD38-AG38)^2+(AE38-AH38)^2)</f>
        <v>0</v>
      </c>
      <c r="AK38" s="7" t="s">
        <v>189</v>
      </c>
      <c r="AL38" s="7">
        <v>1070.9724925102262</v>
      </c>
      <c r="AM38" s="7">
        <v>1776.1696397634705</v>
      </c>
      <c r="AN38" s="7">
        <v>-3953.9023761620674</v>
      </c>
      <c r="AO38" s="7">
        <v>4089.8663880033787</v>
      </c>
      <c r="AP38" s="7">
        <v>1201.3170793034199</v>
      </c>
      <c r="AQ38" s="7">
        <v>-2400.6893155675684</v>
      </c>
      <c r="AR38" s="7">
        <v>-3018.8938954931527</v>
      </c>
      <c r="AS38" s="7">
        <v>574.8525604600505</v>
      </c>
      <c r="AT38" s="7">
        <v>-1553.213060594499</v>
      </c>
    </row>
    <row r="39" spans="1:46" x14ac:dyDescent="0.25">
      <c r="A39" s="7" t="s">
        <v>252</v>
      </c>
      <c r="B39" s="7">
        <v>1</v>
      </c>
      <c r="C39" s="18">
        <v>310</v>
      </c>
      <c r="D39" s="7" t="s">
        <v>298</v>
      </c>
      <c r="E39" s="7" t="s">
        <v>267</v>
      </c>
      <c r="F39" s="19">
        <v>310</v>
      </c>
      <c r="G39" s="7" t="s">
        <v>188</v>
      </c>
      <c r="H39" s="20">
        <v>5</v>
      </c>
      <c r="I39" s="10">
        <f>MAX(('Geometry'!$G$13*COS(RADIANS(F39))+'Geometry'!$F$13*SIN(RADIANS(F39))),('Geometry'!$G$14*COS(RADIANS(F39))+'Geometry'!$F$14*SIN(RADIANS(F39))),('Geometry'!$G$15*COS(RADIANS(F39))+'Geometry'!$F$15*SIN(RADIANS(F39))),('Geometry'!$G$16*COS(RADIANS(F39))+'Geometry'!$F$16*SIN(RADIANS(F39))),('Geometry'!$G$17*COS(RADIANS(F39))+'Geometry'!$F$17*SIN(RADIANS(F39))),('Geometry'!$G$18*COS(RADIANS(F39))+'Geometry'!$F$18*SIN(RADIANS(F39))),('Geometry'!$G$19*COS(RADIANS(F39))+'Geometry'!$F$19*SIN(RADIANS(F39))),('Geometry'!$G$20*COS(RADIANS(F39))+'Geometry'!$F$20*SIN(RADIANS(F39))))</f>
        <v>831.6483762138492</v>
      </c>
      <c r="J39" s="10">
        <f>MIN(('Geometry'!$G$40*COS(RADIANS(F39))+'Geometry'!$F$40*SIN(RADIANS(F39))),('Geometry'!$G$41*COS(RADIANS(F39))+'Geometry'!$F$41*SIN(RADIANS(F39))),('Geometry'!$G$42*COS(RADIANS(F39))+'Geometry'!$F$42*SIN(RADIANS(F39))),('Geometry'!$G$43*COS(RADIANS(F39))+'Geometry'!$F$43*SIN(RADIANS(F39))),('Geometry'!$G$44*COS(RADIANS(F39))+'Geometry'!$F$44*SIN(RADIANS(F39))),('Geometry'!$G$45*COS(RADIANS(F39))+'Geometry'!$F$45*SIN(RADIANS(F39))),('Geometry'!$G$46*COS(RADIANS(F39))+'Geometry'!$F$46*SIN(RADIANS(F39))),('Geometry'!$G$47*COS(RADIANS(F39))+'Geometry'!$F$47*SIN(RADIANS(F39))),('Geometry'!$G$48*COS(RADIANS(F39))+'Geometry'!$F$48*SIN(RADIANS(F39))),('Geometry'!$G$49*COS(RADIANS(F39))+'Geometry'!$F$49*SIN(RADIANS(F39))),('Geometry'!$G$50*COS(RADIANS(F39))+'Geometry'!$F$50*SIN(RADIANS(F39))),('Geometry'!$G$51*COS(RADIANS(F39))+'Geometry'!$F$51*SIN(RADIANS(F39))),('Geometry'!$G$52*COS(RADIANS(F39))+'Geometry'!$F$52*SIN(RADIANS(F39))),('Geometry'!$G$53*COS(RADIANS(F39))+'Geometry'!$F$53*SIN(RADIANS(F39))),('Geometry'!$G$54*COS(RADIANS(F39))+'Geometry'!$F$54*SIN(RADIANS(F39))),('Geometry'!$G$55*COS(RADIANS(F39))+'Geometry'!$F$55*SIN(RADIANS(F39))),('Geometry'!$G$56*COS(RADIANS(F39))+'Geometry'!$F$56*SIN(RADIANS(F39))),('Geometry'!$G$57*COS(RADIANS(F39))+'Geometry'!$F$57*SIN(RADIANS(F39))))</f>
        <v>-713.7465042268669</v>
      </c>
      <c r="K39" s="10">
        <f>I39-MIN(('Geometry'!$G$13*COS(RADIANS(F39))+'Geometry'!$F$13*SIN(RADIANS(F39))),('Geometry'!$G$14*COS(RADIANS(F39))+'Geometry'!$F$14*SIN(RADIANS(F39))),('Geometry'!$G$15*COS(RADIANS(F39))+'Geometry'!$F$15*SIN(RADIANS(F39))),('Geometry'!$G$16*COS(RADIANS(F39))+'Geometry'!$F$16*SIN(RADIANS(F39))),('Geometry'!$G$17*COS(RADIANS(F39))+'Geometry'!$F$17*SIN(RADIANS(F39))),('Geometry'!$G$18*COS(RADIANS(F39))+'Geometry'!$F$18*SIN(RADIANS(F39))),('Geometry'!$G$19*COS(RADIANS(F39))+'Geometry'!$F$19*SIN(RADIANS(F39))),('Geometry'!$G$20*COS(RADIANS(F39))+'Geometry'!$F$20*SIN(RADIANS(F39))))</f>
        <v>1663.2967524276985</v>
      </c>
      <c r="L39" s="15">
        <f>C_ecu</f>
        <v>0.0033000000000000017</v>
      </c>
      <c r="M39" s="15">
        <f>-H39*S_1_fy/S_1_Es</f>
        <v>-0.01</v>
      </c>
      <c r="N39" s="21">
        <f>IF(ABS(I39-J39)&lt;0.000000000001,0,(L39-M39)/(I39-J39))</f>
        <v>0.000008606214611120689</v>
      </c>
      <c r="O39" s="15">
        <f>L39-N39*I39</f>
        <v>-0.0038573444066864237</v>
      </c>
      <c r="P39" s="21">
        <f>N39*COS(RADIANS(F39))</f>
        <v>0.000005531968118331636</v>
      </c>
      <c r="Q39" s="21">
        <f>N39*SIN(RADIANS(F39))</f>
        <v>-0.00000659274287913836</v>
      </c>
      <c r="R39" s="10">
        <f>SUMPRODUCT(C_alpha*C_fck*(1-(1-(((O39+P39*Mesh_Y+Q39*Mesh_X))*((O39+P39*Mesh_Y+Q39*Mesh_X)&gt;0)*((O39+P39*Mesh_Y+Q39*Mesh_X)&lt;C_eco)+C_eco*((O39+P39*Mesh_Y+Q39*Mesh_X)&gt;=C_eco))/C_eco)^C_n)*(((O39+P39*Mesh_Y+Q39*Mesh_X))&gt;0),Mesh_A)/1000</f>
        <v>3883.0909675760026</v>
      </c>
      <c r="S39" s="10">
        <f>SUMPRODUCT(C_alpha*C_fck*(1-(1-(((O39+P39*Mesh_Y+Q39*Mesh_X))*((O39+P39*Mesh_Y+Q39*Mesh_X)&gt;0)*((O39+P39*Mesh_Y+Q39*Mesh_X)&lt;C_eco)+C_eco*((O39+P39*Mesh_Y+Q39*Mesh_X)&gt;=C_eco))/C_eco)^C_n)*(((O39+P39*Mesh_Y+Q39*Mesh_X))&gt;0),Mesh_A,Mesh_Y)/1000000</f>
        <v>1382.9714148509922</v>
      </c>
      <c r="T39" s="10">
        <f>SUMPRODUCT(C_alpha*C_fck*(1-(1-(((O39+P39*Mesh_Y+Q39*Mesh_X))*((O39+P39*Mesh_Y+Q39*Mesh_X)&gt;0)*((O39+P39*Mesh_Y+Q39*Mesh_X)&lt;C_eco)+C_eco*((O39+P39*Mesh_Y+Q39*Mesh_X)&gt;=C_eco))/C_eco)^C_n)*(((O39+P39*Mesh_Y+Q39*Mesh_X))&gt;0),Mesh_A,Mesh_X)/1000000</f>
        <v>-2151.1026853086846</v>
      </c>
      <c r="U39" s="10">
        <f>(((MAX(MIN(S_1_Es*(O39+P39*'Geometry'!$G$40+Q39*'Geometry'!$F$40),S_1_fy),-S_1_fy))-(IF((O39+P39*'Geometry'!$G$40+Q39*'Geometry'!$F$40)&gt;0,IF((O39+P39*'Geometry'!$G$40+Q39*'Geometry'!$F$40)&lt;=C_eco,C_alpha*C_fck*(1-(1-(O39+P39*'Geometry'!$G$40+Q39*'Geometry'!$F$40)/C_eco)^C_n),C_alpha*C_fck),0)))*'Geometry'!$H$40+((MAX(MIN(S_1_Es*(O39+P39*'Geometry'!$G$41+Q39*'Geometry'!$F$41),S_1_fy),-S_1_fy))-(IF((O39+P39*'Geometry'!$G$41+Q39*'Geometry'!$F$41)&gt;0,IF((O39+P39*'Geometry'!$G$41+Q39*'Geometry'!$F$41)&lt;=C_eco,C_alpha*C_fck*(1-(1-(O39+P39*'Geometry'!$G$41+Q39*'Geometry'!$F$41)/C_eco)^C_n),C_alpha*C_fck),0)))*'Geometry'!$H$41+((MAX(MIN(S_1_Es*(O39+P39*'Geometry'!$G$42+Q39*'Geometry'!$F$42),S_1_fy),-S_1_fy))-(IF((O39+P39*'Geometry'!$G$42+Q39*'Geometry'!$F$42)&gt;0,IF((O39+P39*'Geometry'!$G$42+Q39*'Geometry'!$F$42)&lt;=C_eco,C_alpha*C_fck*(1-(1-(O39+P39*'Geometry'!$G$42+Q39*'Geometry'!$F$42)/C_eco)^C_n),C_alpha*C_fck),0)))*'Geometry'!$H$42+((MAX(MIN(S_1_Es*(O39+P39*'Geometry'!$G$43+Q39*'Geometry'!$F$43),S_1_fy),-S_1_fy))-(IF((O39+P39*'Geometry'!$G$43+Q39*'Geometry'!$F$43)&gt;0,IF((O39+P39*'Geometry'!$G$43+Q39*'Geometry'!$F$43)&lt;=C_eco,C_alpha*C_fck*(1-(1-(O39+P39*'Geometry'!$G$43+Q39*'Geometry'!$F$43)/C_eco)^C_n),C_alpha*C_fck),0)))*'Geometry'!$H$43+((MAX(MIN(S_1_Es*(O39+P39*'Geometry'!$G$44+Q39*'Geometry'!$F$44),S_1_fy),-S_1_fy))-(IF((O39+P39*'Geometry'!$G$44+Q39*'Geometry'!$F$44)&gt;0,IF((O39+P39*'Geometry'!$G$44+Q39*'Geometry'!$F$44)&lt;=C_eco,C_alpha*C_fck*(1-(1-(O39+P39*'Geometry'!$G$44+Q39*'Geometry'!$F$44)/C_eco)^C_n),C_alpha*C_fck),0)))*'Geometry'!$H$44+((MAX(MIN(S_1_Es*(O39+P39*'Geometry'!$G$45+Q39*'Geometry'!$F$45),S_1_fy),-S_1_fy))-(IF((O39+P39*'Geometry'!$G$45+Q39*'Geometry'!$F$45)&gt;0,IF((O39+P39*'Geometry'!$G$45+Q39*'Geometry'!$F$45)&lt;=C_eco,C_alpha*C_fck*(1-(1-(O39+P39*'Geometry'!$G$45+Q39*'Geometry'!$F$45)/C_eco)^C_n),C_alpha*C_fck),0)))*'Geometry'!$H$45+((MAX(MIN(S_1_Es*(O39+P39*'Geometry'!$G$46+Q39*'Geometry'!$F$46),S_1_fy),-S_1_fy))-(IF((O39+P39*'Geometry'!$G$46+Q39*'Geometry'!$F$46)&gt;0,IF((O39+P39*'Geometry'!$G$46+Q39*'Geometry'!$F$46)&lt;=C_eco,C_alpha*C_fck*(1-(1-(O39+P39*'Geometry'!$G$46+Q39*'Geometry'!$F$46)/C_eco)^C_n),C_alpha*C_fck),0)))*'Geometry'!$H$46+((MAX(MIN(S_1_Es*(O39+P39*'Geometry'!$G$47+Q39*'Geometry'!$F$47),S_1_fy),-S_1_fy))-(IF((O39+P39*'Geometry'!$G$47+Q39*'Geometry'!$F$47)&gt;0,IF((O39+P39*'Geometry'!$G$47+Q39*'Geometry'!$F$47)&lt;=C_eco,C_alpha*C_fck*(1-(1-(O39+P39*'Geometry'!$G$47+Q39*'Geometry'!$F$47)/C_eco)^C_n),C_alpha*C_fck),0)))*'Geometry'!$H$47+((MAX(MIN(S_1_Es*(O39+P39*'Geometry'!$G$48+Q39*'Geometry'!$F$48),S_1_fy),-S_1_fy))-(IF((O39+P39*'Geometry'!$G$48+Q39*'Geometry'!$F$48)&gt;0,IF((O39+P39*'Geometry'!$G$48+Q39*'Geometry'!$F$48)&lt;=C_eco,C_alpha*C_fck*(1-(1-(O39+P39*'Geometry'!$G$48+Q39*'Geometry'!$F$48)/C_eco)^C_n),C_alpha*C_fck),0)))*'Geometry'!$H$48+((MAX(MIN(S_1_Es*(O39+P39*'Geometry'!$G$49+Q39*'Geometry'!$F$49),S_1_fy),-S_1_fy))-(IF((O39+P39*'Geometry'!$G$49+Q39*'Geometry'!$F$49)&gt;0,IF((O39+P39*'Geometry'!$G$49+Q39*'Geometry'!$F$49)&lt;=C_eco,C_alpha*C_fck*(1-(1-(O39+P39*'Geometry'!$G$49+Q39*'Geometry'!$F$49)/C_eco)^C_n),C_alpha*C_fck),0)))*'Geometry'!$H$49+((MAX(MIN(S_1_Es*(O39+P39*'Geometry'!$G$50+Q39*'Geometry'!$F$50),S_1_fy),-S_1_fy))-(IF((O39+P39*'Geometry'!$G$50+Q39*'Geometry'!$F$50)&gt;0,IF((O39+P39*'Geometry'!$G$50+Q39*'Geometry'!$F$50)&lt;=C_eco,C_alpha*C_fck*(1-(1-(O39+P39*'Geometry'!$G$50+Q39*'Geometry'!$F$50)/C_eco)^C_n),C_alpha*C_fck),0)))*'Geometry'!$H$50+((MAX(MIN(S_1_Es*(O39+P39*'Geometry'!$G$51+Q39*'Geometry'!$F$51),S_1_fy),-S_1_fy))-(IF((O39+P39*'Geometry'!$G$51+Q39*'Geometry'!$F$51)&gt;0,IF((O39+P39*'Geometry'!$G$51+Q39*'Geometry'!$F$51)&lt;=C_eco,C_alpha*C_fck*(1-(1-(O39+P39*'Geometry'!$G$51+Q39*'Geometry'!$F$51)/C_eco)^C_n),C_alpha*C_fck),0)))*'Geometry'!$H$51+((MAX(MIN(S_1_Es*(O39+P39*'Geometry'!$G$52+Q39*'Geometry'!$F$52),S_1_fy),-S_1_fy))-(IF((O39+P39*'Geometry'!$G$52+Q39*'Geometry'!$F$52)&gt;0,IF((O39+P39*'Geometry'!$G$52+Q39*'Geometry'!$F$52)&lt;=C_eco,C_alpha*C_fck*(1-(1-(O39+P39*'Geometry'!$G$52+Q39*'Geometry'!$F$52)/C_eco)^C_n),C_alpha*C_fck),0)))*'Geometry'!$H$52+((MAX(MIN(S_1_Es*(O39+P39*'Geometry'!$G$53+Q39*'Geometry'!$F$53),S_1_fy),-S_1_fy))-(IF((O39+P39*'Geometry'!$G$53+Q39*'Geometry'!$F$53)&gt;0,IF((O39+P39*'Geometry'!$G$53+Q39*'Geometry'!$F$53)&lt;=C_eco,C_alpha*C_fck*(1-(1-(O39+P39*'Geometry'!$G$53+Q39*'Geometry'!$F$53)/C_eco)^C_n),C_alpha*C_fck),0)))*'Geometry'!$H$53+((MAX(MIN(S_1_Es*(O39+P39*'Geometry'!$G$54+Q39*'Geometry'!$F$54),S_1_fy),-S_1_fy))-(IF((O39+P39*'Geometry'!$G$54+Q39*'Geometry'!$F$54)&gt;0,IF((O39+P39*'Geometry'!$G$54+Q39*'Geometry'!$F$54)&lt;=C_eco,C_alpha*C_fck*(1-(1-(O39+P39*'Geometry'!$G$54+Q39*'Geometry'!$F$54)/C_eco)^C_n),C_alpha*C_fck),0)))*'Geometry'!$H$54+((MAX(MIN(S_1_Es*(O39+P39*'Geometry'!$G$55+Q39*'Geometry'!$F$55),S_1_fy),-S_1_fy))-(IF((O39+P39*'Geometry'!$G$55+Q39*'Geometry'!$F$55)&gt;0,IF((O39+P39*'Geometry'!$G$55+Q39*'Geometry'!$F$55)&lt;=C_eco,C_alpha*C_fck*(1-(1-(O39+P39*'Geometry'!$G$55+Q39*'Geometry'!$F$55)/C_eco)^C_n),C_alpha*C_fck),0)))*'Geometry'!$H$55+((MAX(MIN(S_1_Es*(O39+P39*'Geometry'!$G$56+Q39*'Geometry'!$F$56),S_1_fy),-S_1_fy))-(IF((O39+P39*'Geometry'!$G$56+Q39*'Geometry'!$F$56)&gt;0,IF((O39+P39*'Geometry'!$G$56+Q39*'Geometry'!$F$56)&lt;=C_eco,C_alpha*C_fck*(1-(1-(O39+P39*'Geometry'!$G$56+Q39*'Geometry'!$F$56)/C_eco)^C_n),C_alpha*C_fck),0)))*'Geometry'!$H$56+((MAX(MIN(S_1_Es*(O39+P39*'Geometry'!$G$57+Q39*'Geometry'!$F$57),S_1_fy),-S_1_fy))-(IF((O39+P39*'Geometry'!$G$57+Q39*'Geometry'!$F$57)&gt;0,IF((O39+P39*'Geometry'!$G$57+Q39*'Geometry'!$F$57)&lt;=C_eco,C_alpha*C_fck*(1-(1-(O39+P39*'Geometry'!$G$57+Q39*'Geometry'!$F$57)/C_eco)^C_n),C_alpha*C_fck),0)))*'Geometry'!$H$57)/1000</f>
        <v>-3058.654807170021</v>
      </c>
      <c r="V39" s="10">
        <f>(((MAX(MIN(S_1_Es*(O39+P39*'Geometry'!$G$40+Q39*'Geometry'!$F$40),S_1_fy),-S_1_fy))-(IF((O39+P39*'Geometry'!$G$40+Q39*'Geometry'!$F$40)&gt;0,IF((O39+P39*'Geometry'!$G$40+Q39*'Geometry'!$F$40)&lt;=C_eco,C_alpha*C_fck*(1-(1-(O39+P39*'Geometry'!$G$40+Q39*'Geometry'!$F$40)/C_eco)^C_n),C_alpha*C_fck),0)))*'Geometry'!$H$40*'Geometry'!$G$40+((MAX(MIN(S_1_Es*(O39+P39*'Geometry'!$G$41+Q39*'Geometry'!$F$41),S_1_fy),-S_1_fy))-(IF((O39+P39*'Geometry'!$G$41+Q39*'Geometry'!$F$41)&gt;0,IF((O39+P39*'Geometry'!$G$41+Q39*'Geometry'!$F$41)&lt;=C_eco,C_alpha*C_fck*(1-(1-(O39+P39*'Geometry'!$G$41+Q39*'Geometry'!$F$41)/C_eco)^C_n),C_alpha*C_fck),0)))*'Geometry'!$H$41*'Geometry'!$G$41+((MAX(MIN(S_1_Es*(O39+P39*'Geometry'!$G$42+Q39*'Geometry'!$F$42),S_1_fy),-S_1_fy))-(IF((O39+P39*'Geometry'!$G$42+Q39*'Geometry'!$F$42)&gt;0,IF((O39+P39*'Geometry'!$G$42+Q39*'Geometry'!$F$42)&lt;=C_eco,C_alpha*C_fck*(1-(1-(O39+P39*'Geometry'!$G$42+Q39*'Geometry'!$F$42)/C_eco)^C_n),C_alpha*C_fck),0)))*'Geometry'!$H$42*'Geometry'!$G$42+((MAX(MIN(S_1_Es*(O39+P39*'Geometry'!$G$43+Q39*'Geometry'!$F$43),S_1_fy),-S_1_fy))-(IF((O39+P39*'Geometry'!$G$43+Q39*'Geometry'!$F$43)&gt;0,IF((O39+P39*'Geometry'!$G$43+Q39*'Geometry'!$F$43)&lt;=C_eco,C_alpha*C_fck*(1-(1-(O39+P39*'Geometry'!$G$43+Q39*'Geometry'!$F$43)/C_eco)^C_n),C_alpha*C_fck),0)))*'Geometry'!$H$43*'Geometry'!$G$43+((MAX(MIN(S_1_Es*(O39+P39*'Geometry'!$G$44+Q39*'Geometry'!$F$44),S_1_fy),-S_1_fy))-(IF((O39+P39*'Geometry'!$G$44+Q39*'Geometry'!$F$44)&gt;0,IF((O39+P39*'Geometry'!$G$44+Q39*'Geometry'!$F$44)&lt;=C_eco,C_alpha*C_fck*(1-(1-(O39+P39*'Geometry'!$G$44+Q39*'Geometry'!$F$44)/C_eco)^C_n),C_alpha*C_fck),0)))*'Geometry'!$H$44*'Geometry'!$G$44+((MAX(MIN(S_1_Es*(O39+P39*'Geometry'!$G$45+Q39*'Geometry'!$F$45),S_1_fy),-S_1_fy))-(IF((O39+P39*'Geometry'!$G$45+Q39*'Geometry'!$F$45)&gt;0,IF((O39+P39*'Geometry'!$G$45+Q39*'Geometry'!$F$45)&lt;=C_eco,C_alpha*C_fck*(1-(1-(O39+P39*'Geometry'!$G$45+Q39*'Geometry'!$F$45)/C_eco)^C_n),C_alpha*C_fck),0)))*'Geometry'!$H$45*'Geometry'!$G$45+((MAX(MIN(S_1_Es*(O39+P39*'Geometry'!$G$46+Q39*'Geometry'!$F$46),S_1_fy),-S_1_fy))-(IF((O39+P39*'Geometry'!$G$46+Q39*'Geometry'!$F$46)&gt;0,IF((O39+P39*'Geometry'!$G$46+Q39*'Geometry'!$F$46)&lt;=C_eco,C_alpha*C_fck*(1-(1-(O39+P39*'Geometry'!$G$46+Q39*'Geometry'!$F$46)/C_eco)^C_n),C_alpha*C_fck),0)))*'Geometry'!$H$46*'Geometry'!$G$46+((MAX(MIN(S_1_Es*(O39+P39*'Geometry'!$G$47+Q39*'Geometry'!$F$47),S_1_fy),-S_1_fy))-(IF((O39+P39*'Geometry'!$G$47+Q39*'Geometry'!$F$47)&gt;0,IF((O39+P39*'Geometry'!$G$47+Q39*'Geometry'!$F$47)&lt;=C_eco,C_alpha*C_fck*(1-(1-(O39+P39*'Geometry'!$G$47+Q39*'Geometry'!$F$47)/C_eco)^C_n),C_alpha*C_fck),0)))*'Geometry'!$H$47*'Geometry'!$G$47+((MAX(MIN(S_1_Es*(O39+P39*'Geometry'!$G$48+Q39*'Geometry'!$F$48),S_1_fy),-S_1_fy))-(IF((O39+P39*'Geometry'!$G$48+Q39*'Geometry'!$F$48)&gt;0,IF((O39+P39*'Geometry'!$G$48+Q39*'Geometry'!$F$48)&lt;=C_eco,C_alpha*C_fck*(1-(1-(O39+P39*'Geometry'!$G$48+Q39*'Geometry'!$F$48)/C_eco)^C_n),C_alpha*C_fck),0)))*'Geometry'!$H$48*'Geometry'!$G$48+((MAX(MIN(S_1_Es*(O39+P39*'Geometry'!$G$49+Q39*'Geometry'!$F$49),S_1_fy),-S_1_fy))-(IF((O39+P39*'Geometry'!$G$49+Q39*'Geometry'!$F$49)&gt;0,IF((O39+P39*'Geometry'!$G$49+Q39*'Geometry'!$F$49)&lt;=C_eco,C_alpha*C_fck*(1-(1-(O39+P39*'Geometry'!$G$49+Q39*'Geometry'!$F$49)/C_eco)^C_n),C_alpha*C_fck),0)))*'Geometry'!$H$49*'Geometry'!$G$49+((MAX(MIN(S_1_Es*(O39+P39*'Geometry'!$G$50+Q39*'Geometry'!$F$50),S_1_fy),-S_1_fy))-(IF((O39+P39*'Geometry'!$G$50+Q39*'Geometry'!$F$50)&gt;0,IF((O39+P39*'Geometry'!$G$50+Q39*'Geometry'!$F$50)&lt;=C_eco,C_alpha*C_fck*(1-(1-(O39+P39*'Geometry'!$G$50+Q39*'Geometry'!$F$50)/C_eco)^C_n),C_alpha*C_fck),0)))*'Geometry'!$H$50*'Geometry'!$G$50+((MAX(MIN(S_1_Es*(O39+P39*'Geometry'!$G$51+Q39*'Geometry'!$F$51),S_1_fy),-S_1_fy))-(IF((O39+P39*'Geometry'!$G$51+Q39*'Geometry'!$F$51)&gt;0,IF((O39+P39*'Geometry'!$G$51+Q39*'Geometry'!$F$51)&lt;=C_eco,C_alpha*C_fck*(1-(1-(O39+P39*'Geometry'!$G$51+Q39*'Geometry'!$F$51)/C_eco)^C_n),C_alpha*C_fck),0)))*'Geometry'!$H$51*'Geometry'!$G$51+((MAX(MIN(S_1_Es*(O39+P39*'Geometry'!$G$52+Q39*'Geometry'!$F$52),S_1_fy),-S_1_fy))-(IF((O39+P39*'Geometry'!$G$52+Q39*'Geometry'!$F$52)&gt;0,IF((O39+P39*'Geometry'!$G$52+Q39*'Geometry'!$F$52)&lt;=C_eco,C_alpha*C_fck*(1-(1-(O39+P39*'Geometry'!$G$52+Q39*'Geometry'!$F$52)/C_eco)^C_n),C_alpha*C_fck),0)))*'Geometry'!$H$52*'Geometry'!$G$52+((MAX(MIN(S_1_Es*(O39+P39*'Geometry'!$G$53+Q39*'Geometry'!$F$53),S_1_fy),-S_1_fy))-(IF((O39+P39*'Geometry'!$G$53+Q39*'Geometry'!$F$53)&gt;0,IF((O39+P39*'Geometry'!$G$53+Q39*'Geometry'!$F$53)&lt;=C_eco,C_alpha*C_fck*(1-(1-(O39+P39*'Geometry'!$G$53+Q39*'Geometry'!$F$53)/C_eco)^C_n),C_alpha*C_fck),0)))*'Geometry'!$H$53*'Geometry'!$G$53+((MAX(MIN(S_1_Es*(O39+P39*'Geometry'!$G$54+Q39*'Geometry'!$F$54),S_1_fy),-S_1_fy))-(IF((O39+P39*'Geometry'!$G$54+Q39*'Geometry'!$F$54)&gt;0,IF((O39+P39*'Geometry'!$G$54+Q39*'Geometry'!$F$54)&lt;=C_eco,C_alpha*C_fck*(1-(1-(O39+P39*'Geometry'!$G$54+Q39*'Geometry'!$F$54)/C_eco)^C_n),C_alpha*C_fck),0)))*'Geometry'!$H$54*'Geometry'!$G$54+((MAX(MIN(S_1_Es*(O39+P39*'Geometry'!$G$55+Q39*'Geometry'!$F$55),S_1_fy),-S_1_fy))-(IF((O39+P39*'Geometry'!$G$55+Q39*'Geometry'!$F$55)&gt;0,IF((O39+P39*'Geometry'!$G$55+Q39*'Geometry'!$F$55)&lt;=C_eco,C_alpha*C_fck*(1-(1-(O39+P39*'Geometry'!$G$55+Q39*'Geometry'!$F$55)/C_eco)^C_n),C_alpha*C_fck),0)))*'Geometry'!$H$55*'Geometry'!$G$55+((MAX(MIN(S_1_Es*(O39+P39*'Geometry'!$G$56+Q39*'Geometry'!$F$56),S_1_fy),-S_1_fy))-(IF((O39+P39*'Geometry'!$G$56+Q39*'Geometry'!$F$56)&gt;0,IF((O39+P39*'Geometry'!$G$56+Q39*'Geometry'!$F$56)&lt;=C_eco,C_alpha*C_fck*(1-(1-(O39+P39*'Geometry'!$G$56+Q39*'Geometry'!$F$56)/C_eco)^C_n),C_alpha*C_fck),0)))*'Geometry'!$H$56*'Geometry'!$G$56+((MAX(MIN(S_1_Es*(O39+P39*'Geometry'!$G$57+Q39*'Geometry'!$F$57),S_1_fy),-S_1_fy))-(IF((O39+P39*'Geometry'!$G$57+Q39*'Geometry'!$F$57)&gt;0,IF((O39+P39*'Geometry'!$G$57+Q39*'Geometry'!$F$57)&lt;=C_eco,C_alpha*C_fck*(1-(1-(O39+P39*'Geometry'!$G$57+Q39*'Geometry'!$F$57)/C_eco)^C_n),C_alpha*C_fck),0)))*'Geometry'!$H$57*'Geometry'!$G$57)/1000000</f>
        <v>754.0360780596264</v>
      </c>
      <c r="W39" s="10">
        <f>(((MAX(MIN(S_1_Es*(O39+P39*'Geometry'!$G$40+Q39*'Geometry'!$F$40),S_1_fy),-S_1_fy))-(IF((O39+P39*'Geometry'!$G$40+Q39*'Geometry'!$F$40)&gt;0,IF((O39+P39*'Geometry'!$G$40+Q39*'Geometry'!$F$40)&lt;=C_eco,C_alpha*C_fck*(1-(1-(O39+P39*'Geometry'!$G$40+Q39*'Geometry'!$F$40)/C_eco)^C_n),C_alpha*C_fck),0)))*'Geometry'!$H$40*'Geometry'!$F$40+((MAX(MIN(S_1_Es*(O39+P39*'Geometry'!$G$41+Q39*'Geometry'!$F$41),S_1_fy),-S_1_fy))-(IF((O39+P39*'Geometry'!$G$41+Q39*'Geometry'!$F$41)&gt;0,IF((O39+P39*'Geometry'!$G$41+Q39*'Geometry'!$F$41)&lt;=C_eco,C_alpha*C_fck*(1-(1-(O39+P39*'Geometry'!$G$41+Q39*'Geometry'!$F$41)/C_eco)^C_n),C_alpha*C_fck),0)))*'Geometry'!$H$41*'Geometry'!$F$41+((MAX(MIN(S_1_Es*(O39+P39*'Geometry'!$G$42+Q39*'Geometry'!$F$42),S_1_fy),-S_1_fy))-(IF((O39+P39*'Geometry'!$G$42+Q39*'Geometry'!$F$42)&gt;0,IF((O39+P39*'Geometry'!$G$42+Q39*'Geometry'!$F$42)&lt;=C_eco,C_alpha*C_fck*(1-(1-(O39+P39*'Geometry'!$G$42+Q39*'Geometry'!$F$42)/C_eco)^C_n),C_alpha*C_fck),0)))*'Geometry'!$H$42*'Geometry'!$F$42+((MAX(MIN(S_1_Es*(O39+P39*'Geometry'!$G$43+Q39*'Geometry'!$F$43),S_1_fy),-S_1_fy))-(IF((O39+P39*'Geometry'!$G$43+Q39*'Geometry'!$F$43)&gt;0,IF((O39+P39*'Geometry'!$G$43+Q39*'Geometry'!$F$43)&lt;=C_eco,C_alpha*C_fck*(1-(1-(O39+P39*'Geometry'!$G$43+Q39*'Geometry'!$F$43)/C_eco)^C_n),C_alpha*C_fck),0)))*'Geometry'!$H$43*'Geometry'!$F$43+((MAX(MIN(S_1_Es*(O39+P39*'Geometry'!$G$44+Q39*'Geometry'!$F$44),S_1_fy),-S_1_fy))-(IF((O39+P39*'Geometry'!$G$44+Q39*'Geometry'!$F$44)&gt;0,IF((O39+P39*'Geometry'!$G$44+Q39*'Geometry'!$F$44)&lt;=C_eco,C_alpha*C_fck*(1-(1-(O39+P39*'Geometry'!$G$44+Q39*'Geometry'!$F$44)/C_eco)^C_n),C_alpha*C_fck),0)))*'Geometry'!$H$44*'Geometry'!$F$44+((MAX(MIN(S_1_Es*(O39+P39*'Geometry'!$G$45+Q39*'Geometry'!$F$45),S_1_fy),-S_1_fy))-(IF((O39+P39*'Geometry'!$G$45+Q39*'Geometry'!$F$45)&gt;0,IF((O39+P39*'Geometry'!$G$45+Q39*'Geometry'!$F$45)&lt;=C_eco,C_alpha*C_fck*(1-(1-(O39+P39*'Geometry'!$G$45+Q39*'Geometry'!$F$45)/C_eco)^C_n),C_alpha*C_fck),0)))*'Geometry'!$H$45*'Geometry'!$F$45+((MAX(MIN(S_1_Es*(O39+P39*'Geometry'!$G$46+Q39*'Geometry'!$F$46),S_1_fy),-S_1_fy))-(IF((O39+P39*'Geometry'!$G$46+Q39*'Geometry'!$F$46)&gt;0,IF((O39+P39*'Geometry'!$G$46+Q39*'Geometry'!$F$46)&lt;=C_eco,C_alpha*C_fck*(1-(1-(O39+P39*'Geometry'!$G$46+Q39*'Geometry'!$F$46)/C_eco)^C_n),C_alpha*C_fck),0)))*'Geometry'!$H$46*'Geometry'!$F$46+((MAX(MIN(S_1_Es*(O39+P39*'Geometry'!$G$47+Q39*'Geometry'!$F$47),S_1_fy),-S_1_fy))-(IF((O39+P39*'Geometry'!$G$47+Q39*'Geometry'!$F$47)&gt;0,IF((O39+P39*'Geometry'!$G$47+Q39*'Geometry'!$F$47)&lt;=C_eco,C_alpha*C_fck*(1-(1-(O39+P39*'Geometry'!$G$47+Q39*'Geometry'!$F$47)/C_eco)^C_n),C_alpha*C_fck),0)))*'Geometry'!$H$47*'Geometry'!$F$47+((MAX(MIN(S_1_Es*(O39+P39*'Geometry'!$G$48+Q39*'Geometry'!$F$48),S_1_fy),-S_1_fy))-(IF((O39+P39*'Geometry'!$G$48+Q39*'Geometry'!$F$48)&gt;0,IF((O39+P39*'Geometry'!$G$48+Q39*'Geometry'!$F$48)&lt;=C_eco,C_alpha*C_fck*(1-(1-(O39+P39*'Geometry'!$G$48+Q39*'Geometry'!$F$48)/C_eco)^C_n),C_alpha*C_fck),0)))*'Geometry'!$H$48*'Geometry'!$F$48+((MAX(MIN(S_1_Es*(O39+P39*'Geometry'!$G$49+Q39*'Geometry'!$F$49),S_1_fy),-S_1_fy))-(IF((O39+P39*'Geometry'!$G$49+Q39*'Geometry'!$F$49)&gt;0,IF((O39+P39*'Geometry'!$G$49+Q39*'Geometry'!$F$49)&lt;=C_eco,C_alpha*C_fck*(1-(1-(O39+P39*'Geometry'!$G$49+Q39*'Geometry'!$F$49)/C_eco)^C_n),C_alpha*C_fck),0)))*'Geometry'!$H$49*'Geometry'!$F$49+((MAX(MIN(S_1_Es*(O39+P39*'Geometry'!$G$50+Q39*'Geometry'!$F$50),S_1_fy),-S_1_fy))-(IF((O39+P39*'Geometry'!$G$50+Q39*'Geometry'!$F$50)&gt;0,IF((O39+P39*'Geometry'!$G$50+Q39*'Geometry'!$F$50)&lt;=C_eco,C_alpha*C_fck*(1-(1-(O39+P39*'Geometry'!$G$50+Q39*'Geometry'!$F$50)/C_eco)^C_n),C_alpha*C_fck),0)))*'Geometry'!$H$50*'Geometry'!$F$50+((MAX(MIN(S_1_Es*(O39+P39*'Geometry'!$G$51+Q39*'Geometry'!$F$51),S_1_fy),-S_1_fy))-(IF((O39+P39*'Geometry'!$G$51+Q39*'Geometry'!$F$51)&gt;0,IF((O39+P39*'Geometry'!$G$51+Q39*'Geometry'!$F$51)&lt;=C_eco,C_alpha*C_fck*(1-(1-(O39+P39*'Geometry'!$G$51+Q39*'Geometry'!$F$51)/C_eco)^C_n),C_alpha*C_fck),0)))*'Geometry'!$H$51*'Geometry'!$F$51+((MAX(MIN(S_1_Es*(O39+P39*'Geometry'!$G$52+Q39*'Geometry'!$F$52),S_1_fy),-S_1_fy))-(IF((O39+P39*'Geometry'!$G$52+Q39*'Geometry'!$F$52)&gt;0,IF((O39+P39*'Geometry'!$G$52+Q39*'Geometry'!$F$52)&lt;=C_eco,C_alpha*C_fck*(1-(1-(O39+P39*'Geometry'!$G$52+Q39*'Geometry'!$F$52)/C_eco)^C_n),C_alpha*C_fck),0)))*'Geometry'!$H$52*'Geometry'!$F$52+((MAX(MIN(S_1_Es*(O39+P39*'Geometry'!$G$53+Q39*'Geometry'!$F$53),S_1_fy),-S_1_fy))-(IF((O39+P39*'Geometry'!$G$53+Q39*'Geometry'!$F$53)&gt;0,IF((O39+P39*'Geometry'!$G$53+Q39*'Geometry'!$F$53)&lt;=C_eco,C_alpha*C_fck*(1-(1-(O39+P39*'Geometry'!$G$53+Q39*'Geometry'!$F$53)/C_eco)^C_n),C_alpha*C_fck),0)))*'Geometry'!$H$53*'Geometry'!$F$53+((MAX(MIN(S_1_Es*(O39+P39*'Geometry'!$G$54+Q39*'Geometry'!$F$54),S_1_fy),-S_1_fy))-(IF((O39+P39*'Geometry'!$G$54+Q39*'Geometry'!$F$54)&gt;0,IF((O39+P39*'Geometry'!$G$54+Q39*'Geometry'!$F$54)&lt;=C_eco,C_alpha*C_fck*(1-(1-(O39+P39*'Geometry'!$G$54+Q39*'Geometry'!$F$54)/C_eco)^C_n),C_alpha*C_fck),0)))*'Geometry'!$H$54*'Geometry'!$F$54+((MAX(MIN(S_1_Es*(O39+P39*'Geometry'!$G$55+Q39*'Geometry'!$F$55),S_1_fy),-S_1_fy))-(IF((O39+P39*'Geometry'!$G$55+Q39*'Geometry'!$F$55)&gt;0,IF((O39+P39*'Geometry'!$G$55+Q39*'Geometry'!$F$55)&lt;=C_eco,C_alpha*C_fck*(1-(1-(O39+P39*'Geometry'!$G$55+Q39*'Geometry'!$F$55)/C_eco)^C_n),C_alpha*C_fck),0)))*'Geometry'!$H$55*'Geometry'!$F$55+((MAX(MIN(S_1_Es*(O39+P39*'Geometry'!$G$56+Q39*'Geometry'!$F$56),S_1_fy),-S_1_fy))-(IF((O39+P39*'Geometry'!$G$56+Q39*'Geometry'!$F$56)&gt;0,IF((O39+P39*'Geometry'!$G$56+Q39*'Geometry'!$F$56)&lt;=C_eco,C_alpha*C_fck*(1-(1-(O39+P39*'Geometry'!$G$56+Q39*'Geometry'!$F$56)/C_eco)^C_n),C_alpha*C_fck),0)))*'Geometry'!$H$56*'Geometry'!$F$56+((MAX(MIN(S_1_Es*(O39+P39*'Geometry'!$G$57+Q39*'Geometry'!$F$57),S_1_fy),-S_1_fy))-(IF((O39+P39*'Geometry'!$G$57+Q39*'Geometry'!$F$57)&gt;0,IF((O39+P39*'Geometry'!$G$57+Q39*'Geometry'!$F$57)&lt;=C_eco,C_alpha*C_fck*(1-(1-(O39+P39*'Geometry'!$G$57+Q39*'Geometry'!$F$57)/C_eco)^C_n),C_alpha*C_fck),0)))*'Geometry'!$H$57*'Geometry'!$F$57)/1000000</f>
        <v>-1397.3507270864898</v>
      </c>
      <c r="X39" s="10">
        <f>R39+U39</f>
        <v>824.4361604059818</v>
      </c>
      <c r="Y39" s="10">
        <f>S39+V39</f>
        <v>2137.0074929106186</v>
      </c>
      <c r="Z39" s="10">
        <f>T39+W39</f>
        <v>-3548.4534123951744</v>
      </c>
      <c r="AA39" s="7">
        <v>0.85</v>
      </c>
      <c r="AB39" s="7">
        <v>0.85</v>
      </c>
      <c r="AC39" s="10">
        <f>X39*AA39</f>
        <v>700.7707363450845</v>
      </c>
      <c r="AD39" s="10">
        <f>Y39*AB39</f>
        <v>1816.456368974026</v>
      </c>
      <c r="AE39" s="10">
        <f>Z39*AB39</f>
        <v>-3016.185400535898</v>
      </c>
      <c r="AF39" s="7">
        <v>700.7707363450845</v>
      </c>
      <c r="AG39" s="7">
        <v>1816.456368974026</v>
      </c>
      <c r="AH39" s="7">
        <v>-3016.185400535898</v>
      </c>
      <c r="AI39" s="15">
        <f>AC39-AF39</f>
        <v>0</v>
      </c>
      <c r="AJ39" s="15">
        <f>SQRT((AD39-AG39)^2+(AE39-AH39)^2)</f>
        <v>0</v>
      </c>
      <c r="AK39" s="7" t="s">
        <v>189</v>
      </c>
      <c r="AL39" s="7">
        <v>824.4361604059818</v>
      </c>
      <c r="AM39" s="7">
        <v>2137.0074929106186</v>
      </c>
      <c r="AN39" s="7">
        <v>-3548.4534123951744</v>
      </c>
      <c r="AO39" s="7">
        <v>3883.0909675760026</v>
      </c>
      <c r="AP39" s="7">
        <v>1382.9714148509922</v>
      </c>
      <c r="AQ39" s="7">
        <v>-2151.1026853086846</v>
      </c>
      <c r="AR39" s="7">
        <v>-3058.654807170021</v>
      </c>
      <c r="AS39" s="7">
        <v>754.0360780596264</v>
      </c>
      <c r="AT39" s="7">
        <v>-1397.3507270864898</v>
      </c>
    </row>
    <row r="40" spans="1:46" x14ac:dyDescent="0.25">
      <c r="A40" s="7" t="s">
        <v>254</v>
      </c>
      <c r="B40" s="7">
        <v>1</v>
      </c>
      <c r="C40" s="18">
        <v>320</v>
      </c>
      <c r="D40" s="7" t="s">
        <v>299</v>
      </c>
      <c r="E40" s="7" t="s">
        <v>267</v>
      </c>
      <c r="F40" s="19">
        <v>320</v>
      </c>
      <c r="G40" s="7" t="s">
        <v>188</v>
      </c>
      <c r="H40" s="20">
        <v>4.999999999999999</v>
      </c>
      <c r="I40" s="10">
        <f>MAX(('Geometry'!$G$13*COS(RADIANS(F40))+'Geometry'!$F$13*SIN(RADIANS(F40))),('Geometry'!$G$14*COS(RADIANS(F40))+'Geometry'!$F$14*SIN(RADIANS(F40))),('Geometry'!$G$15*COS(RADIANS(F40))+'Geometry'!$F$15*SIN(RADIANS(F40))),('Geometry'!$G$16*COS(RADIANS(F40))+'Geometry'!$F$16*SIN(RADIANS(F40))),('Geometry'!$G$17*COS(RADIANS(F40))+'Geometry'!$F$17*SIN(RADIANS(F40))),('Geometry'!$G$18*COS(RADIANS(F40))+'Geometry'!$F$18*SIN(RADIANS(F40))),('Geometry'!$G$19*COS(RADIANS(F40))+'Geometry'!$F$19*SIN(RADIANS(F40))),('Geometry'!$G$20*COS(RADIANS(F40))+'Geometry'!$F$20*SIN(RADIANS(F40))))</f>
        <v>813.1598511989835</v>
      </c>
      <c r="J40" s="10">
        <f>MIN(('Geometry'!$G$40*COS(RADIANS(F40))+'Geometry'!$F$40*SIN(RADIANS(F40))),('Geometry'!$G$41*COS(RADIANS(F40))+'Geometry'!$F$41*SIN(RADIANS(F40))),('Geometry'!$G$42*COS(RADIANS(F40))+'Geometry'!$F$42*SIN(RADIANS(F40))),('Geometry'!$G$43*COS(RADIANS(F40))+'Geometry'!$F$43*SIN(RADIANS(F40))),('Geometry'!$G$44*COS(RADIANS(F40))+'Geometry'!$F$44*SIN(RADIANS(F40))),('Geometry'!$G$45*COS(RADIANS(F40))+'Geometry'!$F$45*SIN(RADIANS(F40))),('Geometry'!$G$46*COS(RADIANS(F40))+'Geometry'!$F$46*SIN(RADIANS(F40))),('Geometry'!$G$47*COS(RADIANS(F40))+'Geometry'!$F$47*SIN(RADIANS(F40))),('Geometry'!$G$48*COS(RADIANS(F40))+'Geometry'!$F$48*SIN(RADIANS(F40))),('Geometry'!$G$49*COS(RADIANS(F40))+'Geometry'!$F$49*SIN(RADIANS(F40))),('Geometry'!$G$50*COS(RADIANS(F40))+'Geometry'!$F$50*SIN(RADIANS(F40))),('Geometry'!$G$51*COS(RADIANS(F40))+'Geometry'!$F$51*SIN(RADIANS(F40))),('Geometry'!$G$52*COS(RADIANS(F40))+'Geometry'!$F$52*SIN(RADIANS(F40))),('Geometry'!$G$53*COS(RADIANS(F40))+'Geometry'!$F$53*SIN(RADIANS(F40))),('Geometry'!$G$54*COS(RADIANS(F40))+'Geometry'!$F$54*SIN(RADIANS(F40))),('Geometry'!$G$55*COS(RADIANS(F40))+'Geometry'!$F$55*SIN(RADIANS(F40))),('Geometry'!$G$56*COS(RADIANS(F40))+'Geometry'!$F$56*SIN(RADIANS(F40))),('Geometry'!$G$57*COS(RADIANS(F40))+'Geometry'!$F$57*SIN(RADIANS(F40))))</f>
        <v>-666.9089075225402</v>
      </c>
      <c r="K40" s="10">
        <f>I40-MIN(('Geometry'!$G$13*COS(RADIANS(F40))+'Geometry'!$F$13*SIN(RADIANS(F40))),('Geometry'!$G$14*COS(RADIANS(F40))+'Geometry'!$F$14*SIN(RADIANS(F40))),('Geometry'!$G$15*COS(RADIANS(F40))+'Geometry'!$F$15*SIN(RADIANS(F40))),('Geometry'!$G$16*COS(RADIANS(F40))+'Geometry'!$F$16*SIN(RADIANS(F40))),('Geometry'!$G$17*COS(RADIANS(F40))+'Geometry'!$F$17*SIN(RADIANS(F40))),('Geometry'!$G$18*COS(RADIANS(F40))+'Geometry'!$F$18*SIN(RADIANS(F40))),('Geometry'!$G$19*COS(RADIANS(F40))+'Geometry'!$F$19*SIN(RADIANS(F40))),('Geometry'!$G$20*COS(RADIANS(F40))+'Geometry'!$F$20*SIN(RADIANS(F40))))</f>
        <v>1626.319702397967</v>
      </c>
      <c r="L40" s="15">
        <f>C_ecu</f>
        <v>0.0033</v>
      </c>
      <c r="M40" s="15">
        <f>-H40*S_1_fy/S_1_Es</f>
        <v>-0.009999999999999998</v>
      </c>
      <c r="N40" s="21">
        <f>IF(ABS(I40-J40)&lt;0.000000000001,0,(L40-M40)/(I40-J40))</f>
        <v>0.00000898606900634027</v>
      </c>
      <c r="O40" s="15">
        <f>L40-N40*I40</f>
        <v>-0.0040071105360594515</v>
      </c>
      <c r="P40" s="21">
        <f>N40*COS(RADIANS(F40))</f>
        <v>0.000006883728227790639</v>
      </c>
      <c r="Q40" s="21">
        <f>N40*SIN(RADIANS(F40))</f>
        <v>-0.00000577613381706376</v>
      </c>
      <c r="R40" s="10">
        <f>SUMPRODUCT(C_alpha*C_fck*(1-(1-(((O40+P40*Mesh_Y+Q40*Mesh_X))*((O40+P40*Mesh_Y+Q40*Mesh_X)&gt;0)*((O40+P40*Mesh_Y+Q40*Mesh_X)&lt;C_eco)+C_eco*((O40+P40*Mesh_Y+Q40*Mesh_X)&gt;=C_eco))/C_eco)^C_n)*(((O40+P40*Mesh_Y+Q40*Mesh_X))&gt;0),Mesh_A)/1000</f>
        <v>3699.782951132023</v>
      </c>
      <c r="S40" s="10">
        <f>SUMPRODUCT(C_alpha*C_fck*(1-(1-(((O40+P40*Mesh_Y+Q40*Mesh_X))*((O40+P40*Mesh_Y+Q40*Mesh_X)&gt;0)*((O40+P40*Mesh_Y+Q40*Mesh_X)&lt;C_eco)+C_eco*((O40+P40*Mesh_Y+Q40*Mesh_X)&gt;=C_eco))/C_eco)^C_n)*(((O40+P40*Mesh_Y+Q40*Mesh_X))&gt;0),Mesh_A,Mesh_Y)/1000000</f>
        <v>1506.6378187037637</v>
      </c>
      <c r="T40" s="10">
        <f>SUMPRODUCT(C_alpha*C_fck*(1-(1-(((O40+P40*Mesh_Y+Q40*Mesh_X))*((O40+P40*Mesh_Y+Q40*Mesh_X)&gt;0)*((O40+P40*Mesh_Y+Q40*Mesh_X)&lt;C_eco)+C_eco*((O40+P40*Mesh_Y+Q40*Mesh_X)&gt;=C_eco))/C_eco)^C_n)*(((O40+P40*Mesh_Y+Q40*Mesh_X))&gt;0),Mesh_A,Mesh_X)/1000000</f>
        <v>-1894.5316739402288</v>
      </c>
      <c r="U40" s="10">
        <f>(((MAX(MIN(S_1_Es*(O40+P40*'Geometry'!$G$40+Q40*'Geometry'!$F$40),S_1_fy),-S_1_fy))-(IF((O40+P40*'Geometry'!$G$40+Q40*'Geometry'!$F$40)&gt;0,IF((O40+P40*'Geometry'!$G$40+Q40*'Geometry'!$F$40)&lt;=C_eco,C_alpha*C_fck*(1-(1-(O40+P40*'Geometry'!$G$40+Q40*'Geometry'!$F$40)/C_eco)^C_n),C_alpha*C_fck),0)))*'Geometry'!$H$40+((MAX(MIN(S_1_Es*(O40+P40*'Geometry'!$G$41+Q40*'Geometry'!$F$41),S_1_fy),-S_1_fy))-(IF((O40+P40*'Geometry'!$G$41+Q40*'Geometry'!$F$41)&gt;0,IF((O40+P40*'Geometry'!$G$41+Q40*'Geometry'!$F$41)&lt;=C_eco,C_alpha*C_fck*(1-(1-(O40+P40*'Geometry'!$G$41+Q40*'Geometry'!$F$41)/C_eco)^C_n),C_alpha*C_fck),0)))*'Geometry'!$H$41+((MAX(MIN(S_1_Es*(O40+P40*'Geometry'!$G$42+Q40*'Geometry'!$F$42),S_1_fy),-S_1_fy))-(IF((O40+P40*'Geometry'!$G$42+Q40*'Geometry'!$F$42)&gt;0,IF((O40+P40*'Geometry'!$G$42+Q40*'Geometry'!$F$42)&lt;=C_eco,C_alpha*C_fck*(1-(1-(O40+P40*'Geometry'!$G$42+Q40*'Geometry'!$F$42)/C_eco)^C_n),C_alpha*C_fck),0)))*'Geometry'!$H$42+((MAX(MIN(S_1_Es*(O40+P40*'Geometry'!$G$43+Q40*'Geometry'!$F$43),S_1_fy),-S_1_fy))-(IF((O40+P40*'Geometry'!$G$43+Q40*'Geometry'!$F$43)&gt;0,IF((O40+P40*'Geometry'!$G$43+Q40*'Geometry'!$F$43)&lt;=C_eco,C_alpha*C_fck*(1-(1-(O40+P40*'Geometry'!$G$43+Q40*'Geometry'!$F$43)/C_eco)^C_n),C_alpha*C_fck),0)))*'Geometry'!$H$43+((MAX(MIN(S_1_Es*(O40+P40*'Geometry'!$G$44+Q40*'Geometry'!$F$44),S_1_fy),-S_1_fy))-(IF((O40+P40*'Geometry'!$G$44+Q40*'Geometry'!$F$44)&gt;0,IF((O40+P40*'Geometry'!$G$44+Q40*'Geometry'!$F$44)&lt;=C_eco,C_alpha*C_fck*(1-(1-(O40+P40*'Geometry'!$G$44+Q40*'Geometry'!$F$44)/C_eco)^C_n),C_alpha*C_fck),0)))*'Geometry'!$H$44+((MAX(MIN(S_1_Es*(O40+P40*'Geometry'!$G$45+Q40*'Geometry'!$F$45),S_1_fy),-S_1_fy))-(IF((O40+P40*'Geometry'!$G$45+Q40*'Geometry'!$F$45)&gt;0,IF((O40+P40*'Geometry'!$G$45+Q40*'Geometry'!$F$45)&lt;=C_eco,C_alpha*C_fck*(1-(1-(O40+P40*'Geometry'!$G$45+Q40*'Geometry'!$F$45)/C_eco)^C_n),C_alpha*C_fck),0)))*'Geometry'!$H$45+((MAX(MIN(S_1_Es*(O40+P40*'Geometry'!$G$46+Q40*'Geometry'!$F$46),S_1_fy),-S_1_fy))-(IF((O40+P40*'Geometry'!$G$46+Q40*'Geometry'!$F$46)&gt;0,IF((O40+P40*'Geometry'!$G$46+Q40*'Geometry'!$F$46)&lt;=C_eco,C_alpha*C_fck*(1-(1-(O40+P40*'Geometry'!$G$46+Q40*'Geometry'!$F$46)/C_eco)^C_n),C_alpha*C_fck),0)))*'Geometry'!$H$46+((MAX(MIN(S_1_Es*(O40+P40*'Geometry'!$G$47+Q40*'Geometry'!$F$47),S_1_fy),-S_1_fy))-(IF((O40+P40*'Geometry'!$G$47+Q40*'Geometry'!$F$47)&gt;0,IF((O40+P40*'Geometry'!$G$47+Q40*'Geometry'!$F$47)&lt;=C_eco,C_alpha*C_fck*(1-(1-(O40+P40*'Geometry'!$G$47+Q40*'Geometry'!$F$47)/C_eco)^C_n),C_alpha*C_fck),0)))*'Geometry'!$H$47+((MAX(MIN(S_1_Es*(O40+P40*'Geometry'!$G$48+Q40*'Geometry'!$F$48),S_1_fy),-S_1_fy))-(IF((O40+P40*'Geometry'!$G$48+Q40*'Geometry'!$F$48)&gt;0,IF((O40+P40*'Geometry'!$G$48+Q40*'Geometry'!$F$48)&lt;=C_eco,C_alpha*C_fck*(1-(1-(O40+P40*'Geometry'!$G$48+Q40*'Geometry'!$F$48)/C_eco)^C_n),C_alpha*C_fck),0)))*'Geometry'!$H$48+((MAX(MIN(S_1_Es*(O40+P40*'Geometry'!$G$49+Q40*'Geometry'!$F$49),S_1_fy),-S_1_fy))-(IF((O40+P40*'Geometry'!$G$49+Q40*'Geometry'!$F$49)&gt;0,IF((O40+P40*'Geometry'!$G$49+Q40*'Geometry'!$F$49)&lt;=C_eco,C_alpha*C_fck*(1-(1-(O40+P40*'Geometry'!$G$49+Q40*'Geometry'!$F$49)/C_eco)^C_n),C_alpha*C_fck),0)))*'Geometry'!$H$49+((MAX(MIN(S_1_Es*(O40+P40*'Geometry'!$G$50+Q40*'Geometry'!$F$50),S_1_fy),-S_1_fy))-(IF((O40+P40*'Geometry'!$G$50+Q40*'Geometry'!$F$50)&gt;0,IF((O40+P40*'Geometry'!$G$50+Q40*'Geometry'!$F$50)&lt;=C_eco,C_alpha*C_fck*(1-(1-(O40+P40*'Geometry'!$G$50+Q40*'Geometry'!$F$50)/C_eco)^C_n),C_alpha*C_fck),0)))*'Geometry'!$H$50+((MAX(MIN(S_1_Es*(O40+P40*'Geometry'!$G$51+Q40*'Geometry'!$F$51),S_1_fy),-S_1_fy))-(IF((O40+P40*'Geometry'!$G$51+Q40*'Geometry'!$F$51)&gt;0,IF((O40+P40*'Geometry'!$G$51+Q40*'Geometry'!$F$51)&lt;=C_eco,C_alpha*C_fck*(1-(1-(O40+P40*'Geometry'!$G$51+Q40*'Geometry'!$F$51)/C_eco)^C_n),C_alpha*C_fck),0)))*'Geometry'!$H$51+((MAX(MIN(S_1_Es*(O40+P40*'Geometry'!$G$52+Q40*'Geometry'!$F$52),S_1_fy),-S_1_fy))-(IF((O40+P40*'Geometry'!$G$52+Q40*'Geometry'!$F$52)&gt;0,IF((O40+P40*'Geometry'!$G$52+Q40*'Geometry'!$F$52)&lt;=C_eco,C_alpha*C_fck*(1-(1-(O40+P40*'Geometry'!$G$52+Q40*'Geometry'!$F$52)/C_eco)^C_n),C_alpha*C_fck),0)))*'Geometry'!$H$52+((MAX(MIN(S_1_Es*(O40+P40*'Geometry'!$G$53+Q40*'Geometry'!$F$53),S_1_fy),-S_1_fy))-(IF((O40+P40*'Geometry'!$G$53+Q40*'Geometry'!$F$53)&gt;0,IF((O40+P40*'Geometry'!$G$53+Q40*'Geometry'!$F$53)&lt;=C_eco,C_alpha*C_fck*(1-(1-(O40+P40*'Geometry'!$G$53+Q40*'Geometry'!$F$53)/C_eco)^C_n),C_alpha*C_fck),0)))*'Geometry'!$H$53+((MAX(MIN(S_1_Es*(O40+P40*'Geometry'!$G$54+Q40*'Geometry'!$F$54),S_1_fy),-S_1_fy))-(IF((O40+P40*'Geometry'!$G$54+Q40*'Geometry'!$F$54)&gt;0,IF((O40+P40*'Geometry'!$G$54+Q40*'Geometry'!$F$54)&lt;=C_eco,C_alpha*C_fck*(1-(1-(O40+P40*'Geometry'!$G$54+Q40*'Geometry'!$F$54)/C_eco)^C_n),C_alpha*C_fck),0)))*'Geometry'!$H$54+((MAX(MIN(S_1_Es*(O40+P40*'Geometry'!$G$55+Q40*'Geometry'!$F$55),S_1_fy),-S_1_fy))-(IF((O40+P40*'Geometry'!$G$55+Q40*'Geometry'!$F$55)&gt;0,IF((O40+P40*'Geometry'!$G$55+Q40*'Geometry'!$F$55)&lt;=C_eco,C_alpha*C_fck*(1-(1-(O40+P40*'Geometry'!$G$55+Q40*'Geometry'!$F$55)/C_eco)^C_n),C_alpha*C_fck),0)))*'Geometry'!$H$55+((MAX(MIN(S_1_Es*(O40+P40*'Geometry'!$G$56+Q40*'Geometry'!$F$56),S_1_fy),-S_1_fy))-(IF((O40+P40*'Geometry'!$G$56+Q40*'Geometry'!$F$56)&gt;0,IF((O40+P40*'Geometry'!$G$56+Q40*'Geometry'!$F$56)&lt;=C_eco,C_alpha*C_fck*(1-(1-(O40+P40*'Geometry'!$G$56+Q40*'Geometry'!$F$56)/C_eco)^C_n),C_alpha*C_fck),0)))*'Geometry'!$H$56+((MAX(MIN(S_1_Es*(O40+P40*'Geometry'!$G$57+Q40*'Geometry'!$F$57),S_1_fy),-S_1_fy))-(IF((O40+P40*'Geometry'!$G$57+Q40*'Geometry'!$F$57)&gt;0,IF((O40+P40*'Geometry'!$G$57+Q40*'Geometry'!$F$57)&lt;=C_eco,C_alpha*C_fck*(1-(1-(O40+P40*'Geometry'!$G$57+Q40*'Geometry'!$F$57)/C_eco)^C_n),C_alpha*C_fck),0)))*'Geometry'!$H$57)/1000</f>
        <v>-3168.649808131142</v>
      </c>
      <c r="V40" s="10">
        <f>(((MAX(MIN(S_1_Es*(O40+P40*'Geometry'!$G$40+Q40*'Geometry'!$F$40),S_1_fy),-S_1_fy))-(IF((O40+P40*'Geometry'!$G$40+Q40*'Geometry'!$F$40)&gt;0,IF((O40+P40*'Geometry'!$G$40+Q40*'Geometry'!$F$40)&lt;=C_eco,C_alpha*C_fck*(1-(1-(O40+P40*'Geometry'!$G$40+Q40*'Geometry'!$F$40)/C_eco)^C_n),C_alpha*C_fck),0)))*'Geometry'!$H$40*'Geometry'!$G$40+((MAX(MIN(S_1_Es*(O40+P40*'Geometry'!$G$41+Q40*'Geometry'!$F$41),S_1_fy),-S_1_fy))-(IF((O40+P40*'Geometry'!$G$41+Q40*'Geometry'!$F$41)&gt;0,IF((O40+P40*'Geometry'!$G$41+Q40*'Geometry'!$F$41)&lt;=C_eco,C_alpha*C_fck*(1-(1-(O40+P40*'Geometry'!$G$41+Q40*'Geometry'!$F$41)/C_eco)^C_n),C_alpha*C_fck),0)))*'Geometry'!$H$41*'Geometry'!$G$41+((MAX(MIN(S_1_Es*(O40+P40*'Geometry'!$G$42+Q40*'Geometry'!$F$42),S_1_fy),-S_1_fy))-(IF((O40+P40*'Geometry'!$G$42+Q40*'Geometry'!$F$42)&gt;0,IF((O40+P40*'Geometry'!$G$42+Q40*'Geometry'!$F$42)&lt;=C_eco,C_alpha*C_fck*(1-(1-(O40+P40*'Geometry'!$G$42+Q40*'Geometry'!$F$42)/C_eco)^C_n),C_alpha*C_fck),0)))*'Geometry'!$H$42*'Geometry'!$G$42+((MAX(MIN(S_1_Es*(O40+P40*'Geometry'!$G$43+Q40*'Geometry'!$F$43),S_1_fy),-S_1_fy))-(IF((O40+P40*'Geometry'!$G$43+Q40*'Geometry'!$F$43)&gt;0,IF((O40+P40*'Geometry'!$G$43+Q40*'Geometry'!$F$43)&lt;=C_eco,C_alpha*C_fck*(1-(1-(O40+P40*'Geometry'!$G$43+Q40*'Geometry'!$F$43)/C_eco)^C_n),C_alpha*C_fck),0)))*'Geometry'!$H$43*'Geometry'!$G$43+((MAX(MIN(S_1_Es*(O40+P40*'Geometry'!$G$44+Q40*'Geometry'!$F$44),S_1_fy),-S_1_fy))-(IF((O40+P40*'Geometry'!$G$44+Q40*'Geometry'!$F$44)&gt;0,IF((O40+P40*'Geometry'!$G$44+Q40*'Geometry'!$F$44)&lt;=C_eco,C_alpha*C_fck*(1-(1-(O40+P40*'Geometry'!$G$44+Q40*'Geometry'!$F$44)/C_eco)^C_n),C_alpha*C_fck),0)))*'Geometry'!$H$44*'Geometry'!$G$44+((MAX(MIN(S_1_Es*(O40+P40*'Geometry'!$G$45+Q40*'Geometry'!$F$45),S_1_fy),-S_1_fy))-(IF((O40+P40*'Geometry'!$G$45+Q40*'Geometry'!$F$45)&gt;0,IF((O40+P40*'Geometry'!$G$45+Q40*'Geometry'!$F$45)&lt;=C_eco,C_alpha*C_fck*(1-(1-(O40+P40*'Geometry'!$G$45+Q40*'Geometry'!$F$45)/C_eco)^C_n),C_alpha*C_fck),0)))*'Geometry'!$H$45*'Geometry'!$G$45+((MAX(MIN(S_1_Es*(O40+P40*'Geometry'!$G$46+Q40*'Geometry'!$F$46),S_1_fy),-S_1_fy))-(IF((O40+P40*'Geometry'!$G$46+Q40*'Geometry'!$F$46)&gt;0,IF((O40+P40*'Geometry'!$G$46+Q40*'Geometry'!$F$46)&lt;=C_eco,C_alpha*C_fck*(1-(1-(O40+P40*'Geometry'!$G$46+Q40*'Geometry'!$F$46)/C_eco)^C_n),C_alpha*C_fck),0)))*'Geometry'!$H$46*'Geometry'!$G$46+((MAX(MIN(S_1_Es*(O40+P40*'Geometry'!$G$47+Q40*'Geometry'!$F$47),S_1_fy),-S_1_fy))-(IF((O40+P40*'Geometry'!$G$47+Q40*'Geometry'!$F$47)&gt;0,IF((O40+P40*'Geometry'!$G$47+Q40*'Geometry'!$F$47)&lt;=C_eco,C_alpha*C_fck*(1-(1-(O40+P40*'Geometry'!$G$47+Q40*'Geometry'!$F$47)/C_eco)^C_n),C_alpha*C_fck),0)))*'Geometry'!$H$47*'Geometry'!$G$47+((MAX(MIN(S_1_Es*(O40+P40*'Geometry'!$G$48+Q40*'Geometry'!$F$48),S_1_fy),-S_1_fy))-(IF((O40+P40*'Geometry'!$G$48+Q40*'Geometry'!$F$48)&gt;0,IF((O40+P40*'Geometry'!$G$48+Q40*'Geometry'!$F$48)&lt;=C_eco,C_alpha*C_fck*(1-(1-(O40+P40*'Geometry'!$G$48+Q40*'Geometry'!$F$48)/C_eco)^C_n),C_alpha*C_fck),0)))*'Geometry'!$H$48*'Geometry'!$G$48+((MAX(MIN(S_1_Es*(O40+P40*'Geometry'!$G$49+Q40*'Geometry'!$F$49),S_1_fy),-S_1_fy))-(IF((O40+P40*'Geometry'!$G$49+Q40*'Geometry'!$F$49)&gt;0,IF((O40+P40*'Geometry'!$G$49+Q40*'Geometry'!$F$49)&lt;=C_eco,C_alpha*C_fck*(1-(1-(O40+P40*'Geometry'!$G$49+Q40*'Geometry'!$F$49)/C_eco)^C_n),C_alpha*C_fck),0)))*'Geometry'!$H$49*'Geometry'!$G$49+((MAX(MIN(S_1_Es*(O40+P40*'Geometry'!$G$50+Q40*'Geometry'!$F$50),S_1_fy),-S_1_fy))-(IF((O40+P40*'Geometry'!$G$50+Q40*'Geometry'!$F$50)&gt;0,IF((O40+P40*'Geometry'!$G$50+Q40*'Geometry'!$F$50)&lt;=C_eco,C_alpha*C_fck*(1-(1-(O40+P40*'Geometry'!$G$50+Q40*'Geometry'!$F$50)/C_eco)^C_n),C_alpha*C_fck),0)))*'Geometry'!$H$50*'Geometry'!$G$50+((MAX(MIN(S_1_Es*(O40+P40*'Geometry'!$G$51+Q40*'Geometry'!$F$51),S_1_fy),-S_1_fy))-(IF((O40+P40*'Geometry'!$G$51+Q40*'Geometry'!$F$51)&gt;0,IF((O40+P40*'Geometry'!$G$51+Q40*'Geometry'!$F$51)&lt;=C_eco,C_alpha*C_fck*(1-(1-(O40+P40*'Geometry'!$G$51+Q40*'Geometry'!$F$51)/C_eco)^C_n),C_alpha*C_fck),0)))*'Geometry'!$H$51*'Geometry'!$G$51+((MAX(MIN(S_1_Es*(O40+P40*'Geometry'!$G$52+Q40*'Geometry'!$F$52),S_1_fy),-S_1_fy))-(IF((O40+P40*'Geometry'!$G$52+Q40*'Geometry'!$F$52)&gt;0,IF((O40+P40*'Geometry'!$G$52+Q40*'Geometry'!$F$52)&lt;=C_eco,C_alpha*C_fck*(1-(1-(O40+P40*'Geometry'!$G$52+Q40*'Geometry'!$F$52)/C_eco)^C_n),C_alpha*C_fck),0)))*'Geometry'!$H$52*'Geometry'!$G$52+((MAX(MIN(S_1_Es*(O40+P40*'Geometry'!$G$53+Q40*'Geometry'!$F$53),S_1_fy),-S_1_fy))-(IF((O40+P40*'Geometry'!$G$53+Q40*'Geometry'!$F$53)&gt;0,IF((O40+P40*'Geometry'!$G$53+Q40*'Geometry'!$F$53)&lt;=C_eco,C_alpha*C_fck*(1-(1-(O40+P40*'Geometry'!$G$53+Q40*'Geometry'!$F$53)/C_eco)^C_n),C_alpha*C_fck),0)))*'Geometry'!$H$53*'Geometry'!$G$53+((MAX(MIN(S_1_Es*(O40+P40*'Geometry'!$G$54+Q40*'Geometry'!$F$54),S_1_fy),-S_1_fy))-(IF((O40+P40*'Geometry'!$G$54+Q40*'Geometry'!$F$54)&gt;0,IF((O40+P40*'Geometry'!$G$54+Q40*'Geometry'!$F$54)&lt;=C_eco,C_alpha*C_fck*(1-(1-(O40+P40*'Geometry'!$G$54+Q40*'Geometry'!$F$54)/C_eco)^C_n),C_alpha*C_fck),0)))*'Geometry'!$H$54*'Geometry'!$G$54+((MAX(MIN(S_1_Es*(O40+P40*'Geometry'!$G$55+Q40*'Geometry'!$F$55),S_1_fy),-S_1_fy))-(IF((O40+P40*'Geometry'!$G$55+Q40*'Geometry'!$F$55)&gt;0,IF((O40+P40*'Geometry'!$G$55+Q40*'Geometry'!$F$55)&lt;=C_eco,C_alpha*C_fck*(1-(1-(O40+P40*'Geometry'!$G$55+Q40*'Geometry'!$F$55)/C_eco)^C_n),C_alpha*C_fck),0)))*'Geometry'!$H$55*'Geometry'!$G$55+((MAX(MIN(S_1_Es*(O40+P40*'Geometry'!$G$56+Q40*'Geometry'!$F$56),S_1_fy),-S_1_fy))-(IF((O40+P40*'Geometry'!$G$56+Q40*'Geometry'!$F$56)&gt;0,IF((O40+P40*'Geometry'!$G$56+Q40*'Geometry'!$F$56)&lt;=C_eco,C_alpha*C_fck*(1-(1-(O40+P40*'Geometry'!$G$56+Q40*'Geometry'!$F$56)/C_eco)^C_n),C_alpha*C_fck),0)))*'Geometry'!$H$56*'Geometry'!$G$56+((MAX(MIN(S_1_Es*(O40+P40*'Geometry'!$G$57+Q40*'Geometry'!$F$57),S_1_fy),-S_1_fy))-(IF((O40+P40*'Geometry'!$G$57+Q40*'Geometry'!$F$57)&gt;0,IF((O40+P40*'Geometry'!$G$57+Q40*'Geometry'!$F$57)&lt;=C_eco,C_alpha*C_fck*(1-(1-(O40+P40*'Geometry'!$G$57+Q40*'Geometry'!$F$57)/C_eco)^C_n),C_alpha*C_fck),0)))*'Geometry'!$H$57*'Geometry'!$G$57)/1000000</f>
        <v>946.1104538385997</v>
      </c>
      <c r="W40" s="10">
        <f>(((MAX(MIN(S_1_Es*(O40+P40*'Geometry'!$G$40+Q40*'Geometry'!$F$40),S_1_fy),-S_1_fy))-(IF((O40+P40*'Geometry'!$G$40+Q40*'Geometry'!$F$40)&gt;0,IF((O40+P40*'Geometry'!$G$40+Q40*'Geometry'!$F$40)&lt;=C_eco,C_alpha*C_fck*(1-(1-(O40+P40*'Geometry'!$G$40+Q40*'Geometry'!$F$40)/C_eco)^C_n),C_alpha*C_fck),0)))*'Geometry'!$H$40*'Geometry'!$F$40+((MAX(MIN(S_1_Es*(O40+P40*'Geometry'!$G$41+Q40*'Geometry'!$F$41),S_1_fy),-S_1_fy))-(IF((O40+P40*'Geometry'!$G$41+Q40*'Geometry'!$F$41)&gt;0,IF((O40+P40*'Geometry'!$G$41+Q40*'Geometry'!$F$41)&lt;=C_eco,C_alpha*C_fck*(1-(1-(O40+P40*'Geometry'!$G$41+Q40*'Geometry'!$F$41)/C_eco)^C_n),C_alpha*C_fck),0)))*'Geometry'!$H$41*'Geometry'!$F$41+((MAX(MIN(S_1_Es*(O40+P40*'Geometry'!$G$42+Q40*'Geometry'!$F$42),S_1_fy),-S_1_fy))-(IF((O40+P40*'Geometry'!$G$42+Q40*'Geometry'!$F$42)&gt;0,IF((O40+P40*'Geometry'!$G$42+Q40*'Geometry'!$F$42)&lt;=C_eco,C_alpha*C_fck*(1-(1-(O40+P40*'Geometry'!$G$42+Q40*'Geometry'!$F$42)/C_eco)^C_n),C_alpha*C_fck),0)))*'Geometry'!$H$42*'Geometry'!$F$42+((MAX(MIN(S_1_Es*(O40+P40*'Geometry'!$G$43+Q40*'Geometry'!$F$43),S_1_fy),-S_1_fy))-(IF((O40+P40*'Geometry'!$G$43+Q40*'Geometry'!$F$43)&gt;0,IF((O40+P40*'Geometry'!$G$43+Q40*'Geometry'!$F$43)&lt;=C_eco,C_alpha*C_fck*(1-(1-(O40+P40*'Geometry'!$G$43+Q40*'Geometry'!$F$43)/C_eco)^C_n),C_alpha*C_fck),0)))*'Geometry'!$H$43*'Geometry'!$F$43+((MAX(MIN(S_1_Es*(O40+P40*'Geometry'!$G$44+Q40*'Geometry'!$F$44),S_1_fy),-S_1_fy))-(IF((O40+P40*'Geometry'!$G$44+Q40*'Geometry'!$F$44)&gt;0,IF((O40+P40*'Geometry'!$G$44+Q40*'Geometry'!$F$44)&lt;=C_eco,C_alpha*C_fck*(1-(1-(O40+P40*'Geometry'!$G$44+Q40*'Geometry'!$F$44)/C_eco)^C_n),C_alpha*C_fck),0)))*'Geometry'!$H$44*'Geometry'!$F$44+((MAX(MIN(S_1_Es*(O40+P40*'Geometry'!$G$45+Q40*'Geometry'!$F$45),S_1_fy),-S_1_fy))-(IF((O40+P40*'Geometry'!$G$45+Q40*'Geometry'!$F$45)&gt;0,IF((O40+P40*'Geometry'!$G$45+Q40*'Geometry'!$F$45)&lt;=C_eco,C_alpha*C_fck*(1-(1-(O40+P40*'Geometry'!$G$45+Q40*'Geometry'!$F$45)/C_eco)^C_n),C_alpha*C_fck),0)))*'Geometry'!$H$45*'Geometry'!$F$45+((MAX(MIN(S_1_Es*(O40+P40*'Geometry'!$G$46+Q40*'Geometry'!$F$46),S_1_fy),-S_1_fy))-(IF((O40+P40*'Geometry'!$G$46+Q40*'Geometry'!$F$46)&gt;0,IF((O40+P40*'Geometry'!$G$46+Q40*'Geometry'!$F$46)&lt;=C_eco,C_alpha*C_fck*(1-(1-(O40+P40*'Geometry'!$G$46+Q40*'Geometry'!$F$46)/C_eco)^C_n),C_alpha*C_fck),0)))*'Geometry'!$H$46*'Geometry'!$F$46+((MAX(MIN(S_1_Es*(O40+P40*'Geometry'!$G$47+Q40*'Geometry'!$F$47),S_1_fy),-S_1_fy))-(IF((O40+P40*'Geometry'!$G$47+Q40*'Geometry'!$F$47)&gt;0,IF((O40+P40*'Geometry'!$G$47+Q40*'Geometry'!$F$47)&lt;=C_eco,C_alpha*C_fck*(1-(1-(O40+P40*'Geometry'!$G$47+Q40*'Geometry'!$F$47)/C_eco)^C_n),C_alpha*C_fck),0)))*'Geometry'!$H$47*'Geometry'!$F$47+((MAX(MIN(S_1_Es*(O40+P40*'Geometry'!$G$48+Q40*'Geometry'!$F$48),S_1_fy),-S_1_fy))-(IF((O40+P40*'Geometry'!$G$48+Q40*'Geometry'!$F$48)&gt;0,IF((O40+P40*'Geometry'!$G$48+Q40*'Geometry'!$F$48)&lt;=C_eco,C_alpha*C_fck*(1-(1-(O40+P40*'Geometry'!$G$48+Q40*'Geometry'!$F$48)/C_eco)^C_n),C_alpha*C_fck),0)))*'Geometry'!$H$48*'Geometry'!$F$48+((MAX(MIN(S_1_Es*(O40+P40*'Geometry'!$G$49+Q40*'Geometry'!$F$49),S_1_fy),-S_1_fy))-(IF((O40+P40*'Geometry'!$G$49+Q40*'Geometry'!$F$49)&gt;0,IF((O40+P40*'Geometry'!$G$49+Q40*'Geometry'!$F$49)&lt;=C_eco,C_alpha*C_fck*(1-(1-(O40+P40*'Geometry'!$G$49+Q40*'Geometry'!$F$49)/C_eco)^C_n),C_alpha*C_fck),0)))*'Geometry'!$H$49*'Geometry'!$F$49+((MAX(MIN(S_1_Es*(O40+P40*'Geometry'!$G$50+Q40*'Geometry'!$F$50),S_1_fy),-S_1_fy))-(IF((O40+P40*'Geometry'!$G$50+Q40*'Geometry'!$F$50)&gt;0,IF((O40+P40*'Geometry'!$G$50+Q40*'Geometry'!$F$50)&lt;=C_eco,C_alpha*C_fck*(1-(1-(O40+P40*'Geometry'!$G$50+Q40*'Geometry'!$F$50)/C_eco)^C_n),C_alpha*C_fck),0)))*'Geometry'!$H$50*'Geometry'!$F$50+((MAX(MIN(S_1_Es*(O40+P40*'Geometry'!$G$51+Q40*'Geometry'!$F$51),S_1_fy),-S_1_fy))-(IF((O40+P40*'Geometry'!$G$51+Q40*'Geometry'!$F$51)&gt;0,IF((O40+P40*'Geometry'!$G$51+Q40*'Geometry'!$F$51)&lt;=C_eco,C_alpha*C_fck*(1-(1-(O40+P40*'Geometry'!$G$51+Q40*'Geometry'!$F$51)/C_eco)^C_n),C_alpha*C_fck),0)))*'Geometry'!$H$51*'Geometry'!$F$51+((MAX(MIN(S_1_Es*(O40+P40*'Geometry'!$G$52+Q40*'Geometry'!$F$52),S_1_fy),-S_1_fy))-(IF((O40+P40*'Geometry'!$G$52+Q40*'Geometry'!$F$52)&gt;0,IF((O40+P40*'Geometry'!$G$52+Q40*'Geometry'!$F$52)&lt;=C_eco,C_alpha*C_fck*(1-(1-(O40+P40*'Geometry'!$G$52+Q40*'Geometry'!$F$52)/C_eco)^C_n),C_alpha*C_fck),0)))*'Geometry'!$H$52*'Geometry'!$F$52+((MAX(MIN(S_1_Es*(O40+P40*'Geometry'!$G$53+Q40*'Geometry'!$F$53),S_1_fy),-S_1_fy))-(IF((O40+P40*'Geometry'!$G$53+Q40*'Geometry'!$F$53)&gt;0,IF((O40+P40*'Geometry'!$G$53+Q40*'Geometry'!$F$53)&lt;=C_eco,C_alpha*C_fck*(1-(1-(O40+P40*'Geometry'!$G$53+Q40*'Geometry'!$F$53)/C_eco)^C_n),C_alpha*C_fck),0)))*'Geometry'!$H$53*'Geometry'!$F$53+((MAX(MIN(S_1_Es*(O40+P40*'Geometry'!$G$54+Q40*'Geometry'!$F$54),S_1_fy),-S_1_fy))-(IF((O40+P40*'Geometry'!$G$54+Q40*'Geometry'!$F$54)&gt;0,IF((O40+P40*'Geometry'!$G$54+Q40*'Geometry'!$F$54)&lt;=C_eco,C_alpha*C_fck*(1-(1-(O40+P40*'Geometry'!$G$54+Q40*'Geometry'!$F$54)/C_eco)^C_n),C_alpha*C_fck),0)))*'Geometry'!$H$54*'Geometry'!$F$54+((MAX(MIN(S_1_Es*(O40+P40*'Geometry'!$G$55+Q40*'Geometry'!$F$55),S_1_fy),-S_1_fy))-(IF((O40+P40*'Geometry'!$G$55+Q40*'Geometry'!$F$55)&gt;0,IF((O40+P40*'Geometry'!$G$55+Q40*'Geometry'!$F$55)&lt;=C_eco,C_alpha*C_fck*(1-(1-(O40+P40*'Geometry'!$G$55+Q40*'Geometry'!$F$55)/C_eco)^C_n),C_alpha*C_fck),0)))*'Geometry'!$H$55*'Geometry'!$F$55+((MAX(MIN(S_1_Es*(O40+P40*'Geometry'!$G$56+Q40*'Geometry'!$F$56),S_1_fy),-S_1_fy))-(IF((O40+P40*'Geometry'!$G$56+Q40*'Geometry'!$F$56)&gt;0,IF((O40+P40*'Geometry'!$G$56+Q40*'Geometry'!$F$56)&lt;=C_eco,C_alpha*C_fck*(1-(1-(O40+P40*'Geometry'!$G$56+Q40*'Geometry'!$F$56)/C_eco)^C_n),C_alpha*C_fck),0)))*'Geometry'!$H$56*'Geometry'!$F$56+((MAX(MIN(S_1_Es*(O40+P40*'Geometry'!$G$57+Q40*'Geometry'!$F$57),S_1_fy),-S_1_fy))-(IF((O40+P40*'Geometry'!$G$57+Q40*'Geometry'!$F$57)&gt;0,IF((O40+P40*'Geometry'!$G$57+Q40*'Geometry'!$F$57)&lt;=C_eco,C_alpha*C_fck*(1-(1-(O40+P40*'Geometry'!$G$57+Q40*'Geometry'!$F$57)/C_eco)^C_n),C_alpha*C_fck),0)))*'Geometry'!$H$57*'Geometry'!$F$57)/1000000</f>
        <v>-1152.7299567919636</v>
      </c>
      <c r="X40" s="10">
        <f>R40+U40</f>
        <v>531.1331430008808</v>
      </c>
      <c r="Y40" s="10">
        <f>S40+V40</f>
        <v>2452.7482725423633</v>
      </c>
      <c r="Z40" s="10">
        <f>T40+W40</f>
        <v>-3047.261630732192</v>
      </c>
      <c r="AA40" s="7">
        <v>0.85</v>
      </c>
      <c r="AB40" s="7">
        <v>0.8499999999999999</v>
      </c>
      <c r="AC40" s="10">
        <f>X40*AA40</f>
        <v>451.4631715507486</v>
      </c>
      <c r="AD40" s="10">
        <f>Y40*AB40</f>
        <v>2084.8360316610087</v>
      </c>
      <c r="AE40" s="10">
        <f>Z40*AB40</f>
        <v>-2590.172386122363</v>
      </c>
      <c r="AF40" s="7">
        <v>451.4631715507486</v>
      </c>
      <c r="AG40" s="7">
        <v>2084.8360316610087</v>
      </c>
      <c r="AH40" s="7">
        <v>-2590.172386122363</v>
      </c>
      <c r="AI40" s="15">
        <f>AC40-AF40</f>
        <v>0</v>
      </c>
      <c r="AJ40" s="15">
        <f>SQRT((AD40-AG40)^2+(AE40-AH40)^2)</f>
        <v>0</v>
      </c>
      <c r="AK40" s="7" t="s">
        <v>189</v>
      </c>
      <c r="AL40" s="7">
        <v>531.1331430008808</v>
      </c>
      <c r="AM40" s="7">
        <v>2452.7482725423633</v>
      </c>
      <c r="AN40" s="7">
        <v>-3047.261630732192</v>
      </c>
      <c r="AO40" s="7">
        <v>3699.782951132023</v>
      </c>
      <c r="AP40" s="7">
        <v>1506.6378187037637</v>
      </c>
      <c r="AQ40" s="7">
        <v>-1894.5316739402288</v>
      </c>
      <c r="AR40" s="7">
        <v>-3168.649808131142</v>
      </c>
      <c r="AS40" s="7">
        <v>946.1104538385997</v>
      </c>
      <c r="AT40" s="7">
        <v>-1152.7299567919636</v>
      </c>
    </row>
    <row r="41" spans="1:46" x14ac:dyDescent="0.25">
      <c r="A41" s="7" t="s">
        <v>256</v>
      </c>
      <c r="B41" s="7">
        <v>1</v>
      </c>
      <c r="C41" s="18">
        <v>330</v>
      </c>
      <c r="D41" s="7" t="s">
        <v>300</v>
      </c>
      <c r="E41" s="7" t="s">
        <v>267</v>
      </c>
      <c r="F41" s="19">
        <v>330</v>
      </c>
      <c r="G41" s="7" t="s">
        <v>188</v>
      </c>
      <c r="H41" s="20">
        <v>4.999999999999999</v>
      </c>
      <c r="I41" s="10">
        <f>MAX(('Geometry'!$G$13*COS(RADIANS(F41))+'Geometry'!$F$13*SIN(RADIANS(F41))),('Geometry'!$G$14*COS(RADIANS(F41))+'Geometry'!$F$14*SIN(RADIANS(F41))),('Geometry'!$G$15*COS(RADIANS(F41))+'Geometry'!$F$15*SIN(RADIANS(F41))),('Geometry'!$G$16*COS(RADIANS(F41))+'Geometry'!$F$16*SIN(RADIANS(F41))),('Geometry'!$G$17*COS(RADIANS(F41))+'Geometry'!$F$17*SIN(RADIANS(F41))),('Geometry'!$G$18*COS(RADIANS(F41))+'Geometry'!$F$18*SIN(RADIANS(F41))),('Geometry'!$G$19*COS(RADIANS(F41))+'Geometry'!$F$19*SIN(RADIANS(F41))),('Geometry'!$G$20*COS(RADIANS(F41))+'Geometry'!$F$20*SIN(RADIANS(F41))))</f>
        <v>794.6152422706632</v>
      </c>
      <c r="J41" s="10">
        <f>MIN(('Geometry'!$G$40*COS(RADIANS(F41))+'Geometry'!$F$40*SIN(RADIANS(F41))),('Geometry'!$G$41*COS(RADIANS(F41))+'Geometry'!$F$41*SIN(RADIANS(F41))),('Geometry'!$G$42*COS(RADIANS(F41))+'Geometry'!$F$42*SIN(RADIANS(F41))),('Geometry'!$G$43*COS(RADIANS(F41))+'Geometry'!$F$43*SIN(RADIANS(F41))),('Geometry'!$G$44*COS(RADIANS(F41))+'Geometry'!$F$44*SIN(RADIANS(F41))),('Geometry'!$G$45*COS(RADIANS(F41))+'Geometry'!$F$45*SIN(RADIANS(F41))),('Geometry'!$G$46*COS(RADIANS(F41))+'Geometry'!$F$46*SIN(RADIANS(F41))),('Geometry'!$G$47*COS(RADIANS(F41))+'Geometry'!$F$47*SIN(RADIANS(F41))),('Geometry'!$G$48*COS(RADIANS(F41))+'Geometry'!$F$48*SIN(RADIANS(F41))),('Geometry'!$G$49*COS(RADIANS(F41))+'Geometry'!$F$49*SIN(RADIANS(F41))),('Geometry'!$G$50*COS(RADIANS(F41))+'Geometry'!$F$50*SIN(RADIANS(F41))),('Geometry'!$G$51*COS(RADIANS(F41))+'Geometry'!$F$51*SIN(RADIANS(F41))),('Geometry'!$G$52*COS(RADIANS(F41))+'Geometry'!$F$52*SIN(RADIANS(F41))),('Geometry'!$G$53*COS(RADIANS(F41))+'Geometry'!$F$53*SIN(RADIANS(F41))),('Geometry'!$G$54*COS(RADIANS(F41))+'Geometry'!$F$54*SIN(RADIANS(F41))),('Geometry'!$G$55*COS(RADIANS(F41))+'Geometry'!$F$55*SIN(RADIANS(F41))),('Geometry'!$G$56*COS(RADIANS(F41))+'Geometry'!$F$56*SIN(RADIANS(F41))),('Geometry'!$G$57*COS(RADIANS(F41))+'Geometry'!$F$57*SIN(RADIANS(F41))))</f>
        <v>-658.9934640057525</v>
      </c>
      <c r="K41" s="10">
        <f>I41-MIN(('Geometry'!$G$13*COS(RADIANS(F41))+'Geometry'!$F$13*SIN(RADIANS(F41))),('Geometry'!$G$14*COS(RADIANS(F41))+'Geometry'!$F$14*SIN(RADIANS(F41))),('Geometry'!$G$15*COS(RADIANS(F41))+'Geometry'!$F$15*SIN(RADIANS(F41))),('Geometry'!$G$16*COS(RADIANS(F41))+'Geometry'!$F$16*SIN(RADIANS(F41))),('Geometry'!$G$17*COS(RADIANS(F41))+'Geometry'!$F$17*SIN(RADIANS(F41))),('Geometry'!$G$18*COS(RADIANS(F41))+'Geometry'!$F$18*SIN(RADIANS(F41))),('Geometry'!$G$19*COS(RADIANS(F41))+'Geometry'!$F$19*SIN(RADIANS(F41))),('Geometry'!$G$20*COS(RADIANS(F41))+'Geometry'!$F$20*SIN(RADIANS(F41))))</f>
        <v>1589.2304845413264</v>
      </c>
      <c r="L41" s="15">
        <f>C_ecu</f>
        <v>0.0033</v>
      </c>
      <c r="M41" s="15">
        <f>-H41*S_1_fy/S_1_Es</f>
        <v>-0.009999999999999998</v>
      </c>
      <c r="N41" s="21">
        <f>IF(ABS(I41-J41)&lt;0.000000000001,0,(L41-M41)/(I41-J41))</f>
        <v>0.00000914964250184595</v>
      </c>
      <c r="O41" s="15">
        <f>L41-N41*I41</f>
        <v>-0.003970445393294277</v>
      </c>
      <c r="P41" s="21">
        <f>N41*COS(RADIANS(F41))</f>
        <v>0.000007923822842144402</v>
      </c>
      <c r="Q41" s="21">
        <f>N41*SIN(RADIANS(F41))</f>
        <v>-0.000004574821250922972</v>
      </c>
      <c r="R41" s="10">
        <f>SUMPRODUCT(C_alpha*C_fck*(1-(1-(((O41+P41*Mesh_Y+Q41*Mesh_X))*((O41+P41*Mesh_Y+Q41*Mesh_X)&gt;0)*((O41+P41*Mesh_Y+Q41*Mesh_X)&lt;C_eco)+C_eco*((O41+P41*Mesh_Y+Q41*Mesh_X)&gt;=C_eco))/C_eco)^C_n)*(((O41+P41*Mesh_Y+Q41*Mesh_X))&gt;0),Mesh_A)/1000</f>
        <v>3641.1948819572935</v>
      </c>
      <c r="S41" s="10">
        <f>SUMPRODUCT(C_alpha*C_fck*(1-(1-(((O41+P41*Mesh_Y+Q41*Mesh_X))*((O41+P41*Mesh_Y+Q41*Mesh_X)&gt;0)*((O41+P41*Mesh_Y+Q41*Mesh_X)&lt;C_eco)+C_eco*((O41+P41*Mesh_Y+Q41*Mesh_X)&gt;=C_eco))/C_eco)^C_n)*(((O41+P41*Mesh_Y+Q41*Mesh_X))&gt;0),Mesh_A,Mesh_Y)/1000000</f>
        <v>1616.2132996004455</v>
      </c>
      <c r="T41" s="10">
        <f>SUMPRODUCT(C_alpha*C_fck*(1-(1-(((O41+P41*Mesh_Y+Q41*Mesh_X))*((O41+P41*Mesh_Y+Q41*Mesh_X)&gt;0)*((O41+P41*Mesh_Y+Q41*Mesh_X)&lt;C_eco)+C_eco*((O41+P41*Mesh_Y+Q41*Mesh_X)&gt;=C_eco))/C_eco)^C_n)*(((O41+P41*Mesh_Y+Q41*Mesh_X))&gt;0),Mesh_A,Mesh_X)/1000000</f>
        <v>-1675.4893456782947</v>
      </c>
      <c r="U41" s="10">
        <f>(((MAX(MIN(S_1_Es*(O41+P41*'Geometry'!$G$40+Q41*'Geometry'!$F$40),S_1_fy),-S_1_fy))-(IF((O41+P41*'Geometry'!$G$40+Q41*'Geometry'!$F$40)&gt;0,IF((O41+P41*'Geometry'!$G$40+Q41*'Geometry'!$F$40)&lt;=C_eco,C_alpha*C_fck*(1-(1-(O41+P41*'Geometry'!$G$40+Q41*'Geometry'!$F$40)/C_eco)^C_n),C_alpha*C_fck),0)))*'Geometry'!$H$40+((MAX(MIN(S_1_Es*(O41+P41*'Geometry'!$G$41+Q41*'Geometry'!$F$41),S_1_fy),-S_1_fy))-(IF((O41+P41*'Geometry'!$G$41+Q41*'Geometry'!$F$41)&gt;0,IF((O41+P41*'Geometry'!$G$41+Q41*'Geometry'!$F$41)&lt;=C_eco,C_alpha*C_fck*(1-(1-(O41+P41*'Geometry'!$G$41+Q41*'Geometry'!$F$41)/C_eco)^C_n),C_alpha*C_fck),0)))*'Geometry'!$H$41+((MAX(MIN(S_1_Es*(O41+P41*'Geometry'!$G$42+Q41*'Geometry'!$F$42),S_1_fy),-S_1_fy))-(IF((O41+P41*'Geometry'!$G$42+Q41*'Geometry'!$F$42)&gt;0,IF((O41+P41*'Geometry'!$G$42+Q41*'Geometry'!$F$42)&lt;=C_eco,C_alpha*C_fck*(1-(1-(O41+P41*'Geometry'!$G$42+Q41*'Geometry'!$F$42)/C_eco)^C_n),C_alpha*C_fck),0)))*'Geometry'!$H$42+((MAX(MIN(S_1_Es*(O41+P41*'Geometry'!$G$43+Q41*'Geometry'!$F$43),S_1_fy),-S_1_fy))-(IF((O41+P41*'Geometry'!$G$43+Q41*'Geometry'!$F$43)&gt;0,IF((O41+P41*'Geometry'!$G$43+Q41*'Geometry'!$F$43)&lt;=C_eco,C_alpha*C_fck*(1-(1-(O41+P41*'Geometry'!$G$43+Q41*'Geometry'!$F$43)/C_eco)^C_n),C_alpha*C_fck),0)))*'Geometry'!$H$43+((MAX(MIN(S_1_Es*(O41+P41*'Geometry'!$G$44+Q41*'Geometry'!$F$44),S_1_fy),-S_1_fy))-(IF((O41+P41*'Geometry'!$G$44+Q41*'Geometry'!$F$44)&gt;0,IF((O41+P41*'Geometry'!$G$44+Q41*'Geometry'!$F$44)&lt;=C_eco,C_alpha*C_fck*(1-(1-(O41+P41*'Geometry'!$G$44+Q41*'Geometry'!$F$44)/C_eco)^C_n),C_alpha*C_fck),0)))*'Geometry'!$H$44+((MAX(MIN(S_1_Es*(O41+P41*'Geometry'!$G$45+Q41*'Geometry'!$F$45),S_1_fy),-S_1_fy))-(IF((O41+P41*'Geometry'!$G$45+Q41*'Geometry'!$F$45)&gt;0,IF((O41+P41*'Geometry'!$G$45+Q41*'Geometry'!$F$45)&lt;=C_eco,C_alpha*C_fck*(1-(1-(O41+P41*'Geometry'!$G$45+Q41*'Geometry'!$F$45)/C_eco)^C_n),C_alpha*C_fck),0)))*'Geometry'!$H$45+((MAX(MIN(S_1_Es*(O41+P41*'Geometry'!$G$46+Q41*'Geometry'!$F$46),S_1_fy),-S_1_fy))-(IF((O41+P41*'Geometry'!$G$46+Q41*'Geometry'!$F$46)&gt;0,IF((O41+P41*'Geometry'!$G$46+Q41*'Geometry'!$F$46)&lt;=C_eco,C_alpha*C_fck*(1-(1-(O41+P41*'Geometry'!$G$46+Q41*'Geometry'!$F$46)/C_eco)^C_n),C_alpha*C_fck),0)))*'Geometry'!$H$46+((MAX(MIN(S_1_Es*(O41+P41*'Geometry'!$G$47+Q41*'Geometry'!$F$47),S_1_fy),-S_1_fy))-(IF((O41+P41*'Geometry'!$G$47+Q41*'Geometry'!$F$47)&gt;0,IF((O41+P41*'Geometry'!$G$47+Q41*'Geometry'!$F$47)&lt;=C_eco,C_alpha*C_fck*(1-(1-(O41+P41*'Geometry'!$G$47+Q41*'Geometry'!$F$47)/C_eco)^C_n),C_alpha*C_fck),0)))*'Geometry'!$H$47+((MAX(MIN(S_1_Es*(O41+P41*'Geometry'!$G$48+Q41*'Geometry'!$F$48),S_1_fy),-S_1_fy))-(IF((O41+P41*'Geometry'!$G$48+Q41*'Geometry'!$F$48)&gt;0,IF((O41+P41*'Geometry'!$G$48+Q41*'Geometry'!$F$48)&lt;=C_eco,C_alpha*C_fck*(1-(1-(O41+P41*'Geometry'!$G$48+Q41*'Geometry'!$F$48)/C_eco)^C_n),C_alpha*C_fck),0)))*'Geometry'!$H$48+((MAX(MIN(S_1_Es*(O41+P41*'Geometry'!$G$49+Q41*'Geometry'!$F$49),S_1_fy),-S_1_fy))-(IF((O41+P41*'Geometry'!$G$49+Q41*'Geometry'!$F$49)&gt;0,IF((O41+P41*'Geometry'!$G$49+Q41*'Geometry'!$F$49)&lt;=C_eco,C_alpha*C_fck*(1-(1-(O41+P41*'Geometry'!$G$49+Q41*'Geometry'!$F$49)/C_eco)^C_n),C_alpha*C_fck),0)))*'Geometry'!$H$49+((MAX(MIN(S_1_Es*(O41+P41*'Geometry'!$G$50+Q41*'Geometry'!$F$50),S_1_fy),-S_1_fy))-(IF((O41+P41*'Geometry'!$G$50+Q41*'Geometry'!$F$50)&gt;0,IF((O41+P41*'Geometry'!$G$50+Q41*'Geometry'!$F$50)&lt;=C_eco,C_alpha*C_fck*(1-(1-(O41+P41*'Geometry'!$G$50+Q41*'Geometry'!$F$50)/C_eco)^C_n),C_alpha*C_fck),0)))*'Geometry'!$H$50+((MAX(MIN(S_1_Es*(O41+P41*'Geometry'!$G$51+Q41*'Geometry'!$F$51),S_1_fy),-S_1_fy))-(IF((O41+P41*'Geometry'!$G$51+Q41*'Geometry'!$F$51)&gt;0,IF((O41+P41*'Geometry'!$G$51+Q41*'Geometry'!$F$51)&lt;=C_eco,C_alpha*C_fck*(1-(1-(O41+P41*'Geometry'!$G$51+Q41*'Geometry'!$F$51)/C_eco)^C_n),C_alpha*C_fck),0)))*'Geometry'!$H$51+((MAX(MIN(S_1_Es*(O41+P41*'Geometry'!$G$52+Q41*'Geometry'!$F$52),S_1_fy),-S_1_fy))-(IF((O41+P41*'Geometry'!$G$52+Q41*'Geometry'!$F$52)&gt;0,IF((O41+P41*'Geometry'!$G$52+Q41*'Geometry'!$F$52)&lt;=C_eco,C_alpha*C_fck*(1-(1-(O41+P41*'Geometry'!$G$52+Q41*'Geometry'!$F$52)/C_eco)^C_n),C_alpha*C_fck),0)))*'Geometry'!$H$52+((MAX(MIN(S_1_Es*(O41+P41*'Geometry'!$G$53+Q41*'Geometry'!$F$53),S_1_fy),-S_1_fy))-(IF((O41+P41*'Geometry'!$G$53+Q41*'Geometry'!$F$53)&gt;0,IF((O41+P41*'Geometry'!$G$53+Q41*'Geometry'!$F$53)&lt;=C_eco,C_alpha*C_fck*(1-(1-(O41+P41*'Geometry'!$G$53+Q41*'Geometry'!$F$53)/C_eco)^C_n),C_alpha*C_fck),0)))*'Geometry'!$H$53+((MAX(MIN(S_1_Es*(O41+P41*'Geometry'!$G$54+Q41*'Geometry'!$F$54),S_1_fy),-S_1_fy))-(IF((O41+P41*'Geometry'!$G$54+Q41*'Geometry'!$F$54)&gt;0,IF((O41+P41*'Geometry'!$G$54+Q41*'Geometry'!$F$54)&lt;=C_eco,C_alpha*C_fck*(1-(1-(O41+P41*'Geometry'!$G$54+Q41*'Geometry'!$F$54)/C_eco)^C_n),C_alpha*C_fck),0)))*'Geometry'!$H$54+((MAX(MIN(S_1_Es*(O41+P41*'Geometry'!$G$55+Q41*'Geometry'!$F$55),S_1_fy),-S_1_fy))-(IF((O41+P41*'Geometry'!$G$55+Q41*'Geometry'!$F$55)&gt;0,IF((O41+P41*'Geometry'!$G$55+Q41*'Geometry'!$F$55)&lt;=C_eco,C_alpha*C_fck*(1-(1-(O41+P41*'Geometry'!$G$55+Q41*'Geometry'!$F$55)/C_eco)^C_n),C_alpha*C_fck),0)))*'Geometry'!$H$55+((MAX(MIN(S_1_Es*(O41+P41*'Geometry'!$G$56+Q41*'Geometry'!$F$56),S_1_fy),-S_1_fy))-(IF((O41+P41*'Geometry'!$G$56+Q41*'Geometry'!$F$56)&gt;0,IF((O41+P41*'Geometry'!$G$56+Q41*'Geometry'!$F$56)&lt;=C_eco,C_alpha*C_fck*(1-(1-(O41+P41*'Geometry'!$G$56+Q41*'Geometry'!$F$56)/C_eco)^C_n),C_alpha*C_fck),0)))*'Geometry'!$H$56+((MAX(MIN(S_1_Es*(O41+P41*'Geometry'!$G$57+Q41*'Geometry'!$F$57),S_1_fy),-S_1_fy))-(IF((O41+P41*'Geometry'!$G$57+Q41*'Geometry'!$F$57)&gt;0,IF((O41+P41*'Geometry'!$G$57+Q41*'Geometry'!$F$57)&lt;=C_eco,C_alpha*C_fck*(1-(1-(O41+P41*'Geometry'!$G$57+Q41*'Geometry'!$F$57)/C_eco)^C_n),C_alpha*C_fck),0)))*'Geometry'!$H$57)/1000</f>
        <v>-3135.6073900923475</v>
      </c>
      <c r="V41" s="10">
        <f>(((MAX(MIN(S_1_Es*(O41+P41*'Geometry'!$G$40+Q41*'Geometry'!$F$40),S_1_fy),-S_1_fy))-(IF((O41+P41*'Geometry'!$G$40+Q41*'Geometry'!$F$40)&gt;0,IF((O41+P41*'Geometry'!$G$40+Q41*'Geometry'!$F$40)&lt;=C_eco,C_alpha*C_fck*(1-(1-(O41+P41*'Geometry'!$G$40+Q41*'Geometry'!$F$40)/C_eco)^C_n),C_alpha*C_fck),0)))*'Geometry'!$H$40*'Geometry'!$G$40+((MAX(MIN(S_1_Es*(O41+P41*'Geometry'!$G$41+Q41*'Geometry'!$F$41),S_1_fy),-S_1_fy))-(IF((O41+P41*'Geometry'!$G$41+Q41*'Geometry'!$F$41)&gt;0,IF((O41+P41*'Geometry'!$G$41+Q41*'Geometry'!$F$41)&lt;=C_eco,C_alpha*C_fck*(1-(1-(O41+P41*'Geometry'!$G$41+Q41*'Geometry'!$F$41)/C_eco)^C_n),C_alpha*C_fck),0)))*'Geometry'!$H$41*'Geometry'!$G$41+((MAX(MIN(S_1_Es*(O41+P41*'Geometry'!$G$42+Q41*'Geometry'!$F$42),S_1_fy),-S_1_fy))-(IF((O41+P41*'Geometry'!$G$42+Q41*'Geometry'!$F$42)&gt;0,IF((O41+P41*'Geometry'!$G$42+Q41*'Geometry'!$F$42)&lt;=C_eco,C_alpha*C_fck*(1-(1-(O41+P41*'Geometry'!$G$42+Q41*'Geometry'!$F$42)/C_eco)^C_n),C_alpha*C_fck),0)))*'Geometry'!$H$42*'Geometry'!$G$42+((MAX(MIN(S_1_Es*(O41+P41*'Geometry'!$G$43+Q41*'Geometry'!$F$43),S_1_fy),-S_1_fy))-(IF((O41+P41*'Geometry'!$G$43+Q41*'Geometry'!$F$43)&gt;0,IF((O41+P41*'Geometry'!$G$43+Q41*'Geometry'!$F$43)&lt;=C_eco,C_alpha*C_fck*(1-(1-(O41+P41*'Geometry'!$G$43+Q41*'Geometry'!$F$43)/C_eco)^C_n),C_alpha*C_fck),0)))*'Geometry'!$H$43*'Geometry'!$G$43+((MAX(MIN(S_1_Es*(O41+P41*'Geometry'!$G$44+Q41*'Geometry'!$F$44),S_1_fy),-S_1_fy))-(IF((O41+P41*'Geometry'!$G$44+Q41*'Geometry'!$F$44)&gt;0,IF((O41+P41*'Geometry'!$G$44+Q41*'Geometry'!$F$44)&lt;=C_eco,C_alpha*C_fck*(1-(1-(O41+P41*'Geometry'!$G$44+Q41*'Geometry'!$F$44)/C_eco)^C_n),C_alpha*C_fck),0)))*'Geometry'!$H$44*'Geometry'!$G$44+((MAX(MIN(S_1_Es*(O41+P41*'Geometry'!$G$45+Q41*'Geometry'!$F$45),S_1_fy),-S_1_fy))-(IF((O41+P41*'Geometry'!$G$45+Q41*'Geometry'!$F$45)&gt;0,IF((O41+P41*'Geometry'!$G$45+Q41*'Geometry'!$F$45)&lt;=C_eco,C_alpha*C_fck*(1-(1-(O41+P41*'Geometry'!$G$45+Q41*'Geometry'!$F$45)/C_eco)^C_n),C_alpha*C_fck),0)))*'Geometry'!$H$45*'Geometry'!$G$45+((MAX(MIN(S_1_Es*(O41+P41*'Geometry'!$G$46+Q41*'Geometry'!$F$46),S_1_fy),-S_1_fy))-(IF((O41+P41*'Geometry'!$G$46+Q41*'Geometry'!$F$46)&gt;0,IF((O41+P41*'Geometry'!$G$46+Q41*'Geometry'!$F$46)&lt;=C_eco,C_alpha*C_fck*(1-(1-(O41+P41*'Geometry'!$G$46+Q41*'Geometry'!$F$46)/C_eco)^C_n),C_alpha*C_fck),0)))*'Geometry'!$H$46*'Geometry'!$G$46+((MAX(MIN(S_1_Es*(O41+P41*'Geometry'!$G$47+Q41*'Geometry'!$F$47),S_1_fy),-S_1_fy))-(IF((O41+P41*'Geometry'!$G$47+Q41*'Geometry'!$F$47)&gt;0,IF((O41+P41*'Geometry'!$G$47+Q41*'Geometry'!$F$47)&lt;=C_eco,C_alpha*C_fck*(1-(1-(O41+P41*'Geometry'!$G$47+Q41*'Geometry'!$F$47)/C_eco)^C_n),C_alpha*C_fck),0)))*'Geometry'!$H$47*'Geometry'!$G$47+((MAX(MIN(S_1_Es*(O41+P41*'Geometry'!$G$48+Q41*'Geometry'!$F$48),S_1_fy),-S_1_fy))-(IF((O41+P41*'Geometry'!$G$48+Q41*'Geometry'!$F$48)&gt;0,IF((O41+P41*'Geometry'!$G$48+Q41*'Geometry'!$F$48)&lt;=C_eco,C_alpha*C_fck*(1-(1-(O41+P41*'Geometry'!$G$48+Q41*'Geometry'!$F$48)/C_eco)^C_n),C_alpha*C_fck),0)))*'Geometry'!$H$48*'Geometry'!$G$48+((MAX(MIN(S_1_Es*(O41+P41*'Geometry'!$G$49+Q41*'Geometry'!$F$49),S_1_fy),-S_1_fy))-(IF((O41+P41*'Geometry'!$G$49+Q41*'Geometry'!$F$49)&gt;0,IF((O41+P41*'Geometry'!$G$49+Q41*'Geometry'!$F$49)&lt;=C_eco,C_alpha*C_fck*(1-(1-(O41+P41*'Geometry'!$G$49+Q41*'Geometry'!$F$49)/C_eco)^C_n),C_alpha*C_fck),0)))*'Geometry'!$H$49*'Geometry'!$G$49+((MAX(MIN(S_1_Es*(O41+P41*'Geometry'!$G$50+Q41*'Geometry'!$F$50),S_1_fy),-S_1_fy))-(IF((O41+P41*'Geometry'!$G$50+Q41*'Geometry'!$F$50)&gt;0,IF((O41+P41*'Geometry'!$G$50+Q41*'Geometry'!$F$50)&lt;=C_eco,C_alpha*C_fck*(1-(1-(O41+P41*'Geometry'!$G$50+Q41*'Geometry'!$F$50)/C_eco)^C_n),C_alpha*C_fck),0)))*'Geometry'!$H$50*'Geometry'!$G$50+((MAX(MIN(S_1_Es*(O41+P41*'Geometry'!$G$51+Q41*'Geometry'!$F$51),S_1_fy),-S_1_fy))-(IF((O41+P41*'Geometry'!$G$51+Q41*'Geometry'!$F$51)&gt;0,IF((O41+P41*'Geometry'!$G$51+Q41*'Geometry'!$F$51)&lt;=C_eco,C_alpha*C_fck*(1-(1-(O41+P41*'Geometry'!$G$51+Q41*'Geometry'!$F$51)/C_eco)^C_n),C_alpha*C_fck),0)))*'Geometry'!$H$51*'Geometry'!$G$51+((MAX(MIN(S_1_Es*(O41+P41*'Geometry'!$G$52+Q41*'Geometry'!$F$52),S_1_fy),-S_1_fy))-(IF((O41+P41*'Geometry'!$G$52+Q41*'Geometry'!$F$52)&gt;0,IF((O41+P41*'Geometry'!$G$52+Q41*'Geometry'!$F$52)&lt;=C_eco,C_alpha*C_fck*(1-(1-(O41+P41*'Geometry'!$G$52+Q41*'Geometry'!$F$52)/C_eco)^C_n),C_alpha*C_fck),0)))*'Geometry'!$H$52*'Geometry'!$G$52+((MAX(MIN(S_1_Es*(O41+P41*'Geometry'!$G$53+Q41*'Geometry'!$F$53),S_1_fy),-S_1_fy))-(IF((O41+P41*'Geometry'!$G$53+Q41*'Geometry'!$F$53)&gt;0,IF((O41+P41*'Geometry'!$G$53+Q41*'Geometry'!$F$53)&lt;=C_eco,C_alpha*C_fck*(1-(1-(O41+P41*'Geometry'!$G$53+Q41*'Geometry'!$F$53)/C_eco)^C_n),C_alpha*C_fck),0)))*'Geometry'!$H$53*'Geometry'!$G$53+((MAX(MIN(S_1_Es*(O41+P41*'Geometry'!$G$54+Q41*'Geometry'!$F$54),S_1_fy),-S_1_fy))-(IF((O41+P41*'Geometry'!$G$54+Q41*'Geometry'!$F$54)&gt;0,IF((O41+P41*'Geometry'!$G$54+Q41*'Geometry'!$F$54)&lt;=C_eco,C_alpha*C_fck*(1-(1-(O41+P41*'Geometry'!$G$54+Q41*'Geometry'!$F$54)/C_eco)^C_n),C_alpha*C_fck),0)))*'Geometry'!$H$54*'Geometry'!$G$54+((MAX(MIN(S_1_Es*(O41+P41*'Geometry'!$G$55+Q41*'Geometry'!$F$55),S_1_fy),-S_1_fy))-(IF((O41+P41*'Geometry'!$G$55+Q41*'Geometry'!$F$55)&gt;0,IF((O41+P41*'Geometry'!$G$55+Q41*'Geometry'!$F$55)&lt;=C_eco,C_alpha*C_fck*(1-(1-(O41+P41*'Geometry'!$G$55+Q41*'Geometry'!$F$55)/C_eco)^C_n),C_alpha*C_fck),0)))*'Geometry'!$H$55*'Geometry'!$G$55+((MAX(MIN(S_1_Es*(O41+P41*'Geometry'!$G$56+Q41*'Geometry'!$F$56),S_1_fy),-S_1_fy))-(IF((O41+P41*'Geometry'!$G$56+Q41*'Geometry'!$F$56)&gt;0,IF((O41+P41*'Geometry'!$G$56+Q41*'Geometry'!$F$56)&lt;=C_eco,C_alpha*C_fck*(1-(1-(O41+P41*'Geometry'!$G$56+Q41*'Geometry'!$F$56)/C_eco)^C_n),C_alpha*C_fck),0)))*'Geometry'!$H$56*'Geometry'!$G$56+((MAX(MIN(S_1_Es*(O41+P41*'Geometry'!$G$57+Q41*'Geometry'!$F$57),S_1_fy),-S_1_fy))-(IF((O41+P41*'Geometry'!$G$57+Q41*'Geometry'!$F$57)&gt;0,IF((O41+P41*'Geometry'!$G$57+Q41*'Geometry'!$F$57)&lt;=C_eco,C_alpha*C_fck*(1-(1-(O41+P41*'Geometry'!$G$57+Q41*'Geometry'!$F$57)/C_eco)^C_n),C_alpha*C_fck),0)))*'Geometry'!$H$57*'Geometry'!$G$57)/1000000</f>
        <v>1112.4920342398725</v>
      </c>
      <c r="W41" s="10">
        <f>(((MAX(MIN(S_1_Es*(O41+P41*'Geometry'!$G$40+Q41*'Geometry'!$F$40),S_1_fy),-S_1_fy))-(IF((O41+P41*'Geometry'!$G$40+Q41*'Geometry'!$F$40)&gt;0,IF((O41+P41*'Geometry'!$G$40+Q41*'Geometry'!$F$40)&lt;=C_eco,C_alpha*C_fck*(1-(1-(O41+P41*'Geometry'!$G$40+Q41*'Geometry'!$F$40)/C_eco)^C_n),C_alpha*C_fck),0)))*'Geometry'!$H$40*'Geometry'!$F$40+((MAX(MIN(S_1_Es*(O41+P41*'Geometry'!$G$41+Q41*'Geometry'!$F$41),S_1_fy),-S_1_fy))-(IF((O41+P41*'Geometry'!$G$41+Q41*'Geometry'!$F$41)&gt;0,IF((O41+P41*'Geometry'!$G$41+Q41*'Geometry'!$F$41)&lt;=C_eco,C_alpha*C_fck*(1-(1-(O41+P41*'Geometry'!$G$41+Q41*'Geometry'!$F$41)/C_eco)^C_n),C_alpha*C_fck),0)))*'Geometry'!$H$41*'Geometry'!$F$41+((MAX(MIN(S_1_Es*(O41+P41*'Geometry'!$G$42+Q41*'Geometry'!$F$42),S_1_fy),-S_1_fy))-(IF((O41+P41*'Geometry'!$G$42+Q41*'Geometry'!$F$42)&gt;0,IF((O41+P41*'Geometry'!$G$42+Q41*'Geometry'!$F$42)&lt;=C_eco,C_alpha*C_fck*(1-(1-(O41+P41*'Geometry'!$G$42+Q41*'Geometry'!$F$42)/C_eco)^C_n),C_alpha*C_fck),0)))*'Geometry'!$H$42*'Geometry'!$F$42+((MAX(MIN(S_1_Es*(O41+P41*'Geometry'!$G$43+Q41*'Geometry'!$F$43),S_1_fy),-S_1_fy))-(IF((O41+P41*'Geometry'!$G$43+Q41*'Geometry'!$F$43)&gt;0,IF((O41+P41*'Geometry'!$G$43+Q41*'Geometry'!$F$43)&lt;=C_eco,C_alpha*C_fck*(1-(1-(O41+P41*'Geometry'!$G$43+Q41*'Geometry'!$F$43)/C_eco)^C_n),C_alpha*C_fck),0)))*'Geometry'!$H$43*'Geometry'!$F$43+((MAX(MIN(S_1_Es*(O41+P41*'Geometry'!$G$44+Q41*'Geometry'!$F$44),S_1_fy),-S_1_fy))-(IF((O41+P41*'Geometry'!$G$44+Q41*'Geometry'!$F$44)&gt;0,IF((O41+P41*'Geometry'!$G$44+Q41*'Geometry'!$F$44)&lt;=C_eco,C_alpha*C_fck*(1-(1-(O41+P41*'Geometry'!$G$44+Q41*'Geometry'!$F$44)/C_eco)^C_n),C_alpha*C_fck),0)))*'Geometry'!$H$44*'Geometry'!$F$44+((MAX(MIN(S_1_Es*(O41+P41*'Geometry'!$G$45+Q41*'Geometry'!$F$45),S_1_fy),-S_1_fy))-(IF((O41+P41*'Geometry'!$G$45+Q41*'Geometry'!$F$45)&gt;0,IF((O41+P41*'Geometry'!$G$45+Q41*'Geometry'!$F$45)&lt;=C_eco,C_alpha*C_fck*(1-(1-(O41+P41*'Geometry'!$G$45+Q41*'Geometry'!$F$45)/C_eco)^C_n),C_alpha*C_fck),0)))*'Geometry'!$H$45*'Geometry'!$F$45+((MAX(MIN(S_1_Es*(O41+P41*'Geometry'!$G$46+Q41*'Geometry'!$F$46),S_1_fy),-S_1_fy))-(IF((O41+P41*'Geometry'!$G$46+Q41*'Geometry'!$F$46)&gt;0,IF((O41+P41*'Geometry'!$G$46+Q41*'Geometry'!$F$46)&lt;=C_eco,C_alpha*C_fck*(1-(1-(O41+P41*'Geometry'!$G$46+Q41*'Geometry'!$F$46)/C_eco)^C_n),C_alpha*C_fck),0)))*'Geometry'!$H$46*'Geometry'!$F$46+((MAX(MIN(S_1_Es*(O41+P41*'Geometry'!$G$47+Q41*'Geometry'!$F$47),S_1_fy),-S_1_fy))-(IF((O41+P41*'Geometry'!$G$47+Q41*'Geometry'!$F$47)&gt;0,IF((O41+P41*'Geometry'!$G$47+Q41*'Geometry'!$F$47)&lt;=C_eco,C_alpha*C_fck*(1-(1-(O41+P41*'Geometry'!$G$47+Q41*'Geometry'!$F$47)/C_eco)^C_n),C_alpha*C_fck),0)))*'Geometry'!$H$47*'Geometry'!$F$47+((MAX(MIN(S_1_Es*(O41+P41*'Geometry'!$G$48+Q41*'Geometry'!$F$48),S_1_fy),-S_1_fy))-(IF((O41+P41*'Geometry'!$G$48+Q41*'Geometry'!$F$48)&gt;0,IF((O41+P41*'Geometry'!$G$48+Q41*'Geometry'!$F$48)&lt;=C_eco,C_alpha*C_fck*(1-(1-(O41+P41*'Geometry'!$G$48+Q41*'Geometry'!$F$48)/C_eco)^C_n),C_alpha*C_fck),0)))*'Geometry'!$H$48*'Geometry'!$F$48+((MAX(MIN(S_1_Es*(O41+P41*'Geometry'!$G$49+Q41*'Geometry'!$F$49),S_1_fy),-S_1_fy))-(IF((O41+P41*'Geometry'!$G$49+Q41*'Geometry'!$F$49)&gt;0,IF((O41+P41*'Geometry'!$G$49+Q41*'Geometry'!$F$49)&lt;=C_eco,C_alpha*C_fck*(1-(1-(O41+P41*'Geometry'!$G$49+Q41*'Geometry'!$F$49)/C_eco)^C_n),C_alpha*C_fck),0)))*'Geometry'!$H$49*'Geometry'!$F$49+((MAX(MIN(S_1_Es*(O41+P41*'Geometry'!$G$50+Q41*'Geometry'!$F$50),S_1_fy),-S_1_fy))-(IF((O41+P41*'Geometry'!$G$50+Q41*'Geometry'!$F$50)&gt;0,IF((O41+P41*'Geometry'!$G$50+Q41*'Geometry'!$F$50)&lt;=C_eco,C_alpha*C_fck*(1-(1-(O41+P41*'Geometry'!$G$50+Q41*'Geometry'!$F$50)/C_eco)^C_n),C_alpha*C_fck),0)))*'Geometry'!$H$50*'Geometry'!$F$50+((MAX(MIN(S_1_Es*(O41+P41*'Geometry'!$G$51+Q41*'Geometry'!$F$51),S_1_fy),-S_1_fy))-(IF((O41+P41*'Geometry'!$G$51+Q41*'Geometry'!$F$51)&gt;0,IF((O41+P41*'Geometry'!$G$51+Q41*'Geometry'!$F$51)&lt;=C_eco,C_alpha*C_fck*(1-(1-(O41+P41*'Geometry'!$G$51+Q41*'Geometry'!$F$51)/C_eco)^C_n),C_alpha*C_fck),0)))*'Geometry'!$H$51*'Geometry'!$F$51+((MAX(MIN(S_1_Es*(O41+P41*'Geometry'!$G$52+Q41*'Geometry'!$F$52),S_1_fy),-S_1_fy))-(IF((O41+P41*'Geometry'!$G$52+Q41*'Geometry'!$F$52)&gt;0,IF((O41+P41*'Geometry'!$G$52+Q41*'Geometry'!$F$52)&lt;=C_eco,C_alpha*C_fck*(1-(1-(O41+P41*'Geometry'!$G$52+Q41*'Geometry'!$F$52)/C_eco)^C_n),C_alpha*C_fck),0)))*'Geometry'!$H$52*'Geometry'!$F$52+((MAX(MIN(S_1_Es*(O41+P41*'Geometry'!$G$53+Q41*'Geometry'!$F$53),S_1_fy),-S_1_fy))-(IF((O41+P41*'Geometry'!$G$53+Q41*'Geometry'!$F$53)&gt;0,IF((O41+P41*'Geometry'!$G$53+Q41*'Geometry'!$F$53)&lt;=C_eco,C_alpha*C_fck*(1-(1-(O41+P41*'Geometry'!$G$53+Q41*'Geometry'!$F$53)/C_eco)^C_n),C_alpha*C_fck),0)))*'Geometry'!$H$53*'Geometry'!$F$53+((MAX(MIN(S_1_Es*(O41+P41*'Geometry'!$G$54+Q41*'Geometry'!$F$54),S_1_fy),-S_1_fy))-(IF((O41+P41*'Geometry'!$G$54+Q41*'Geometry'!$F$54)&gt;0,IF((O41+P41*'Geometry'!$G$54+Q41*'Geometry'!$F$54)&lt;=C_eco,C_alpha*C_fck*(1-(1-(O41+P41*'Geometry'!$G$54+Q41*'Geometry'!$F$54)/C_eco)^C_n),C_alpha*C_fck),0)))*'Geometry'!$H$54*'Geometry'!$F$54+((MAX(MIN(S_1_Es*(O41+P41*'Geometry'!$G$55+Q41*'Geometry'!$F$55),S_1_fy),-S_1_fy))-(IF((O41+P41*'Geometry'!$G$55+Q41*'Geometry'!$F$55)&gt;0,IF((O41+P41*'Geometry'!$G$55+Q41*'Geometry'!$F$55)&lt;=C_eco,C_alpha*C_fck*(1-(1-(O41+P41*'Geometry'!$G$55+Q41*'Geometry'!$F$55)/C_eco)^C_n),C_alpha*C_fck),0)))*'Geometry'!$H$55*'Geometry'!$F$55+((MAX(MIN(S_1_Es*(O41+P41*'Geometry'!$G$56+Q41*'Geometry'!$F$56),S_1_fy),-S_1_fy))-(IF((O41+P41*'Geometry'!$G$56+Q41*'Geometry'!$F$56)&gt;0,IF((O41+P41*'Geometry'!$G$56+Q41*'Geometry'!$F$56)&lt;=C_eco,C_alpha*C_fck*(1-(1-(O41+P41*'Geometry'!$G$56+Q41*'Geometry'!$F$56)/C_eco)^C_n),C_alpha*C_fck),0)))*'Geometry'!$H$56*'Geometry'!$F$56+((MAX(MIN(S_1_Es*(O41+P41*'Geometry'!$G$57+Q41*'Geometry'!$F$57),S_1_fy),-S_1_fy))-(IF((O41+P41*'Geometry'!$G$57+Q41*'Geometry'!$F$57)&gt;0,IF((O41+P41*'Geometry'!$G$57+Q41*'Geometry'!$F$57)&lt;=C_eco,C_alpha*C_fck*(1-(1-(O41+P41*'Geometry'!$G$57+Q41*'Geometry'!$F$57)/C_eco)^C_n),C_alpha*C_fck),0)))*'Geometry'!$H$57*'Geometry'!$F$57)/1000000</f>
        <v>-900.0725685380942</v>
      </c>
      <c r="X41" s="10">
        <f>R41+U41</f>
        <v>505.58749186494623</v>
      </c>
      <c r="Y41" s="10">
        <f>S41+V41</f>
        <v>2728.7053338403175</v>
      </c>
      <c r="Z41" s="10">
        <f>T41+W41</f>
        <v>-2575.5619142163887</v>
      </c>
      <c r="AA41" s="7">
        <v>0.85</v>
      </c>
      <c r="AB41" s="7">
        <v>0.8500000000000001</v>
      </c>
      <c r="AC41" s="10">
        <f>X41*AA41</f>
        <v>429.74936808520425</v>
      </c>
      <c r="AD41" s="10">
        <f>Y41*AB41</f>
        <v>2319.39953376427</v>
      </c>
      <c r="AE41" s="10">
        <f>Z41*AB41</f>
        <v>-2189.2276270839307</v>
      </c>
      <c r="AF41" s="7">
        <v>429.74936808520425</v>
      </c>
      <c r="AG41" s="7">
        <v>2319.39953376427</v>
      </c>
      <c r="AH41" s="7">
        <v>-2189.2276270839307</v>
      </c>
      <c r="AI41" s="15">
        <f>AC41-AF41</f>
        <v>0</v>
      </c>
      <c r="AJ41" s="15">
        <f>SQRT((AD41-AG41)^2+(AE41-AH41)^2)</f>
        <v>0</v>
      </c>
      <c r="AK41" s="7" t="s">
        <v>189</v>
      </c>
      <c r="AL41" s="7">
        <v>505.58749186494623</v>
      </c>
      <c r="AM41" s="7">
        <v>2728.7053338403175</v>
      </c>
      <c r="AN41" s="7">
        <v>-2575.5619142163887</v>
      </c>
      <c r="AO41" s="7">
        <v>3641.1948819572935</v>
      </c>
      <c r="AP41" s="7">
        <v>1616.2132996004455</v>
      </c>
      <c r="AQ41" s="7">
        <v>-1675.4893456782947</v>
      </c>
      <c r="AR41" s="7">
        <v>-3135.6073900923475</v>
      </c>
      <c r="AS41" s="7">
        <v>1112.4920342398725</v>
      </c>
      <c r="AT41" s="7">
        <v>-900.0725685380942</v>
      </c>
    </row>
    <row r="42" spans="1:46" x14ac:dyDescent="0.25">
      <c r="A42" s="7" t="s">
        <v>258</v>
      </c>
      <c r="B42" s="7">
        <v>1</v>
      </c>
      <c r="C42" s="18">
        <v>340</v>
      </c>
      <c r="D42" s="7" t="s">
        <v>301</v>
      </c>
      <c r="E42" s="7" t="s">
        <v>267</v>
      </c>
      <c r="F42" s="19">
        <v>340</v>
      </c>
      <c r="G42" s="7" t="s">
        <v>188</v>
      </c>
      <c r="H42" s="20">
        <v>4.999999999999999</v>
      </c>
      <c r="I42" s="10">
        <f>MAX(('Geometry'!$G$13*COS(RADIANS(F42))+'Geometry'!$F$13*SIN(RADIANS(F42))),('Geometry'!$G$14*COS(RADIANS(F42))+'Geometry'!$F$14*SIN(RADIANS(F42))),('Geometry'!$G$15*COS(RADIANS(F42))+'Geometry'!$F$15*SIN(RADIANS(F42))),('Geometry'!$G$16*COS(RADIANS(F42))+'Geometry'!$F$16*SIN(RADIANS(F42))),('Geometry'!$G$17*COS(RADIANS(F42))+'Geometry'!$F$17*SIN(RADIANS(F42))),('Geometry'!$G$18*COS(RADIANS(F42))+'Geometry'!$F$18*SIN(RADIANS(F42))),('Geometry'!$G$19*COS(RADIANS(F42))+'Geometry'!$F$19*SIN(RADIANS(F42))),('Geometry'!$G$20*COS(RADIANS(F42))+'Geometry'!$F$20*SIN(RADIANS(F42))))</f>
        <v>751.9266513006628</v>
      </c>
      <c r="J42" s="10">
        <f>MIN(('Geometry'!$G$40*COS(RADIANS(F42))+'Geometry'!$F$40*SIN(RADIANS(F42))),('Geometry'!$G$41*COS(RADIANS(F42))+'Geometry'!$F$41*SIN(RADIANS(F42))),('Geometry'!$G$42*COS(RADIANS(F42))+'Geometry'!$F$42*SIN(RADIANS(F42))),('Geometry'!$G$43*COS(RADIANS(F42))+'Geometry'!$F$43*SIN(RADIANS(F42))),('Geometry'!$G$44*COS(RADIANS(F42))+'Geometry'!$F$44*SIN(RADIANS(F42))),('Geometry'!$G$45*COS(RADIANS(F42))+'Geometry'!$F$45*SIN(RADIANS(F42))),('Geometry'!$G$46*COS(RADIANS(F42))+'Geometry'!$F$46*SIN(RADIANS(F42))),('Geometry'!$G$47*COS(RADIANS(F42))+'Geometry'!$F$47*SIN(RADIANS(F42))),('Geometry'!$G$48*COS(RADIANS(F42))+'Geometry'!$F$48*SIN(RADIANS(F42))),('Geometry'!$G$49*COS(RADIANS(F42))+'Geometry'!$F$49*SIN(RADIANS(F42))),('Geometry'!$G$50*COS(RADIANS(F42))+'Geometry'!$F$50*SIN(RADIANS(F42))),('Geometry'!$G$51*COS(RADIANS(F42))+'Geometry'!$F$51*SIN(RADIANS(F42))),('Geometry'!$G$52*COS(RADIANS(F42))+'Geometry'!$F$52*SIN(RADIANS(F42))),('Geometry'!$G$53*COS(RADIANS(F42))+'Geometry'!$F$53*SIN(RADIANS(F42))),('Geometry'!$G$54*COS(RADIANS(F42))+'Geometry'!$F$54*SIN(RADIANS(F42))),('Geometry'!$G$55*COS(RADIANS(F42))+'Geometry'!$F$55*SIN(RADIANS(F42))),('Geometry'!$G$56*COS(RADIANS(F42))+'Geometry'!$F$56*SIN(RADIANS(F42))),('Geometry'!$G$57*COS(RADIANS(F42))+'Geometry'!$F$57*SIN(RADIANS(F42))))</f>
        <v>-634.8451463467989</v>
      </c>
      <c r="K42" s="10">
        <f>I42-MIN(('Geometry'!$G$13*COS(RADIANS(F42))+'Geometry'!$F$13*SIN(RADIANS(F42))),('Geometry'!$G$14*COS(RADIANS(F42))+'Geometry'!$F$14*SIN(RADIANS(F42))),('Geometry'!$G$15*COS(RADIANS(F42))+'Geometry'!$F$15*SIN(RADIANS(F42))),('Geometry'!$G$16*COS(RADIANS(F42))+'Geometry'!$F$16*SIN(RADIANS(F42))),('Geometry'!$G$17*COS(RADIANS(F42))+'Geometry'!$F$17*SIN(RADIANS(F42))),('Geometry'!$G$18*COS(RADIANS(F42))+'Geometry'!$F$18*SIN(RADIANS(F42))),('Geometry'!$G$19*COS(RADIANS(F42))+'Geometry'!$F$19*SIN(RADIANS(F42))),('Geometry'!$G$20*COS(RADIANS(F42))+'Geometry'!$F$20*SIN(RADIANS(F42))))</f>
        <v>1503.8533026013256</v>
      </c>
      <c r="L42" s="15">
        <f>C_ecu</f>
        <v>0.0033</v>
      </c>
      <c r="M42" s="15">
        <f>-H42*S_1_fy/S_1_Es</f>
        <v>-0.009999999999999998</v>
      </c>
      <c r="N42" s="21">
        <f>IF(ABS(I42-J42)&lt;0.000000000001,0,(L42-M42)/(I42-J42))</f>
        <v>0.00000959061903520269</v>
      </c>
      <c r="O42" s="15">
        <f>L42-N42*I42</f>
        <v>-0.003911442055040353</v>
      </c>
      <c r="P42" s="21">
        <f>N42*COS(RADIANS(F42))</f>
        <v>0.000009012233936148837</v>
      </c>
      <c r="Q42" s="21">
        <f>N42*SIN(RADIANS(F42))</f>
        <v>-0.0000032801848970019098</v>
      </c>
      <c r="R42" s="10">
        <f>SUMPRODUCT(C_alpha*C_fck*(1-(1-(((O42+P42*Mesh_Y+Q42*Mesh_X))*((O42+P42*Mesh_Y+Q42*Mesh_X)&gt;0)*((O42+P42*Mesh_Y+Q42*Mesh_X)&lt;C_eco)+C_eco*((O42+P42*Mesh_Y+Q42*Mesh_X)&gt;=C_eco))/C_eco)^C_n)*(((O42+P42*Mesh_Y+Q42*Mesh_X))&gt;0),Mesh_A)/1000</f>
        <v>3972.8964102626674</v>
      </c>
      <c r="S42" s="10">
        <f>SUMPRODUCT(C_alpha*C_fck*(1-(1-(((O42+P42*Mesh_Y+Q42*Mesh_X))*((O42+P42*Mesh_Y+Q42*Mesh_X)&gt;0)*((O42+P42*Mesh_Y+Q42*Mesh_X)&lt;C_eco)+C_eco*((O42+P42*Mesh_Y+Q42*Mesh_X)&gt;=C_eco))/C_eco)^C_n)*(((O42+P42*Mesh_Y+Q42*Mesh_X))&gt;0),Mesh_A,Mesh_Y)/1000000</f>
        <v>1885.9243627376457</v>
      </c>
      <c r="T42" s="10">
        <f>SUMPRODUCT(C_alpha*C_fck*(1-(1-(((O42+P42*Mesh_Y+Q42*Mesh_X))*((O42+P42*Mesh_Y+Q42*Mesh_X)&gt;0)*((O42+P42*Mesh_Y+Q42*Mesh_X)&lt;C_eco)+C_eco*((O42+P42*Mesh_Y+Q42*Mesh_X)&gt;=C_eco))/C_eco)^C_n)*(((O42+P42*Mesh_Y+Q42*Mesh_X))&gt;0),Mesh_A,Mesh_X)/1000000</f>
        <v>-1454.802812098088</v>
      </c>
      <c r="U42" s="10">
        <f>(((MAX(MIN(S_1_Es*(O42+P42*'Geometry'!$G$40+Q42*'Geometry'!$F$40),S_1_fy),-S_1_fy))-(IF((O42+P42*'Geometry'!$G$40+Q42*'Geometry'!$F$40)&gt;0,IF((O42+P42*'Geometry'!$G$40+Q42*'Geometry'!$F$40)&lt;=C_eco,C_alpha*C_fck*(1-(1-(O42+P42*'Geometry'!$G$40+Q42*'Geometry'!$F$40)/C_eco)^C_n),C_alpha*C_fck),0)))*'Geometry'!$H$40+((MAX(MIN(S_1_Es*(O42+P42*'Geometry'!$G$41+Q42*'Geometry'!$F$41),S_1_fy),-S_1_fy))-(IF((O42+P42*'Geometry'!$G$41+Q42*'Geometry'!$F$41)&gt;0,IF((O42+P42*'Geometry'!$G$41+Q42*'Geometry'!$F$41)&lt;=C_eco,C_alpha*C_fck*(1-(1-(O42+P42*'Geometry'!$G$41+Q42*'Geometry'!$F$41)/C_eco)^C_n),C_alpha*C_fck),0)))*'Geometry'!$H$41+((MAX(MIN(S_1_Es*(O42+P42*'Geometry'!$G$42+Q42*'Geometry'!$F$42),S_1_fy),-S_1_fy))-(IF((O42+P42*'Geometry'!$G$42+Q42*'Geometry'!$F$42)&gt;0,IF((O42+P42*'Geometry'!$G$42+Q42*'Geometry'!$F$42)&lt;=C_eco,C_alpha*C_fck*(1-(1-(O42+P42*'Geometry'!$G$42+Q42*'Geometry'!$F$42)/C_eco)^C_n),C_alpha*C_fck),0)))*'Geometry'!$H$42+((MAX(MIN(S_1_Es*(O42+P42*'Geometry'!$G$43+Q42*'Geometry'!$F$43),S_1_fy),-S_1_fy))-(IF((O42+P42*'Geometry'!$G$43+Q42*'Geometry'!$F$43)&gt;0,IF((O42+P42*'Geometry'!$G$43+Q42*'Geometry'!$F$43)&lt;=C_eco,C_alpha*C_fck*(1-(1-(O42+P42*'Geometry'!$G$43+Q42*'Geometry'!$F$43)/C_eco)^C_n),C_alpha*C_fck),0)))*'Geometry'!$H$43+((MAX(MIN(S_1_Es*(O42+P42*'Geometry'!$G$44+Q42*'Geometry'!$F$44),S_1_fy),-S_1_fy))-(IF((O42+P42*'Geometry'!$G$44+Q42*'Geometry'!$F$44)&gt;0,IF((O42+P42*'Geometry'!$G$44+Q42*'Geometry'!$F$44)&lt;=C_eco,C_alpha*C_fck*(1-(1-(O42+P42*'Geometry'!$G$44+Q42*'Geometry'!$F$44)/C_eco)^C_n),C_alpha*C_fck),0)))*'Geometry'!$H$44+((MAX(MIN(S_1_Es*(O42+P42*'Geometry'!$G$45+Q42*'Geometry'!$F$45),S_1_fy),-S_1_fy))-(IF((O42+P42*'Geometry'!$G$45+Q42*'Geometry'!$F$45)&gt;0,IF((O42+P42*'Geometry'!$G$45+Q42*'Geometry'!$F$45)&lt;=C_eco,C_alpha*C_fck*(1-(1-(O42+P42*'Geometry'!$G$45+Q42*'Geometry'!$F$45)/C_eco)^C_n),C_alpha*C_fck),0)))*'Geometry'!$H$45+((MAX(MIN(S_1_Es*(O42+P42*'Geometry'!$G$46+Q42*'Geometry'!$F$46),S_1_fy),-S_1_fy))-(IF((O42+P42*'Geometry'!$G$46+Q42*'Geometry'!$F$46)&gt;0,IF((O42+P42*'Geometry'!$G$46+Q42*'Geometry'!$F$46)&lt;=C_eco,C_alpha*C_fck*(1-(1-(O42+P42*'Geometry'!$G$46+Q42*'Geometry'!$F$46)/C_eco)^C_n),C_alpha*C_fck),0)))*'Geometry'!$H$46+((MAX(MIN(S_1_Es*(O42+P42*'Geometry'!$G$47+Q42*'Geometry'!$F$47),S_1_fy),-S_1_fy))-(IF((O42+P42*'Geometry'!$G$47+Q42*'Geometry'!$F$47)&gt;0,IF((O42+P42*'Geometry'!$G$47+Q42*'Geometry'!$F$47)&lt;=C_eco,C_alpha*C_fck*(1-(1-(O42+P42*'Geometry'!$G$47+Q42*'Geometry'!$F$47)/C_eco)^C_n),C_alpha*C_fck),0)))*'Geometry'!$H$47+((MAX(MIN(S_1_Es*(O42+P42*'Geometry'!$G$48+Q42*'Geometry'!$F$48),S_1_fy),-S_1_fy))-(IF((O42+P42*'Geometry'!$G$48+Q42*'Geometry'!$F$48)&gt;0,IF((O42+P42*'Geometry'!$G$48+Q42*'Geometry'!$F$48)&lt;=C_eco,C_alpha*C_fck*(1-(1-(O42+P42*'Geometry'!$G$48+Q42*'Geometry'!$F$48)/C_eco)^C_n),C_alpha*C_fck),0)))*'Geometry'!$H$48+((MAX(MIN(S_1_Es*(O42+P42*'Geometry'!$G$49+Q42*'Geometry'!$F$49),S_1_fy),-S_1_fy))-(IF((O42+P42*'Geometry'!$G$49+Q42*'Geometry'!$F$49)&gt;0,IF((O42+P42*'Geometry'!$G$49+Q42*'Geometry'!$F$49)&lt;=C_eco,C_alpha*C_fck*(1-(1-(O42+P42*'Geometry'!$G$49+Q42*'Geometry'!$F$49)/C_eco)^C_n),C_alpha*C_fck),0)))*'Geometry'!$H$49+((MAX(MIN(S_1_Es*(O42+P42*'Geometry'!$G$50+Q42*'Geometry'!$F$50),S_1_fy),-S_1_fy))-(IF((O42+P42*'Geometry'!$G$50+Q42*'Geometry'!$F$50)&gt;0,IF((O42+P42*'Geometry'!$G$50+Q42*'Geometry'!$F$50)&lt;=C_eco,C_alpha*C_fck*(1-(1-(O42+P42*'Geometry'!$G$50+Q42*'Geometry'!$F$50)/C_eco)^C_n),C_alpha*C_fck),0)))*'Geometry'!$H$50+((MAX(MIN(S_1_Es*(O42+P42*'Geometry'!$G$51+Q42*'Geometry'!$F$51),S_1_fy),-S_1_fy))-(IF((O42+P42*'Geometry'!$G$51+Q42*'Geometry'!$F$51)&gt;0,IF((O42+P42*'Geometry'!$G$51+Q42*'Geometry'!$F$51)&lt;=C_eco,C_alpha*C_fck*(1-(1-(O42+P42*'Geometry'!$G$51+Q42*'Geometry'!$F$51)/C_eco)^C_n),C_alpha*C_fck),0)))*'Geometry'!$H$51+((MAX(MIN(S_1_Es*(O42+P42*'Geometry'!$G$52+Q42*'Geometry'!$F$52),S_1_fy),-S_1_fy))-(IF((O42+P42*'Geometry'!$G$52+Q42*'Geometry'!$F$52)&gt;0,IF((O42+P42*'Geometry'!$G$52+Q42*'Geometry'!$F$52)&lt;=C_eco,C_alpha*C_fck*(1-(1-(O42+P42*'Geometry'!$G$52+Q42*'Geometry'!$F$52)/C_eco)^C_n),C_alpha*C_fck),0)))*'Geometry'!$H$52+((MAX(MIN(S_1_Es*(O42+P42*'Geometry'!$G$53+Q42*'Geometry'!$F$53),S_1_fy),-S_1_fy))-(IF((O42+P42*'Geometry'!$G$53+Q42*'Geometry'!$F$53)&gt;0,IF((O42+P42*'Geometry'!$G$53+Q42*'Geometry'!$F$53)&lt;=C_eco,C_alpha*C_fck*(1-(1-(O42+P42*'Geometry'!$G$53+Q42*'Geometry'!$F$53)/C_eco)^C_n),C_alpha*C_fck),0)))*'Geometry'!$H$53+((MAX(MIN(S_1_Es*(O42+P42*'Geometry'!$G$54+Q42*'Geometry'!$F$54),S_1_fy),-S_1_fy))-(IF((O42+P42*'Geometry'!$G$54+Q42*'Geometry'!$F$54)&gt;0,IF((O42+P42*'Geometry'!$G$54+Q42*'Geometry'!$F$54)&lt;=C_eco,C_alpha*C_fck*(1-(1-(O42+P42*'Geometry'!$G$54+Q42*'Geometry'!$F$54)/C_eco)^C_n),C_alpha*C_fck),0)))*'Geometry'!$H$54+((MAX(MIN(S_1_Es*(O42+P42*'Geometry'!$G$55+Q42*'Geometry'!$F$55),S_1_fy),-S_1_fy))-(IF((O42+P42*'Geometry'!$G$55+Q42*'Geometry'!$F$55)&gt;0,IF((O42+P42*'Geometry'!$G$55+Q42*'Geometry'!$F$55)&lt;=C_eco,C_alpha*C_fck*(1-(1-(O42+P42*'Geometry'!$G$55+Q42*'Geometry'!$F$55)/C_eco)^C_n),C_alpha*C_fck),0)))*'Geometry'!$H$55+((MAX(MIN(S_1_Es*(O42+P42*'Geometry'!$G$56+Q42*'Geometry'!$F$56),S_1_fy),-S_1_fy))-(IF((O42+P42*'Geometry'!$G$56+Q42*'Geometry'!$F$56)&gt;0,IF((O42+P42*'Geometry'!$G$56+Q42*'Geometry'!$F$56)&lt;=C_eco,C_alpha*C_fck*(1-(1-(O42+P42*'Geometry'!$G$56+Q42*'Geometry'!$F$56)/C_eco)^C_n),C_alpha*C_fck),0)))*'Geometry'!$H$56+((MAX(MIN(S_1_Es*(O42+P42*'Geometry'!$G$57+Q42*'Geometry'!$F$57),S_1_fy),-S_1_fy))-(IF((O42+P42*'Geometry'!$G$57+Q42*'Geometry'!$F$57)&gt;0,IF((O42+P42*'Geometry'!$G$57+Q42*'Geometry'!$F$57)&lt;=C_eco,C_alpha*C_fck*(1-(1-(O42+P42*'Geometry'!$G$57+Q42*'Geometry'!$F$57)/C_eco)^C_n),C_alpha*C_fck),0)))*'Geometry'!$H$57)/1000</f>
        <v>-2905.793646379989</v>
      </c>
      <c r="V42" s="10">
        <f>(((MAX(MIN(S_1_Es*(O42+P42*'Geometry'!$G$40+Q42*'Geometry'!$F$40),S_1_fy),-S_1_fy))-(IF((O42+P42*'Geometry'!$G$40+Q42*'Geometry'!$F$40)&gt;0,IF((O42+P42*'Geometry'!$G$40+Q42*'Geometry'!$F$40)&lt;=C_eco,C_alpha*C_fck*(1-(1-(O42+P42*'Geometry'!$G$40+Q42*'Geometry'!$F$40)/C_eco)^C_n),C_alpha*C_fck),0)))*'Geometry'!$H$40*'Geometry'!$G$40+((MAX(MIN(S_1_Es*(O42+P42*'Geometry'!$G$41+Q42*'Geometry'!$F$41),S_1_fy),-S_1_fy))-(IF((O42+P42*'Geometry'!$G$41+Q42*'Geometry'!$F$41)&gt;0,IF((O42+P42*'Geometry'!$G$41+Q42*'Geometry'!$F$41)&lt;=C_eco,C_alpha*C_fck*(1-(1-(O42+P42*'Geometry'!$G$41+Q42*'Geometry'!$F$41)/C_eco)^C_n),C_alpha*C_fck),0)))*'Geometry'!$H$41*'Geometry'!$G$41+((MAX(MIN(S_1_Es*(O42+P42*'Geometry'!$G$42+Q42*'Geometry'!$F$42),S_1_fy),-S_1_fy))-(IF((O42+P42*'Geometry'!$G$42+Q42*'Geometry'!$F$42)&gt;0,IF((O42+P42*'Geometry'!$G$42+Q42*'Geometry'!$F$42)&lt;=C_eco,C_alpha*C_fck*(1-(1-(O42+P42*'Geometry'!$G$42+Q42*'Geometry'!$F$42)/C_eco)^C_n),C_alpha*C_fck),0)))*'Geometry'!$H$42*'Geometry'!$G$42+((MAX(MIN(S_1_Es*(O42+P42*'Geometry'!$G$43+Q42*'Geometry'!$F$43),S_1_fy),-S_1_fy))-(IF((O42+P42*'Geometry'!$G$43+Q42*'Geometry'!$F$43)&gt;0,IF((O42+P42*'Geometry'!$G$43+Q42*'Geometry'!$F$43)&lt;=C_eco,C_alpha*C_fck*(1-(1-(O42+P42*'Geometry'!$G$43+Q42*'Geometry'!$F$43)/C_eco)^C_n),C_alpha*C_fck),0)))*'Geometry'!$H$43*'Geometry'!$G$43+((MAX(MIN(S_1_Es*(O42+P42*'Geometry'!$G$44+Q42*'Geometry'!$F$44),S_1_fy),-S_1_fy))-(IF((O42+P42*'Geometry'!$G$44+Q42*'Geometry'!$F$44)&gt;0,IF((O42+P42*'Geometry'!$G$44+Q42*'Geometry'!$F$44)&lt;=C_eco,C_alpha*C_fck*(1-(1-(O42+P42*'Geometry'!$G$44+Q42*'Geometry'!$F$44)/C_eco)^C_n),C_alpha*C_fck),0)))*'Geometry'!$H$44*'Geometry'!$G$44+((MAX(MIN(S_1_Es*(O42+P42*'Geometry'!$G$45+Q42*'Geometry'!$F$45),S_1_fy),-S_1_fy))-(IF((O42+P42*'Geometry'!$G$45+Q42*'Geometry'!$F$45)&gt;0,IF((O42+P42*'Geometry'!$G$45+Q42*'Geometry'!$F$45)&lt;=C_eco,C_alpha*C_fck*(1-(1-(O42+P42*'Geometry'!$G$45+Q42*'Geometry'!$F$45)/C_eco)^C_n),C_alpha*C_fck),0)))*'Geometry'!$H$45*'Geometry'!$G$45+((MAX(MIN(S_1_Es*(O42+P42*'Geometry'!$G$46+Q42*'Geometry'!$F$46),S_1_fy),-S_1_fy))-(IF((O42+P42*'Geometry'!$G$46+Q42*'Geometry'!$F$46)&gt;0,IF((O42+P42*'Geometry'!$G$46+Q42*'Geometry'!$F$46)&lt;=C_eco,C_alpha*C_fck*(1-(1-(O42+P42*'Geometry'!$G$46+Q42*'Geometry'!$F$46)/C_eco)^C_n),C_alpha*C_fck),0)))*'Geometry'!$H$46*'Geometry'!$G$46+((MAX(MIN(S_1_Es*(O42+P42*'Geometry'!$G$47+Q42*'Geometry'!$F$47),S_1_fy),-S_1_fy))-(IF((O42+P42*'Geometry'!$G$47+Q42*'Geometry'!$F$47)&gt;0,IF((O42+P42*'Geometry'!$G$47+Q42*'Geometry'!$F$47)&lt;=C_eco,C_alpha*C_fck*(1-(1-(O42+P42*'Geometry'!$G$47+Q42*'Geometry'!$F$47)/C_eco)^C_n),C_alpha*C_fck),0)))*'Geometry'!$H$47*'Geometry'!$G$47+((MAX(MIN(S_1_Es*(O42+P42*'Geometry'!$G$48+Q42*'Geometry'!$F$48),S_1_fy),-S_1_fy))-(IF((O42+P42*'Geometry'!$G$48+Q42*'Geometry'!$F$48)&gt;0,IF((O42+P42*'Geometry'!$G$48+Q42*'Geometry'!$F$48)&lt;=C_eco,C_alpha*C_fck*(1-(1-(O42+P42*'Geometry'!$G$48+Q42*'Geometry'!$F$48)/C_eco)^C_n),C_alpha*C_fck),0)))*'Geometry'!$H$48*'Geometry'!$G$48+((MAX(MIN(S_1_Es*(O42+P42*'Geometry'!$G$49+Q42*'Geometry'!$F$49),S_1_fy),-S_1_fy))-(IF((O42+P42*'Geometry'!$G$49+Q42*'Geometry'!$F$49)&gt;0,IF((O42+P42*'Geometry'!$G$49+Q42*'Geometry'!$F$49)&lt;=C_eco,C_alpha*C_fck*(1-(1-(O42+P42*'Geometry'!$G$49+Q42*'Geometry'!$F$49)/C_eco)^C_n),C_alpha*C_fck),0)))*'Geometry'!$H$49*'Geometry'!$G$49+((MAX(MIN(S_1_Es*(O42+P42*'Geometry'!$G$50+Q42*'Geometry'!$F$50),S_1_fy),-S_1_fy))-(IF((O42+P42*'Geometry'!$G$50+Q42*'Geometry'!$F$50)&gt;0,IF((O42+P42*'Geometry'!$G$50+Q42*'Geometry'!$F$50)&lt;=C_eco,C_alpha*C_fck*(1-(1-(O42+P42*'Geometry'!$G$50+Q42*'Geometry'!$F$50)/C_eco)^C_n),C_alpha*C_fck),0)))*'Geometry'!$H$50*'Geometry'!$G$50+((MAX(MIN(S_1_Es*(O42+P42*'Geometry'!$G$51+Q42*'Geometry'!$F$51),S_1_fy),-S_1_fy))-(IF((O42+P42*'Geometry'!$G$51+Q42*'Geometry'!$F$51)&gt;0,IF((O42+P42*'Geometry'!$G$51+Q42*'Geometry'!$F$51)&lt;=C_eco,C_alpha*C_fck*(1-(1-(O42+P42*'Geometry'!$G$51+Q42*'Geometry'!$F$51)/C_eco)^C_n),C_alpha*C_fck),0)))*'Geometry'!$H$51*'Geometry'!$G$51+((MAX(MIN(S_1_Es*(O42+P42*'Geometry'!$G$52+Q42*'Geometry'!$F$52),S_1_fy),-S_1_fy))-(IF((O42+P42*'Geometry'!$G$52+Q42*'Geometry'!$F$52)&gt;0,IF((O42+P42*'Geometry'!$G$52+Q42*'Geometry'!$F$52)&lt;=C_eco,C_alpha*C_fck*(1-(1-(O42+P42*'Geometry'!$G$52+Q42*'Geometry'!$F$52)/C_eco)^C_n),C_alpha*C_fck),0)))*'Geometry'!$H$52*'Geometry'!$G$52+((MAX(MIN(S_1_Es*(O42+P42*'Geometry'!$G$53+Q42*'Geometry'!$F$53),S_1_fy),-S_1_fy))-(IF((O42+P42*'Geometry'!$G$53+Q42*'Geometry'!$F$53)&gt;0,IF((O42+P42*'Geometry'!$G$53+Q42*'Geometry'!$F$53)&lt;=C_eco,C_alpha*C_fck*(1-(1-(O42+P42*'Geometry'!$G$53+Q42*'Geometry'!$F$53)/C_eco)^C_n),C_alpha*C_fck),0)))*'Geometry'!$H$53*'Geometry'!$G$53+((MAX(MIN(S_1_Es*(O42+P42*'Geometry'!$G$54+Q42*'Geometry'!$F$54),S_1_fy),-S_1_fy))-(IF((O42+P42*'Geometry'!$G$54+Q42*'Geometry'!$F$54)&gt;0,IF((O42+P42*'Geometry'!$G$54+Q42*'Geometry'!$F$54)&lt;=C_eco,C_alpha*C_fck*(1-(1-(O42+P42*'Geometry'!$G$54+Q42*'Geometry'!$F$54)/C_eco)^C_n),C_alpha*C_fck),0)))*'Geometry'!$H$54*'Geometry'!$G$54+((MAX(MIN(S_1_Es*(O42+P42*'Geometry'!$G$55+Q42*'Geometry'!$F$55),S_1_fy),-S_1_fy))-(IF((O42+P42*'Geometry'!$G$55+Q42*'Geometry'!$F$55)&gt;0,IF((O42+P42*'Geometry'!$G$55+Q42*'Geometry'!$F$55)&lt;=C_eco,C_alpha*C_fck*(1-(1-(O42+P42*'Geometry'!$G$55+Q42*'Geometry'!$F$55)/C_eco)^C_n),C_alpha*C_fck),0)))*'Geometry'!$H$55*'Geometry'!$G$55+((MAX(MIN(S_1_Es*(O42+P42*'Geometry'!$G$56+Q42*'Geometry'!$F$56),S_1_fy),-S_1_fy))-(IF((O42+P42*'Geometry'!$G$56+Q42*'Geometry'!$F$56)&gt;0,IF((O42+P42*'Geometry'!$G$56+Q42*'Geometry'!$F$56)&lt;=C_eco,C_alpha*C_fck*(1-(1-(O42+P42*'Geometry'!$G$56+Q42*'Geometry'!$F$56)/C_eco)^C_n),C_alpha*C_fck),0)))*'Geometry'!$H$56*'Geometry'!$G$56+((MAX(MIN(S_1_Es*(O42+P42*'Geometry'!$G$57+Q42*'Geometry'!$F$57),S_1_fy),-S_1_fy))-(IF((O42+P42*'Geometry'!$G$57+Q42*'Geometry'!$F$57)&gt;0,IF((O42+P42*'Geometry'!$G$57+Q42*'Geometry'!$F$57)&lt;=C_eco,C_alpha*C_fck*(1-(1-(O42+P42*'Geometry'!$G$57+Q42*'Geometry'!$F$57)/C_eco)^C_n),C_alpha*C_fck),0)))*'Geometry'!$H$57*'Geometry'!$G$57)/1000000</f>
        <v>1336.2985200922126</v>
      </c>
      <c r="W42" s="10">
        <f>(((MAX(MIN(S_1_Es*(O42+P42*'Geometry'!$G$40+Q42*'Geometry'!$F$40),S_1_fy),-S_1_fy))-(IF((O42+P42*'Geometry'!$G$40+Q42*'Geometry'!$F$40)&gt;0,IF((O42+P42*'Geometry'!$G$40+Q42*'Geometry'!$F$40)&lt;=C_eco,C_alpha*C_fck*(1-(1-(O42+P42*'Geometry'!$G$40+Q42*'Geometry'!$F$40)/C_eco)^C_n),C_alpha*C_fck),0)))*'Geometry'!$H$40*'Geometry'!$F$40+((MAX(MIN(S_1_Es*(O42+P42*'Geometry'!$G$41+Q42*'Geometry'!$F$41),S_1_fy),-S_1_fy))-(IF((O42+P42*'Geometry'!$G$41+Q42*'Geometry'!$F$41)&gt;0,IF((O42+P42*'Geometry'!$G$41+Q42*'Geometry'!$F$41)&lt;=C_eco,C_alpha*C_fck*(1-(1-(O42+P42*'Geometry'!$G$41+Q42*'Geometry'!$F$41)/C_eco)^C_n),C_alpha*C_fck),0)))*'Geometry'!$H$41*'Geometry'!$F$41+((MAX(MIN(S_1_Es*(O42+P42*'Geometry'!$G$42+Q42*'Geometry'!$F$42),S_1_fy),-S_1_fy))-(IF((O42+P42*'Geometry'!$G$42+Q42*'Geometry'!$F$42)&gt;0,IF((O42+P42*'Geometry'!$G$42+Q42*'Geometry'!$F$42)&lt;=C_eco,C_alpha*C_fck*(1-(1-(O42+P42*'Geometry'!$G$42+Q42*'Geometry'!$F$42)/C_eco)^C_n),C_alpha*C_fck),0)))*'Geometry'!$H$42*'Geometry'!$F$42+((MAX(MIN(S_1_Es*(O42+P42*'Geometry'!$G$43+Q42*'Geometry'!$F$43),S_1_fy),-S_1_fy))-(IF((O42+P42*'Geometry'!$G$43+Q42*'Geometry'!$F$43)&gt;0,IF((O42+P42*'Geometry'!$G$43+Q42*'Geometry'!$F$43)&lt;=C_eco,C_alpha*C_fck*(1-(1-(O42+P42*'Geometry'!$G$43+Q42*'Geometry'!$F$43)/C_eco)^C_n),C_alpha*C_fck),0)))*'Geometry'!$H$43*'Geometry'!$F$43+((MAX(MIN(S_1_Es*(O42+P42*'Geometry'!$G$44+Q42*'Geometry'!$F$44),S_1_fy),-S_1_fy))-(IF((O42+P42*'Geometry'!$G$44+Q42*'Geometry'!$F$44)&gt;0,IF((O42+P42*'Geometry'!$G$44+Q42*'Geometry'!$F$44)&lt;=C_eco,C_alpha*C_fck*(1-(1-(O42+P42*'Geometry'!$G$44+Q42*'Geometry'!$F$44)/C_eco)^C_n),C_alpha*C_fck),0)))*'Geometry'!$H$44*'Geometry'!$F$44+((MAX(MIN(S_1_Es*(O42+P42*'Geometry'!$G$45+Q42*'Geometry'!$F$45),S_1_fy),-S_1_fy))-(IF((O42+P42*'Geometry'!$G$45+Q42*'Geometry'!$F$45)&gt;0,IF((O42+P42*'Geometry'!$G$45+Q42*'Geometry'!$F$45)&lt;=C_eco,C_alpha*C_fck*(1-(1-(O42+P42*'Geometry'!$G$45+Q42*'Geometry'!$F$45)/C_eco)^C_n),C_alpha*C_fck),0)))*'Geometry'!$H$45*'Geometry'!$F$45+((MAX(MIN(S_1_Es*(O42+P42*'Geometry'!$G$46+Q42*'Geometry'!$F$46),S_1_fy),-S_1_fy))-(IF((O42+P42*'Geometry'!$G$46+Q42*'Geometry'!$F$46)&gt;0,IF((O42+P42*'Geometry'!$G$46+Q42*'Geometry'!$F$46)&lt;=C_eco,C_alpha*C_fck*(1-(1-(O42+P42*'Geometry'!$G$46+Q42*'Geometry'!$F$46)/C_eco)^C_n),C_alpha*C_fck),0)))*'Geometry'!$H$46*'Geometry'!$F$46+((MAX(MIN(S_1_Es*(O42+P42*'Geometry'!$G$47+Q42*'Geometry'!$F$47),S_1_fy),-S_1_fy))-(IF((O42+P42*'Geometry'!$G$47+Q42*'Geometry'!$F$47)&gt;0,IF((O42+P42*'Geometry'!$G$47+Q42*'Geometry'!$F$47)&lt;=C_eco,C_alpha*C_fck*(1-(1-(O42+P42*'Geometry'!$G$47+Q42*'Geometry'!$F$47)/C_eco)^C_n),C_alpha*C_fck),0)))*'Geometry'!$H$47*'Geometry'!$F$47+((MAX(MIN(S_1_Es*(O42+P42*'Geometry'!$G$48+Q42*'Geometry'!$F$48),S_1_fy),-S_1_fy))-(IF((O42+P42*'Geometry'!$G$48+Q42*'Geometry'!$F$48)&gt;0,IF((O42+P42*'Geometry'!$G$48+Q42*'Geometry'!$F$48)&lt;=C_eco,C_alpha*C_fck*(1-(1-(O42+P42*'Geometry'!$G$48+Q42*'Geometry'!$F$48)/C_eco)^C_n),C_alpha*C_fck),0)))*'Geometry'!$H$48*'Geometry'!$F$48+((MAX(MIN(S_1_Es*(O42+P42*'Geometry'!$G$49+Q42*'Geometry'!$F$49),S_1_fy),-S_1_fy))-(IF((O42+P42*'Geometry'!$G$49+Q42*'Geometry'!$F$49)&gt;0,IF((O42+P42*'Geometry'!$G$49+Q42*'Geometry'!$F$49)&lt;=C_eco,C_alpha*C_fck*(1-(1-(O42+P42*'Geometry'!$G$49+Q42*'Geometry'!$F$49)/C_eco)^C_n),C_alpha*C_fck),0)))*'Geometry'!$H$49*'Geometry'!$F$49+((MAX(MIN(S_1_Es*(O42+P42*'Geometry'!$G$50+Q42*'Geometry'!$F$50),S_1_fy),-S_1_fy))-(IF((O42+P42*'Geometry'!$G$50+Q42*'Geometry'!$F$50)&gt;0,IF((O42+P42*'Geometry'!$G$50+Q42*'Geometry'!$F$50)&lt;=C_eco,C_alpha*C_fck*(1-(1-(O42+P42*'Geometry'!$G$50+Q42*'Geometry'!$F$50)/C_eco)^C_n),C_alpha*C_fck),0)))*'Geometry'!$H$50*'Geometry'!$F$50+((MAX(MIN(S_1_Es*(O42+P42*'Geometry'!$G$51+Q42*'Geometry'!$F$51),S_1_fy),-S_1_fy))-(IF((O42+P42*'Geometry'!$G$51+Q42*'Geometry'!$F$51)&gt;0,IF((O42+P42*'Geometry'!$G$51+Q42*'Geometry'!$F$51)&lt;=C_eco,C_alpha*C_fck*(1-(1-(O42+P42*'Geometry'!$G$51+Q42*'Geometry'!$F$51)/C_eco)^C_n),C_alpha*C_fck),0)))*'Geometry'!$H$51*'Geometry'!$F$51+((MAX(MIN(S_1_Es*(O42+P42*'Geometry'!$G$52+Q42*'Geometry'!$F$52),S_1_fy),-S_1_fy))-(IF((O42+P42*'Geometry'!$G$52+Q42*'Geometry'!$F$52)&gt;0,IF((O42+P42*'Geometry'!$G$52+Q42*'Geometry'!$F$52)&lt;=C_eco,C_alpha*C_fck*(1-(1-(O42+P42*'Geometry'!$G$52+Q42*'Geometry'!$F$52)/C_eco)^C_n),C_alpha*C_fck),0)))*'Geometry'!$H$52*'Geometry'!$F$52+((MAX(MIN(S_1_Es*(O42+P42*'Geometry'!$G$53+Q42*'Geometry'!$F$53),S_1_fy),-S_1_fy))-(IF((O42+P42*'Geometry'!$G$53+Q42*'Geometry'!$F$53)&gt;0,IF((O42+P42*'Geometry'!$G$53+Q42*'Geometry'!$F$53)&lt;=C_eco,C_alpha*C_fck*(1-(1-(O42+P42*'Geometry'!$G$53+Q42*'Geometry'!$F$53)/C_eco)^C_n),C_alpha*C_fck),0)))*'Geometry'!$H$53*'Geometry'!$F$53+((MAX(MIN(S_1_Es*(O42+P42*'Geometry'!$G$54+Q42*'Geometry'!$F$54),S_1_fy),-S_1_fy))-(IF((O42+P42*'Geometry'!$G$54+Q42*'Geometry'!$F$54)&gt;0,IF((O42+P42*'Geometry'!$G$54+Q42*'Geometry'!$F$54)&lt;=C_eco,C_alpha*C_fck*(1-(1-(O42+P42*'Geometry'!$G$54+Q42*'Geometry'!$F$54)/C_eco)^C_n),C_alpha*C_fck),0)))*'Geometry'!$H$54*'Geometry'!$F$54+((MAX(MIN(S_1_Es*(O42+P42*'Geometry'!$G$55+Q42*'Geometry'!$F$55),S_1_fy),-S_1_fy))-(IF((O42+P42*'Geometry'!$G$55+Q42*'Geometry'!$F$55)&gt;0,IF((O42+P42*'Geometry'!$G$55+Q42*'Geometry'!$F$55)&lt;=C_eco,C_alpha*C_fck*(1-(1-(O42+P42*'Geometry'!$G$55+Q42*'Geometry'!$F$55)/C_eco)^C_n),C_alpha*C_fck),0)))*'Geometry'!$H$55*'Geometry'!$F$55+((MAX(MIN(S_1_Es*(O42+P42*'Geometry'!$G$56+Q42*'Geometry'!$F$56),S_1_fy),-S_1_fy))-(IF((O42+P42*'Geometry'!$G$56+Q42*'Geometry'!$F$56)&gt;0,IF((O42+P42*'Geometry'!$G$56+Q42*'Geometry'!$F$56)&lt;=C_eco,C_alpha*C_fck*(1-(1-(O42+P42*'Geometry'!$G$56+Q42*'Geometry'!$F$56)/C_eco)^C_n),C_alpha*C_fck),0)))*'Geometry'!$H$56*'Geometry'!$F$56+((MAX(MIN(S_1_Es*(O42+P42*'Geometry'!$G$57+Q42*'Geometry'!$F$57),S_1_fy),-S_1_fy))-(IF((O42+P42*'Geometry'!$G$57+Q42*'Geometry'!$F$57)&gt;0,IF((O42+P42*'Geometry'!$G$57+Q42*'Geometry'!$F$57)&lt;=C_eco,C_alpha*C_fck*(1-(1-(O42+P42*'Geometry'!$G$57+Q42*'Geometry'!$F$57)/C_eco)^C_n),C_alpha*C_fck),0)))*'Geometry'!$H$57*'Geometry'!$F$57)/1000000</f>
        <v>-641.8736796483134</v>
      </c>
      <c r="X42" s="10">
        <f>R42+U42</f>
        <v>1067.102763882679</v>
      </c>
      <c r="Y42" s="10">
        <f>S42+V42</f>
        <v>3222.2228828298585</v>
      </c>
      <c r="Z42" s="10">
        <f>T42+W42</f>
        <v>-2096.676491746401</v>
      </c>
      <c r="AA42" s="7">
        <v>0.85</v>
      </c>
      <c r="AB42" s="7">
        <v>0.85</v>
      </c>
      <c r="AC42" s="10">
        <f>X42*AA42</f>
        <v>907.037349300277</v>
      </c>
      <c r="AD42" s="10">
        <f>Y42*AB42</f>
        <v>2738.889450405379</v>
      </c>
      <c r="AE42" s="10">
        <f>Z42*AB42</f>
        <v>-1782.175017984441</v>
      </c>
      <c r="AF42" s="7">
        <v>907.037349300277</v>
      </c>
      <c r="AG42" s="7">
        <v>2738.889450405379</v>
      </c>
      <c r="AH42" s="7">
        <v>-1782.175017984441</v>
      </c>
      <c r="AI42" s="15">
        <f>AC42-AF42</f>
        <v>0</v>
      </c>
      <c r="AJ42" s="15">
        <f>SQRT((AD42-AG42)^2+(AE42-AH42)^2)</f>
        <v>0</v>
      </c>
      <c r="AK42" s="7" t="s">
        <v>189</v>
      </c>
      <c r="AL42" s="7">
        <v>1067.102763882679</v>
      </c>
      <c r="AM42" s="7">
        <v>3222.2228828298585</v>
      </c>
      <c r="AN42" s="7">
        <v>-2096.676491746401</v>
      </c>
      <c r="AO42" s="7">
        <v>3972.8964102626674</v>
      </c>
      <c r="AP42" s="7">
        <v>1885.9243627376457</v>
      </c>
      <c r="AQ42" s="7">
        <v>-1454.802812098088</v>
      </c>
      <c r="AR42" s="7">
        <v>-2905.793646379989</v>
      </c>
      <c r="AS42" s="7">
        <v>1336.2985200922126</v>
      </c>
      <c r="AT42" s="7">
        <v>-641.8736796483134</v>
      </c>
    </row>
    <row r="43" spans="1:46" x14ac:dyDescent="0.25">
      <c r="A43" s="7" t="s">
        <v>260</v>
      </c>
      <c r="B43" s="7">
        <v>1</v>
      </c>
      <c r="C43" s="18">
        <v>350</v>
      </c>
      <c r="D43" s="7" t="s">
        <v>302</v>
      </c>
      <c r="E43" s="7" t="s">
        <v>267</v>
      </c>
      <c r="F43" s="19">
        <v>350</v>
      </c>
      <c r="G43" s="7" t="s">
        <v>188</v>
      </c>
      <c r="H43" s="20">
        <v>5.000000000000001</v>
      </c>
      <c r="I43" s="10">
        <f>MAX(('Geometry'!$G$13*COS(RADIANS(F43))+'Geometry'!$F$13*SIN(RADIANS(F43))),('Geometry'!$G$14*COS(RADIANS(F43))+'Geometry'!$F$14*SIN(RADIANS(F43))),('Geometry'!$G$15*COS(RADIANS(F43))+'Geometry'!$F$15*SIN(RADIANS(F43))),('Geometry'!$G$16*COS(RADIANS(F43))+'Geometry'!$F$16*SIN(RADIANS(F43))),('Geometry'!$G$17*COS(RADIANS(F43))+'Geometry'!$F$17*SIN(RADIANS(F43))),('Geometry'!$G$18*COS(RADIANS(F43))+'Geometry'!$F$18*SIN(RADIANS(F43))),('Geometry'!$G$19*COS(RADIANS(F43))+'Geometry'!$F$19*SIN(RADIANS(F43))),('Geometry'!$G$20*COS(RADIANS(F43))+'Geometry'!$F$20*SIN(RADIANS(F43))))</f>
        <v>686.391149524137</v>
      </c>
      <c r="J43" s="10">
        <f>MIN(('Geometry'!$G$40*COS(RADIANS(F43))+'Geometry'!$F$40*SIN(RADIANS(F43))),('Geometry'!$G$41*COS(RADIANS(F43))+'Geometry'!$F$41*SIN(RADIANS(F43))),('Geometry'!$G$42*COS(RADIANS(F43))+'Geometry'!$F$42*SIN(RADIANS(F43))),('Geometry'!$G$43*COS(RADIANS(F43))+'Geometry'!$F$43*SIN(RADIANS(F43))),('Geometry'!$G$44*COS(RADIANS(F43))+'Geometry'!$F$44*SIN(RADIANS(F43))),('Geometry'!$G$45*COS(RADIANS(F43))+'Geometry'!$F$45*SIN(RADIANS(F43))),('Geometry'!$G$46*COS(RADIANS(F43))+'Geometry'!$F$46*SIN(RADIANS(F43))),('Geometry'!$G$47*COS(RADIANS(F43))+'Geometry'!$F$47*SIN(RADIANS(F43))),('Geometry'!$G$48*COS(RADIANS(F43))+'Geometry'!$F$48*SIN(RADIANS(F43))),('Geometry'!$G$49*COS(RADIANS(F43))+'Geometry'!$F$49*SIN(RADIANS(F43))),('Geometry'!$G$50*COS(RADIANS(F43))+'Geometry'!$F$50*SIN(RADIANS(F43))),('Geometry'!$G$51*COS(RADIANS(F43))+'Geometry'!$F$51*SIN(RADIANS(F43))),('Geometry'!$G$52*COS(RADIANS(F43))+'Geometry'!$F$52*SIN(RADIANS(F43))),('Geometry'!$G$53*COS(RADIANS(F43))+'Geometry'!$F$53*SIN(RADIANS(F43))),('Geometry'!$G$54*COS(RADIANS(F43))+'Geometry'!$F$54*SIN(RADIANS(F43))),('Geometry'!$G$55*COS(RADIANS(F43))+'Geometry'!$F$55*SIN(RADIANS(F43))),('Geometry'!$G$56*COS(RADIANS(F43))+'Geometry'!$F$56*SIN(RADIANS(F43))),('Geometry'!$G$57*COS(RADIANS(F43))+'Geometry'!$F$57*SIN(RADIANS(F43))))</f>
        <v>-591.4073801632427</v>
      </c>
      <c r="K43" s="10">
        <f>I43-MIN(('Geometry'!$G$13*COS(RADIANS(F43))+'Geometry'!$F$13*SIN(RADIANS(F43))),('Geometry'!$G$14*COS(RADIANS(F43))+'Geometry'!$F$14*SIN(RADIANS(F43))),('Geometry'!$G$15*COS(RADIANS(F43))+'Geometry'!$F$15*SIN(RADIANS(F43))),('Geometry'!$G$16*COS(RADIANS(F43))+'Geometry'!$F$16*SIN(RADIANS(F43))),('Geometry'!$G$17*COS(RADIANS(F43))+'Geometry'!$F$17*SIN(RADIANS(F43))),('Geometry'!$G$18*COS(RADIANS(F43))+'Geometry'!$F$18*SIN(RADIANS(F43))),('Geometry'!$G$19*COS(RADIANS(F43))+'Geometry'!$F$19*SIN(RADIANS(F43))),('Geometry'!$G$20*COS(RADIANS(F43))+'Geometry'!$F$20*SIN(RADIANS(F43))))</f>
        <v>1372.782299048274</v>
      </c>
      <c r="L43" s="15">
        <f>C_ecu</f>
        <v>0.0033000000000000035</v>
      </c>
      <c r="M43" s="15">
        <f>-H43*S_1_fy/S_1_Es</f>
        <v>-0.010000000000000002</v>
      </c>
      <c r="N43" s="21">
        <f>IF(ABS(I43-J43)&lt;0.000000000001,0,(L43-M43)/(I43-J43))</f>
        <v>0.000010408526611197402</v>
      </c>
      <c r="O43" s="15">
        <f>L43-N43*I43</f>
        <v>-0.0038443205455123515</v>
      </c>
      <c r="P43" s="21">
        <f>N43*COS(RADIANS(F43))</f>
        <v>0.000010250397704141087</v>
      </c>
      <c r="Q43" s="21">
        <f>N43*SIN(RADIANS(F43))</f>
        <v>-0.0000018074216782321797</v>
      </c>
      <c r="R43" s="10">
        <f>SUMPRODUCT(C_alpha*C_fck*(1-(1-(((O43+P43*Mesh_Y+Q43*Mesh_X))*((O43+P43*Mesh_Y+Q43*Mesh_X)&gt;0)*((O43+P43*Mesh_Y+Q43*Mesh_X)&lt;C_eco)+C_eco*((O43+P43*Mesh_Y+Q43*Mesh_X)&gt;=C_eco))/C_eco)^C_n)*(((O43+P43*Mesh_Y+Q43*Mesh_X))&gt;0),Mesh_A)/1000</f>
        <v>5227.613505340525</v>
      </c>
      <c r="S43" s="10">
        <f>SUMPRODUCT(C_alpha*C_fck*(1-(1-(((O43+P43*Mesh_Y+Q43*Mesh_X))*((O43+P43*Mesh_Y+Q43*Mesh_X)&gt;0)*((O43+P43*Mesh_Y+Q43*Mesh_X)&lt;C_eco)+C_eco*((O43+P43*Mesh_Y+Q43*Mesh_X)&gt;=C_eco))/C_eco)^C_n)*(((O43+P43*Mesh_Y+Q43*Mesh_X))&gt;0),Mesh_A,Mesh_Y)/1000000</f>
        <v>2588.3463223391077</v>
      </c>
      <c r="T43" s="10">
        <f>SUMPRODUCT(C_alpha*C_fck*(1-(1-(((O43+P43*Mesh_Y+Q43*Mesh_X))*((O43+P43*Mesh_Y+Q43*Mesh_X)&gt;0)*((O43+P43*Mesh_Y+Q43*Mesh_X)&lt;C_eco)+C_eco*((O43+P43*Mesh_Y+Q43*Mesh_X)&gt;=C_eco))/C_eco)^C_n)*(((O43+P43*Mesh_Y+Q43*Mesh_X))&gt;0),Mesh_A,Mesh_X)/1000000</f>
        <v>-933.6051894794497</v>
      </c>
      <c r="U43" s="10">
        <f>(((MAX(MIN(S_1_Es*(O43+P43*'Geometry'!$G$40+Q43*'Geometry'!$F$40),S_1_fy),-S_1_fy))-(IF((O43+P43*'Geometry'!$G$40+Q43*'Geometry'!$F$40)&gt;0,IF((O43+P43*'Geometry'!$G$40+Q43*'Geometry'!$F$40)&lt;=C_eco,C_alpha*C_fck*(1-(1-(O43+P43*'Geometry'!$G$40+Q43*'Geometry'!$F$40)/C_eco)^C_n),C_alpha*C_fck),0)))*'Geometry'!$H$40+((MAX(MIN(S_1_Es*(O43+P43*'Geometry'!$G$41+Q43*'Geometry'!$F$41),S_1_fy),-S_1_fy))-(IF((O43+P43*'Geometry'!$G$41+Q43*'Geometry'!$F$41)&gt;0,IF((O43+P43*'Geometry'!$G$41+Q43*'Geometry'!$F$41)&lt;=C_eco,C_alpha*C_fck*(1-(1-(O43+P43*'Geometry'!$G$41+Q43*'Geometry'!$F$41)/C_eco)^C_n),C_alpha*C_fck),0)))*'Geometry'!$H$41+((MAX(MIN(S_1_Es*(O43+P43*'Geometry'!$G$42+Q43*'Geometry'!$F$42),S_1_fy),-S_1_fy))-(IF((O43+P43*'Geometry'!$G$42+Q43*'Geometry'!$F$42)&gt;0,IF((O43+P43*'Geometry'!$G$42+Q43*'Geometry'!$F$42)&lt;=C_eco,C_alpha*C_fck*(1-(1-(O43+P43*'Geometry'!$G$42+Q43*'Geometry'!$F$42)/C_eco)^C_n),C_alpha*C_fck),0)))*'Geometry'!$H$42+((MAX(MIN(S_1_Es*(O43+P43*'Geometry'!$G$43+Q43*'Geometry'!$F$43),S_1_fy),-S_1_fy))-(IF((O43+P43*'Geometry'!$G$43+Q43*'Geometry'!$F$43)&gt;0,IF((O43+P43*'Geometry'!$G$43+Q43*'Geometry'!$F$43)&lt;=C_eco,C_alpha*C_fck*(1-(1-(O43+P43*'Geometry'!$G$43+Q43*'Geometry'!$F$43)/C_eco)^C_n),C_alpha*C_fck),0)))*'Geometry'!$H$43+((MAX(MIN(S_1_Es*(O43+P43*'Geometry'!$G$44+Q43*'Geometry'!$F$44),S_1_fy),-S_1_fy))-(IF((O43+P43*'Geometry'!$G$44+Q43*'Geometry'!$F$44)&gt;0,IF((O43+P43*'Geometry'!$G$44+Q43*'Geometry'!$F$44)&lt;=C_eco,C_alpha*C_fck*(1-(1-(O43+P43*'Geometry'!$G$44+Q43*'Geometry'!$F$44)/C_eco)^C_n),C_alpha*C_fck),0)))*'Geometry'!$H$44+((MAX(MIN(S_1_Es*(O43+P43*'Geometry'!$G$45+Q43*'Geometry'!$F$45),S_1_fy),-S_1_fy))-(IF((O43+P43*'Geometry'!$G$45+Q43*'Geometry'!$F$45)&gt;0,IF((O43+P43*'Geometry'!$G$45+Q43*'Geometry'!$F$45)&lt;=C_eco,C_alpha*C_fck*(1-(1-(O43+P43*'Geometry'!$G$45+Q43*'Geometry'!$F$45)/C_eco)^C_n),C_alpha*C_fck),0)))*'Geometry'!$H$45+((MAX(MIN(S_1_Es*(O43+P43*'Geometry'!$G$46+Q43*'Geometry'!$F$46),S_1_fy),-S_1_fy))-(IF((O43+P43*'Geometry'!$G$46+Q43*'Geometry'!$F$46)&gt;0,IF((O43+P43*'Geometry'!$G$46+Q43*'Geometry'!$F$46)&lt;=C_eco,C_alpha*C_fck*(1-(1-(O43+P43*'Geometry'!$G$46+Q43*'Geometry'!$F$46)/C_eco)^C_n),C_alpha*C_fck),0)))*'Geometry'!$H$46+((MAX(MIN(S_1_Es*(O43+P43*'Geometry'!$G$47+Q43*'Geometry'!$F$47),S_1_fy),-S_1_fy))-(IF((O43+P43*'Geometry'!$G$47+Q43*'Geometry'!$F$47)&gt;0,IF((O43+P43*'Geometry'!$G$47+Q43*'Geometry'!$F$47)&lt;=C_eco,C_alpha*C_fck*(1-(1-(O43+P43*'Geometry'!$G$47+Q43*'Geometry'!$F$47)/C_eco)^C_n),C_alpha*C_fck),0)))*'Geometry'!$H$47+((MAX(MIN(S_1_Es*(O43+P43*'Geometry'!$G$48+Q43*'Geometry'!$F$48),S_1_fy),-S_1_fy))-(IF((O43+P43*'Geometry'!$G$48+Q43*'Geometry'!$F$48)&gt;0,IF((O43+P43*'Geometry'!$G$48+Q43*'Geometry'!$F$48)&lt;=C_eco,C_alpha*C_fck*(1-(1-(O43+P43*'Geometry'!$G$48+Q43*'Geometry'!$F$48)/C_eco)^C_n),C_alpha*C_fck),0)))*'Geometry'!$H$48+((MAX(MIN(S_1_Es*(O43+P43*'Geometry'!$G$49+Q43*'Geometry'!$F$49),S_1_fy),-S_1_fy))-(IF((O43+P43*'Geometry'!$G$49+Q43*'Geometry'!$F$49)&gt;0,IF((O43+P43*'Geometry'!$G$49+Q43*'Geometry'!$F$49)&lt;=C_eco,C_alpha*C_fck*(1-(1-(O43+P43*'Geometry'!$G$49+Q43*'Geometry'!$F$49)/C_eco)^C_n),C_alpha*C_fck),0)))*'Geometry'!$H$49+((MAX(MIN(S_1_Es*(O43+P43*'Geometry'!$G$50+Q43*'Geometry'!$F$50),S_1_fy),-S_1_fy))-(IF((O43+P43*'Geometry'!$G$50+Q43*'Geometry'!$F$50)&gt;0,IF((O43+P43*'Geometry'!$G$50+Q43*'Geometry'!$F$50)&lt;=C_eco,C_alpha*C_fck*(1-(1-(O43+P43*'Geometry'!$G$50+Q43*'Geometry'!$F$50)/C_eco)^C_n),C_alpha*C_fck),0)))*'Geometry'!$H$50+((MAX(MIN(S_1_Es*(O43+P43*'Geometry'!$G$51+Q43*'Geometry'!$F$51),S_1_fy),-S_1_fy))-(IF((O43+P43*'Geometry'!$G$51+Q43*'Geometry'!$F$51)&gt;0,IF((O43+P43*'Geometry'!$G$51+Q43*'Geometry'!$F$51)&lt;=C_eco,C_alpha*C_fck*(1-(1-(O43+P43*'Geometry'!$G$51+Q43*'Geometry'!$F$51)/C_eco)^C_n),C_alpha*C_fck),0)))*'Geometry'!$H$51+((MAX(MIN(S_1_Es*(O43+P43*'Geometry'!$G$52+Q43*'Geometry'!$F$52),S_1_fy),-S_1_fy))-(IF((O43+P43*'Geometry'!$G$52+Q43*'Geometry'!$F$52)&gt;0,IF((O43+P43*'Geometry'!$G$52+Q43*'Geometry'!$F$52)&lt;=C_eco,C_alpha*C_fck*(1-(1-(O43+P43*'Geometry'!$G$52+Q43*'Geometry'!$F$52)/C_eco)^C_n),C_alpha*C_fck),0)))*'Geometry'!$H$52+((MAX(MIN(S_1_Es*(O43+P43*'Geometry'!$G$53+Q43*'Geometry'!$F$53),S_1_fy),-S_1_fy))-(IF((O43+P43*'Geometry'!$G$53+Q43*'Geometry'!$F$53)&gt;0,IF((O43+P43*'Geometry'!$G$53+Q43*'Geometry'!$F$53)&lt;=C_eco,C_alpha*C_fck*(1-(1-(O43+P43*'Geometry'!$G$53+Q43*'Geometry'!$F$53)/C_eco)^C_n),C_alpha*C_fck),0)))*'Geometry'!$H$53+((MAX(MIN(S_1_Es*(O43+P43*'Geometry'!$G$54+Q43*'Geometry'!$F$54),S_1_fy),-S_1_fy))-(IF((O43+P43*'Geometry'!$G$54+Q43*'Geometry'!$F$54)&gt;0,IF((O43+P43*'Geometry'!$G$54+Q43*'Geometry'!$F$54)&lt;=C_eco,C_alpha*C_fck*(1-(1-(O43+P43*'Geometry'!$G$54+Q43*'Geometry'!$F$54)/C_eco)^C_n),C_alpha*C_fck),0)))*'Geometry'!$H$54+((MAX(MIN(S_1_Es*(O43+P43*'Geometry'!$G$55+Q43*'Geometry'!$F$55),S_1_fy),-S_1_fy))-(IF((O43+P43*'Geometry'!$G$55+Q43*'Geometry'!$F$55)&gt;0,IF((O43+P43*'Geometry'!$G$55+Q43*'Geometry'!$F$55)&lt;=C_eco,C_alpha*C_fck*(1-(1-(O43+P43*'Geometry'!$G$55+Q43*'Geometry'!$F$55)/C_eco)^C_n),C_alpha*C_fck),0)))*'Geometry'!$H$55+((MAX(MIN(S_1_Es*(O43+P43*'Geometry'!$G$56+Q43*'Geometry'!$F$56),S_1_fy),-S_1_fy))-(IF((O43+P43*'Geometry'!$G$56+Q43*'Geometry'!$F$56)&gt;0,IF((O43+P43*'Geometry'!$G$56+Q43*'Geometry'!$F$56)&lt;=C_eco,C_alpha*C_fck*(1-(1-(O43+P43*'Geometry'!$G$56+Q43*'Geometry'!$F$56)/C_eco)^C_n),C_alpha*C_fck),0)))*'Geometry'!$H$56+((MAX(MIN(S_1_Es*(O43+P43*'Geometry'!$G$57+Q43*'Geometry'!$F$57),S_1_fy),-S_1_fy))-(IF((O43+P43*'Geometry'!$G$57+Q43*'Geometry'!$F$57)&gt;0,IF((O43+P43*'Geometry'!$G$57+Q43*'Geometry'!$F$57)&lt;=C_eco,C_alpha*C_fck*(1-(1-(O43+P43*'Geometry'!$G$57+Q43*'Geometry'!$F$57)/C_eco)^C_n),C_alpha*C_fck),0)))*'Geometry'!$H$57)/1000</f>
        <v>-2593.195648545218</v>
      </c>
      <c r="V43" s="10">
        <f>(((MAX(MIN(S_1_Es*(O43+P43*'Geometry'!$G$40+Q43*'Geometry'!$F$40),S_1_fy),-S_1_fy))-(IF((O43+P43*'Geometry'!$G$40+Q43*'Geometry'!$F$40)&gt;0,IF((O43+P43*'Geometry'!$G$40+Q43*'Geometry'!$F$40)&lt;=C_eco,C_alpha*C_fck*(1-(1-(O43+P43*'Geometry'!$G$40+Q43*'Geometry'!$F$40)/C_eco)^C_n),C_alpha*C_fck),0)))*'Geometry'!$H$40*'Geometry'!$G$40+((MAX(MIN(S_1_Es*(O43+P43*'Geometry'!$G$41+Q43*'Geometry'!$F$41),S_1_fy),-S_1_fy))-(IF((O43+P43*'Geometry'!$G$41+Q43*'Geometry'!$F$41)&gt;0,IF((O43+P43*'Geometry'!$G$41+Q43*'Geometry'!$F$41)&lt;=C_eco,C_alpha*C_fck*(1-(1-(O43+P43*'Geometry'!$G$41+Q43*'Geometry'!$F$41)/C_eco)^C_n),C_alpha*C_fck),0)))*'Geometry'!$H$41*'Geometry'!$G$41+((MAX(MIN(S_1_Es*(O43+P43*'Geometry'!$G$42+Q43*'Geometry'!$F$42),S_1_fy),-S_1_fy))-(IF((O43+P43*'Geometry'!$G$42+Q43*'Geometry'!$F$42)&gt;0,IF((O43+P43*'Geometry'!$G$42+Q43*'Geometry'!$F$42)&lt;=C_eco,C_alpha*C_fck*(1-(1-(O43+P43*'Geometry'!$G$42+Q43*'Geometry'!$F$42)/C_eco)^C_n),C_alpha*C_fck),0)))*'Geometry'!$H$42*'Geometry'!$G$42+((MAX(MIN(S_1_Es*(O43+P43*'Geometry'!$G$43+Q43*'Geometry'!$F$43),S_1_fy),-S_1_fy))-(IF((O43+P43*'Geometry'!$G$43+Q43*'Geometry'!$F$43)&gt;0,IF((O43+P43*'Geometry'!$G$43+Q43*'Geometry'!$F$43)&lt;=C_eco,C_alpha*C_fck*(1-(1-(O43+P43*'Geometry'!$G$43+Q43*'Geometry'!$F$43)/C_eco)^C_n),C_alpha*C_fck),0)))*'Geometry'!$H$43*'Geometry'!$G$43+((MAX(MIN(S_1_Es*(O43+P43*'Geometry'!$G$44+Q43*'Geometry'!$F$44),S_1_fy),-S_1_fy))-(IF((O43+P43*'Geometry'!$G$44+Q43*'Geometry'!$F$44)&gt;0,IF((O43+P43*'Geometry'!$G$44+Q43*'Geometry'!$F$44)&lt;=C_eco,C_alpha*C_fck*(1-(1-(O43+P43*'Geometry'!$G$44+Q43*'Geometry'!$F$44)/C_eco)^C_n),C_alpha*C_fck),0)))*'Geometry'!$H$44*'Geometry'!$G$44+((MAX(MIN(S_1_Es*(O43+P43*'Geometry'!$G$45+Q43*'Geometry'!$F$45),S_1_fy),-S_1_fy))-(IF((O43+P43*'Geometry'!$G$45+Q43*'Geometry'!$F$45)&gt;0,IF((O43+P43*'Geometry'!$G$45+Q43*'Geometry'!$F$45)&lt;=C_eco,C_alpha*C_fck*(1-(1-(O43+P43*'Geometry'!$G$45+Q43*'Geometry'!$F$45)/C_eco)^C_n),C_alpha*C_fck),0)))*'Geometry'!$H$45*'Geometry'!$G$45+((MAX(MIN(S_1_Es*(O43+P43*'Geometry'!$G$46+Q43*'Geometry'!$F$46),S_1_fy),-S_1_fy))-(IF((O43+P43*'Geometry'!$G$46+Q43*'Geometry'!$F$46)&gt;0,IF((O43+P43*'Geometry'!$G$46+Q43*'Geometry'!$F$46)&lt;=C_eco,C_alpha*C_fck*(1-(1-(O43+P43*'Geometry'!$G$46+Q43*'Geometry'!$F$46)/C_eco)^C_n),C_alpha*C_fck),0)))*'Geometry'!$H$46*'Geometry'!$G$46+((MAX(MIN(S_1_Es*(O43+P43*'Geometry'!$G$47+Q43*'Geometry'!$F$47),S_1_fy),-S_1_fy))-(IF((O43+P43*'Geometry'!$G$47+Q43*'Geometry'!$F$47)&gt;0,IF((O43+P43*'Geometry'!$G$47+Q43*'Geometry'!$F$47)&lt;=C_eco,C_alpha*C_fck*(1-(1-(O43+P43*'Geometry'!$G$47+Q43*'Geometry'!$F$47)/C_eco)^C_n),C_alpha*C_fck),0)))*'Geometry'!$H$47*'Geometry'!$G$47+((MAX(MIN(S_1_Es*(O43+P43*'Geometry'!$G$48+Q43*'Geometry'!$F$48),S_1_fy),-S_1_fy))-(IF((O43+P43*'Geometry'!$G$48+Q43*'Geometry'!$F$48)&gt;0,IF((O43+P43*'Geometry'!$G$48+Q43*'Geometry'!$F$48)&lt;=C_eco,C_alpha*C_fck*(1-(1-(O43+P43*'Geometry'!$G$48+Q43*'Geometry'!$F$48)/C_eco)^C_n),C_alpha*C_fck),0)))*'Geometry'!$H$48*'Geometry'!$G$48+((MAX(MIN(S_1_Es*(O43+P43*'Geometry'!$G$49+Q43*'Geometry'!$F$49),S_1_fy),-S_1_fy))-(IF((O43+P43*'Geometry'!$G$49+Q43*'Geometry'!$F$49)&gt;0,IF((O43+P43*'Geometry'!$G$49+Q43*'Geometry'!$F$49)&lt;=C_eco,C_alpha*C_fck*(1-(1-(O43+P43*'Geometry'!$G$49+Q43*'Geometry'!$F$49)/C_eco)^C_n),C_alpha*C_fck),0)))*'Geometry'!$H$49*'Geometry'!$G$49+((MAX(MIN(S_1_Es*(O43+P43*'Geometry'!$G$50+Q43*'Geometry'!$F$50),S_1_fy),-S_1_fy))-(IF((O43+P43*'Geometry'!$G$50+Q43*'Geometry'!$F$50)&gt;0,IF((O43+P43*'Geometry'!$G$50+Q43*'Geometry'!$F$50)&lt;=C_eco,C_alpha*C_fck*(1-(1-(O43+P43*'Geometry'!$G$50+Q43*'Geometry'!$F$50)/C_eco)^C_n),C_alpha*C_fck),0)))*'Geometry'!$H$50*'Geometry'!$G$50+((MAX(MIN(S_1_Es*(O43+P43*'Geometry'!$G$51+Q43*'Geometry'!$F$51),S_1_fy),-S_1_fy))-(IF((O43+P43*'Geometry'!$G$51+Q43*'Geometry'!$F$51)&gt;0,IF((O43+P43*'Geometry'!$G$51+Q43*'Geometry'!$F$51)&lt;=C_eco,C_alpha*C_fck*(1-(1-(O43+P43*'Geometry'!$G$51+Q43*'Geometry'!$F$51)/C_eco)^C_n),C_alpha*C_fck),0)))*'Geometry'!$H$51*'Geometry'!$G$51+((MAX(MIN(S_1_Es*(O43+P43*'Geometry'!$G$52+Q43*'Geometry'!$F$52),S_1_fy),-S_1_fy))-(IF((O43+P43*'Geometry'!$G$52+Q43*'Geometry'!$F$52)&gt;0,IF((O43+P43*'Geometry'!$G$52+Q43*'Geometry'!$F$52)&lt;=C_eco,C_alpha*C_fck*(1-(1-(O43+P43*'Geometry'!$G$52+Q43*'Geometry'!$F$52)/C_eco)^C_n),C_alpha*C_fck),0)))*'Geometry'!$H$52*'Geometry'!$G$52+((MAX(MIN(S_1_Es*(O43+P43*'Geometry'!$G$53+Q43*'Geometry'!$F$53),S_1_fy),-S_1_fy))-(IF((O43+P43*'Geometry'!$G$53+Q43*'Geometry'!$F$53)&gt;0,IF((O43+P43*'Geometry'!$G$53+Q43*'Geometry'!$F$53)&lt;=C_eco,C_alpha*C_fck*(1-(1-(O43+P43*'Geometry'!$G$53+Q43*'Geometry'!$F$53)/C_eco)^C_n),C_alpha*C_fck),0)))*'Geometry'!$H$53*'Geometry'!$G$53+((MAX(MIN(S_1_Es*(O43+P43*'Geometry'!$G$54+Q43*'Geometry'!$F$54),S_1_fy),-S_1_fy))-(IF((O43+P43*'Geometry'!$G$54+Q43*'Geometry'!$F$54)&gt;0,IF((O43+P43*'Geometry'!$G$54+Q43*'Geometry'!$F$54)&lt;=C_eco,C_alpha*C_fck*(1-(1-(O43+P43*'Geometry'!$G$54+Q43*'Geometry'!$F$54)/C_eco)^C_n),C_alpha*C_fck),0)))*'Geometry'!$H$54*'Geometry'!$G$54+((MAX(MIN(S_1_Es*(O43+P43*'Geometry'!$G$55+Q43*'Geometry'!$F$55),S_1_fy),-S_1_fy))-(IF((O43+P43*'Geometry'!$G$55+Q43*'Geometry'!$F$55)&gt;0,IF((O43+P43*'Geometry'!$G$55+Q43*'Geometry'!$F$55)&lt;=C_eco,C_alpha*C_fck*(1-(1-(O43+P43*'Geometry'!$G$55+Q43*'Geometry'!$F$55)/C_eco)^C_n),C_alpha*C_fck),0)))*'Geometry'!$H$55*'Geometry'!$G$55+((MAX(MIN(S_1_Es*(O43+P43*'Geometry'!$G$56+Q43*'Geometry'!$F$56),S_1_fy),-S_1_fy))-(IF((O43+P43*'Geometry'!$G$56+Q43*'Geometry'!$F$56)&gt;0,IF((O43+P43*'Geometry'!$G$56+Q43*'Geometry'!$F$56)&lt;=C_eco,C_alpha*C_fck*(1-(1-(O43+P43*'Geometry'!$G$56+Q43*'Geometry'!$F$56)/C_eco)^C_n),C_alpha*C_fck),0)))*'Geometry'!$H$56*'Geometry'!$G$56+((MAX(MIN(S_1_Es*(O43+P43*'Geometry'!$G$57+Q43*'Geometry'!$F$57),S_1_fy),-S_1_fy))-(IF((O43+P43*'Geometry'!$G$57+Q43*'Geometry'!$F$57)&gt;0,IF((O43+P43*'Geometry'!$G$57+Q43*'Geometry'!$F$57)&lt;=C_eco,C_alpha*C_fck*(1-(1-(O43+P43*'Geometry'!$G$57+Q43*'Geometry'!$F$57)/C_eco)^C_n),C_alpha*C_fck),0)))*'Geometry'!$H$57*'Geometry'!$G$57)/1000000</f>
        <v>1577.1259364896728</v>
      </c>
      <c r="W43" s="10">
        <f>(((MAX(MIN(S_1_Es*(O43+P43*'Geometry'!$G$40+Q43*'Geometry'!$F$40),S_1_fy),-S_1_fy))-(IF((O43+P43*'Geometry'!$G$40+Q43*'Geometry'!$F$40)&gt;0,IF((O43+P43*'Geometry'!$G$40+Q43*'Geometry'!$F$40)&lt;=C_eco,C_alpha*C_fck*(1-(1-(O43+P43*'Geometry'!$G$40+Q43*'Geometry'!$F$40)/C_eco)^C_n),C_alpha*C_fck),0)))*'Geometry'!$H$40*'Geometry'!$F$40+((MAX(MIN(S_1_Es*(O43+P43*'Geometry'!$G$41+Q43*'Geometry'!$F$41),S_1_fy),-S_1_fy))-(IF((O43+P43*'Geometry'!$G$41+Q43*'Geometry'!$F$41)&gt;0,IF((O43+P43*'Geometry'!$G$41+Q43*'Geometry'!$F$41)&lt;=C_eco,C_alpha*C_fck*(1-(1-(O43+P43*'Geometry'!$G$41+Q43*'Geometry'!$F$41)/C_eco)^C_n),C_alpha*C_fck),0)))*'Geometry'!$H$41*'Geometry'!$F$41+((MAX(MIN(S_1_Es*(O43+P43*'Geometry'!$G$42+Q43*'Geometry'!$F$42),S_1_fy),-S_1_fy))-(IF((O43+P43*'Geometry'!$G$42+Q43*'Geometry'!$F$42)&gt;0,IF((O43+P43*'Geometry'!$G$42+Q43*'Geometry'!$F$42)&lt;=C_eco,C_alpha*C_fck*(1-(1-(O43+P43*'Geometry'!$G$42+Q43*'Geometry'!$F$42)/C_eco)^C_n),C_alpha*C_fck),0)))*'Geometry'!$H$42*'Geometry'!$F$42+((MAX(MIN(S_1_Es*(O43+P43*'Geometry'!$G$43+Q43*'Geometry'!$F$43),S_1_fy),-S_1_fy))-(IF((O43+P43*'Geometry'!$G$43+Q43*'Geometry'!$F$43)&gt;0,IF((O43+P43*'Geometry'!$G$43+Q43*'Geometry'!$F$43)&lt;=C_eco,C_alpha*C_fck*(1-(1-(O43+P43*'Geometry'!$G$43+Q43*'Geometry'!$F$43)/C_eco)^C_n),C_alpha*C_fck),0)))*'Geometry'!$H$43*'Geometry'!$F$43+((MAX(MIN(S_1_Es*(O43+P43*'Geometry'!$G$44+Q43*'Geometry'!$F$44),S_1_fy),-S_1_fy))-(IF((O43+P43*'Geometry'!$G$44+Q43*'Geometry'!$F$44)&gt;0,IF((O43+P43*'Geometry'!$G$44+Q43*'Geometry'!$F$44)&lt;=C_eco,C_alpha*C_fck*(1-(1-(O43+P43*'Geometry'!$G$44+Q43*'Geometry'!$F$44)/C_eco)^C_n),C_alpha*C_fck),0)))*'Geometry'!$H$44*'Geometry'!$F$44+((MAX(MIN(S_1_Es*(O43+P43*'Geometry'!$G$45+Q43*'Geometry'!$F$45),S_1_fy),-S_1_fy))-(IF((O43+P43*'Geometry'!$G$45+Q43*'Geometry'!$F$45)&gt;0,IF((O43+P43*'Geometry'!$G$45+Q43*'Geometry'!$F$45)&lt;=C_eco,C_alpha*C_fck*(1-(1-(O43+P43*'Geometry'!$G$45+Q43*'Geometry'!$F$45)/C_eco)^C_n),C_alpha*C_fck),0)))*'Geometry'!$H$45*'Geometry'!$F$45+((MAX(MIN(S_1_Es*(O43+P43*'Geometry'!$G$46+Q43*'Geometry'!$F$46),S_1_fy),-S_1_fy))-(IF((O43+P43*'Geometry'!$G$46+Q43*'Geometry'!$F$46)&gt;0,IF((O43+P43*'Geometry'!$G$46+Q43*'Geometry'!$F$46)&lt;=C_eco,C_alpha*C_fck*(1-(1-(O43+P43*'Geometry'!$G$46+Q43*'Geometry'!$F$46)/C_eco)^C_n),C_alpha*C_fck),0)))*'Geometry'!$H$46*'Geometry'!$F$46+((MAX(MIN(S_1_Es*(O43+P43*'Geometry'!$G$47+Q43*'Geometry'!$F$47),S_1_fy),-S_1_fy))-(IF((O43+P43*'Geometry'!$G$47+Q43*'Geometry'!$F$47)&gt;0,IF((O43+P43*'Geometry'!$G$47+Q43*'Geometry'!$F$47)&lt;=C_eco,C_alpha*C_fck*(1-(1-(O43+P43*'Geometry'!$G$47+Q43*'Geometry'!$F$47)/C_eco)^C_n),C_alpha*C_fck),0)))*'Geometry'!$H$47*'Geometry'!$F$47+((MAX(MIN(S_1_Es*(O43+P43*'Geometry'!$G$48+Q43*'Geometry'!$F$48),S_1_fy),-S_1_fy))-(IF((O43+P43*'Geometry'!$G$48+Q43*'Geometry'!$F$48)&gt;0,IF((O43+P43*'Geometry'!$G$48+Q43*'Geometry'!$F$48)&lt;=C_eco,C_alpha*C_fck*(1-(1-(O43+P43*'Geometry'!$G$48+Q43*'Geometry'!$F$48)/C_eco)^C_n),C_alpha*C_fck),0)))*'Geometry'!$H$48*'Geometry'!$F$48+((MAX(MIN(S_1_Es*(O43+P43*'Geometry'!$G$49+Q43*'Geometry'!$F$49),S_1_fy),-S_1_fy))-(IF((O43+P43*'Geometry'!$G$49+Q43*'Geometry'!$F$49)&gt;0,IF((O43+P43*'Geometry'!$G$49+Q43*'Geometry'!$F$49)&lt;=C_eco,C_alpha*C_fck*(1-(1-(O43+P43*'Geometry'!$G$49+Q43*'Geometry'!$F$49)/C_eco)^C_n),C_alpha*C_fck),0)))*'Geometry'!$H$49*'Geometry'!$F$49+((MAX(MIN(S_1_Es*(O43+P43*'Geometry'!$G$50+Q43*'Geometry'!$F$50),S_1_fy),-S_1_fy))-(IF((O43+P43*'Geometry'!$G$50+Q43*'Geometry'!$F$50)&gt;0,IF((O43+P43*'Geometry'!$G$50+Q43*'Geometry'!$F$50)&lt;=C_eco,C_alpha*C_fck*(1-(1-(O43+P43*'Geometry'!$G$50+Q43*'Geometry'!$F$50)/C_eco)^C_n),C_alpha*C_fck),0)))*'Geometry'!$H$50*'Geometry'!$F$50+((MAX(MIN(S_1_Es*(O43+P43*'Geometry'!$G$51+Q43*'Geometry'!$F$51),S_1_fy),-S_1_fy))-(IF((O43+P43*'Geometry'!$G$51+Q43*'Geometry'!$F$51)&gt;0,IF((O43+P43*'Geometry'!$G$51+Q43*'Geometry'!$F$51)&lt;=C_eco,C_alpha*C_fck*(1-(1-(O43+P43*'Geometry'!$G$51+Q43*'Geometry'!$F$51)/C_eco)^C_n),C_alpha*C_fck),0)))*'Geometry'!$H$51*'Geometry'!$F$51+((MAX(MIN(S_1_Es*(O43+P43*'Geometry'!$G$52+Q43*'Geometry'!$F$52),S_1_fy),-S_1_fy))-(IF((O43+P43*'Geometry'!$G$52+Q43*'Geometry'!$F$52)&gt;0,IF((O43+P43*'Geometry'!$G$52+Q43*'Geometry'!$F$52)&lt;=C_eco,C_alpha*C_fck*(1-(1-(O43+P43*'Geometry'!$G$52+Q43*'Geometry'!$F$52)/C_eco)^C_n),C_alpha*C_fck),0)))*'Geometry'!$H$52*'Geometry'!$F$52+((MAX(MIN(S_1_Es*(O43+P43*'Geometry'!$G$53+Q43*'Geometry'!$F$53),S_1_fy),-S_1_fy))-(IF((O43+P43*'Geometry'!$G$53+Q43*'Geometry'!$F$53)&gt;0,IF((O43+P43*'Geometry'!$G$53+Q43*'Geometry'!$F$53)&lt;=C_eco,C_alpha*C_fck*(1-(1-(O43+P43*'Geometry'!$G$53+Q43*'Geometry'!$F$53)/C_eco)^C_n),C_alpha*C_fck),0)))*'Geometry'!$H$53*'Geometry'!$F$53+((MAX(MIN(S_1_Es*(O43+P43*'Geometry'!$G$54+Q43*'Geometry'!$F$54),S_1_fy),-S_1_fy))-(IF((O43+P43*'Geometry'!$G$54+Q43*'Geometry'!$F$54)&gt;0,IF((O43+P43*'Geometry'!$G$54+Q43*'Geometry'!$F$54)&lt;=C_eco,C_alpha*C_fck*(1-(1-(O43+P43*'Geometry'!$G$54+Q43*'Geometry'!$F$54)/C_eco)^C_n),C_alpha*C_fck),0)))*'Geometry'!$H$54*'Geometry'!$F$54+((MAX(MIN(S_1_Es*(O43+P43*'Geometry'!$G$55+Q43*'Geometry'!$F$55),S_1_fy),-S_1_fy))-(IF((O43+P43*'Geometry'!$G$55+Q43*'Geometry'!$F$55)&gt;0,IF((O43+P43*'Geometry'!$G$55+Q43*'Geometry'!$F$55)&lt;=C_eco,C_alpha*C_fck*(1-(1-(O43+P43*'Geometry'!$G$55+Q43*'Geometry'!$F$55)/C_eco)^C_n),C_alpha*C_fck),0)))*'Geometry'!$H$55*'Geometry'!$F$55+((MAX(MIN(S_1_Es*(O43+P43*'Geometry'!$G$56+Q43*'Geometry'!$F$56),S_1_fy),-S_1_fy))-(IF((O43+P43*'Geometry'!$G$56+Q43*'Geometry'!$F$56)&gt;0,IF((O43+P43*'Geometry'!$G$56+Q43*'Geometry'!$F$56)&lt;=C_eco,C_alpha*C_fck*(1-(1-(O43+P43*'Geometry'!$G$56+Q43*'Geometry'!$F$56)/C_eco)^C_n),C_alpha*C_fck),0)))*'Geometry'!$H$56*'Geometry'!$F$56+((MAX(MIN(S_1_Es*(O43+P43*'Geometry'!$G$57+Q43*'Geometry'!$F$57),S_1_fy),-S_1_fy))-(IF((O43+P43*'Geometry'!$G$57+Q43*'Geometry'!$F$57)&gt;0,IF((O43+P43*'Geometry'!$G$57+Q43*'Geometry'!$F$57)&lt;=C_eco,C_alpha*C_fck*(1-(1-(O43+P43*'Geometry'!$G$57+Q43*'Geometry'!$F$57)/C_eco)^C_n),C_alpha*C_fck),0)))*'Geometry'!$H$57*'Geometry'!$F$57)/1000000</f>
        <v>-401.0103706321883</v>
      </c>
      <c r="X43" s="10">
        <f>R43+U43</f>
        <v>2634.417856795307</v>
      </c>
      <c r="Y43" s="10">
        <f>S43+V43</f>
        <v>4165.4722588287805</v>
      </c>
      <c r="Z43" s="10">
        <f>T43+W43</f>
        <v>-1334.6155601116382</v>
      </c>
      <c r="AA43" s="7">
        <v>0.8500000000000001</v>
      </c>
      <c r="AB43" s="7">
        <v>0.85</v>
      </c>
      <c r="AC43" s="10">
        <f>X43*AA43</f>
        <v>2239.255178276011</v>
      </c>
      <c r="AD43" s="10">
        <f>Y43*AB43</f>
        <v>3540.651420004463</v>
      </c>
      <c r="AE43" s="10">
        <f>Z43*AB43</f>
        <v>-1134.4232260948922</v>
      </c>
      <c r="AF43" s="7">
        <v>2239.255178276011</v>
      </c>
      <c r="AG43" s="7">
        <v>3540.651420004463</v>
      </c>
      <c r="AH43" s="7">
        <v>-1134.4232260948922</v>
      </c>
      <c r="AI43" s="15">
        <f>AC43-AF43</f>
        <v>0</v>
      </c>
      <c r="AJ43" s="15">
        <f>SQRT((AD43-AG43)^2+(AE43-AH43)^2)</f>
        <v>0</v>
      </c>
      <c r="AK43" s="7" t="s">
        <v>189</v>
      </c>
      <c r="AL43" s="7">
        <v>2634.417856795307</v>
      </c>
      <c r="AM43" s="7">
        <v>4165.4722588287805</v>
      </c>
      <c r="AN43" s="7">
        <v>-1334.6155601116382</v>
      </c>
      <c r="AO43" s="7">
        <v>5227.613505340525</v>
      </c>
      <c r="AP43" s="7">
        <v>2588.3463223391077</v>
      </c>
      <c r="AQ43" s="7">
        <v>-933.6051894794497</v>
      </c>
      <c r="AR43" s="7">
        <v>-2593.195648545218</v>
      </c>
      <c r="AS43" s="7">
        <v>1577.1259364896728</v>
      </c>
      <c r="AT43" s="7">
        <v>-401.0103706321883</v>
      </c>
    </row>
  </sheetData>
  <autoFilter ref="A7:AE43"/>
  <mergeCells count="2">
    <mergeCell ref="A1:AT1"/>
    <mergeCell ref="B2:AT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A580C"/>
  </sheetPr>
  <dimension ref="A1:R43"/>
  <sheetViews>
    <sheetView workbookViewId="0" showGridLines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8" customWidth="1"/>
    <col min="3" max="3" width="10" customWidth="1"/>
    <col min="4" max="4" width="12" customWidth="1"/>
    <col min="5" max="5" width="18" customWidth="1"/>
    <col min="6" max="6" width="14" customWidth="1"/>
    <col min="7" max="7" width="16" customWidth="1"/>
    <col min="8" max="8" width="18" customWidth="1"/>
    <col min="9" max="9" width="14" customWidth="1"/>
    <col min="10" max="11" width="16" customWidth="1"/>
    <col min="12" max="12" width="13" customWidth="1"/>
    <col min="13" max="13" width="18" customWidth="1"/>
    <col min="14" max="15" width="16" customWidth="1"/>
    <col min="16" max="17" width="16" hidden="1" customWidth="1"/>
    <col min="18" max="18" width="14" hidden="1" customWidth="1"/>
  </cols>
  <sheetData>
    <row r="1" ht="22" customHeight="1" spans="1:18" x14ac:dyDescent="0.25">
      <c r="A1" s="1" t="s">
        <v>303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4" customHeight="1" spans="2:18" x14ac:dyDescent="0.25">
      <c r="B2" s="16" t="s">
        <v>304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</row>
    <row r="3" spans="2:3" x14ac:dyDescent="0.25">
      <c r="B3" t="s">
        <v>305</v>
      </c>
      <c r="C3" s="7" t="s">
        <v>306</v>
      </c>
    </row>
    <row r="4" spans="2:3" x14ac:dyDescent="0.25">
      <c r="B4" t="s">
        <v>307</v>
      </c>
      <c r="C4" s="7" t="s">
        <v>110</v>
      </c>
    </row>
    <row r="5" spans="2:3" x14ac:dyDescent="0.25">
      <c r="B5" t="s">
        <v>136</v>
      </c>
      <c r="C5" s="12">
        <v>0</v>
      </c>
    </row>
    <row r="6" ht="24" customHeight="1" spans="1:5" x14ac:dyDescent="0.25">
      <c r="A6" s="2" t="s">
        <v>1</v>
      </c>
      <c r="B6" s="3" t="s">
        <v>2</v>
      </c>
      <c r="C6" s="4" t="s">
        <v>3</v>
      </c>
      <c r="D6" s="5" t="s">
        <v>4</v>
      </c>
      <c r="E6" s="6" t="s">
        <v>5</v>
      </c>
    </row>
    <row r="7" ht="28" customHeight="1" spans="1:18" x14ac:dyDescent="0.25">
      <c r="A7" s="8" t="s">
        <v>308</v>
      </c>
      <c r="B7" s="8" t="s">
        <v>139</v>
      </c>
      <c r="C7" s="8" t="s">
        <v>140</v>
      </c>
      <c r="D7" s="8" t="s">
        <v>309</v>
      </c>
      <c r="E7" s="8" t="s">
        <v>310</v>
      </c>
      <c r="F7" s="8" t="s">
        <v>311</v>
      </c>
      <c r="G7" s="8" t="s">
        <v>312</v>
      </c>
      <c r="H7" s="8" t="s">
        <v>313</v>
      </c>
      <c r="I7" s="8" t="s">
        <v>314</v>
      </c>
      <c r="J7" s="8" t="s">
        <v>315</v>
      </c>
      <c r="K7" s="8" t="s">
        <v>136</v>
      </c>
      <c r="L7" s="8" t="s">
        <v>316</v>
      </c>
      <c r="M7" s="8" t="s">
        <v>317</v>
      </c>
      <c r="N7" s="8" t="s">
        <v>53</v>
      </c>
      <c r="O7" s="8" t="s">
        <v>54</v>
      </c>
      <c r="P7" s="8" t="s">
        <v>171</v>
      </c>
      <c r="Q7" s="8" t="s">
        <v>172</v>
      </c>
      <c r="R7" s="8" t="s">
        <v>174</v>
      </c>
    </row>
    <row r="8" spans="1:18" x14ac:dyDescent="0.25">
      <c r="A8" s="22">
        <v>1</v>
      </c>
      <c r="B8" s="22" t="s">
        <v>185</v>
      </c>
      <c r="C8" s="22">
        <v>1</v>
      </c>
      <c r="D8" s="23">
        <v>0</v>
      </c>
      <c r="E8" s="24" t="str">
        <f>'FixedP_Lower'!$G$8</f>
        <v>εₛ/εy</v>
      </c>
      <c r="F8" s="25">
        <f>'FixedP_Lower'!$H$8</f>
        <v>19.999999999999996</v>
      </c>
      <c r="G8" s="26">
        <f>'FixedP_Lower'!$AC$8</f>
        <v>-1324.8223685107312</v>
      </c>
      <c r="H8" s="24" t="str">
        <f>'FixedP_Upper'!$G$8</f>
        <v>εₛ/εy</v>
      </c>
      <c r="I8" s="25">
        <f>'FixedP_Upper'!$H$8</f>
        <v>9.999999999999998</v>
      </c>
      <c r="J8" s="26">
        <f>'FixedP_Upper'!$AC$8</f>
        <v>1000.9246092666648</v>
      </c>
      <c r="K8" s="26">
        <f>Selected_P</f>
        <v>0</v>
      </c>
      <c r="L8" s="25">
        <f>IF(ABS(J8-G8)&lt;0.000000001,0,(K8-G8)/(J8-G8))</f>
        <v>0.569633060332642</v>
      </c>
      <c r="M8" s="24" t="str">
        <f>IF(ABS(J8-G8)&lt;0.000000001,"Exact station",IF(AND(K8&gt;=G8-0.000001,K8&lt;=J8+0.000001),"Interpolated","Outside range"))</f>
        <v>Interpolated</v>
      </c>
      <c r="N8" s="27">
        <f>'FixedP_Lower'!$AD$8+L8*('FixedP_Upper'!$AD$8-'FixedP_Lower'!$AD$8)</f>
        <v>2639.1691644131943</v>
      </c>
      <c r="O8" s="27">
        <f>'FixedP_Lower'!$AE$8+L8*('FixedP_Upper'!$AE$8-'FixedP_Lower'!$AE$8)</f>
        <v>-0.05171000033027926</v>
      </c>
      <c r="P8" s="7">
        <v>2639.1691644131943</v>
      </c>
      <c r="Q8" s="7">
        <v>-0.05171000033027926</v>
      </c>
      <c r="R8" s="15">
        <f>SQRT((N8-P8)^2+(O8-Q8)^2)</f>
        <v>0</v>
      </c>
    </row>
    <row r="9" spans="1:18" x14ac:dyDescent="0.25">
      <c r="A9" s="7">
        <v>2</v>
      </c>
      <c r="B9" s="7" t="s">
        <v>190</v>
      </c>
      <c r="C9" s="7">
        <v>1</v>
      </c>
      <c r="D9" s="18">
        <v>10</v>
      </c>
      <c r="E9" s="28" t="str">
        <f>'FixedP_Lower'!$G$9</f>
        <v>εₛ/εy</v>
      </c>
      <c r="F9" s="15">
        <f>'FixedP_Lower'!$H$9</f>
        <v>7.5</v>
      </c>
      <c r="G9" s="17">
        <f>'FixedP_Lower'!$AC$9</f>
        <v>-110.72789530268886</v>
      </c>
      <c r="H9" s="28" t="str">
        <f>'FixedP_Upper'!$G$9</f>
        <v>εₛ/εy</v>
      </c>
      <c r="I9" s="15">
        <f>'FixedP_Upper'!$H$9</f>
        <v>4.999999999999999</v>
      </c>
      <c r="J9" s="17">
        <f>'FixedP_Upper'!$AC$9</f>
        <v>2235.1550300496638</v>
      </c>
      <c r="K9" s="17">
        <f>Selected_P</f>
        <v>0</v>
      </c>
      <c r="L9" s="15">
        <f>IF(ABS(J9-G9)&lt;0.000000001,0,(K9-G9)/(J9-G9))</f>
        <v>0.04720094686142851</v>
      </c>
      <c r="M9" s="28" t="str">
        <f>IF(ABS(J9-G9)&lt;0.000000001,"Exact station",IF(AND(K9&gt;=G9-0.000001,K9&lt;=J9+0.000001),"Interpolated","Outside range"))</f>
        <v>Interpolated</v>
      </c>
      <c r="N9" s="29">
        <f>'FixedP_Lower'!$AD$9+L9*('FixedP_Upper'!$AD$9-'FixedP_Lower'!$AD$9)</f>
        <v>2532.0796420682786</v>
      </c>
      <c r="O9" s="29">
        <f>'FixedP_Lower'!$AE$9+L9*('FixedP_Upper'!$AE$9-'FixedP_Lower'!$AE$9)</f>
        <v>945.4219235064587</v>
      </c>
      <c r="P9" s="7">
        <v>2532.0796420682786</v>
      </c>
      <c r="Q9" s="7">
        <v>945.4219235064587</v>
      </c>
      <c r="R9" s="15">
        <f>SQRT((N9-P9)^2+(O9-Q9)^2)</f>
        <v>0</v>
      </c>
    </row>
    <row r="10" spans="1:18" x14ac:dyDescent="0.25">
      <c r="A10" s="22">
        <v>3</v>
      </c>
      <c r="B10" s="22" t="s">
        <v>193</v>
      </c>
      <c r="C10" s="22">
        <v>1</v>
      </c>
      <c r="D10" s="23">
        <v>20</v>
      </c>
      <c r="E10" s="24" t="str">
        <f>'FixedP_Lower'!$G$10</f>
        <v>εₛ/εy</v>
      </c>
      <c r="F10" s="25">
        <f>'FixedP_Lower'!$H$10</f>
        <v>7.5</v>
      </c>
      <c r="G10" s="26">
        <f>'FixedP_Lower'!$AC$10</f>
        <v>-1299.8786280975232</v>
      </c>
      <c r="H10" s="24" t="str">
        <f>'FixedP_Upper'!$G$10</f>
        <v>εₛ/εy</v>
      </c>
      <c r="I10" s="25">
        <f>'FixedP_Upper'!$H$10</f>
        <v>4.999999999999999</v>
      </c>
      <c r="J10" s="26">
        <f>'FixedP_Upper'!$AC$10</f>
        <v>913.7489068448053</v>
      </c>
      <c r="K10" s="26">
        <f>Selected_P</f>
        <v>0</v>
      </c>
      <c r="L10" s="25">
        <f>IF(ABS(J10-G10)&lt;0.000000001,0,(K10-G10)/(J10-G10))</f>
        <v>0.587216506652005</v>
      </c>
      <c r="M10" s="24" t="str">
        <f>IF(ABS(J10-G10)&lt;0.000000001,"Exact station",IF(AND(K10&gt;=G10-0.000001,K10&lt;=J10+0.000001),"Interpolated","Outside range"))</f>
        <v>Interpolated</v>
      </c>
      <c r="N10" s="27">
        <f>'FixedP_Lower'!$AD$10+L10*('FixedP_Upper'!$AD$10-'FixedP_Lower'!$AD$10)</f>
        <v>2345.2122388776806</v>
      </c>
      <c r="O10" s="27">
        <f>'FixedP_Lower'!$AE$10+L10*('FixedP_Upper'!$AE$10-'FixedP_Lower'!$AE$10)</f>
        <v>1592.8556734161234</v>
      </c>
      <c r="P10" s="7">
        <v>2345.2122388776806</v>
      </c>
      <c r="Q10" s="7">
        <v>1592.8556734161234</v>
      </c>
      <c r="R10" s="15">
        <f>SQRT((N10-P10)^2+(O10-Q10)^2)</f>
        <v>0</v>
      </c>
    </row>
    <row r="11" spans="1:18" x14ac:dyDescent="0.25">
      <c r="A11" s="7">
        <v>4</v>
      </c>
      <c r="B11" s="7" t="s">
        <v>195</v>
      </c>
      <c r="C11" s="7">
        <v>1</v>
      </c>
      <c r="D11" s="18">
        <v>30</v>
      </c>
      <c r="E11" s="28" t="str">
        <f>'FixedP_Lower'!$G$11</f>
        <v>εₛ/εy</v>
      </c>
      <c r="F11" s="15">
        <f>'FixedP_Lower'!$H$11</f>
        <v>7.5</v>
      </c>
      <c r="G11" s="17">
        <f>'FixedP_Lower'!$AC$11</f>
        <v>-1539.832826732263</v>
      </c>
      <c r="H11" s="28" t="str">
        <f>'FixedP_Upper'!$G$11</f>
        <v>εₛ/εy</v>
      </c>
      <c r="I11" s="15">
        <f>'FixedP_Upper'!$H$11</f>
        <v>4.999999999999999</v>
      </c>
      <c r="J11" s="17">
        <f>'FixedP_Upper'!$AC$11</f>
        <v>431.74945900219126</v>
      </c>
      <c r="K11" s="17">
        <f>Selected_P</f>
        <v>0</v>
      </c>
      <c r="L11" s="15">
        <f>IF(ABS(J11-G11)&lt;0.000000001,0,(K11-G11)/(J11-G11))</f>
        <v>0.7810137258149711</v>
      </c>
      <c r="M11" s="28" t="str">
        <f>IF(ABS(J11-G11)&lt;0.000000001,"Exact station",IF(AND(K11&gt;=G11-0.000001,K11&lt;=J11+0.000001),"Interpolated","Outside range"))</f>
        <v>Interpolated</v>
      </c>
      <c r="N11" s="29">
        <f>'FixedP_Lower'!$AD$11+L11*('FixedP_Upper'!$AD$11-'FixedP_Lower'!$AD$11)</f>
        <v>2150.953077109837</v>
      </c>
      <c r="O11" s="29">
        <f>'FixedP_Lower'!$AE$11+L11*('FixedP_Upper'!$AE$11-'FixedP_Lower'!$AE$11)</f>
        <v>2053.476045036579</v>
      </c>
      <c r="P11" s="7">
        <v>2150.953077109837</v>
      </c>
      <c r="Q11" s="7">
        <v>2053.476045036579</v>
      </c>
      <c r="R11" s="15">
        <f>SQRT((N11-P11)^2+(O11-Q11)^2)</f>
        <v>0</v>
      </c>
    </row>
    <row r="12" spans="1:18" x14ac:dyDescent="0.25">
      <c r="A12" s="22">
        <v>5</v>
      </c>
      <c r="B12" s="22" t="s">
        <v>197</v>
      </c>
      <c r="C12" s="22">
        <v>1</v>
      </c>
      <c r="D12" s="23">
        <v>40</v>
      </c>
      <c r="E12" s="24" t="str">
        <f>'FixedP_Lower'!$G$12</f>
        <v>εₛ/εy</v>
      </c>
      <c r="F12" s="25">
        <f>'FixedP_Lower'!$H$12</f>
        <v>7.500000000000001</v>
      </c>
      <c r="G12" s="26">
        <f>'FixedP_Lower'!$AC$12</f>
        <v>-1367.0464245578553</v>
      </c>
      <c r="H12" s="24" t="str">
        <f>'FixedP_Upper'!$G$12</f>
        <v>εₛ/εy</v>
      </c>
      <c r="I12" s="25">
        <f>'FixedP_Upper'!$H$12</f>
        <v>5.000000000000001</v>
      </c>
      <c r="J12" s="26">
        <f>'FixedP_Upper'!$AC$12</f>
        <v>456.70565944719164</v>
      </c>
      <c r="K12" s="26">
        <f>Selected_P</f>
        <v>0</v>
      </c>
      <c r="L12" s="25">
        <f>IF(ABS(J12-G12)&lt;0.000000001,0,(K12-G12)/(J12-G12))</f>
        <v>0.7495790883790279</v>
      </c>
      <c r="M12" s="24" t="str">
        <f>IF(ABS(J12-G12)&lt;0.000000001,"Exact station",IF(AND(K12&gt;=G12-0.000001,K12&lt;=J12+0.000001),"Interpolated","Outside range"))</f>
        <v>Interpolated</v>
      </c>
      <c r="N12" s="27">
        <f>'FixedP_Lower'!$AD$12+L12*('FixedP_Upper'!$AD$12-'FixedP_Lower'!$AD$12)</f>
        <v>1930.494803653329</v>
      </c>
      <c r="O12" s="27">
        <f>'FixedP_Lower'!$AE$12+L12*('FixedP_Upper'!$AE$12-'FixedP_Lower'!$AE$12)</f>
        <v>2411.8391326100877</v>
      </c>
      <c r="P12" s="7">
        <v>1930.494803653329</v>
      </c>
      <c r="Q12" s="7">
        <v>2411.8391326100877</v>
      </c>
      <c r="R12" s="15">
        <f>SQRT((N12-P12)^2+(O12-Q12)^2)</f>
        <v>0</v>
      </c>
    </row>
    <row r="13" spans="1:18" x14ac:dyDescent="0.25">
      <c r="A13" s="7">
        <v>6</v>
      </c>
      <c r="B13" s="7" t="s">
        <v>199</v>
      </c>
      <c r="C13" s="7">
        <v>1</v>
      </c>
      <c r="D13" s="18">
        <v>50</v>
      </c>
      <c r="E13" s="28" t="str">
        <f>'FixedP_Lower'!$G$13</f>
        <v>εₛ/εy</v>
      </c>
      <c r="F13" s="15">
        <f>'FixedP_Lower'!$H$13</f>
        <v>7.500000000000001</v>
      </c>
      <c r="G13" s="17">
        <f>'FixedP_Lower'!$AC$13</f>
        <v>-1134.9137685752994</v>
      </c>
      <c r="H13" s="28" t="str">
        <f>'FixedP_Upper'!$G$13</f>
        <v>εₛ/εy</v>
      </c>
      <c r="I13" s="15">
        <f>'FixedP_Upper'!$H$13</f>
        <v>4.999999999999999</v>
      </c>
      <c r="J13" s="17">
        <f>'FixedP_Upper'!$AC$13</f>
        <v>711.7116791795991</v>
      </c>
      <c r="K13" s="17">
        <f>Selected_P</f>
        <v>0</v>
      </c>
      <c r="L13" s="15">
        <f>IF(ABS(J13-G13)&lt;0.000000001,0,(K13-G13)/(J13-G13))</f>
        <v>0.6145879609506691</v>
      </c>
      <c r="M13" s="28" t="str">
        <f>IF(ABS(J13-G13)&lt;0.000000001,"Exact station",IF(AND(K13&gt;=G13-0.000001,K13&lt;=J13+0.000001),"Interpolated","Outside range"))</f>
        <v>Interpolated</v>
      </c>
      <c r="N13" s="29">
        <f>'FixedP_Lower'!$AD$13+L13*('FixedP_Upper'!$AD$13-'FixedP_Lower'!$AD$13)</f>
        <v>1651.3992403028271</v>
      </c>
      <c r="O13" s="29">
        <f>'FixedP_Lower'!$AE$13+L13*('FixedP_Upper'!$AE$13-'FixedP_Lower'!$AE$13)</f>
        <v>2679.799074920996</v>
      </c>
      <c r="P13" s="7">
        <v>1651.3992403028271</v>
      </c>
      <c r="Q13" s="7">
        <v>2679.799074920996</v>
      </c>
      <c r="R13" s="15">
        <f>SQRT((N13-P13)^2+(O13-Q13)^2)</f>
        <v>0</v>
      </c>
    </row>
    <row r="14" spans="1:18" x14ac:dyDescent="0.25">
      <c r="A14" s="22">
        <v>7</v>
      </c>
      <c r="B14" s="22" t="s">
        <v>201</v>
      </c>
      <c r="C14" s="22">
        <v>1</v>
      </c>
      <c r="D14" s="23">
        <v>60</v>
      </c>
      <c r="E14" s="24" t="str">
        <f>'FixedP_Lower'!$G$14</f>
        <v>εₛ/εy</v>
      </c>
      <c r="F14" s="25">
        <f>'FixedP_Lower'!$H$14</f>
        <v>7.500000000000001</v>
      </c>
      <c r="G14" s="26">
        <f>'FixedP_Lower'!$AC$14</f>
        <v>-1015.7857127043428</v>
      </c>
      <c r="H14" s="24" t="str">
        <f>'FixedP_Upper'!$G$14</f>
        <v>εₛ/εy</v>
      </c>
      <c r="I14" s="25">
        <f>'FixedP_Upper'!$H$14</f>
        <v>5</v>
      </c>
      <c r="J14" s="26">
        <f>'FixedP_Upper'!$AC$14</f>
        <v>896.8302679647469</v>
      </c>
      <c r="K14" s="26">
        <f>Selected_P</f>
        <v>0</v>
      </c>
      <c r="L14" s="25">
        <f>IF(ABS(J14-G14)&lt;0.000000001,0,(K14-G14)/(J14-G14))</f>
        <v>0.5310975768115201</v>
      </c>
      <c r="M14" s="24" t="str">
        <f>IF(ABS(J14-G14)&lt;0.000000001,"Exact station",IF(AND(K14&gt;=G14-0.000001,K14&lt;=J14+0.000001),"Interpolated","Outside range"))</f>
        <v>Interpolated</v>
      </c>
      <c r="N14" s="27">
        <f>'FixedP_Lower'!$AD$14+L14*('FixedP_Upper'!$AD$14-'FixedP_Lower'!$AD$14)</f>
        <v>1339.0950978789833</v>
      </c>
      <c r="O14" s="27">
        <f>'FixedP_Lower'!$AE$14+L14*('FixedP_Upper'!$AE$14-'FixedP_Lower'!$AE$14)</f>
        <v>2892.013942440321</v>
      </c>
      <c r="P14" s="7">
        <v>1339.0950978789833</v>
      </c>
      <c r="Q14" s="7">
        <v>2892.013942440321</v>
      </c>
      <c r="R14" s="15">
        <f>SQRT((N14-P14)^2+(O14-Q14)^2)</f>
        <v>0</v>
      </c>
    </row>
    <row r="15" spans="1:18" x14ac:dyDescent="0.25">
      <c r="A15" s="7">
        <v>8</v>
      </c>
      <c r="B15" s="7" t="s">
        <v>203</v>
      </c>
      <c r="C15" s="7">
        <v>1</v>
      </c>
      <c r="D15" s="18">
        <v>70</v>
      </c>
      <c r="E15" s="28" t="str">
        <f>'FixedP_Lower'!$G$15</f>
        <v>εₛ/εy</v>
      </c>
      <c r="F15" s="15">
        <f>'FixedP_Lower'!$H$15</f>
        <v>7.5</v>
      </c>
      <c r="G15" s="17">
        <f>'FixedP_Lower'!$AC$15</f>
        <v>-557.6178142848195</v>
      </c>
      <c r="H15" s="28" t="str">
        <f>'FixedP_Upper'!$G$15</f>
        <v>εₛ/εy</v>
      </c>
      <c r="I15" s="15">
        <f>'FixedP_Upper'!$H$15</f>
        <v>5</v>
      </c>
      <c r="J15" s="17">
        <f>'FixedP_Upper'!$AC$15</f>
        <v>1436.1569712139376</v>
      </c>
      <c r="K15" s="17">
        <f>Selected_P</f>
        <v>0</v>
      </c>
      <c r="L15" s="15">
        <f>IF(ABS(J15-G15)&lt;0.000000001,0,(K15-G15)/(J15-G15))</f>
        <v>0.27967943939331513</v>
      </c>
      <c r="M15" s="28" t="str">
        <f>IF(ABS(J15-G15)&lt;0.000000001,"Exact station",IF(AND(K15&gt;=G15-0.000001,K15&lt;=J15+0.000001),"Interpolated","Outside range"))</f>
        <v>Interpolated</v>
      </c>
      <c r="N15" s="29">
        <f>'FixedP_Lower'!$AD$15+L15*('FixedP_Upper'!$AD$15-'FixedP_Lower'!$AD$15)</f>
        <v>969.1412669454544</v>
      </c>
      <c r="O15" s="29">
        <f>'FixedP_Lower'!$AE$15+L15*('FixedP_Upper'!$AE$15-'FixedP_Lower'!$AE$15)</f>
        <v>3084.0499983354975</v>
      </c>
      <c r="P15" s="7">
        <v>969.1412669454544</v>
      </c>
      <c r="Q15" s="7">
        <v>3084.0499983354975</v>
      </c>
      <c r="R15" s="15">
        <f>SQRT((N15-P15)^2+(O15-Q15)^2)</f>
        <v>0</v>
      </c>
    </row>
    <row r="16" spans="1:18" x14ac:dyDescent="0.25">
      <c r="A16" s="22">
        <v>9</v>
      </c>
      <c r="B16" s="22" t="s">
        <v>205</v>
      </c>
      <c r="C16" s="22">
        <v>1</v>
      </c>
      <c r="D16" s="23">
        <v>80</v>
      </c>
      <c r="E16" s="24" t="str">
        <f>'FixedP_Lower'!$G$16</f>
        <v>εₛ/εy</v>
      </c>
      <c r="F16" s="25">
        <f>'FixedP_Lower'!$H$16</f>
        <v>10</v>
      </c>
      <c r="G16" s="26">
        <f>'FixedP_Lower'!$AC$16</f>
        <v>-917.4737022555062</v>
      </c>
      <c r="H16" s="24" t="str">
        <f>'FixedP_Upper'!$G$16</f>
        <v>εₛ/εy</v>
      </c>
      <c r="I16" s="25">
        <f>'FixedP_Upper'!$H$16</f>
        <v>7.5</v>
      </c>
      <c r="J16" s="26">
        <f>'FixedP_Upper'!$AC$16</f>
        <v>442.52646160439394</v>
      </c>
      <c r="K16" s="26">
        <f>Selected_P</f>
        <v>0</v>
      </c>
      <c r="L16" s="25">
        <f>IF(ABS(J16-G16)&lt;0.000000001,0,(K16-G16)/(J16-G16))</f>
        <v>0.6746129350834544</v>
      </c>
      <c r="M16" s="24" t="str">
        <f>IF(ABS(J16-G16)&lt;0.000000001,"Exact station",IF(AND(K16&gt;=G16-0.000001,K16&lt;=J16+0.000001),"Interpolated","Outside range"))</f>
        <v>Interpolated</v>
      </c>
      <c r="N16" s="27">
        <f>'FixedP_Lower'!$AD$16+L16*('FixedP_Upper'!$AD$16-'FixedP_Lower'!$AD$16)</f>
        <v>522.6578232930323</v>
      </c>
      <c r="O16" s="27">
        <f>'FixedP_Lower'!$AE$16+L16*('FixedP_Upper'!$AE$16-'FixedP_Lower'!$AE$16)</f>
        <v>3236.2434328480567</v>
      </c>
      <c r="P16" s="7">
        <v>522.6578232930323</v>
      </c>
      <c r="Q16" s="7">
        <v>3236.2434328480567</v>
      </c>
      <c r="R16" s="15">
        <f>SQRT((N16-P16)^2+(O16-Q16)^2)</f>
        <v>0</v>
      </c>
    </row>
    <row r="17" spans="1:18" x14ac:dyDescent="0.25">
      <c r="A17" s="7">
        <v>10</v>
      </c>
      <c r="B17" s="7" t="s">
        <v>208</v>
      </c>
      <c r="C17" s="7">
        <v>1</v>
      </c>
      <c r="D17" s="18">
        <v>90</v>
      </c>
      <c r="E17" s="28" t="str">
        <f>'FixedP_Lower'!$G$17</f>
        <v>εₛ/εy</v>
      </c>
      <c r="F17" s="15">
        <f>'FixedP_Lower'!$H$17</f>
        <v>20</v>
      </c>
      <c r="G17" s="17">
        <f>'FixedP_Lower'!$AC$17</f>
        <v>-1658.6475823344283</v>
      </c>
      <c r="H17" s="28" t="str">
        <f>'FixedP_Upper'!$G$17</f>
        <v>εₛ/εy</v>
      </c>
      <c r="I17" s="15">
        <f>'FixedP_Upper'!$H$17</f>
        <v>10.000000000000002</v>
      </c>
      <c r="J17" s="17">
        <f>'FixedP_Upper'!$AC$17</f>
        <v>612.3187433437107</v>
      </c>
      <c r="K17" s="17">
        <f>Selected_P</f>
        <v>0</v>
      </c>
      <c r="L17" s="15">
        <f>IF(ABS(J17-G17)&lt;0.000000001,0,(K17-G17)/(J17-G17))</f>
        <v>0.7303708397521638</v>
      </c>
      <c r="M17" s="28" t="str">
        <f>IF(ABS(J17-G17)&lt;0.000000001,"Exact station",IF(AND(K17&gt;=G17-0.000001,K17&lt;=J17+0.000001),"Interpolated","Outside range"))</f>
        <v>Interpolated</v>
      </c>
      <c r="N17" s="29">
        <f>'FixedP_Lower'!$AD$17+L17*('FixedP_Upper'!$AD$17-'FixedP_Lower'!$AD$17)</f>
        <v>-2.003758371699348</v>
      </c>
      <c r="O17" s="29">
        <f>'FixedP_Lower'!$AE$17+L17*('FixedP_Upper'!$AE$17-'FixedP_Lower'!$AE$17)</f>
        <v>3308.616944369239</v>
      </c>
      <c r="P17" s="7">
        <v>-2.003758371699348</v>
      </c>
      <c r="Q17" s="7">
        <v>3308.616944369239</v>
      </c>
      <c r="R17" s="15">
        <f>SQRT((N17-P17)^2+(O17-Q17)^2)</f>
        <v>0</v>
      </c>
    </row>
    <row r="18" spans="1:18" x14ac:dyDescent="0.25">
      <c r="A18" s="22">
        <v>11</v>
      </c>
      <c r="B18" s="22" t="s">
        <v>210</v>
      </c>
      <c r="C18" s="22">
        <v>1</v>
      </c>
      <c r="D18" s="23">
        <v>100</v>
      </c>
      <c r="E18" s="24" t="str">
        <f>'FixedP_Lower'!$G$18</f>
        <v>εₛ/εy</v>
      </c>
      <c r="F18" s="25">
        <f>'FixedP_Lower'!$H$18</f>
        <v>9.999999999999998</v>
      </c>
      <c r="G18" s="26">
        <f>'FixedP_Lower'!$AC$18</f>
        <v>-906.7092444427221</v>
      </c>
      <c r="H18" s="24" t="str">
        <f>'FixedP_Upper'!$G$18</f>
        <v>εₛ/εy</v>
      </c>
      <c r="I18" s="25">
        <f>'FixedP_Upper'!$H$18</f>
        <v>7.5</v>
      </c>
      <c r="J18" s="26">
        <f>'FixedP_Upper'!$AC$18</f>
        <v>440.35220025229034</v>
      </c>
      <c r="K18" s="26">
        <f>Selected_P</f>
        <v>0</v>
      </c>
      <c r="L18" s="25">
        <f>IF(ABS(J18-G18)&lt;0.000000001,0,(K18-G18)/(J18-G18))</f>
        <v>0.6731016228053425</v>
      </c>
      <c r="M18" s="24" t="str">
        <f>IF(ABS(J18-G18)&lt;0.000000001,"Exact station",IF(AND(K18&gt;=G18-0.000001,K18&lt;=J18+0.000001),"Interpolated","Outside range"))</f>
        <v>Interpolated</v>
      </c>
      <c r="N18" s="27">
        <f>'FixedP_Lower'!$AD$18+L18*('FixedP_Upper'!$AD$18-'FixedP_Lower'!$AD$18)</f>
        <v>-522.9697952339834</v>
      </c>
      <c r="O18" s="27">
        <f>'FixedP_Lower'!$AE$18+L18*('FixedP_Upper'!$AE$18-'FixedP_Lower'!$AE$18)</f>
        <v>3236.144790612849</v>
      </c>
      <c r="P18" s="7">
        <v>-522.9697952339834</v>
      </c>
      <c r="Q18" s="7">
        <v>3236.144790612849</v>
      </c>
      <c r="R18" s="15">
        <f>SQRT((N18-P18)^2+(O18-Q18)^2)</f>
        <v>0</v>
      </c>
    </row>
    <row r="19" spans="1:18" x14ac:dyDescent="0.25">
      <c r="A19" s="7">
        <v>12</v>
      </c>
      <c r="B19" s="7" t="s">
        <v>212</v>
      </c>
      <c r="C19" s="7">
        <v>1</v>
      </c>
      <c r="D19" s="18">
        <v>110</v>
      </c>
      <c r="E19" s="28" t="str">
        <f>'FixedP_Lower'!$G$19</f>
        <v>εₛ/εy</v>
      </c>
      <c r="F19" s="15">
        <f>'FixedP_Lower'!$H$19</f>
        <v>7.500000000000001</v>
      </c>
      <c r="G19" s="17">
        <f>'FixedP_Lower'!$AC$19</f>
        <v>-552.9251028420408</v>
      </c>
      <c r="H19" s="28" t="str">
        <f>'FixedP_Upper'!$G$19</f>
        <v>εₛ/εy</v>
      </c>
      <c r="I19" s="15">
        <f>'FixedP_Upper'!$H$19</f>
        <v>5</v>
      </c>
      <c r="J19" s="17">
        <f>'FixedP_Upper'!$AC$19</f>
        <v>1424.1610488731742</v>
      </c>
      <c r="K19" s="17">
        <f>Selected_P</f>
        <v>0</v>
      </c>
      <c r="L19" s="15">
        <f>IF(ABS(J19-G19)&lt;0.000000001,0,(K19-G19)/(J19-G19))</f>
        <v>0.27966667125878775</v>
      </c>
      <c r="M19" s="28" t="str">
        <f>IF(ABS(J19-G19)&lt;0.000000001,"Exact station",IF(AND(K19&gt;=G19-0.000001,K19&lt;=J19+0.000001),"Interpolated","Outside range"))</f>
        <v>Interpolated</v>
      </c>
      <c r="N19" s="29">
        <f>'FixedP_Lower'!$AD$19+L19*('FixedP_Upper'!$AD$19-'FixedP_Lower'!$AD$19)</f>
        <v>-968.6211927960917</v>
      </c>
      <c r="O19" s="29">
        <f>'FixedP_Lower'!$AE$19+L19*('FixedP_Upper'!$AE$19-'FixedP_Lower'!$AE$19)</f>
        <v>3084.298789540613</v>
      </c>
      <c r="P19" s="7">
        <v>-968.6211927960917</v>
      </c>
      <c r="Q19" s="7">
        <v>3084.298789540613</v>
      </c>
      <c r="R19" s="15">
        <f>SQRT((N19-P19)^2+(O19-Q19)^2)</f>
        <v>0</v>
      </c>
    </row>
    <row r="20" spans="1:18" x14ac:dyDescent="0.25">
      <c r="A20" s="22">
        <v>13</v>
      </c>
      <c r="B20" s="22" t="s">
        <v>214</v>
      </c>
      <c r="C20" s="22">
        <v>1</v>
      </c>
      <c r="D20" s="23">
        <v>120</v>
      </c>
      <c r="E20" s="24" t="str">
        <f>'FixedP_Lower'!$G$20</f>
        <v>εₛ/εy</v>
      </c>
      <c r="F20" s="25">
        <f>'FixedP_Lower'!$H$20</f>
        <v>7.5</v>
      </c>
      <c r="G20" s="26">
        <f>'FixedP_Lower'!$AC$20</f>
        <v>-1021.3787933697021</v>
      </c>
      <c r="H20" s="24" t="str">
        <f>'FixedP_Upper'!$G$20</f>
        <v>εₛ/εy</v>
      </c>
      <c r="I20" s="25">
        <f>'FixedP_Upper'!$H$20</f>
        <v>4.999999999999999</v>
      </c>
      <c r="J20" s="26">
        <f>'FixedP_Upper'!$AC$20</f>
        <v>908.4434184973352</v>
      </c>
      <c r="K20" s="26">
        <f>Selected_P</f>
        <v>0</v>
      </c>
      <c r="L20" s="25">
        <f>IF(ABS(J20-G20)&lt;0.000000001,0,(K20-G20)/(J20-G20))</f>
        <v>0.5292605645685634</v>
      </c>
      <c r="M20" s="24" t="str">
        <f>IF(ABS(J20-G20)&lt;0.000000001,"Exact station",IF(AND(K20&gt;=G20-0.000001,K20&lt;=J20+0.000001),"Interpolated","Outside range"))</f>
        <v>Interpolated</v>
      </c>
      <c r="N20" s="27">
        <f>'FixedP_Lower'!$AD$20+L20*('FixedP_Upper'!$AD$20-'FixedP_Lower'!$AD$20)</f>
        <v>-1342.0157614076854</v>
      </c>
      <c r="O20" s="27">
        <f>'FixedP_Lower'!$AE$20+L20*('FixedP_Upper'!$AE$20-'FixedP_Lower'!$AE$20)</f>
        <v>2889.830412100111</v>
      </c>
      <c r="P20" s="7">
        <v>-1342.0157614076854</v>
      </c>
      <c r="Q20" s="7">
        <v>2889.830412100111</v>
      </c>
      <c r="R20" s="15">
        <f>SQRT((N20-P20)^2+(O20-Q20)^2)</f>
        <v>0</v>
      </c>
    </row>
    <row r="21" spans="1:18" x14ac:dyDescent="0.25">
      <c r="A21" s="7">
        <v>14</v>
      </c>
      <c r="B21" s="7" t="s">
        <v>216</v>
      </c>
      <c r="C21" s="7">
        <v>1</v>
      </c>
      <c r="D21" s="18">
        <v>130</v>
      </c>
      <c r="E21" s="28" t="str">
        <f>'FixedP_Lower'!$G$21</f>
        <v>εₛ/εy</v>
      </c>
      <c r="F21" s="15">
        <f>'FixedP_Lower'!$H$21</f>
        <v>7.500000000000001</v>
      </c>
      <c r="G21" s="17">
        <f>'FixedP_Lower'!$AC$21</f>
        <v>-1127.382406339258</v>
      </c>
      <c r="H21" s="28" t="str">
        <f>'FixedP_Upper'!$G$21</f>
        <v>εₛ/εy</v>
      </c>
      <c r="I21" s="15">
        <f>'FixedP_Upper'!$H$21</f>
        <v>4.999999999999999</v>
      </c>
      <c r="J21" s="17">
        <f>'FixedP_Upper'!$AC$21</f>
        <v>701.2006302699037</v>
      </c>
      <c r="K21" s="17">
        <f>Selected_P</f>
        <v>0</v>
      </c>
      <c r="L21" s="15">
        <f>IF(ABS(J21-G21)&lt;0.000000001,0,(K21-G21)/(J21-G21))</f>
        <v>0.6165333396233528</v>
      </c>
      <c r="M21" s="28" t="str">
        <f>IF(ABS(J21-G21)&lt;0.000000001,"Exact station",IF(AND(K21&gt;=G21-0.000001,K21&lt;=J21+0.000001),"Interpolated","Outside range"))</f>
        <v>Interpolated</v>
      </c>
      <c r="N21" s="29">
        <f>'FixedP_Lower'!$AD$21+L21*('FixedP_Upper'!$AD$21-'FixedP_Lower'!$AD$21)</f>
        <v>-1645.3899629544853</v>
      </c>
      <c r="O21" s="29">
        <f>'FixedP_Lower'!$AE$21+L21*('FixedP_Upper'!$AE$21-'FixedP_Lower'!$AE$21)</f>
        <v>2685.4962311474283</v>
      </c>
      <c r="P21" s="7">
        <v>-1645.3899629544853</v>
      </c>
      <c r="Q21" s="7">
        <v>2685.4962311474283</v>
      </c>
      <c r="R21" s="15">
        <f>SQRT((N21-P21)^2+(O21-Q21)^2)</f>
        <v>0</v>
      </c>
    </row>
    <row r="22" spans="1:18" x14ac:dyDescent="0.25">
      <c r="A22" s="22">
        <v>15</v>
      </c>
      <c r="B22" s="22" t="s">
        <v>218</v>
      </c>
      <c r="C22" s="22">
        <v>1</v>
      </c>
      <c r="D22" s="23">
        <v>140</v>
      </c>
      <c r="E22" s="24" t="str">
        <f>'FixedP_Lower'!$G$22</f>
        <v>εₛ/εy</v>
      </c>
      <c r="F22" s="25">
        <f>'FixedP_Lower'!$H$22</f>
        <v>7.5</v>
      </c>
      <c r="G22" s="26">
        <f>'FixedP_Lower'!$AC$22</f>
        <v>-1383.2440131226456</v>
      </c>
      <c r="H22" s="24" t="str">
        <f>'FixedP_Upper'!$G$22</f>
        <v>εₛ/εy</v>
      </c>
      <c r="I22" s="25">
        <f>'FixedP_Upper'!$H$22</f>
        <v>4.999999999999999</v>
      </c>
      <c r="J22" s="26">
        <f>'FixedP_Upper'!$AC$22</f>
        <v>451.6554463658045</v>
      </c>
      <c r="K22" s="26">
        <f>Selected_P</f>
        <v>0</v>
      </c>
      <c r="L22" s="25">
        <f>IF(ABS(J22-G22)&lt;0.000000001,0,(K22-G22)/(J22-G22))</f>
        <v>0.7538527552393954</v>
      </c>
      <c r="M22" s="24" t="str">
        <f>IF(ABS(J22-G22)&lt;0.000000001,"Exact station",IF(AND(K22&gt;=G22-0.000001,K22&lt;=J22+0.000001),"Interpolated","Outside range"))</f>
        <v>Interpolated</v>
      </c>
      <c r="N22" s="27">
        <f>'FixedP_Lower'!$AD$22+L22*('FixedP_Upper'!$AD$22-'FixedP_Lower'!$AD$22)</f>
        <v>-1934.643316405269</v>
      </c>
      <c r="O22" s="27">
        <f>'FixedP_Lower'!$AE$22+L22*('FixedP_Upper'!$AE$22-'FixedP_Lower'!$AE$22)</f>
        <v>2407.389036625472</v>
      </c>
      <c r="P22" s="7">
        <v>-1934.643316405269</v>
      </c>
      <c r="Q22" s="7">
        <v>2407.389036625472</v>
      </c>
      <c r="R22" s="15">
        <f>SQRT((N22-P22)^2+(O22-Q22)^2)</f>
        <v>0</v>
      </c>
    </row>
    <row r="23" spans="1:18" x14ac:dyDescent="0.25">
      <c r="A23" s="7">
        <v>16</v>
      </c>
      <c r="B23" s="7" t="s">
        <v>220</v>
      </c>
      <c r="C23" s="7">
        <v>1</v>
      </c>
      <c r="D23" s="18">
        <v>150</v>
      </c>
      <c r="E23" s="28" t="str">
        <f>'FixedP_Lower'!$G$23</f>
        <v>εₛ/εy</v>
      </c>
      <c r="F23" s="15">
        <f>'FixedP_Lower'!$H$23</f>
        <v>7.499999999999998</v>
      </c>
      <c r="G23" s="17">
        <f>'FixedP_Lower'!$AC$23</f>
        <v>-1531.2135814291619</v>
      </c>
      <c r="H23" s="28" t="str">
        <f>'FixedP_Upper'!$G$23</f>
        <v>εₛ/εy</v>
      </c>
      <c r="I23" s="15">
        <f>'FixedP_Upper'!$H$23</f>
        <v>4.999999999999999</v>
      </c>
      <c r="J23" s="17">
        <f>'FixedP_Upper'!$AC$23</f>
        <v>429.937282716547</v>
      </c>
      <c r="K23" s="17">
        <f>Selected_P</f>
        <v>0</v>
      </c>
      <c r="L23" s="15">
        <f>IF(ABS(J23-G23)&lt;0.000000001,0,(K23-G23)/(J23-G23))</f>
        <v>0.7807729682724686</v>
      </c>
      <c r="M23" s="28" t="str">
        <f>IF(ABS(J23-G23)&lt;0.000000001,"Exact station",IF(AND(K23&gt;=G23-0.000001,K23&lt;=J23+0.000001),"Interpolated","Outside range"))</f>
        <v>Interpolated</v>
      </c>
      <c r="N23" s="29">
        <f>'FixedP_Lower'!$AD$23+L23*('FixedP_Upper'!$AD$23-'FixedP_Lower'!$AD$23)</f>
        <v>-2148.967841893265</v>
      </c>
      <c r="O23" s="29">
        <f>'FixedP_Lower'!$AE$23+L23*('FixedP_Upper'!$AE$23-'FixedP_Lower'!$AE$23)</f>
        <v>2056.033245211452</v>
      </c>
      <c r="P23" s="7">
        <v>-2148.967841893265</v>
      </c>
      <c r="Q23" s="7">
        <v>2056.033245211452</v>
      </c>
      <c r="R23" s="15">
        <f>SQRT((N23-P23)^2+(O23-Q23)^2)</f>
        <v>0</v>
      </c>
    </row>
    <row r="24" spans="1:18" x14ac:dyDescent="0.25">
      <c r="A24" s="22">
        <v>17</v>
      </c>
      <c r="B24" s="22" t="s">
        <v>222</v>
      </c>
      <c r="C24" s="22">
        <v>1</v>
      </c>
      <c r="D24" s="23">
        <v>160</v>
      </c>
      <c r="E24" s="24" t="str">
        <f>'FixedP_Lower'!$G$24</f>
        <v>εₛ/εy</v>
      </c>
      <c r="F24" s="25">
        <f>'FixedP_Lower'!$H$24</f>
        <v>7.5</v>
      </c>
      <c r="G24" s="26">
        <f>'FixedP_Lower'!$AC$24</f>
        <v>-1307.147592037785</v>
      </c>
      <c r="H24" s="24" t="str">
        <f>'FixedP_Upper'!$G$24</f>
        <v>εₛ/εy</v>
      </c>
      <c r="I24" s="25">
        <f>'FixedP_Upper'!$H$24</f>
        <v>4.999999999999999</v>
      </c>
      <c r="J24" s="26">
        <f>'FixedP_Upper'!$AC$24</f>
        <v>906.5088122439079</v>
      </c>
      <c r="K24" s="26">
        <f>Selected_P</f>
        <v>0</v>
      </c>
      <c r="L24" s="25">
        <f>IF(ABS(J24-G24)&lt;0.000000001,0,(K24-G24)/(J24-G24))</f>
        <v>0.5904925396323826</v>
      </c>
      <c r="M24" s="24" t="str">
        <f>IF(ABS(J24-G24)&lt;0.000000001,"Exact station",IF(AND(K24&gt;=G24-0.000001,K24&lt;=J24+0.000001),"Interpolated","Outside range"))</f>
        <v>Interpolated</v>
      </c>
      <c r="N24" s="27">
        <f>'FixedP_Lower'!$AD$24+L24*('FixedP_Upper'!$AD$24-'FixedP_Lower'!$AD$24)</f>
        <v>-2346.0650180953025</v>
      </c>
      <c r="O24" s="27">
        <f>'FixedP_Lower'!$AE$24+L24*('FixedP_Upper'!$AE$24-'FixedP_Lower'!$AE$24)</f>
        <v>1591.018803342145</v>
      </c>
      <c r="P24" s="7">
        <v>-2346.0650180953025</v>
      </c>
      <c r="Q24" s="7">
        <v>1591.018803342145</v>
      </c>
      <c r="R24" s="15">
        <f>SQRT((N24-P24)^2+(O24-Q24)^2)</f>
        <v>0</v>
      </c>
    </row>
    <row r="25" spans="1:18" x14ac:dyDescent="0.25">
      <c r="A25" s="7">
        <v>18</v>
      </c>
      <c r="B25" s="7" t="s">
        <v>224</v>
      </c>
      <c r="C25" s="7">
        <v>1</v>
      </c>
      <c r="D25" s="18">
        <v>170</v>
      </c>
      <c r="E25" s="28" t="str">
        <f>'FixedP_Lower'!$G$25</f>
        <v>εₛ/εy</v>
      </c>
      <c r="F25" s="15">
        <f>'FixedP_Lower'!$H$25</f>
        <v>7.5</v>
      </c>
      <c r="G25" s="17">
        <f>'FixedP_Lower'!$AC$25</f>
        <v>-113.72757604292377</v>
      </c>
      <c r="H25" s="28" t="str">
        <f>'FixedP_Upper'!$G$25</f>
        <v>εₛ/εy</v>
      </c>
      <c r="I25" s="15">
        <f>'FixedP_Upper'!$H$25</f>
        <v>4.999999999999999</v>
      </c>
      <c r="J25" s="17">
        <f>'FixedP_Upper'!$AC$25</f>
        <v>2239.255178276012</v>
      </c>
      <c r="K25" s="17">
        <f>Selected_P</f>
        <v>0</v>
      </c>
      <c r="L25" s="15">
        <f>IF(ABS(J25-G25)&lt;0.000000001,0,(K25-G25)/(J25-G25))</f>
        <v>0.04833336573936849</v>
      </c>
      <c r="M25" s="28" t="str">
        <f>IF(ABS(J25-G25)&lt;0.000000001,"Exact station",IF(AND(K25&gt;=G25-0.000001,K25&lt;=J25+0.000001),"Interpolated","Outside range"))</f>
        <v>Interpolated</v>
      </c>
      <c r="N25" s="29">
        <f>'FixedP_Lower'!$AD$25+L25*('FixedP_Upper'!$AD$25-'FixedP_Lower'!$AD$25)</f>
        <v>-2532.2715844886966</v>
      </c>
      <c r="O25" s="29">
        <f>'FixedP_Lower'!$AE$25+L25*('FixedP_Upper'!$AE$25-'FixedP_Lower'!$AE$25)</f>
        <v>943.4861667284209</v>
      </c>
      <c r="P25" s="7">
        <v>-2532.2715844886966</v>
      </c>
      <c r="Q25" s="7">
        <v>943.4861667284209</v>
      </c>
      <c r="R25" s="15">
        <f>SQRT((N25-P25)^2+(O25-Q25)^2)</f>
        <v>0</v>
      </c>
    </row>
    <row r="26" spans="1:18" x14ac:dyDescent="0.25">
      <c r="A26" s="22">
        <v>19</v>
      </c>
      <c r="B26" s="22" t="s">
        <v>226</v>
      </c>
      <c r="C26" s="22">
        <v>1</v>
      </c>
      <c r="D26" s="23">
        <v>180</v>
      </c>
      <c r="E26" s="24" t="str">
        <f>'FixedP_Lower'!$G$26</f>
        <v>εₛ/εy</v>
      </c>
      <c r="F26" s="25">
        <f>'FixedP_Lower'!$H$26</f>
        <v>20</v>
      </c>
      <c r="G26" s="26">
        <f>'FixedP_Lower'!$AC$26</f>
        <v>-1345.1482091847113</v>
      </c>
      <c r="H26" s="24" t="str">
        <f>'FixedP_Upper'!$G$26</f>
        <v>εₛ/εy</v>
      </c>
      <c r="I26" s="25">
        <f>'FixedP_Upper'!$H$26</f>
        <v>10.000000000000002</v>
      </c>
      <c r="J26" s="26">
        <f>'FixedP_Upper'!$AC$26</f>
        <v>998.4199240535553</v>
      </c>
      <c r="K26" s="26">
        <f>Selected_P</f>
        <v>0</v>
      </c>
      <c r="L26" s="25">
        <f>IF(ABS(J26-G26)&lt;0.000000001,0,(K26-G26)/(J26-G26))</f>
        <v>0.5739744409845807</v>
      </c>
      <c r="M26" s="24" t="str">
        <f>IF(ABS(J26-G26)&lt;0.000000001,"Exact station",IF(AND(K26&gt;=G26-0.000001,K26&lt;=J26+0.000001),"Interpolated","Outside range"))</f>
        <v>Interpolated</v>
      </c>
      <c r="N26" s="27">
        <f>'FixedP_Lower'!$AD$26+L26*('FixedP_Upper'!$AD$26-'FixedP_Lower'!$AD$26)</f>
        <v>-2639.2347494372652</v>
      </c>
      <c r="O26" s="27">
        <f>'FixedP_Lower'!$AE$26+L26*('FixedP_Upper'!$AE$26-'FixedP_Lower'!$AE$26)</f>
        <v>0.452962806804384</v>
      </c>
      <c r="P26" s="7">
        <v>-2639.2347494372652</v>
      </c>
      <c r="Q26" s="7">
        <v>0.452962806804384</v>
      </c>
      <c r="R26" s="15">
        <f>SQRT((N26-P26)^2+(O26-Q26)^2)</f>
        <v>0</v>
      </c>
    </row>
    <row r="27" spans="1:18" x14ac:dyDescent="0.25">
      <c r="A27" s="7">
        <v>20</v>
      </c>
      <c r="B27" s="7" t="s">
        <v>228</v>
      </c>
      <c r="C27" s="7">
        <v>1</v>
      </c>
      <c r="D27" s="18">
        <v>190</v>
      </c>
      <c r="E27" s="28" t="str">
        <f>'FixedP_Lower'!$G$27</f>
        <v>εₛ/εy</v>
      </c>
      <c r="F27" s="15">
        <f>'FixedP_Lower'!$H$27</f>
        <v>7.500000000000003</v>
      </c>
      <c r="G27" s="17">
        <f>'FixedP_Lower'!$AC$27</f>
        <v>-111.08191204057252</v>
      </c>
      <c r="H27" s="28" t="str">
        <f>'FixedP_Upper'!$G$27</f>
        <v>εₛ/εy</v>
      </c>
      <c r="I27" s="15">
        <f>'FixedP_Upper'!$H$27</f>
        <v>5.000000000000002</v>
      </c>
      <c r="J27" s="17">
        <f>'FixedP_Upper'!$AC$27</f>
        <v>2235.946609797632</v>
      </c>
      <c r="K27" s="17">
        <f>Selected_P</f>
        <v>0</v>
      </c>
      <c r="L27" s="15">
        <f>IF(ABS(J27-G27)&lt;0.000000001,0,(K27-G27)/(J27-G27))</f>
        <v>0.047328743987129995</v>
      </c>
      <c r="M27" s="28" t="str">
        <f>IF(ABS(J27-G27)&lt;0.000000001,"Exact station",IF(AND(K27&gt;=G27-0.000001,K27&lt;=J27+0.000001),"Interpolated","Outside range"))</f>
        <v>Interpolated</v>
      </c>
      <c r="N27" s="29">
        <f>'FixedP_Lower'!$AD$27+L27*('FixedP_Upper'!$AD$27-'FixedP_Lower'!$AD$27)</f>
        <v>-2532.3095678352583</v>
      </c>
      <c r="O27" s="29">
        <f>'FixedP_Lower'!$AE$27+L27*('FixedP_Upper'!$AE$27-'FixedP_Lower'!$AE$27)</f>
        <v>-943.8862970580864</v>
      </c>
      <c r="P27" s="7">
        <v>-2532.3095678352583</v>
      </c>
      <c r="Q27" s="7">
        <v>-943.8862970580864</v>
      </c>
      <c r="R27" s="15">
        <f>SQRT((N27-P27)^2+(O27-Q27)^2)</f>
        <v>0</v>
      </c>
    </row>
    <row r="28" spans="1:18" x14ac:dyDescent="0.25">
      <c r="A28" s="22">
        <v>21</v>
      </c>
      <c r="B28" s="22" t="s">
        <v>230</v>
      </c>
      <c r="C28" s="22">
        <v>1</v>
      </c>
      <c r="D28" s="23">
        <v>200</v>
      </c>
      <c r="E28" s="24" t="str">
        <f>'FixedP_Lower'!$G$28</f>
        <v>εₛ/εy</v>
      </c>
      <c r="F28" s="25">
        <f>'FixedP_Lower'!$H$28</f>
        <v>7.499999999999998</v>
      </c>
      <c r="G28" s="26">
        <f>'FixedP_Lower'!$AC$28</f>
        <v>-1298.56528342478</v>
      </c>
      <c r="H28" s="24" t="str">
        <f>'FixedP_Upper'!$G$28</f>
        <v>εₛ/εy</v>
      </c>
      <c r="I28" s="25">
        <f>'FixedP_Upper'!$H$28</f>
        <v>4.999999999999998</v>
      </c>
      <c r="J28" s="26">
        <f>'FixedP_Upper'!$AC$28</f>
        <v>913.593297246861</v>
      </c>
      <c r="K28" s="26">
        <f>Selected_P</f>
        <v>0</v>
      </c>
      <c r="L28" s="25">
        <f>IF(ABS(J28-G28)&lt;0.000000001,0,(K28-G28)/(J28-G28))</f>
        <v>0.5870127461795791</v>
      </c>
      <c r="M28" s="24" t="str">
        <f>IF(ABS(J28-G28)&lt;0.000000001,"Exact station",IF(AND(K28&gt;=G28-0.000001,K28&lt;=J28+0.000001),"Interpolated","Outside range"))</f>
        <v>Interpolated</v>
      </c>
      <c r="N28" s="27">
        <f>'FixedP_Lower'!$AD$28+L28*('FixedP_Upper'!$AD$28-'FixedP_Lower'!$AD$28)</f>
        <v>-2345.1293951235275</v>
      </c>
      <c r="O28" s="27">
        <f>'FixedP_Lower'!$AE$28+L28*('FixedP_Upper'!$AE$28-'FixedP_Lower'!$AE$28)</f>
        <v>-1593.0086878001443</v>
      </c>
      <c r="P28" s="7">
        <v>-2345.1293951235275</v>
      </c>
      <c r="Q28" s="7">
        <v>-1593.0086878001443</v>
      </c>
      <c r="R28" s="15">
        <f>SQRT((N28-P28)^2+(O28-Q28)^2)</f>
        <v>0</v>
      </c>
    </row>
    <row r="29" spans="1:18" x14ac:dyDescent="0.25">
      <c r="A29" s="7">
        <v>22</v>
      </c>
      <c r="B29" s="7" t="s">
        <v>232</v>
      </c>
      <c r="C29" s="7">
        <v>1</v>
      </c>
      <c r="D29" s="18">
        <v>210</v>
      </c>
      <c r="E29" s="28" t="str">
        <f>'FixedP_Lower'!$G$29</f>
        <v>εₛ/εy</v>
      </c>
      <c r="F29" s="15">
        <f>'FixedP_Lower'!$H$29</f>
        <v>7.5</v>
      </c>
      <c r="G29" s="17">
        <f>'FixedP_Lower'!$AC$29</f>
        <v>-1539.8029812285613</v>
      </c>
      <c r="H29" s="28" t="str">
        <f>'FixedP_Upper'!$G$29</f>
        <v>εₛ/εy</v>
      </c>
      <c r="I29" s="15">
        <f>'FixedP_Upper'!$H$29</f>
        <v>5</v>
      </c>
      <c r="J29" s="17">
        <f>'FixedP_Upper'!$AC$29</f>
        <v>431.7494590021924</v>
      </c>
      <c r="K29" s="17">
        <f>Selected_P</f>
        <v>0</v>
      </c>
      <c r="L29" s="15">
        <f>IF(ABS(J29-G29)&lt;0.000000001,0,(K29-G29)/(J29-G29))</f>
        <v>0.781010410784884</v>
      </c>
      <c r="M29" s="28" t="str">
        <f>IF(ABS(J29-G29)&lt;0.000000001,"Exact station",IF(AND(K29&gt;=G29-0.000001,K29&lt;=J29+0.000001),"Interpolated","Outside range"))</f>
        <v>Interpolated</v>
      </c>
      <c r="N29" s="29">
        <f>'FixedP_Lower'!$AD$29+L29*('FixedP_Upper'!$AD$29-'FixedP_Lower'!$AD$29)</f>
        <v>-2150.951631770111</v>
      </c>
      <c r="O29" s="29">
        <f>'FixedP_Lower'!$AE$29+L29*('FixedP_Upper'!$AE$29-'FixedP_Lower'!$AE$29)</f>
        <v>-2053.4782456794355</v>
      </c>
      <c r="P29" s="7">
        <v>-2150.951631770111</v>
      </c>
      <c r="Q29" s="7">
        <v>-2053.4782456794355</v>
      </c>
      <c r="R29" s="15">
        <f>SQRT((N29-P29)^2+(O29-Q29)^2)</f>
        <v>0</v>
      </c>
    </row>
    <row r="30" spans="1:18" x14ac:dyDescent="0.25">
      <c r="A30" s="22">
        <v>23</v>
      </c>
      <c r="B30" s="22" t="s">
        <v>234</v>
      </c>
      <c r="C30" s="22">
        <v>1</v>
      </c>
      <c r="D30" s="23">
        <v>220</v>
      </c>
      <c r="E30" s="24" t="str">
        <f>'FixedP_Lower'!$G$30</f>
        <v>εₛ/εy</v>
      </c>
      <c r="F30" s="25">
        <f>'FixedP_Lower'!$H$30</f>
        <v>7.5</v>
      </c>
      <c r="G30" s="26">
        <f>'FixedP_Lower'!$AC$30</f>
        <v>-1367.0464245578562</v>
      </c>
      <c r="H30" s="24" t="str">
        <f>'FixedP_Upper'!$G$30</f>
        <v>εₛ/εy</v>
      </c>
      <c r="I30" s="25">
        <f>'FixedP_Upper'!$H$30</f>
        <v>4.999999999999999</v>
      </c>
      <c r="J30" s="26">
        <f>'FixedP_Upper'!$AC$30</f>
        <v>456.7056594471932</v>
      </c>
      <c r="K30" s="26">
        <f>Selected_P</f>
        <v>0</v>
      </c>
      <c r="L30" s="25">
        <f>IF(ABS(J30-G30)&lt;0.000000001,0,(K30-G30)/(J30-G30))</f>
        <v>0.7495790883790273</v>
      </c>
      <c r="M30" s="24" t="str">
        <f>IF(ABS(J30-G30)&lt;0.000000001,"Exact station",IF(AND(K30&gt;=G30-0.000001,K30&lt;=J30+0.000001),"Interpolated","Outside range"))</f>
        <v>Interpolated</v>
      </c>
      <c r="N30" s="27">
        <f>'FixedP_Lower'!$AD$30+L30*('FixedP_Upper'!$AD$30-'FixedP_Lower'!$AD$30)</f>
        <v>-1930.4949801821065</v>
      </c>
      <c r="O30" s="27">
        <f>'FixedP_Lower'!$AE$30+L30*('FixedP_Upper'!$AE$30-'FixedP_Lower'!$AE$30)</f>
        <v>-2411.83895608131</v>
      </c>
      <c r="P30" s="7">
        <v>-1930.4949801821065</v>
      </c>
      <c r="Q30" s="7">
        <v>-2411.83895608131</v>
      </c>
      <c r="R30" s="15">
        <f>SQRT((N30-P30)^2+(O30-Q30)^2)</f>
        <v>0</v>
      </c>
    </row>
    <row r="31" spans="1:18" x14ac:dyDescent="0.25">
      <c r="A31" s="7">
        <v>24</v>
      </c>
      <c r="B31" s="7" t="s">
        <v>236</v>
      </c>
      <c r="C31" s="7">
        <v>1</v>
      </c>
      <c r="D31" s="18">
        <v>230</v>
      </c>
      <c r="E31" s="28" t="str">
        <f>'FixedP_Lower'!$G$31</f>
        <v>εₛ/εy</v>
      </c>
      <c r="F31" s="15">
        <f>'FixedP_Lower'!$H$31</f>
        <v>7.5</v>
      </c>
      <c r="G31" s="17">
        <f>'FixedP_Lower'!$AC$31</f>
        <v>-1134.9137685752958</v>
      </c>
      <c r="H31" s="28" t="str">
        <f>'FixedP_Upper'!$G$31</f>
        <v>εₛ/εy</v>
      </c>
      <c r="I31" s="15">
        <f>'FixedP_Upper'!$H$31</f>
        <v>5</v>
      </c>
      <c r="J31" s="17">
        <f>'FixedP_Upper'!$AC$31</f>
        <v>711.7116791795995</v>
      </c>
      <c r="K31" s="17">
        <f>Selected_P</f>
        <v>0</v>
      </c>
      <c r="L31" s="15">
        <f>IF(ABS(J31-G31)&lt;0.000000001,0,(K31-G31)/(J31-G31))</f>
        <v>0.6145879609506683</v>
      </c>
      <c r="M31" s="28" t="str">
        <f>IF(ABS(J31-G31)&lt;0.000000001,"Exact station",IF(AND(K31&gt;=G31-0.000001,K31&lt;=J31+0.000001),"Interpolated","Outside range"))</f>
        <v>Interpolated</v>
      </c>
      <c r="N31" s="29">
        <f>'FixedP_Lower'!$AD$31+L31*('FixedP_Upper'!$AD$31-'FixedP_Lower'!$AD$31)</f>
        <v>-1651.399418177601</v>
      </c>
      <c r="O31" s="29">
        <f>'FixedP_Lower'!$AE$31+L31*('FixedP_Upper'!$AE$31-'FixedP_Lower'!$AE$31)</f>
        <v>-2679.7988970462234</v>
      </c>
      <c r="P31" s="7">
        <v>-1651.399418177601</v>
      </c>
      <c r="Q31" s="7">
        <v>-2679.7988970462234</v>
      </c>
      <c r="R31" s="15">
        <f>SQRT((N31-P31)^2+(O31-Q31)^2)</f>
        <v>0</v>
      </c>
    </row>
    <row r="32" spans="1:18" x14ac:dyDescent="0.25">
      <c r="A32" s="22">
        <v>25</v>
      </c>
      <c r="B32" s="22" t="s">
        <v>238</v>
      </c>
      <c r="C32" s="22">
        <v>1</v>
      </c>
      <c r="D32" s="23">
        <v>240</v>
      </c>
      <c r="E32" s="24" t="str">
        <f>'FixedP_Lower'!$G$32</f>
        <v>εₛ/εy</v>
      </c>
      <c r="F32" s="25">
        <f>'FixedP_Lower'!$H$32</f>
        <v>7.500000000000001</v>
      </c>
      <c r="G32" s="26">
        <f>'FixedP_Lower'!$AC$32</f>
        <v>-1015.8897098466367</v>
      </c>
      <c r="H32" s="24" t="str">
        <f>'FixedP_Upper'!$G$32</f>
        <v>εₛ/εy</v>
      </c>
      <c r="I32" s="25">
        <f>'FixedP_Upper'!$H$32</f>
        <v>4.999999999999999</v>
      </c>
      <c r="J32" s="26">
        <f>'FixedP_Upper'!$AC$32</f>
        <v>896.8302679647481</v>
      </c>
      <c r="K32" s="26">
        <f>Selected_P</f>
        <v>0</v>
      </c>
      <c r="L32" s="25">
        <f>IF(ABS(J32-G32)&lt;0.000000001,0,(K32-G32)/(J32-G32))</f>
        <v>0.5311230716631405</v>
      </c>
      <c r="M32" s="24" t="str">
        <f>IF(ABS(J32-G32)&lt;0.000000001,"Exact station",IF(AND(K32&gt;=G32-0.000001,K32&lt;=J32+0.000001),"Interpolated","Outside range"))</f>
        <v>Interpolated</v>
      </c>
      <c r="N32" s="27">
        <f>'FixedP_Lower'!$AD$32+L32*('FixedP_Upper'!$AD$32-'FixedP_Lower'!$AD$32)</f>
        <v>-1339.075678416055</v>
      </c>
      <c r="O32" s="27">
        <f>'FixedP_Lower'!$AE$32+L32*('FixedP_Upper'!$AE$32-'FixedP_Lower'!$AE$32)</f>
        <v>-2892.0166045304195</v>
      </c>
      <c r="P32" s="7">
        <v>-1339.075678416055</v>
      </c>
      <c r="Q32" s="7">
        <v>-2892.0166045304195</v>
      </c>
      <c r="R32" s="15">
        <f>SQRT((N32-P32)^2+(O32-Q32)^2)</f>
        <v>0</v>
      </c>
    </row>
    <row r="33" spans="1:18" x14ac:dyDescent="0.25">
      <c r="A33" s="7">
        <v>26</v>
      </c>
      <c r="B33" s="7" t="s">
        <v>240</v>
      </c>
      <c r="C33" s="7">
        <v>1</v>
      </c>
      <c r="D33" s="18">
        <v>250</v>
      </c>
      <c r="E33" s="28" t="str">
        <f>'FixedP_Lower'!$G$33</f>
        <v>εₛ/εy</v>
      </c>
      <c r="F33" s="15">
        <f>'FixedP_Lower'!$H$33</f>
        <v>7.500000000000001</v>
      </c>
      <c r="G33" s="17">
        <f>'FixedP_Lower'!$AC$33</f>
        <v>-557.5289800296466</v>
      </c>
      <c r="H33" s="28" t="str">
        <f>'FixedP_Upper'!$G$33</f>
        <v>εₛ/εy</v>
      </c>
      <c r="I33" s="15">
        <f>'FixedP_Upper'!$H$33</f>
        <v>5</v>
      </c>
      <c r="J33" s="17">
        <f>'FixedP_Upper'!$AC$33</f>
        <v>1431.9299970909692</v>
      </c>
      <c r="K33" s="17">
        <f>Selected_P</f>
        <v>0</v>
      </c>
      <c r="L33" s="15">
        <f>IF(ABS(J33-G33)&lt;0.000000001,0,(K33-G33)/(J33-G33))</f>
        <v>0.2802415060784865</v>
      </c>
      <c r="M33" s="28" t="str">
        <f>IF(ABS(J33-G33)&lt;0.000000001,"Exact station",IF(AND(K33&gt;=G33-0.000001,K33&lt;=J33+0.000001),"Interpolated","Outside range"))</f>
        <v>Interpolated</v>
      </c>
      <c r="N33" s="29">
        <f>'FixedP_Lower'!$AD$33+L33*('FixedP_Upper'!$AD$33-'FixedP_Lower'!$AD$33)</f>
        <v>-969.8000168738482</v>
      </c>
      <c r="O33" s="29">
        <f>'FixedP_Lower'!$AE$33+L33*('FixedP_Upper'!$AE$33-'FixedP_Lower'!$AE$33)</f>
        <v>-3083.965730118048</v>
      </c>
      <c r="P33" s="7">
        <v>-969.8000168738482</v>
      </c>
      <c r="Q33" s="7">
        <v>-3083.965730118048</v>
      </c>
      <c r="R33" s="15">
        <f>SQRT((N33-P33)^2+(O33-Q33)^2)</f>
        <v>0</v>
      </c>
    </row>
    <row r="34" spans="1:18" x14ac:dyDescent="0.25">
      <c r="A34" s="22">
        <v>27</v>
      </c>
      <c r="B34" s="22" t="s">
        <v>242</v>
      </c>
      <c r="C34" s="22">
        <v>1</v>
      </c>
      <c r="D34" s="23">
        <v>260</v>
      </c>
      <c r="E34" s="24" t="str">
        <f>'FixedP_Lower'!$G$34</f>
        <v>εₛ/εy</v>
      </c>
      <c r="F34" s="25">
        <f>'FixedP_Lower'!$H$34</f>
        <v>9.999999999999998</v>
      </c>
      <c r="G34" s="26">
        <f>'FixedP_Lower'!$AC$34</f>
        <v>-904.2179381314095</v>
      </c>
      <c r="H34" s="24" t="str">
        <f>'FixedP_Upper'!$G$34</f>
        <v>εₛ/εy</v>
      </c>
      <c r="I34" s="25">
        <f>'FixedP_Upper'!$H$34</f>
        <v>7.5</v>
      </c>
      <c r="J34" s="26">
        <f>'FixedP_Upper'!$AC$34</f>
        <v>441.4606627791076</v>
      </c>
      <c r="K34" s="26">
        <f>Selected_P</f>
        <v>0</v>
      </c>
      <c r="L34" s="25">
        <f>IF(ABS(J34-G34)&lt;0.000000001,0,(K34-G34)/(J34-G34))</f>
        <v>0.6719419759811851</v>
      </c>
      <c r="M34" s="24" t="str">
        <f>IF(ABS(J34-G34)&lt;0.000000001,"Exact station",IF(AND(K34&gt;=G34-0.000001,K34&lt;=J34+0.000001),"Interpolated","Outside range"))</f>
        <v>Interpolated</v>
      </c>
      <c r="N34" s="27">
        <f>'FixedP_Lower'!$AD$34+L34*('FixedP_Upper'!$AD$34-'FixedP_Lower'!$AD$34)</f>
        <v>-521.8418274675454</v>
      </c>
      <c r="O34" s="27">
        <f>'FixedP_Lower'!$AE$34+L34*('FixedP_Upper'!$AE$34-'FixedP_Lower'!$AE$34)</f>
        <v>-3236.3212631547713</v>
      </c>
      <c r="P34" s="7">
        <v>-521.8418274675454</v>
      </c>
      <c r="Q34" s="7">
        <v>-3236.3212631547713</v>
      </c>
      <c r="R34" s="15">
        <f>SQRT((N34-P34)^2+(O34-Q34)^2)</f>
        <v>0</v>
      </c>
    </row>
    <row r="35" spans="1:18" x14ac:dyDescent="0.25">
      <c r="A35" s="7">
        <v>28</v>
      </c>
      <c r="B35" s="7" t="s">
        <v>244</v>
      </c>
      <c r="C35" s="7">
        <v>1</v>
      </c>
      <c r="D35" s="18">
        <v>270</v>
      </c>
      <c r="E35" s="28" t="str">
        <f>'FixedP_Lower'!$G$35</f>
        <v>εₛ/εy</v>
      </c>
      <c r="F35" s="15">
        <f>'FixedP_Lower'!$H$35</f>
        <v>20.000000000000004</v>
      </c>
      <c r="G35" s="17">
        <f>'FixedP_Lower'!$AC$35</f>
        <v>-1662.3885819480126</v>
      </c>
      <c r="H35" s="28" t="str">
        <f>'FixedP_Upper'!$G$35</f>
        <v>εₛ/εy</v>
      </c>
      <c r="I35" s="15">
        <f>'FixedP_Upper'!$H$35</f>
        <v>10.000000000000002</v>
      </c>
      <c r="J35" s="17">
        <f>'FixedP_Upper'!$AC$35</f>
        <v>590.4023577362918</v>
      </c>
      <c r="K35" s="17">
        <f>Selected_P</f>
        <v>0</v>
      </c>
      <c r="L35" s="15">
        <f>IF(ABS(J35-G35)&lt;0.000000001,0,(K35-G35)/(J35-G35))</f>
        <v>0.7379240357655966</v>
      </c>
      <c r="M35" s="28" t="str">
        <f>IF(ABS(J35-G35)&lt;0.000000001,"Exact station",IF(AND(K35&gt;=G35-0.000001,K35&lt;=J35+0.000001),"Interpolated","Outside range"))</f>
        <v>Interpolated</v>
      </c>
      <c r="N35" s="29">
        <f>'FixedP_Lower'!$AD$35+L35*('FixedP_Upper'!$AD$35-'FixedP_Lower'!$AD$35)</f>
        <v>-0.3874530369550055</v>
      </c>
      <c r="O35" s="29">
        <f>'FixedP_Lower'!$AE$35+L35*('FixedP_Upper'!$AE$35-'FixedP_Lower'!$AE$35)</f>
        <v>-3309.9631774144555</v>
      </c>
      <c r="P35" s="7">
        <v>-0.3874530369550055</v>
      </c>
      <c r="Q35" s="7">
        <v>-3309.9631774144555</v>
      </c>
      <c r="R35" s="15">
        <f>SQRT((N35-P35)^2+(O35-Q35)^2)</f>
        <v>0</v>
      </c>
    </row>
    <row r="36" spans="1:18" x14ac:dyDescent="0.25">
      <c r="A36" s="22">
        <v>29</v>
      </c>
      <c r="B36" s="22" t="s">
        <v>246</v>
      </c>
      <c r="C36" s="22">
        <v>1</v>
      </c>
      <c r="D36" s="23">
        <v>280</v>
      </c>
      <c r="E36" s="24" t="str">
        <f>'FixedP_Lower'!$G$36</f>
        <v>εₛ/εy</v>
      </c>
      <c r="F36" s="25">
        <f>'FixedP_Lower'!$H$36</f>
        <v>10</v>
      </c>
      <c r="G36" s="26">
        <f>'FixedP_Lower'!$AC$36</f>
        <v>-915.4371879362326</v>
      </c>
      <c r="H36" s="24" t="str">
        <f>'FixedP_Upper'!$G$36</f>
        <v>εₛ/εy</v>
      </c>
      <c r="I36" s="25">
        <f>'FixedP_Upper'!$H$36</f>
        <v>7.5</v>
      </c>
      <c r="J36" s="26">
        <f>'FixedP_Upper'!$AC$36</f>
        <v>440.86884166484236</v>
      </c>
      <c r="K36" s="26">
        <f>Selected_P</f>
        <v>0</v>
      </c>
      <c r="L36" s="25">
        <f>IF(ABS(J36-G36)&lt;0.000000001,0,(K36-G36)/(J36-G36))</f>
        <v>0.6749488448455004</v>
      </c>
      <c r="M36" s="24" t="str">
        <f>IF(ABS(J36-G36)&lt;0.000000001,"Exact station",IF(AND(K36&gt;=G36-0.000001,K36&lt;=J36+0.000001),"Interpolated","Outside range"))</f>
        <v>Interpolated</v>
      </c>
      <c r="N36" s="27">
        <f>'FixedP_Lower'!$AD$36+L36*('FixedP_Upper'!$AD$36-'FixedP_Lower'!$AD$36)</f>
        <v>522.6791243845965</v>
      </c>
      <c r="O36" s="27">
        <f>'FixedP_Lower'!$AE$36+L36*('FixedP_Upper'!$AE$36-'FixedP_Lower'!$AE$36)</f>
        <v>-3236.1229993042048</v>
      </c>
      <c r="P36" s="7">
        <v>522.6791243845965</v>
      </c>
      <c r="Q36" s="7">
        <v>-3236.1229993042048</v>
      </c>
      <c r="R36" s="15">
        <f>SQRT((N36-P36)^2+(O36-Q36)^2)</f>
        <v>0</v>
      </c>
    </row>
    <row r="37" spans="1:18" x14ac:dyDescent="0.25">
      <c r="A37" s="7">
        <v>30</v>
      </c>
      <c r="B37" s="7" t="s">
        <v>248</v>
      </c>
      <c r="C37" s="7">
        <v>1</v>
      </c>
      <c r="D37" s="18">
        <v>290</v>
      </c>
      <c r="E37" s="28" t="str">
        <f>'FixedP_Lower'!$G$37</f>
        <v>εₛ/εy</v>
      </c>
      <c r="F37" s="15">
        <f>'FixedP_Lower'!$H$37</f>
        <v>7.500000000000001</v>
      </c>
      <c r="G37" s="17">
        <f>'FixedP_Lower'!$AC$37</f>
        <v>-551.8513503689591</v>
      </c>
      <c r="H37" s="28" t="str">
        <f>'FixedP_Upper'!$G$37</f>
        <v>εₛ/εy</v>
      </c>
      <c r="I37" s="15">
        <f>'FixedP_Upper'!$H$37</f>
        <v>5.000000000000001</v>
      </c>
      <c r="J37" s="17">
        <f>'FixedP_Upper'!$AC$37</f>
        <v>1424.2350733852388</v>
      </c>
      <c r="K37" s="17">
        <f>Selected_P</f>
        <v>0</v>
      </c>
      <c r="L37" s="15">
        <f>IF(ABS(J37-G37)&lt;0.000000001,0,(K37-G37)/(J37-G37))</f>
        <v>0.27926478504950397</v>
      </c>
      <c r="M37" s="28" t="str">
        <f>IF(ABS(J37-G37)&lt;0.000000001,"Exact station",IF(AND(K37&gt;=G37-0.000001,K37&lt;=J37+0.000001),"Interpolated","Outside range"))</f>
        <v>Interpolated</v>
      </c>
      <c r="N37" s="29">
        <f>'FixedP_Lower'!$AD$37+L37*('FixedP_Upper'!$AD$37-'FixedP_Lower'!$AD$37)</f>
        <v>968.2661651305992</v>
      </c>
      <c r="O37" s="29">
        <f>'FixedP_Lower'!$AE$37+L37*('FixedP_Upper'!$AE$37-'FixedP_Lower'!$AE$37)</f>
        <v>-3084.4070718326616</v>
      </c>
      <c r="P37" s="7">
        <v>968.2661651305992</v>
      </c>
      <c r="Q37" s="7">
        <v>-3084.4070718326616</v>
      </c>
      <c r="R37" s="15">
        <f>SQRT((N37-P37)^2+(O37-Q37)^2)</f>
        <v>0</v>
      </c>
    </row>
    <row r="38" spans="1:18" x14ac:dyDescent="0.25">
      <c r="A38" s="22">
        <v>31</v>
      </c>
      <c r="B38" s="22" t="s">
        <v>250</v>
      </c>
      <c r="C38" s="22">
        <v>1</v>
      </c>
      <c r="D38" s="23">
        <v>300</v>
      </c>
      <c r="E38" s="24" t="str">
        <f>'FixedP_Lower'!$G$38</f>
        <v>εₛ/εy</v>
      </c>
      <c r="F38" s="25">
        <f>'FixedP_Lower'!$H$38</f>
        <v>7.500000000000001</v>
      </c>
      <c r="G38" s="26">
        <f>'FixedP_Lower'!$AC$38</f>
        <v>-1021.1699426994685</v>
      </c>
      <c r="H38" s="24" t="str">
        <f>'FixedP_Upper'!$G$38</f>
        <v>εₛ/εy</v>
      </c>
      <c r="I38" s="25">
        <f>'FixedP_Upper'!$H$38</f>
        <v>4.999999999999999</v>
      </c>
      <c r="J38" s="26">
        <f>'FixedP_Upper'!$AC$38</f>
        <v>910.3266186336922</v>
      </c>
      <c r="K38" s="26">
        <f>Selected_P</f>
        <v>0</v>
      </c>
      <c r="L38" s="25">
        <f>IF(ABS(J38-G38)&lt;0.000000001,0,(K38-G38)/(J38-G38))</f>
        <v>0.5286936374324348</v>
      </c>
      <c r="M38" s="24" t="str">
        <f>IF(ABS(J38-G38)&lt;0.000000001,"Exact station",IF(AND(K38&gt;=G38-0.000001,K38&lt;=J38+0.000001),"Interpolated","Outside range"))</f>
        <v>Interpolated</v>
      </c>
      <c r="N38" s="27">
        <f>'FixedP_Lower'!$AD$38+L38*('FixedP_Upper'!$AD$38-'FixedP_Lower'!$AD$38)</f>
        <v>1341.6596360741707</v>
      </c>
      <c r="O38" s="27">
        <f>'FixedP_Lower'!$AE$38+L38*('FixedP_Upper'!$AE$38-'FixedP_Lower'!$AE$38)</f>
        <v>-2889.9406740273494</v>
      </c>
      <c r="P38" s="7">
        <v>1341.6596360741707</v>
      </c>
      <c r="Q38" s="7">
        <v>-2889.9406740273494</v>
      </c>
      <c r="R38" s="15">
        <f>SQRT((N38-P38)^2+(O38-Q38)^2)</f>
        <v>0</v>
      </c>
    </row>
    <row r="39" spans="1:18" x14ac:dyDescent="0.25">
      <c r="A39" s="7">
        <v>32</v>
      </c>
      <c r="B39" s="7" t="s">
        <v>252</v>
      </c>
      <c r="C39" s="7">
        <v>1</v>
      </c>
      <c r="D39" s="18">
        <v>310</v>
      </c>
      <c r="E39" s="28" t="str">
        <f>'FixedP_Lower'!$G$39</f>
        <v>εₛ/εy</v>
      </c>
      <c r="F39" s="15">
        <f>'FixedP_Lower'!$H$39</f>
        <v>7.500000000000001</v>
      </c>
      <c r="G39" s="17">
        <f>'FixedP_Lower'!$AC$39</f>
        <v>-1127.7881771325294</v>
      </c>
      <c r="H39" s="28" t="str">
        <f>'FixedP_Upper'!$G$39</f>
        <v>εₛ/εy</v>
      </c>
      <c r="I39" s="15">
        <f>'FixedP_Upper'!$H$39</f>
        <v>5</v>
      </c>
      <c r="J39" s="17">
        <f>'FixedP_Upper'!$AC$39</f>
        <v>700.7707363450845</v>
      </c>
      <c r="K39" s="17">
        <f>Selected_P</f>
        <v>0</v>
      </c>
      <c r="L39" s="15">
        <f>IF(ABS(J39-G39)&lt;0.000000001,0,(K39-G39)/(J39-G39))</f>
        <v>0.6167633806163043</v>
      </c>
      <c r="M39" s="28" t="str">
        <f>IF(ABS(J39-G39)&lt;0.000000001,"Exact station",IF(AND(K39&gt;=G39-0.000001,K39&lt;=J39+0.000001),"Interpolated","Outside range"))</f>
        <v>Interpolated</v>
      </c>
      <c r="N39" s="29">
        <f>'FixedP_Lower'!$AD$39+L39*('FixedP_Upper'!$AD$39-'FixedP_Lower'!$AD$39)</f>
        <v>1645.3315524281932</v>
      </c>
      <c r="O39" s="29">
        <f>'FixedP_Lower'!$AE$39+L39*('FixedP_Upper'!$AE$39-'FixedP_Lower'!$AE$39)</f>
        <v>-2685.4891673780558</v>
      </c>
      <c r="P39" s="7">
        <v>1645.3315524281932</v>
      </c>
      <c r="Q39" s="7">
        <v>-2685.4891673780558</v>
      </c>
      <c r="R39" s="15">
        <f>SQRT((N39-P39)^2+(O39-Q39)^2)</f>
        <v>0</v>
      </c>
    </row>
    <row r="40" spans="1:18" x14ac:dyDescent="0.25">
      <c r="A40" s="22">
        <v>33</v>
      </c>
      <c r="B40" s="22" t="s">
        <v>254</v>
      </c>
      <c r="C40" s="22">
        <v>1</v>
      </c>
      <c r="D40" s="23">
        <v>320</v>
      </c>
      <c r="E40" s="24" t="str">
        <f>'FixedP_Lower'!$G$40</f>
        <v>εₛ/εy</v>
      </c>
      <c r="F40" s="25">
        <f>'FixedP_Lower'!$H$40</f>
        <v>7.5</v>
      </c>
      <c r="G40" s="26">
        <f>'FixedP_Lower'!$AC$40</f>
        <v>-1383.9160848123036</v>
      </c>
      <c r="H40" s="24" t="str">
        <f>'FixedP_Upper'!$G$40</f>
        <v>εₛ/εy</v>
      </c>
      <c r="I40" s="25">
        <f>'FixedP_Upper'!$H$40</f>
        <v>4.999999999999999</v>
      </c>
      <c r="J40" s="26">
        <f>'FixedP_Upper'!$AC$40</f>
        <v>451.4631715507486</v>
      </c>
      <c r="K40" s="26">
        <f>Selected_P</f>
        <v>0</v>
      </c>
      <c r="L40" s="25">
        <f>IF(ABS(J40-G40)&lt;0.000000001,0,(K40-G40)/(J40-G40))</f>
        <v>0.7540218622469569</v>
      </c>
      <c r="M40" s="24" t="str">
        <f>IF(ABS(J40-G40)&lt;0.000000001,"Exact station",IF(AND(K40&gt;=G40-0.000001,K40&lt;=J40+0.000001),"Interpolated","Outside range"))</f>
        <v>Interpolated</v>
      </c>
      <c r="N40" s="27">
        <f>'FixedP_Lower'!$AD$40+L40*('FixedP_Upper'!$AD$40-'FixedP_Lower'!$AD$40)</f>
        <v>1934.6194768367811</v>
      </c>
      <c r="O40" s="27">
        <f>'FixedP_Lower'!$AE$40+L40*('FixedP_Upper'!$AE$40-'FixedP_Lower'!$AE$40)</f>
        <v>-2407.3232926803125</v>
      </c>
      <c r="P40" s="7">
        <v>1934.6194768367811</v>
      </c>
      <c r="Q40" s="7">
        <v>-2407.3232926803125</v>
      </c>
      <c r="R40" s="15">
        <f>SQRT((N40-P40)^2+(O40-Q40)^2)</f>
        <v>0</v>
      </c>
    </row>
    <row r="41" spans="1:18" x14ac:dyDescent="0.25">
      <c r="A41" s="7">
        <v>34</v>
      </c>
      <c r="B41" s="7" t="s">
        <v>256</v>
      </c>
      <c r="C41" s="7">
        <v>1</v>
      </c>
      <c r="D41" s="18">
        <v>330</v>
      </c>
      <c r="E41" s="28" t="str">
        <f>'FixedP_Lower'!$G$41</f>
        <v>εₛ/εy</v>
      </c>
      <c r="F41" s="15">
        <f>'FixedP_Lower'!$H$41</f>
        <v>7.5</v>
      </c>
      <c r="G41" s="17">
        <f>'FixedP_Lower'!$AC$41</f>
        <v>-1530.7798075933024</v>
      </c>
      <c r="H41" s="28" t="str">
        <f>'FixedP_Upper'!$G$41</f>
        <v>εₛ/εy</v>
      </c>
      <c r="I41" s="15">
        <f>'FixedP_Upper'!$H$41</f>
        <v>4.999999999999999</v>
      </c>
      <c r="J41" s="17">
        <f>'FixedP_Upper'!$AC$41</f>
        <v>429.74936808520425</v>
      </c>
      <c r="K41" s="17">
        <f>Selected_P</f>
        <v>0</v>
      </c>
      <c r="L41" s="15">
        <f>IF(ABS(J41-G41)&lt;0.000000001,0,(K41-G41)/(J41-G41))</f>
        <v>0.7807992997928862</v>
      </c>
      <c r="M41" s="28" t="str">
        <f>IF(ABS(J41-G41)&lt;0.000000001,"Exact station",IF(AND(K41&gt;=G41-0.000001,K41&lt;=J41+0.000001),"Interpolated","Outside range"))</f>
        <v>Interpolated</v>
      </c>
      <c r="N41" s="29">
        <f>'FixedP_Lower'!$AD$41+L41*('FixedP_Upper'!$AD$41-'FixedP_Lower'!$AD$41)</f>
        <v>2148.9792280829215</v>
      </c>
      <c r="O41" s="29">
        <f>'FixedP_Lower'!$AE$41+L41*('FixedP_Upper'!$AE$41-'FixedP_Lower'!$AE$41)</f>
        <v>-2056.0357590990325</v>
      </c>
      <c r="P41" s="7">
        <v>2148.9792280829215</v>
      </c>
      <c r="Q41" s="7">
        <v>-2056.0357590990325</v>
      </c>
      <c r="R41" s="15">
        <f>SQRT((N41-P41)^2+(O41-Q41)^2)</f>
        <v>0</v>
      </c>
    </row>
    <row r="42" spans="1:18" x14ac:dyDescent="0.25">
      <c r="A42" s="22">
        <v>35</v>
      </c>
      <c r="B42" s="22" t="s">
        <v>258</v>
      </c>
      <c r="C42" s="22">
        <v>1</v>
      </c>
      <c r="D42" s="23">
        <v>340</v>
      </c>
      <c r="E42" s="24" t="str">
        <f>'FixedP_Lower'!$G$42</f>
        <v>εₛ/εy</v>
      </c>
      <c r="F42" s="25">
        <f>'FixedP_Lower'!$H$42</f>
        <v>7.5</v>
      </c>
      <c r="G42" s="26">
        <f>'FixedP_Lower'!$AC$42</f>
        <v>-1314.5257523483288</v>
      </c>
      <c r="H42" s="24" t="str">
        <f>'FixedP_Upper'!$G$42</f>
        <v>εₛ/εy</v>
      </c>
      <c r="I42" s="25">
        <f>'FixedP_Upper'!$H$42</f>
        <v>4.999999999999999</v>
      </c>
      <c r="J42" s="26">
        <f>'FixedP_Upper'!$AC$42</f>
        <v>907.037349300277</v>
      </c>
      <c r="K42" s="26">
        <f>Selected_P</f>
        <v>0</v>
      </c>
      <c r="L42" s="25">
        <f>IF(ABS(J42-G42)&lt;0.000000001,0,(K42-G42)/(J42-G42))</f>
        <v>0.5917120928830825</v>
      </c>
      <c r="M42" s="24" t="str">
        <f>IF(ABS(J42-G42)&lt;0.000000001,"Exact station",IF(AND(K42&gt;=G42-0.000001,K42&lt;=J42+0.000001),"Interpolated","Outside range"))</f>
        <v>Interpolated</v>
      </c>
      <c r="N42" s="27">
        <f>'FixedP_Lower'!$AD$42+L42*('FixedP_Upper'!$AD$42-'FixedP_Lower'!$AD$42)</f>
        <v>2346.3372987212156</v>
      </c>
      <c r="O42" s="27">
        <f>'FixedP_Lower'!$AE$42+L42*('FixedP_Upper'!$AE$42-'FixedP_Lower'!$AE$42)</f>
        <v>-1590.1970707343578</v>
      </c>
      <c r="P42" s="7">
        <v>2346.3372987212156</v>
      </c>
      <c r="Q42" s="7">
        <v>-1590.1970707343578</v>
      </c>
      <c r="R42" s="15">
        <f>SQRT((N42-P42)^2+(O42-Q42)^2)</f>
        <v>0</v>
      </c>
    </row>
    <row r="43" spans="1:18" x14ac:dyDescent="0.25">
      <c r="A43" s="7">
        <v>36</v>
      </c>
      <c r="B43" s="7" t="s">
        <v>260</v>
      </c>
      <c r="C43" s="7">
        <v>1</v>
      </c>
      <c r="D43" s="18">
        <v>350</v>
      </c>
      <c r="E43" s="28" t="str">
        <f>'FixedP_Lower'!$G$43</f>
        <v>εₛ/εy</v>
      </c>
      <c r="F43" s="15">
        <f>'FixedP_Lower'!$H$43</f>
        <v>7.500000000000001</v>
      </c>
      <c r="G43" s="17">
        <f>'FixedP_Lower'!$AC$43</f>
        <v>-107.58148948924497</v>
      </c>
      <c r="H43" s="28" t="str">
        <f>'FixedP_Upper'!$G$43</f>
        <v>εₛ/εy</v>
      </c>
      <c r="I43" s="15">
        <f>'FixedP_Upper'!$H$43</f>
        <v>5.000000000000001</v>
      </c>
      <c r="J43" s="17">
        <f>'FixedP_Upper'!$AC$43</f>
        <v>2239.255178276011</v>
      </c>
      <c r="K43" s="17">
        <f>Selected_P</f>
        <v>0</v>
      </c>
      <c r="L43" s="15">
        <f>IF(ABS(J43-G43)&lt;0.000000001,0,(K43-G43)/(J43-G43))</f>
        <v>0.04584106383154819</v>
      </c>
      <c r="M43" s="28" t="str">
        <f>IF(ABS(J43-G43)&lt;0.000000001,"Exact station",IF(AND(K43&gt;=G43-0.000001,K43&lt;=J43+0.000001),"Interpolated","Outside range"))</f>
        <v>Interpolated</v>
      </c>
      <c r="N43" s="29">
        <f>'FixedP_Lower'!$AD$43+L43*('FixedP_Upper'!$AD$43-'FixedP_Lower'!$AD$43)</f>
        <v>2531.4453379573188</v>
      </c>
      <c r="O43" s="29">
        <f>'FixedP_Lower'!$AE$43+L43*('FixedP_Upper'!$AE$43-'FixedP_Lower'!$AE$43)</f>
        <v>-948.3670767055213</v>
      </c>
      <c r="P43" s="7">
        <v>2531.4453379573188</v>
      </c>
      <c r="Q43" s="7">
        <v>-948.3670767055213</v>
      </c>
      <c r="R43" s="15">
        <f>SQRT((N43-P43)^2+(O43-Q43)^2)</f>
        <v>0</v>
      </c>
    </row>
  </sheetData>
  <autoFilter ref="A7:O43"/>
  <mergeCells count="2">
    <mergeCell ref="A1:R1"/>
    <mergeCell ref="B2:R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Geometry</vt:lpstr>
      <vt:lpstr>Materials</vt:lpstr>
      <vt:lpstr>Mesh</vt:lpstr>
      <vt:lpstr>FixedP_Lower</vt:lpstr>
      <vt:lpstr>FixedP_Upper</vt:lpstr>
      <vt:lpstr>Result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2026-08-10T06:57:54Z</dcterms:created>
  <dcterms:modified xsi:type="dcterms:W3CDTF">2026-08-10T06:57:54Z</dcterms:modified>
</cp:coreProperties>
</file>