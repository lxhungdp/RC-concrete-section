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metry" state="visible" r:id="rId4"/>
    <sheet sheetId="2" name="Materials" state="visible" r:id="rId5"/>
    <sheet sheetId="3" name="Mesh" state="visible" r:id="rId6"/>
    <sheet sheetId="4" name="FixedP_Lower" state="visible" r:id="rId7"/>
    <sheet sheetId="5" name="FixedP_Upper" state="visible" r:id="rId8"/>
    <sheet sheetId="6" name="Result" state="visible" r:id="rId9"/>
  </sheets>
  <definedNames>
    <definedName name="Origin_X">Geometry!$C$6</definedName>
    <definedName name="Origin_Y">Geometry!$C$7</definedName>
    <definedName name="Boundary_X">Geometry!$F$13:$F$36</definedName>
    <definedName name="Boundary_Y">Geometry!$G$13:$G$36</definedName>
    <definedName name="C_fck">Materials!$C$10</definedName>
    <definedName name="C_alpha">Materials!$C$12</definedName>
    <definedName name="C_eco">Materials!$C$13</definedName>
    <definedName name="C_n">Materials!$C$14</definedName>
    <definedName name="C_ecu">Materials!$C$15</definedName>
    <definedName name="S_1_fy">Materials!$D$20</definedName>
    <definedName name="S_1_Es">Materials!$E$20</definedName>
    <definedName name="Mesh_X">Mesh!$B$6:$B$425</definedName>
    <definedName name="Mesh_Y">Mesh!$C$6:$C$425</definedName>
    <definedName name="Mesh_A">Mesh!$D$6:$D$425</definedName>
    <definedName name="Selected_P">Result!$C$5</definedName>
  </definedNames>
  <calcPr calcId="171027" fullCalcOnLoad="1"/>
</workbook>
</file>

<file path=xl/sharedStrings.xml><?xml version="1.0" encoding="utf-8"?>
<sst xmlns="http://schemas.openxmlformats.org/spreadsheetml/2006/main" count="2619" uniqueCount="630">
  <si>
    <t>PROJECT GEOMETRY AND LOAD INPUTS</t>
  </si>
  <si>
    <t>Legend</t>
  </si>
  <si>
    <t>Editable calculation input</t>
  </si>
  <si>
    <t>Formula</t>
  </si>
  <si>
    <t>Generated / check</t>
  </si>
  <si>
    <t>Requires re-export / remesh</t>
  </si>
  <si>
    <t>Project</t>
  </si>
  <si>
    <t>PM-advanced (7) 2D reference case</t>
  </si>
  <si>
    <t>Client</t>
  </si>
  <si>
    <t>Reference verification</t>
  </si>
  <si>
    <t>Section</t>
  </si>
  <si>
    <t>PM-advanced (7) 2D — 1500x1200 chamfered section, two voids</t>
  </si>
  <si>
    <t>Company</t>
  </si>
  <si>
    <t>P-M Column Designer</t>
  </si>
  <si>
    <t>Calculation profile</t>
  </si>
  <si>
    <t>strain-domain-surface-v1</t>
  </si>
  <si>
    <t>Designed by</t>
  </si>
  <si>
    <t>Engineering example</t>
  </si>
  <si>
    <t>Analysis origin X</t>
  </si>
  <si>
    <t>mm</t>
  </si>
  <si>
    <t>Checked by</t>
  </si>
  <si>
    <t>Independent review</t>
  </si>
  <si>
    <t>Analysis origin Y</t>
  </si>
  <si>
    <t>Address</t>
  </si>
  <si>
    <t>Seoul, Korea</t>
  </si>
  <si>
    <t>Date</t>
  </si>
  <si>
    <t>2026-07-23</t>
  </si>
  <si>
    <t>Ring ID</t>
  </si>
  <si>
    <t>Boundary</t>
  </si>
  <si>
    <t>Point order</t>
  </si>
  <si>
    <t>X input (mm)</t>
  </si>
  <si>
    <t>Y input (mm)</t>
  </si>
  <si>
    <t>x local (mm)</t>
  </si>
  <si>
    <t>y local (mm)</t>
  </si>
  <si>
    <t>R1-OUTER</t>
  </si>
  <si>
    <t>Outer</t>
  </si>
  <si>
    <t>R1-H1</t>
  </si>
  <si>
    <t>Hole</t>
  </si>
  <si>
    <t>R1-H2</t>
  </si>
  <si>
    <t>Reinforcement</t>
  </si>
  <si>
    <t>No.</t>
  </si>
  <si>
    <t>Rebar ID</t>
  </si>
  <si>
    <t>Diameter (mm)</t>
  </si>
  <si>
    <t>X world (mm)</t>
  </si>
  <si>
    <t>Y world (mm)</t>
  </si>
  <si>
    <t>X local (mm)</t>
  </si>
  <si>
    <t>Y local (mm)</t>
  </si>
  <si>
    <t>Area (mm²)</t>
  </si>
  <si>
    <t>Steel material ID</t>
  </si>
  <si>
    <t>Project load cases</t>
  </si>
  <si>
    <t>ID</t>
  </si>
  <si>
    <t>Name</t>
  </si>
  <si>
    <t>P (kN)</t>
  </si>
  <si>
    <t>Mx (kN·m)</t>
  </si>
  <si>
    <t>My (kN·m)</t>
  </si>
  <si>
    <t>Action basis</t>
  </si>
  <si>
    <t>ULS-1 workbook Newton demand (on the 15 deg surface)</t>
  </si>
  <si>
    <t>factoredULS</t>
  </si>
  <si>
    <t>ULS-2 same axial, half moment (inside)</t>
  </si>
  <si>
    <t>ULS-3 low axial, high moment</t>
  </si>
  <si>
    <t>MATERIALS AND RESISTANCE BASIS</t>
  </si>
  <si>
    <t>Active result stage</t>
  </si>
  <si>
    <t>Design resistance</t>
  </si>
  <si>
    <t>KDS 2024 current set · resistance: KDS 14 20 10:2021 + KDS 14 20 20:2022</t>
  </si>
  <si>
    <t>Concrete</t>
  </si>
  <si>
    <t>Symbol</t>
  </si>
  <si>
    <t>Parameter</t>
  </si>
  <si>
    <t>Value</t>
  </si>
  <si>
    <t>Unit</t>
  </si>
  <si>
    <t>Basis / use in calculation</t>
  </si>
  <si>
    <t>Material</t>
  </si>
  <si>
    <t>KDS C30 (workbook Input)</t>
  </si>
  <si>
    <t>Standard</t>
  </si>
  <si>
    <t>KDS</t>
  </si>
  <si>
    <t>Stress–strain law</t>
  </si>
  <si>
    <t>kds-parabolic</t>
  </si>
  <si>
    <t>f′c / fck</t>
  </si>
  <si>
    <t>Specified concrete compressive strength</t>
  </si>
  <si>
    <t>MPa</t>
  </si>
  <si>
    <t>Strength used by the active material law</t>
  </si>
  <si>
    <t>Eᴄ</t>
  </si>
  <si>
    <t>Elastic modulus</t>
  </si>
  <si>
    <t>Concrete elastic modulus reported by the selected standard</t>
  </si>
  <si>
    <t>α</t>
  </si>
  <si>
    <t>Concrete stress coefficient</t>
  </si>
  <si>
    <t>–</t>
  </si>
  <si>
    <t>Multiplier applied to the concrete compression stress</t>
  </si>
  <si>
    <t>εc0</t>
  </si>
  <si>
    <t>Peak / plateau strain</t>
  </si>
  <si>
    <t>End of the parabolic branch</t>
  </si>
  <si>
    <t>n</t>
  </si>
  <si>
    <t>Parabola exponent</t>
  </si>
  <si>
    <t>Exponent of the concrete stress–strain curve</t>
  </si>
  <si>
    <t>εcu</t>
  </si>
  <si>
    <t>Ultimate compression strain</t>
  </si>
  <si>
    <t>Compression strain used at the neutral-axis boundary state</t>
  </si>
  <si>
    <t>Calculation law</t>
  </si>
  <si>
    <t>KDS parabola-rectangle: fc = α·fck·(1−(1−ε/εco)^n) up to εco, then α·fck</t>
  </si>
  <si>
    <t>Reinforcing steel</t>
  </si>
  <si>
    <t>fy (MPa)</t>
  </si>
  <si>
    <t>Eₛ (MPa)</t>
  </si>
  <si>
    <t>εy</t>
  </si>
  <si>
    <t>εu</t>
  </si>
  <si>
    <t>SD400 (workbook Input)</t>
  </si>
  <si>
    <t>elastic-perfectly-plastic</t>
  </si>
  <si>
    <t>Resistance basis</t>
  </si>
  <si>
    <t>Symbol / setting</t>
  </si>
  <si>
    <t>Code basis / note</t>
  </si>
  <si>
    <t>Resistance format</t>
  </si>
  <si>
    <t>globalResultantFactor</t>
  </si>
  <si>
    <t>design</t>
  </si>
  <si>
    <t>Profile</t>
  </si>
  <si>
    <t>kds-2024-current-set</t>
  </si>
  <si>
    <t>Transverse reinforcement</t>
  </si>
  <si>
    <t>other</t>
  </si>
  <si>
    <t>φc</t>
  </si>
  <si>
    <t>Compression-controlled strength factor</t>
  </si>
  <si>
    <t>φt</t>
  </si>
  <si>
    <t>Tension-controlled strength factor</t>
  </si>
  <si>
    <t>Pmax</t>
  </si>
  <si>
    <t>Axial compression limit enabled</t>
  </si>
  <si>
    <t>Yes</t>
  </si>
  <si>
    <t>Pmax/P0</t>
  </si>
  <si>
    <t>Axial compression limit ratio</t>
  </si>
  <si>
    <t>εt</t>
  </si>
  <si>
    <t>Tension-controlled transition rule</t>
  </si>
  <si>
    <t>fixed 0.005; high-strength 2.5·εy</t>
  </si>
  <si>
    <t>Blue text marks editable values that drive formulas. Orange text marks settings that require re-export because they change the generated surface or mesh.</t>
  </si>
  <si>
    <t>CONCRETE INTEGRATION MESH</t>
  </si>
  <si>
    <t>X and Y are measured from the analysis origin. Area is the quadrature weight used directly by Result SUMPRODUCT formulas.</t>
  </si>
  <si>
    <t>Cell size (mm)</t>
  </si>
  <si>
    <t>Points</t>
  </si>
  <si>
    <t>Area error</t>
  </si>
  <si>
    <t>Component</t>
  </si>
  <si>
    <t>FIXED-P LOWER BRACKETING STATIONS</t>
  </si>
  <si>
    <t>Each row is one direction-specific bracket station. Physical stress-strain rows use Materials/Mesh formulas; geometric axial-cap and equivalent-block rows are explicitly labelled ledger anchors.</t>
  </si>
  <si>
    <t>Selected P (kN)</t>
  </si>
  <si>
    <t>Bracket role</t>
  </si>
  <si>
    <t>P below or exact</t>
  </si>
  <si>
    <t>Direction ID</t>
  </si>
  <si>
    <t>Branch</t>
  </si>
  <si>
    <t>Chart β (deg)</t>
  </si>
  <si>
    <t>Source key</t>
  </si>
  <si>
    <t>Station / role</t>
  </si>
  <si>
    <t>β strain (deg)</t>
  </si>
  <si>
    <t>Criterion basis</t>
  </si>
  <si>
    <t>Criterion value</t>
  </si>
  <si>
    <t>zc (mm)</t>
  </si>
  <si>
    <t>z control (mm)</t>
  </si>
  <si>
    <t>D (mm)</t>
  </si>
  <si>
    <t>εc</t>
  </si>
  <si>
    <t>ε control</t>
  </si>
  <si>
    <t>κ (1/mm)</t>
  </si>
  <si>
    <t>ε₀</t>
  </si>
  <si>
    <t>κx (1/mm)</t>
  </si>
  <si>
    <t>κy (1/mm)</t>
  </si>
  <si>
    <t>Concrete P</t>
  </si>
  <si>
    <t>Concrete Mx</t>
  </si>
  <si>
    <t>Concrete My</t>
  </si>
  <si>
    <t>Steel P</t>
  </si>
  <si>
    <t>Steel Mx</t>
  </si>
  <si>
    <t>Steel My</t>
  </si>
  <si>
    <t>Base P</t>
  </si>
  <si>
    <t>Base Mx</t>
  </si>
  <si>
    <t>Base My</t>
  </si>
  <si>
    <t>P factor</t>
  </si>
  <si>
    <t>Mx factor</t>
  </si>
  <si>
    <t>My factor</t>
  </si>
  <si>
    <t>Final P</t>
  </si>
  <si>
    <t>Final Mx</t>
  </si>
  <si>
    <t>Final My</t>
  </si>
  <si>
    <t>Engine P</t>
  </si>
  <si>
    <t>Engine Mx</t>
  </si>
  <si>
    <t>Engine My</t>
  </si>
  <si>
    <t>ΔP</t>
  </si>
  <si>
    <t>ΔM</t>
  </si>
  <si>
    <t>Calculation mode</t>
  </si>
  <si>
    <t>Base engine P</t>
  </si>
  <si>
    <t>Base engine Mx</t>
  </si>
  <si>
    <t>Base engine My</t>
  </si>
  <si>
    <t>Concrete engine P</t>
  </si>
  <si>
    <t>Concrete engine Mx</t>
  </si>
  <si>
    <t>Concrete engine My</t>
  </si>
  <si>
    <t>Steel engine P</t>
  </si>
  <si>
    <t>Steel engine Mx</t>
  </si>
  <si>
    <t>Steel engine My</t>
  </si>
  <si>
    <t>fixedP-b0.000-branch1</t>
  </si>
  <si>
    <t>0-pure-compression|0|0</t>
  </si>
  <si>
    <t>P below — pure-compression</t>
  </si>
  <si>
    <t>retained ε = constant (not the cap rule)</t>
  </si>
  <si>
    <t>axial-cap projected-ledger anchor (geometric Pmax face)</t>
  </si>
  <si>
    <t>fixedP-b0.000-branch2</t>
  </si>
  <si>
    <t>0-station-1|0|1</t>
  </si>
  <si>
    <t>P below — station-1</t>
  </si>
  <si>
    <t>retained c/D (not the cap rule)</t>
  </si>
  <si>
    <t>fixedP-b0.000-branch3</t>
  </si>
  <si>
    <t>0-station-2|0|2</t>
  </si>
  <si>
    <t>P below — station-2</t>
  </si>
  <si>
    <t>fixedP-b0.000-branch4</t>
  </si>
  <si>
    <t>0-station-3|0|3</t>
  </si>
  <si>
    <t>P below — station-3</t>
  </si>
  <si>
    <t>fixedP-b0.000-branch5</t>
  </si>
  <si>
    <t>0-station-4|0|4</t>
  </si>
  <si>
    <t>P below — station-4</t>
  </si>
  <si>
    <t>fixedP-b0.000-branch6</t>
  </si>
  <si>
    <t>0-station-5|0|5</t>
  </si>
  <si>
    <t>P below — station-5</t>
  </si>
  <si>
    <t>fixedP-b10.000-branch1</t>
  </si>
  <si>
    <t>10-station-1|0.17453292519943295|1</t>
  </si>
  <si>
    <t>fixedP-b10.000-branch2</t>
  </si>
  <si>
    <t>10-station-2|0.17453292519943295|2</t>
  </si>
  <si>
    <t>fixedP-b10.000-branch3</t>
  </si>
  <si>
    <t>10-station-3|0.17453292519943295|3</t>
  </si>
  <si>
    <t>fixedP-b10.000-branch4</t>
  </si>
  <si>
    <t>10-station-4|0.17453292519943295|4</t>
  </si>
  <si>
    <t>fixedP-b10.000-branch5</t>
  </si>
  <si>
    <t>10-station-5|0.17453292519943295|5</t>
  </si>
  <si>
    <t>fixedP-b20.000-branch1</t>
  </si>
  <si>
    <t>20-station-1|0.3490658503988659|1</t>
  </si>
  <si>
    <t>fixedP-b20.000-branch2</t>
  </si>
  <si>
    <t>20-station-2|0.3490658503988659|2</t>
  </si>
  <si>
    <t>fixedP-b20.000-branch3</t>
  </si>
  <si>
    <t>20-station-3|0.3490658503988659|3</t>
  </si>
  <si>
    <t>fixedP-b20.000-branch4</t>
  </si>
  <si>
    <t>20-station-4|0.3490658503988659|4</t>
  </si>
  <si>
    <t>fixedP-b20.000-branch5</t>
  </si>
  <si>
    <t>20-station-5|0.3490658503988659|5</t>
  </si>
  <si>
    <t>fixedP-b20.000-branch6</t>
  </si>
  <si>
    <t>20-station-6|0.3490658503988659|6</t>
  </si>
  <si>
    <t>P below — station-6</t>
  </si>
  <si>
    <t>fixedP-b30.000-branch1</t>
  </si>
  <si>
    <t>30-station-1|0.5235987755982988|1</t>
  </si>
  <si>
    <t>fixedP-b30.000-branch2</t>
  </si>
  <si>
    <t>30-station-2|0.5235987755982988|2</t>
  </si>
  <si>
    <t>fixedP-b30.000-branch3</t>
  </si>
  <si>
    <t>30-station-3|0.5235987755982988|3</t>
  </si>
  <si>
    <t>fixedP-b30.000-branch4</t>
  </si>
  <si>
    <t>30-station-4|0.5235987755982988|4</t>
  </si>
  <si>
    <t>fixedP-b30.000-branch5</t>
  </si>
  <si>
    <t>30-station-5|0.5235987755982988|5</t>
  </si>
  <si>
    <t>fixedP-b30.000-branch6</t>
  </si>
  <si>
    <t>30-station-6|0.5235987755982988|6</t>
  </si>
  <si>
    <t>fixedP-b40.000-branch1</t>
  </si>
  <si>
    <t>40-station-1|0.6981317007977318|1</t>
  </si>
  <si>
    <t>fixedP-b40.000-branch2</t>
  </si>
  <si>
    <t>40-station-2|0.6981317007977318|2</t>
  </si>
  <si>
    <t>fixedP-b40.000-branch3</t>
  </si>
  <si>
    <t>40-station-3|0.6981317007977318|3</t>
  </si>
  <si>
    <t>fixedP-b40.000-branch4</t>
  </si>
  <si>
    <t>40-station-4|0.6981317007977318|4</t>
  </si>
  <si>
    <t>fixedP-b40.000-branch5</t>
  </si>
  <si>
    <t>40-station-5|0.6981317007977318|5</t>
  </si>
  <si>
    <t>fixedP-b40.000-branch6</t>
  </si>
  <si>
    <t>40-station-6|0.6981317007977318|6</t>
  </si>
  <si>
    <t>fixedP-b50.000-branch1</t>
  </si>
  <si>
    <t>50-station-1|0.8726646259971648|1</t>
  </si>
  <si>
    <t>fixedP-b50.000-branch2</t>
  </si>
  <si>
    <t>50-station-2|0.8726646259971648|2</t>
  </si>
  <si>
    <t>fixedP-b50.000-branch3</t>
  </si>
  <si>
    <t>50-station-3|0.8726646259971648|3</t>
  </si>
  <si>
    <t>fixedP-b50.000-branch4</t>
  </si>
  <si>
    <t>50-station-4|0.8726646259971648|4</t>
  </si>
  <si>
    <t>fixedP-b50.000-branch5</t>
  </si>
  <si>
    <t>50-station-5|0.8726646259971648|5</t>
  </si>
  <si>
    <t>fixedP-b50.000-branch6</t>
  </si>
  <si>
    <t>50-station-6|0.8726646259971648|6</t>
  </si>
  <si>
    <t>fixedP-b60.000-branch1</t>
  </si>
  <si>
    <t>60-station-1|1.0471975511965976|1</t>
  </si>
  <si>
    <t>fixedP-b60.000-branch2</t>
  </si>
  <si>
    <t>60-station-2|1.0471975511965976|2</t>
  </si>
  <si>
    <t>fixedP-b60.000-branch3</t>
  </si>
  <si>
    <t>60-station-3|1.0471975511965976|3</t>
  </si>
  <si>
    <t>fixedP-b60.000-branch4</t>
  </si>
  <si>
    <t>60-station-4|1.0471975511965976|4</t>
  </si>
  <si>
    <t>fixedP-b60.000-branch5</t>
  </si>
  <si>
    <t>60-station-5|1.0471975511965976|5</t>
  </si>
  <si>
    <t>fixedP-b60.000-branch6</t>
  </si>
  <si>
    <t>60-station-6|1.0471975511965976|6</t>
  </si>
  <si>
    <t>fixedP-b70.000-branch1</t>
  </si>
  <si>
    <t>70-station-1|1.2217304763960306|1</t>
  </si>
  <si>
    <t>fixedP-b70.000-branch2</t>
  </si>
  <si>
    <t>70-station-2|1.2217304763960306|2</t>
  </si>
  <si>
    <t>fixedP-b70.000-branch3</t>
  </si>
  <si>
    <t>70-station-3|1.2217304763960306|3</t>
  </si>
  <si>
    <t>fixedP-b70.000-branch4</t>
  </si>
  <si>
    <t>70-station-4|1.2217304763960306|4</t>
  </si>
  <si>
    <t>fixedP-b70.000-branch5</t>
  </si>
  <si>
    <t>70-station-5|1.2217304763960306|5</t>
  </si>
  <si>
    <t>fixedP-b70.000-branch6</t>
  </si>
  <si>
    <t>70-station-6|1.2217304763960306|6</t>
  </si>
  <si>
    <t>fixedP-b80.000-branch1</t>
  </si>
  <si>
    <t>80-station-1|1.3962634015954636|1</t>
  </si>
  <si>
    <t>fixedP-b80.000-branch2</t>
  </si>
  <si>
    <t>80-station-2|1.3962634015954636|2</t>
  </si>
  <si>
    <t>fixedP-b80.000-branch3</t>
  </si>
  <si>
    <t>80-station-3|1.3962634015954636|3</t>
  </si>
  <si>
    <t>fixedP-b80.000-branch4</t>
  </si>
  <si>
    <t>80-station-4|1.3962634015954636|4</t>
  </si>
  <si>
    <t>fixedP-b80.000-branch5</t>
  </si>
  <si>
    <t>80-station-5|1.3962634015954636|5</t>
  </si>
  <si>
    <t>fixedP-b90.000-branch1</t>
  </si>
  <si>
    <t>90-station-1|1.5707963267948966|1</t>
  </si>
  <si>
    <t>fixedP-b90.000-branch2</t>
  </si>
  <si>
    <t>90-station-2|1.5707963267948966|2</t>
  </si>
  <si>
    <t>fixedP-b90.000-branch3</t>
  </si>
  <si>
    <t>90-station-3|1.5707963267948966|3</t>
  </si>
  <si>
    <t>fixedP-b90.000-branch4</t>
  </si>
  <si>
    <t>90-station-4|1.5707963267948966|4</t>
  </si>
  <si>
    <t>fixedP-b90.000-branch5</t>
  </si>
  <si>
    <t>90-station-5|1.5707963267948966|5</t>
  </si>
  <si>
    <t>fixedP-b100.000-branch1</t>
  </si>
  <si>
    <t>100-station-1|1.7453292519943295|1</t>
  </si>
  <si>
    <t>fixedP-b100.000-branch2</t>
  </si>
  <si>
    <t>100-station-2|1.7453292519943295|2</t>
  </si>
  <si>
    <t>fixedP-b100.000-branch3</t>
  </si>
  <si>
    <t>100-station-3|1.7453292519943295|3</t>
  </si>
  <si>
    <t>fixedP-b100.000-branch4</t>
  </si>
  <si>
    <t>100-station-4|1.7453292519943295|4</t>
  </si>
  <si>
    <t>fixedP-b100.000-branch5</t>
  </si>
  <si>
    <t>100-station-5|1.7453292519943295|5</t>
  </si>
  <si>
    <t>fixedP-b110.000-branch1</t>
  </si>
  <si>
    <t>110-station-1|1.9198621771937623|1</t>
  </si>
  <si>
    <t>fixedP-b110.000-branch2</t>
  </si>
  <si>
    <t>110-station-2|1.9198621771937623|2</t>
  </si>
  <si>
    <t>fixedP-b110.000-branch3</t>
  </si>
  <si>
    <t>110-station-4|1.9198621771937623|4</t>
  </si>
  <si>
    <t>fixedP-b110.000-branch4</t>
  </si>
  <si>
    <t>110-station-5|1.9198621771937623|5</t>
  </si>
  <si>
    <t>fixedP-b110.000-branch5</t>
  </si>
  <si>
    <t>110-station-3|1.9198621771937623|3</t>
  </si>
  <si>
    <t>fixedP-b110.000-branch6</t>
  </si>
  <si>
    <t>110-station-6|1.9198621771937623|6</t>
  </si>
  <si>
    <t>fixedP-b120.000-branch1</t>
  </si>
  <si>
    <t>120-station-1|2.0943951023931953|1</t>
  </si>
  <si>
    <t>fixedP-b120.000-branch2</t>
  </si>
  <si>
    <t>120-station-2|2.0943951023931953|2</t>
  </si>
  <si>
    <t>fixedP-b120.000-branch3</t>
  </si>
  <si>
    <t>120-station-3|2.0943951023931953|3</t>
  </si>
  <si>
    <t>fixedP-b120.000-branch4</t>
  </si>
  <si>
    <t>120-station-4|2.0943951023931953|4</t>
  </si>
  <si>
    <t>fixedP-b120.000-branch5</t>
  </si>
  <si>
    <t>120-station-5|2.0943951023931953|5</t>
  </si>
  <si>
    <t>fixedP-b120.000-branch6</t>
  </si>
  <si>
    <t>120-station-6|2.0943951023931953|6</t>
  </si>
  <si>
    <t>fixedP-b130.000-branch1</t>
  </si>
  <si>
    <t>130-station-1|2.2689280275926285|1</t>
  </si>
  <si>
    <t>fixedP-b130.000-branch2</t>
  </si>
  <si>
    <t>130-station-2|2.2689280275926285|2</t>
  </si>
  <si>
    <t>fixedP-b130.000-branch3</t>
  </si>
  <si>
    <t>130-station-3|2.2689280275926285|3</t>
  </si>
  <si>
    <t>fixedP-b130.000-branch4</t>
  </si>
  <si>
    <t>130-station-4|2.2689280275926285|4</t>
  </si>
  <si>
    <t>fixedP-b130.000-branch5</t>
  </si>
  <si>
    <t>130-station-5|2.2689280275926285|5</t>
  </si>
  <si>
    <t>fixedP-b130.000-branch6</t>
  </si>
  <si>
    <t>130-station-6|2.2689280275926285|6</t>
  </si>
  <si>
    <t>fixedP-b140.000-branch1</t>
  </si>
  <si>
    <t>140-station-1|2.443460952792061|1</t>
  </si>
  <si>
    <t>fixedP-b140.000-branch2</t>
  </si>
  <si>
    <t>140-station-2|2.443460952792061|2</t>
  </si>
  <si>
    <t>fixedP-b140.000-branch3</t>
  </si>
  <si>
    <t>140-station-3|2.443460952792061|3</t>
  </si>
  <si>
    <t>fixedP-b140.000-branch4</t>
  </si>
  <si>
    <t>140-station-4|2.443460952792061|4</t>
  </si>
  <si>
    <t>fixedP-b140.000-branch5</t>
  </si>
  <si>
    <t>140-station-5|2.443460952792061|5</t>
  </si>
  <si>
    <t>fixedP-b140.000-branch6</t>
  </si>
  <si>
    <t>140-station-6|2.443460952792061|6</t>
  </si>
  <si>
    <t>fixedP-b150.000-branch1</t>
  </si>
  <si>
    <t>150-station-1|2.617993877991494|1</t>
  </si>
  <si>
    <t>fixedP-b150.000-branch2</t>
  </si>
  <si>
    <t>150-station-2|2.617993877991494|2</t>
  </si>
  <si>
    <t>fixedP-b150.000-branch3</t>
  </si>
  <si>
    <t>150-station-3|2.617993877991494|3</t>
  </si>
  <si>
    <t>fixedP-b150.000-branch4</t>
  </si>
  <si>
    <t>150-station-4|2.617993877991494|4</t>
  </si>
  <si>
    <t>fixedP-b150.000-branch5</t>
  </si>
  <si>
    <t>150-station-5|2.617993877991494|5</t>
  </si>
  <si>
    <t>fixedP-b150.000-branch6</t>
  </si>
  <si>
    <t>150-station-6|2.617993877991494|6</t>
  </si>
  <si>
    <t>fixedP-b160.000-branch1</t>
  </si>
  <si>
    <t>160-station-1|2.792526803190927|1</t>
  </si>
  <si>
    <t>fixedP-b160.000-branch2</t>
  </si>
  <si>
    <t>160-station-2|2.792526803190927|2</t>
  </si>
  <si>
    <t>fixedP-b160.000-branch3</t>
  </si>
  <si>
    <t>160-station-3|2.792526803190927|3</t>
  </si>
  <si>
    <t>fixedP-b160.000-branch4</t>
  </si>
  <si>
    <t>160-station-4|2.792526803190927|4</t>
  </si>
  <si>
    <t>fixedP-b160.000-branch5</t>
  </si>
  <si>
    <t>160-station-5|2.792526803190927|5</t>
  </si>
  <si>
    <t>fixedP-b160.000-branch6</t>
  </si>
  <si>
    <t>160-station-6|2.792526803190927|6</t>
  </si>
  <si>
    <t>fixedP-b170.000-branch1</t>
  </si>
  <si>
    <t>170-station-1|2.9670597283903604|1</t>
  </si>
  <si>
    <t>fixedP-b170.000-branch2</t>
  </si>
  <si>
    <t>170-station-2|2.9670597283903604|2</t>
  </si>
  <si>
    <t>fixedP-b170.000-branch3</t>
  </si>
  <si>
    <t>170-station-3|2.9670597283903604|3</t>
  </si>
  <si>
    <t>fixedP-b170.000-branch4</t>
  </si>
  <si>
    <t>170-station-4|2.9670597283903604|4</t>
  </si>
  <si>
    <t>fixedP-b170.000-branch5</t>
  </si>
  <si>
    <t>170-station-5|2.9670597283903604|5</t>
  </si>
  <si>
    <t>fixedP-b180.000-branch1</t>
  </si>
  <si>
    <t>180-station-1|3.141592653589793|1</t>
  </si>
  <si>
    <t>fixedP-b180.000-branch2</t>
  </si>
  <si>
    <t>180-station-2|3.141592653589793|2</t>
  </si>
  <si>
    <t>fixedP-b180.000-branch3</t>
  </si>
  <si>
    <t>180-station-3|3.141592653589793|3</t>
  </si>
  <si>
    <t>fixedP-b180.000-branch4</t>
  </si>
  <si>
    <t>180-station-4|3.141592653589793|4</t>
  </si>
  <si>
    <t>fixedP-b180.000-branch5</t>
  </si>
  <si>
    <t>180-station-5|3.141592653589793|5</t>
  </si>
  <si>
    <t>fixedP-b190.000-branch1</t>
  </si>
  <si>
    <t>190-station-1|3.316125578789226|1</t>
  </si>
  <si>
    <t>fixedP-b190.000-branch2</t>
  </si>
  <si>
    <t>190-station-2|3.316125578789226|2</t>
  </si>
  <si>
    <t>fixedP-b190.000-branch3</t>
  </si>
  <si>
    <t>190-station-3|3.316125578789226|3</t>
  </si>
  <si>
    <t>fixedP-b190.000-branch4</t>
  </si>
  <si>
    <t>190-station-4|3.316125578789226|4</t>
  </si>
  <si>
    <t>fixedP-b190.000-branch5</t>
  </si>
  <si>
    <t>190-station-5|3.316125578789226|5</t>
  </si>
  <si>
    <t>fixedP-b200.000-branch1</t>
  </si>
  <si>
    <t>200-station-1|3.490658503988659|1</t>
  </si>
  <si>
    <t>fixedP-b200.000-branch2</t>
  </si>
  <si>
    <t>200-station-2|3.490658503988659|2</t>
  </si>
  <si>
    <t>fixedP-b200.000-branch3</t>
  </si>
  <si>
    <t>200-station-3|3.490658503988659|3</t>
  </si>
  <si>
    <t>fixedP-b200.000-branch4</t>
  </si>
  <si>
    <t>200-station-4|3.490658503988659|4</t>
  </si>
  <si>
    <t>fixedP-b200.000-branch5</t>
  </si>
  <si>
    <t>200-station-5|3.490658503988659|5</t>
  </si>
  <si>
    <t>fixedP-b200.000-branch6</t>
  </si>
  <si>
    <t>200-station-6|3.490658503988659|6</t>
  </si>
  <si>
    <t>fixedP-b210.000-branch1</t>
  </si>
  <si>
    <t>210-station-1|3.6651914291880923|1</t>
  </si>
  <si>
    <t>fixedP-b210.000-branch2</t>
  </si>
  <si>
    <t>210-station-2|3.6651914291880923|2</t>
  </si>
  <si>
    <t>fixedP-b210.000-branch3</t>
  </si>
  <si>
    <t>210-station-3|3.6651914291880923|3</t>
  </si>
  <si>
    <t>fixedP-b210.000-branch4</t>
  </si>
  <si>
    <t>210-station-4|3.6651914291880923|4</t>
  </si>
  <si>
    <t>fixedP-b210.000-branch5</t>
  </si>
  <si>
    <t>210-station-5|3.6651914291880923|5</t>
  </si>
  <si>
    <t>fixedP-b210.000-branch6</t>
  </si>
  <si>
    <t>210-station-6|3.6651914291880923|6</t>
  </si>
  <si>
    <t>fixedP-b220.000-branch1</t>
  </si>
  <si>
    <t>220-station-1|3.8397243543875246|1</t>
  </si>
  <si>
    <t>fixedP-b220.000-branch2</t>
  </si>
  <si>
    <t>220-station-2|3.8397243543875246|2</t>
  </si>
  <si>
    <t>fixedP-b220.000-branch3</t>
  </si>
  <si>
    <t>220-station-3|3.8397243543875246|3</t>
  </si>
  <si>
    <t>fixedP-b220.000-branch4</t>
  </si>
  <si>
    <t>220-station-4|3.8397243543875246|4</t>
  </si>
  <si>
    <t>fixedP-b220.000-branch5</t>
  </si>
  <si>
    <t>220-station-5|3.8397243543875246|5</t>
  </si>
  <si>
    <t>fixedP-b220.000-branch6</t>
  </si>
  <si>
    <t>220-station-6|3.8397243543875246|6</t>
  </si>
  <si>
    <t>fixedP-b230.000-branch1</t>
  </si>
  <si>
    <t>230-station-1|4.014257279586958|1</t>
  </si>
  <si>
    <t>fixedP-b230.000-branch2</t>
  </si>
  <si>
    <t>230-station-2|4.014257279586958|2</t>
  </si>
  <si>
    <t>fixedP-b230.000-branch3</t>
  </si>
  <si>
    <t>230-station-3|4.014257279586958|3</t>
  </si>
  <si>
    <t>fixedP-b230.000-branch4</t>
  </si>
  <si>
    <t>230-station-4|4.014257279586958|4</t>
  </si>
  <si>
    <t>fixedP-b230.000-branch5</t>
  </si>
  <si>
    <t>230-station-6|4.014257279586958|6</t>
  </si>
  <si>
    <t>fixedP-b230.000-branch6</t>
  </si>
  <si>
    <t>230-station-5|4.014257279586958|5</t>
  </si>
  <si>
    <t>fixedP-b240.000-branch1</t>
  </si>
  <si>
    <t>240-station-3|4.1887902047863905|3</t>
  </si>
  <si>
    <t>fixedP-b240.000-branch2</t>
  </si>
  <si>
    <t>240-station-5|4.1887902047863905|5</t>
  </si>
  <si>
    <t>fixedP-b240.000-branch3</t>
  </si>
  <si>
    <t>240-station-6|4.1887902047863905|6</t>
  </si>
  <si>
    <t>fixedP-b240.000-branch4</t>
  </si>
  <si>
    <t>240-station-1|4.1887902047863905|1</t>
  </si>
  <si>
    <t>fixedP-b240.000-branch5</t>
  </si>
  <si>
    <t>240-station-2|4.1887902047863905|2</t>
  </si>
  <si>
    <t>fixedP-b240.000-branch6</t>
  </si>
  <si>
    <t>240-station-4|4.1887902047863905|4</t>
  </si>
  <si>
    <t>fixedP-b250.000-branch1</t>
  </si>
  <si>
    <t>250-station-1|4.363323129985824|1</t>
  </si>
  <si>
    <t>fixedP-b250.000-branch2</t>
  </si>
  <si>
    <t>250-station-2|4.363323129985824|2</t>
  </si>
  <si>
    <t>fixedP-b250.000-branch3</t>
  </si>
  <si>
    <t>250-station-3|4.363323129985824|3</t>
  </si>
  <si>
    <t>fixedP-b250.000-branch4</t>
  </si>
  <si>
    <t>250-station-4|4.363323129985824|4</t>
  </si>
  <si>
    <t>fixedP-b250.000-branch5</t>
  </si>
  <si>
    <t>250-station-5|4.363323129985824|5</t>
  </si>
  <si>
    <t>fixedP-b250.000-branch6</t>
  </si>
  <si>
    <t>250-station-6|4.363323129985824|6</t>
  </si>
  <si>
    <t>fixedP-b260.000-branch1</t>
  </si>
  <si>
    <t>260-station-1|4.537856055185257|1</t>
  </si>
  <si>
    <t>fixedP-b260.000-branch2</t>
  </si>
  <si>
    <t>260-station-2|4.537856055185257|2</t>
  </si>
  <si>
    <t>fixedP-b260.000-branch3</t>
  </si>
  <si>
    <t>260-station-3|4.537856055185257|3</t>
  </si>
  <si>
    <t>fixedP-b260.000-branch4</t>
  </si>
  <si>
    <t>260-station-4|4.537856055185257|4</t>
  </si>
  <si>
    <t>fixedP-b260.000-branch5</t>
  </si>
  <si>
    <t>260-station-5|4.537856055185257|5</t>
  </si>
  <si>
    <t>fixedP-b270.000-branch1</t>
  </si>
  <si>
    <t>270-station-1|4.71238898038469|1</t>
  </si>
  <si>
    <t>fixedP-b270.000-branch2</t>
  </si>
  <si>
    <t>270-station-2|4.71238898038469|2</t>
  </si>
  <si>
    <t>fixedP-b270.000-branch3</t>
  </si>
  <si>
    <t>270-station-3|4.71238898038469|3</t>
  </si>
  <si>
    <t>fixedP-b270.000-branch4</t>
  </si>
  <si>
    <t>270-station-4|4.71238898038469|4</t>
  </si>
  <si>
    <t>fixedP-b270.000-branch5</t>
  </si>
  <si>
    <t>270-station-5|4.71238898038469|5</t>
  </si>
  <si>
    <t>fixedP-b280.000-branch1</t>
  </si>
  <si>
    <t>280-station-5|4.886921905584122|5</t>
  </si>
  <si>
    <t>fixedP-b280.000-branch2</t>
  </si>
  <si>
    <t>280-station-1|4.886921905584122|1</t>
  </si>
  <si>
    <t>fixedP-b280.000-branch3</t>
  </si>
  <si>
    <t>280-station-2|4.886921905584122|2</t>
  </si>
  <si>
    <t>fixedP-b280.000-branch4</t>
  </si>
  <si>
    <t>280-station-3|4.886921905584122|3</t>
  </si>
  <si>
    <t>fixedP-b280.000-branch5</t>
  </si>
  <si>
    <t>280-station-4|4.886921905584122|4</t>
  </si>
  <si>
    <t>fixedP-b290.000-branch1</t>
  </si>
  <si>
    <t>290-station-1|5.061454830783556|1</t>
  </si>
  <si>
    <t>fixedP-b290.000-branch2</t>
  </si>
  <si>
    <t>290-station-2|5.061454830783556|2</t>
  </si>
  <si>
    <t>fixedP-b290.000-branch3</t>
  </si>
  <si>
    <t>290-station-3|5.061454830783556|3</t>
  </si>
  <si>
    <t>fixedP-b290.000-branch4</t>
  </si>
  <si>
    <t>290-station-4|5.061454830783556|4</t>
  </si>
  <si>
    <t>fixedP-b290.000-branch5</t>
  </si>
  <si>
    <t>290-station-5|5.061454830783556|5</t>
  </si>
  <si>
    <t>fixedP-b290.000-branch6</t>
  </si>
  <si>
    <t>290-station-6|5.061454830783556|6</t>
  </si>
  <si>
    <t>fixedP-b300.000-branch1</t>
  </si>
  <si>
    <t>300-station-1|5.235987755982988|1</t>
  </si>
  <si>
    <t>fixedP-b300.000-branch2</t>
  </si>
  <si>
    <t>300-station-2|5.235987755982988|2</t>
  </si>
  <si>
    <t>fixedP-b300.000-branch3</t>
  </si>
  <si>
    <t>300-station-3|5.235987755982988|3</t>
  </si>
  <si>
    <t>fixedP-b300.000-branch4</t>
  </si>
  <si>
    <t>300-station-4|5.235987755982988|4</t>
  </si>
  <si>
    <t>fixedP-b300.000-branch5</t>
  </si>
  <si>
    <t>300-station-5|5.235987755982988|5</t>
  </si>
  <si>
    <t>fixedP-b300.000-branch6</t>
  </si>
  <si>
    <t>300-station-6|5.235987755982988|6</t>
  </si>
  <si>
    <t>fixedP-b310.000-branch1</t>
  </si>
  <si>
    <t>310-station-1|5.410520681182422|1</t>
  </si>
  <si>
    <t>fixedP-b310.000-branch2</t>
  </si>
  <si>
    <t>310-station-2|5.410520681182422|2</t>
  </si>
  <si>
    <t>fixedP-b310.000-branch3</t>
  </si>
  <si>
    <t>310-station-3|5.410520681182422|3</t>
  </si>
  <si>
    <t>fixedP-b310.000-branch4</t>
  </si>
  <si>
    <t>310-station-4|5.410520681182422|4</t>
  </si>
  <si>
    <t>fixedP-b310.000-branch5</t>
  </si>
  <si>
    <t>310-station-5|5.410520681182422|5</t>
  </si>
  <si>
    <t>fixedP-b310.000-branch6</t>
  </si>
  <si>
    <t>310-station-6|5.410520681182422|6</t>
  </si>
  <si>
    <t>fixedP-b320.000-branch1</t>
  </si>
  <si>
    <t>320-station-1|5.585053606381854|1</t>
  </si>
  <si>
    <t>fixedP-b320.000-branch2</t>
  </si>
  <si>
    <t>320-station-2|5.585053606381854|2</t>
  </si>
  <si>
    <t>fixedP-b320.000-branch3</t>
  </si>
  <si>
    <t>320-station-3|5.585053606381854|3</t>
  </si>
  <si>
    <t>fixedP-b320.000-branch4</t>
  </si>
  <si>
    <t>320-station-4|5.585053606381854|4</t>
  </si>
  <si>
    <t>fixedP-b320.000-branch5</t>
  </si>
  <si>
    <t>320-station-5|5.585053606381854|5</t>
  </si>
  <si>
    <t>fixedP-b320.000-branch6</t>
  </si>
  <si>
    <t>320-station-6|5.585053606381854|6</t>
  </si>
  <si>
    <t>fixedP-b330.000-branch1</t>
  </si>
  <si>
    <t>330-station-3|5.759586531581288|3</t>
  </si>
  <si>
    <t>fixedP-b330.000-branch2</t>
  </si>
  <si>
    <t>330-station-6|5.759586531581288|6</t>
  </si>
  <si>
    <t>fixedP-b330.000-branch3</t>
  </si>
  <si>
    <t>330-station-1|5.759586531581288|1</t>
  </si>
  <si>
    <t>fixedP-b330.000-branch4</t>
  </si>
  <si>
    <t>330-station-2|5.759586531581288|2</t>
  </si>
  <si>
    <t>fixedP-b330.000-branch5</t>
  </si>
  <si>
    <t>330-station-4|5.759586531581288|4</t>
  </si>
  <si>
    <t>fixedP-b330.000-branch6</t>
  </si>
  <si>
    <t>330-station-5|5.759586531581288|5</t>
  </si>
  <si>
    <t>fixedP-b340.000-branch1</t>
  </si>
  <si>
    <t>340-station-1|5.934119456780721|1</t>
  </si>
  <si>
    <t>fixedP-b340.000-branch2</t>
  </si>
  <si>
    <t>340-station-2|5.934119456780721|2</t>
  </si>
  <si>
    <t>fixedP-b340.000-branch3</t>
  </si>
  <si>
    <t>340-station-3|5.934119456780721|3</t>
  </si>
  <si>
    <t>fixedP-b340.000-branch4</t>
  </si>
  <si>
    <t>340-station-4|5.934119456780721|4</t>
  </si>
  <si>
    <t>fixedP-b340.000-branch5</t>
  </si>
  <si>
    <t>340-station-5|5.934119456780721|5</t>
  </si>
  <si>
    <t>fixedP-b340.000-branch6</t>
  </si>
  <si>
    <t>340-station-6|5.934119456780721|6</t>
  </si>
  <si>
    <t>fixedP-b350.000-branch1</t>
  </si>
  <si>
    <t>350-station-3|6.1086523819801535|3</t>
  </si>
  <si>
    <t>fixedP-b350.000-branch2</t>
  </si>
  <si>
    <t>350-station-5|6.1086523819801535|5</t>
  </si>
  <si>
    <t>fixedP-b350.000-branch3</t>
  </si>
  <si>
    <t>350-station-1|6.1086523819801535|1</t>
  </si>
  <si>
    <t>fixedP-b350.000-branch4</t>
  </si>
  <si>
    <t>350-station-2|6.1086523819801535|2</t>
  </si>
  <si>
    <t>fixedP-b350.000-branch5</t>
  </si>
  <si>
    <t>350-station-4|6.1086523819801535|4</t>
  </si>
  <si>
    <t>FIXED-P UPPER BRACKETING STATIONS</t>
  </si>
  <si>
    <t>P above or exact</t>
  </si>
  <si>
    <t>P above — pure-compression</t>
  </si>
  <si>
    <t>P above — station-1</t>
  </si>
  <si>
    <t>P above — station-2</t>
  </si>
  <si>
    <t>P above — station-3</t>
  </si>
  <si>
    <t>P above — station-4</t>
  </si>
  <si>
    <t>P above — station-5</t>
  </si>
  <si>
    <t>P above — station-6</t>
  </si>
  <si>
    <t>FORMULA-DRIVEN CHART AUDIT</t>
  </si>
  <si>
    <t>One result row is interpolated from the matching P-below and P-above rows. Direction ID and Branch preserve every distinct Pmax point; calculation mode distinguishes strain formulas from geometric or block ledger anchors.</t>
  </si>
  <si>
    <t>Chart source</t>
  </si>
  <si>
    <t>Fixed-P</t>
  </si>
  <si>
    <t>Resistance stage</t>
  </si>
  <si>
    <t>#</t>
  </si>
  <si>
    <t>β (deg)</t>
  </si>
  <si>
    <t>Lower criterion</t>
  </si>
  <si>
    <t>Lower value</t>
  </si>
  <si>
    <t>P lower (kN)</t>
  </si>
  <si>
    <t>Upper criterion</t>
  </si>
  <si>
    <t>Upper value</t>
  </si>
  <si>
    <t>P upper (kN)</t>
  </si>
  <si>
    <t>Ratio 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</si>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</sst>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0.000000"/>
    <numFmt numFmtId="166" formatCode="#,##0.0"/>
    <numFmt numFmtId="167" formatCode="0.000"/>
    <numFmt numFmtId="168" formatCode="0.000000000"/>
  </numFmts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475569"/>
      <sz val="9"/>
    </font>
    <font>
      <color rgb="FF0070C0"/>
      <sz val="9"/>
    </font>
    <font>
      <color rgb="FF008000"/>
      <sz val="9"/>
    </font>
    <font>
      <color rgb="FF64748B"/>
      <sz val="9"/>
    </font>
    <font>
      <color rgb="FFC65911"/>
      <sz val="9"/>
    </font>
    <font>
      <color rgb="FF64748B"/>
    </font>
    <font>
      <b/>
      <color rgb="FF1F2937"/>
      <sz val="10"/>
    </font>
    <font>
      <color rgb="FFC65911"/>
    </font>
    <font>
      <color rgb="FF008000"/>
    </font>
    <font>
      <b/>
      <color rgb="FF1F3864"/>
      <sz val="11"/>
    </font>
    <font>
      <color rgb="FF0070C0"/>
    </font>
    <font>
      <i/>
      <color rgb="FF6B7280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D6E4F5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/>
    <xf numFmtId="164" fontId="10" fillId="0" borderId="0" xfId="0" applyNumberFormat="1" applyFont="1"/>
    <xf numFmtId="0" fontId="11" fillId="4" borderId="0" xfId="0" applyFont="1" applyFill="1"/>
    <xf numFmtId="0" fontId="12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165" fontId="10" fillId="0" borderId="0" xfId="0" applyNumberFormat="1" applyFont="1"/>
    <xf numFmtId="0" fontId="13" fillId="0" borderId="0" xfId="0" applyFont="1"/>
    <xf numFmtId="166" fontId="10" fillId="0" borderId="0" xfId="0" applyNumberFormat="1" applyFont="1"/>
    <xf numFmtId="167" fontId="7" fillId="0" borderId="0" xfId="0" applyNumberFormat="1" applyFont="1"/>
    <xf numFmtId="167" fontId="12" fillId="0" borderId="0" xfId="0" applyNumberFormat="1" applyFont="1"/>
    <xf numFmtId="165" fontId="12" fillId="0" borderId="0" xfId="0" applyNumberFormat="1" applyFont="1"/>
    <xf numFmtId="168" fontId="10" fillId="0" borderId="0" xfId="0" applyNumberFormat="1" applyFont="1"/>
    <xf numFmtId="0" fontId="7" fillId="5" borderId="0" xfId="0" applyFont="1" applyFill="1"/>
    <xf numFmtId="167" fontId="7" fillId="5" borderId="0" xfId="0" applyNumberFormat="1" applyFont="1" applyFill="1"/>
    <xf numFmtId="49" fontId="10" fillId="5" borderId="0" xfId="0" applyNumberFormat="1" applyFont="1" applyFill="1"/>
    <xf numFmtId="165" fontId="10" fillId="5" borderId="0" xfId="0" applyNumberFormat="1" applyFont="1" applyFill="1"/>
    <xf numFmtId="166" fontId="10" fillId="5" borderId="0" xfId="0" applyNumberFormat="1" applyFont="1" applyFill="1"/>
    <xf numFmtId="4" fontId="10" fillId="5" borderId="0" xfId="0" applyNumberFormat="1" applyFont="1" applyFill="1"/>
    <xf numFmtId="49" fontId="10" fillId="0" borderId="0" xfId="0" applyNumberFormat="1" applyFont="1"/>
    <xf numFmtId="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J65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4" customWidth="1"/>
    <col min="3" max="3" width="14" customWidth="1"/>
    <col min="4" max="7" width="16" customWidth="1"/>
    <col min="8" max="8" width="15" customWidth="1"/>
    <col min="9" max="9" width="18" customWidth="1"/>
  </cols>
  <sheetData>
    <row r="1" ht="2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5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2:7" x14ac:dyDescent="0.25">
      <c r="B3" t="s">
        <v>6</v>
      </c>
      <c r="C3" s="7" t="s">
        <v>7</v>
      </c>
      <c r="D3" s="7"/>
      <c r="E3" s="7"/>
      <c r="F3" t="s">
        <v>8</v>
      </c>
      <c r="G3" s="7" t="s">
        <v>9</v>
      </c>
    </row>
    <row r="4" ht="30" customHeight="1" spans="2:7" x14ac:dyDescent="0.25">
      <c r="B4" t="s">
        <v>10</v>
      </c>
      <c r="C4" s="8" t="s">
        <v>11</v>
      </c>
      <c r="D4" s="8"/>
      <c r="E4" s="8"/>
      <c r="F4" t="s">
        <v>12</v>
      </c>
      <c r="G4" s="7" t="s">
        <v>13</v>
      </c>
    </row>
    <row r="5" spans="2:7" x14ac:dyDescent="0.25">
      <c r="B5" t="s">
        <v>14</v>
      </c>
      <c r="C5" s="7" t="s">
        <v>15</v>
      </c>
      <c r="D5" s="7"/>
      <c r="E5" s="7"/>
      <c r="F5" t="s">
        <v>16</v>
      </c>
      <c r="G5" s="7" t="s">
        <v>17</v>
      </c>
    </row>
    <row r="6" spans="2:7" x14ac:dyDescent="0.25">
      <c r="B6" t="s">
        <v>18</v>
      </c>
      <c r="C6" s="7">
        <v>0</v>
      </c>
      <c r="D6" t="s">
        <v>19</v>
      </c>
      <c r="F6" t="s">
        <v>20</v>
      </c>
      <c r="G6" s="7" t="s">
        <v>21</v>
      </c>
    </row>
    <row r="7" spans="2:7" x14ac:dyDescent="0.25">
      <c r="B7" t="s">
        <v>22</v>
      </c>
      <c r="C7" s="7">
        <v>0</v>
      </c>
      <c r="D7" t="s">
        <v>19</v>
      </c>
      <c r="F7" t="s">
        <v>23</v>
      </c>
      <c r="G7" s="7" t="s">
        <v>24</v>
      </c>
    </row>
    <row r="8" spans="6:7" x14ac:dyDescent="0.25">
      <c r="F8" t="s">
        <v>25</v>
      </c>
      <c r="G8" s="7" t="s">
        <v>26</v>
      </c>
    </row>
    <row r="12" ht="28" customHeight="1" spans="1:7" x14ac:dyDescent="0.25">
      <c r="A12" s="9" t="s">
        <v>27</v>
      </c>
      <c r="B12" s="9" t="s">
        <v>28</v>
      </c>
      <c r="C12" s="9" t="s">
        <v>29</v>
      </c>
      <c r="D12" s="9" t="s">
        <v>30</v>
      </c>
      <c r="E12" s="9" t="s">
        <v>31</v>
      </c>
      <c r="F12" s="9" t="s">
        <v>32</v>
      </c>
      <c r="G12" s="9" t="s">
        <v>33</v>
      </c>
    </row>
    <row r="13" spans="1:7" x14ac:dyDescent="0.25">
      <c r="A13" t="s">
        <v>34</v>
      </c>
      <c r="B13" t="s">
        <v>35</v>
      </c>
      <c r="C13">
        <v>1</v>
      </c>
      <c r="D13" s="10">
        <v>-550</v>
      </c>
      <c r="E13" s="10">
        <v>600</v>
      </c>
      <c r="F13" s="11">
        <f>D13-Origin_X</f>
        <v>-550</v>
      </c>
      <c r="G13" s="11">
        <f>E13-Origin_Y</f>
        <v>600</v>
      </c>
    </row>
    <row r="14" spans="1:7" x14ac:dyDescent="0.25">
      <c r="A14" t="s">
        <v>34</v>
      </c>
      <c r="B14" t="s">
        <v>35</v>
      </c>
      <c r="C14">
        <v>2</v>
      </c>
      <c r="D14" s="10">
        <v>550</v>
      </c>
      <c r="E14" s="10">
        <v>600</v>
      </c>
      <c r="F14" s="11">
        <f>D14-Origin_X</f>
        <v>550</v>
      </c>
      <c r="G14" s="11">
        <f>E14-Origin_Y</f>
        <v>600</v>
      </c>
    </row>
    <row r="15" spans="1:7" x14ac:dyDescent="0.25">
      <c r="A15" t="s">
        <v>34</v>
      </c>
      <c r="B15" t="s">
        <v>35</v>
      </c>
      <c r="C15">
        <v>3</v>
      </c>
      <c r="D15" s="10">
        <v>750</v>
      </c>
      <c r="E15" s="10">
        <v>400</v>
      </c>
      <c r="F15" s="11">
        <f>D15-Origin_X</f>
        <v>750</v>
      </c>
      <c r="G15" s="11">
        <f>E15-Origin_Y</f>
        <v>400</v>
      </c>
    </row>
    <row r="16" spans="1:7" x14ac:dyDescent="0.25">
      <c r="A16" t="s">
        <v>34</v>
      </c>
      <c r="B16" t="s">
        <v>35</v>
      </c>
      <c r="C16">
        <v>4</v>
      </c>
      <c r="D16" s="10">
        <v>750</v>
      </c>
      <c r="E16" s="10">
        <v>-400</v>
      </c>
      <c r="F16" s="11">
        <f>D16-Origin_X</f>
        <v>750</v>
      </c>
      <c r="G16" s="11">
        <f>E16-Origin_Y</f>
        <v>-400</v>
      </c>
    </row>
    <row r="17" spans="1:7" x14ac:dyDescent="0.25">
      <c r="A17" t="s">
        <v>34</v>
      </c>
      <c r="B17" t="s">
        <v>35</v>
      </c>
      <c r="C17">
        <v>5</v>
      </c>
      <c r="D17" s="10">
        <v>550</v>
      </c>
      <c r="E17" s="10">
        <v>-600</v>
      </c>
      <c r="F17" s="11">
        <f>D17-Origin_X</f>
        <v>550</v>
      </c>
      <c r="G17" s="11">
        <f>E17-Origin_Y</f>
        <v>-600</v>
      </c>
    </row>
    <row r="18" spans="1:7" x14ac:dyDescent="0.25">
      <c r="A18" t="s">
        <v>34</v>
      </c>
      <c r="B18" t="s">
        <v>35</v>
      </c>
      <c r="C18">
        <v>6</v>
      </c>
      <c r="D18" s="10">
        <v>-550</v>
      </c>
      <c r="E18" s="10">
        <v>-600</v>
      </c>
      <c r="F18" s="11">
        <f>D18-Origin_X</f>
        <v>-550</v>
      </c>
      <c r="G18" s="11">
        <f>E18-Origin_Y</f>
        <v>-600</v>
      </c>
    </row>
    <row r="19" spans="1:7" x14ac:dyDescent="0.25">
      <c r="A19" t="s">
        <v>34</v>
      </c>
      <c r="B19" t="s">
        <v>35</v>
      </c>
      <c r="C19">
        <v>7</v>
      </c>
      <c r="D19" s="10">
        <v>-750</v>
      </c>
      <c r="E19" s="10">
        <v>-400</v>
      </c>
      <c r="F19" s="11">
        <f>D19-Origin_X</f>
        <v>-750</v>
      </c>
      <c r="G19" s="11">
        <f>E19-Origin_Y</f>
        <v>-400</v>
      </c>
    </row>
    <row r="20" spans="1:7" x14ac:dyDescent="0.25">
      <c r="A20" t="s">
        <v>34</v>
      </c>
      <c r="B20" t="s">
        <v>35</v>
      </c>
      <c r="C20">
        <v>8</v>
      </c>
      <c r="D20" s="10">
        <v>-750</v>
      </c>
      <c r="E20" s="10">
        <v>400</v>
      </c>
      <c r="F20" s="11">
        <f>D20-Origin_X</f>
        <v>-750</v>
      </c>
      <c r="G20" s="11">
        <f>E20-Origin_Y</f>
        <v>400</v>
      </c>
    </row>
    <row r="21" spans="1:7" x14ac:dyDescent="0.25">
      <c r="A21" t="s">
        <v>36</v>
      </c>
      <c r="B21" t="s">
        <v>37</v>
      </c>
      <c r="C21">
        <v>1</v>
      </c>
      <c r="D21" s="10">
        <v>-450</v>
      </c>
      <c r="E21" s="10">
        <v>400</v>
      </c>
      <c r="F21" s="11">
        <f>D21-Origin_X</f>
        <v>-450</v>
      </c>
      <c r="G21" s="11">
        <f>E21-Origin_Y</f>
        <v>400</v>
      </c>
    </row>
    <row r="22" spans="1:7" x14ac:dyDescent="0.25">
      <c r="A22" t="s">
        <v>36</v>
      </c>
      <c r="B22" t="s">
        <v>37</v>
      </c>
      <c r="C22">
        <v>2</v>
      </c>
      <c r="D22" s="10">
        <v>-250</v>
      </c>
      <c r="E22" s="10">
        <v>400</v>
      </c>
      <c r="F22" s="11">
        <f>D22-Origin_X</f>
        <v>-250</v>
      </c>
      <c r="G22" s="11">
        <f>E22-Origin_Y</f>
        <v>400</v>
      </c>
    </row>
    <row r="23" spans="1:7" x14ac:dyDescent="0.25">
      <c r="A23" t="s">
        <v>36</v>
      </c>
      <c r="B23" t="s">
        <v>37</v>
      </c>
      <c r="C23">
        <v>3</v>
      </c>
      <c r="D23" s="10">
        <v>-150</v>
      </c>
      <c r="E23" s="10">
        <v>300</v>
      </c>
      <c r="F23" s="11">
        <f>D23-Origin_X</f>
        <v>-150</v>
      </c>
      <c r="G23" s="11">
        <f>E23-Origin_Y</f>
        <v>300</v>
      </c>
    </row>
    <row r="24" spans="1:7" x14ac:dyDescent="0.25">
      <c r="A24" t="s">
        <v>36</v>
      </c>
      <c r="B24" t="s">
        <v>37</v>
      </c>
      <c r="C24">
        <v>4</v>
      </c>
      <c r="D24" s="10">
        <v>-150</v>
      </c>
      <c r="E24" s="10">
        <v>-300</v>
      </c>
      <c r="F24" s="11">
        <f>D24-Origin_X</f>
        <v>-150</v>
      </c>
      <c r="G24" s="11">
        <f>E24-Origin_Y</f>
        <v>-300</v>
      </c>
    </row>
    <row r="25" spans="1:7" x14ac:dyDescent="0.25">
      <c r="A25" t="s">
        <v>36</v>
      </c>
      <c r="B25" t="s">
        <v>37</v>
      </c>
      <c r="C25">
        <v>5</v>
      </c>
      <c r="D25" s="10">
        <v>-250</v>
      </c>
      <c r="E25" s="10">
        <v>-400</v>
      </c>
      <c r="F25" s="11">
        <f>D25-Origin_X</f>
        <v>-250</v>
      </c>
      <c r="G25" s="11">
        <f>E25-Origin_Y</f>
        <v>-400</v>
      </c>
    </row>
    <row r="26" spans="1:7" x14ac:dyDescent="0.25">
      <c r="A26" t="s">
        <v>36</v>
      </c>
      <c r="B26" t="s">
        <v>37</v>
      </c>
      <c r="C26">
        <v>6</v>
      </c>
      <c r="D26" s="10">
        <v>-450</v>
      </c>
      <c r="E26" s="10">
        <v>-400</v>
      </c>
      <c r="F26" s="11">
        <f>D26-Origin_X</f>
        <v>-450</v>
      </c>
      <c r="G26" s="11">
        <f>E26-Origin_Y</f>
        <v>-400</v>
      </c>
    </row>
    <row r="27" spans="1:7" x14ac:dyDescent="0.25">
      <c r="A27" t="s">
        <v>36</v>
      </c>
      <c r="B27" t="s">
        <v>37</v>
      </c>
      <c r="C27">
        <v>7</v>
      </c>
      <c r="D27" s="10">
        <v>-550</v>
      </c>
      <c r="E27" s="10">
        <v>-300</v>
      </c>
      <c r="F27" s="11">
        <f>D27-Origin_X</f>
        <v>-550</v>
      </c>
      <c r="G27" s="11">
        <f>E27-Origin_Y</f>
        <v>-300</v>
      </c>
    </row>
    <row r="28" spans="1:7" x14ac:dyDescent="0.25">
      <c r="A28" t="s">
        <v>36</v>
      </c>
      <c r="B28" t="s">
        <v>37</v>
      </c>
      <c r="C28">
        <v>8</v>
      </c>
      <c r="D28" s="10">
        <v>-550</v>
      </c>
      <c r="E28" s="10">
        <v>300</v>
      </c>
      <c r="F28" s="11">
        <f>D28-Origin_X</f>
        <v>-550</v>
      </c>
      <c r="G28" s="11">
        <f>E28-Origin_Y</f>
        <v>300</v>
      </c>
    </row>
    <row r="29" spans="1:7" x14ac:dyDescent="0.25">
      <c r="A29" t="s">
        <v>38</v>
      </c>
      <c r="B29" t="s">
        <v>37</v>
      </c>
      <c r="C29">
        <v>1</v>
      </c>
      <c r="D29" s="10">
        <v>250</v>
      </c>
      <c r="E29" s="10">
        <v>400</v>
      </c>
      <c r="F29" s="11">
        <f>D29-Origin_X</f>
        <v>250</v>
      </c>
      <c r="G29" s="11">
        <f>E29-Origin_Y</f>
        <v>400</v>
      </c>
    </row>
    <row r="30" spans="1:7" x14ac:dyDescent="0.25">
      <c r="A30" t="s">
        <v>38</v>
      </c>
      <c r="B30" t="s">
        <v>37</v>
      </c>
      <c r="C30">
        <v>2</v>
      </c>
      <c r="D30" s="10">
        <v>450</v>
      </c>
      <c r="E30" s="10">
        <v>400</v>
      </c>
      <c r="F30" s="11">
        <f>D30-Origin_X</f>
        <v>450</v>
      </c>
      <c r="G30" s="11">
        <f>E30-Origin_Y</f>
        <v>400</v>
      </c>
    </row>
    <row r="31" spans="1:7" x14ac:dyDescent="0.25">
      <c r="A31" t="s">
        <v>38</v>
      </c>
      <c r="B31" t="s">
        <v>37</v>
      </c>
      <c r="C31">
        <v>3</v>
      </c>
      <c r="D31" s="10">
        <v>550</v>
      </c>
      <c r="E31" s="10">
        <v>300</v>
      </c>
      <c r="F31" s="11">
        <f>D31-Origin_X</f>
        <v>550</v>
      </c>
      <c r="G31" s="11">
        <f>E31-Origin_Y</f>
        <v>300</v>
      </c>
    </row>
    <row r="32" spans="1:7" x14ac:dyDescent="0.25">
      <c r="A32" t="s">
        <v>38</v>
      </c>
      <c r="B32" t="s">
        <v>37</v>
      </c>
      <c r="C32">
        <v>4</v>
      </c>
      <c r="D32" s="10">
        <v>550</v>
      </c>
      <c r="E32" s="10">
        <v>-300</v>
      </c>
      <c r="F32" s="11">
        <f>D32-Origin_X</f>
        <v>550</v>
      </c>
      <c r="G32" s="11">
        <f>E32-Origin_Y</f>
        <v>-300</v>
      </c>
    </row>
    <row r="33" spans="1:7" x14ac:dyDescent="0.25">
      <c r="A33" t="s">
        <v>38</v>
      </c>
      <c r="B33" t="s">
        <v>37</v>
      </c>
      <c r="C33">
        <v>5</v>
      </c>
      <c r="D33" s="10">
        <v>450</v>
      </c>
      <c r="E33" s="10">
        <v>-400</v>
      </c>
      <c r="F33" s="11">
        <f>D33-Origin_X</f>
        <v>450</v>
      </c>
      <c r="G33" s="11">
        <f>E33-Origin_Y</f>
        <v>-400</v>
      </c>
    </row>
    <row r="34" spans="1:7" x14ac:dyDescent="0.25">
      <c r="A34" t="s">
        <v>38</v>
      </c>
      <c r="B34" t="s">
        <v>37</v>
      </c>
      <c r="C34">
        <v>6</v>
      </c>
      <c r="D34" s="10">
        <v>250</v>
      </c>
      <c r="E34" s="10">
        <v>-400</v>
      </c>
      <c r="F34" s="11">
        <f>D34-Origin_X</f>
        <v>250</v>
      </c>
      <c r="G34" s="11">
        <f>E34-Origin_Y</f>
        <v>-400</v>
      </c>
    </row>
    <row r="35" spans="1:7" x14ac:dyDescent="0.25">
      <c r="A35" t="s">
        <v>38</v>
      </c>
      <c r="B35" t="s">
        <v>37</v>
      </c>
      <c r="C35">
        <v>7</v>
      </c>
      <c r="D35" s="10">
        <v>150</v>
      </c>
      <c r="E35" s="10">
        <v>-300</v>
      </c>
      <c r="F35" s="11">
        <f>D35-Origin_X</f>
        <v>150</v>
      </c>
      <c r="G35" s="11">
        <f>E35-Origin_Y</f>
        <v>-300</v>
      </c>
    </row>
    <row r="36" spans="1:7" x14ac:dyDescent="0.25">
      <c r="A36" t="s">
        <v>38</v>
      </c>
      <c r="B36" t="s">
        <v>37</v>
      </c>
      <c r="C36">
        <v>8</v>
      </c>
      <c r="D36" s="10">
        <v>150</v>
      </c>
      <c r="E36" s="10">
        <v>300</v>
      </c>
      <c r="F36" s="11">
        <f>D36-Origin_X</f>
        <v>150</v>
      </c>
      <c r="G36" s="11">
        <f>E36-Origin_Y</f>
        <v>300</v>
      </c>
    </row>
    <row r="38" spans="2:10" x14ac:dyDescent="0.25">
      <c r="B38" s="12" t="s">
        <v>39</v>
      </c>
      <c r="C38" s="12"/>
      <c r="D38" s="12"/>
      <c r="E38" s="12"/>
      <c r="F38" s="12"/>
      <c r="G38" s="12"/>
      <c r="H38" s="12"/>
      <c r="I38" s="12"/>
      <c r="J38" s="12"/>
    </row>
    <row r="39" ht="28" customHeight="1" spans="1:9" x14ac:dyDescent="0.25">
      <c r="A39" s="9" t="s">
        <v>40</v>
      </c>
      <c r="B39" s="9" t="s">
        <v>41</v>
      </c>
      <c r="C39" s="9" t="s">
        <v>42</v>
      </c>
      <c r="D39" s="9" t="s">
        <v>43</v>
      </c>
      <c r="E39" s="9" t="s">
        <v>44</v>
      </c>
      <c r="F39" s="9" t="s">
        <v>45</v>
      </c>
      <c r="G39" s="9" t="s">
        <v>46</v>
      </c>
      <c r="H39" s="9" t="s">
        <v>47</v>
      </c>
      <c r="I39" s="9" t="s">
        <v>48</v>
      </c>
    </row>
    <row r="40" spans="1:9" x14ac:dyDescent="0.25">
      <c r="A40">
        <v>1</v>
      </c>
      <c r="B40" s="7">
        <v>1</v>
      </c>
      <c r="C40" s="13">
        <v>32</v>
      </c>
      <c r="D40" s="13">
        <v>-400</v>
      </c>
      <c r="E40" s="13">
        <v>530</v>
      </c>
      <c r="F40" s="11">
        <f>D40-Origin_X</f>
        <v>-400</v>
      </c>
      <c r="G40" s="11">
        <f>E40-Origin_Y</f>
        <v>530</v>
      </c>
      <c r="H40" s="11">
        <f>PI()*C40^2/4</f>
        <v>804.247719318987</v>
      </c>
      <c r="I40" s="10">
        <v>1</v>
      </c>
    </row>
    <row r="41" spans="1:9" x14ac:dyDescent="0.25">
      <c r="A41">
        <v>2</v>
      </c>
      <c r="B41" s="7">
        <v>2</v>
      </c>
      <c r="C41" s="13">
        <v>32</v>
      </c>
      <c r="D41" s="13">
        <v>-200</v>
      </c>
      <c r="E41" s="13">
        <v>530</v>
      </c>
      <c r="F41" s="11">
        <f>D41-Origin_X</f>
        <v>-200</v>
      </c>
      <c r="G41" s="11">
        <f>E41-Origin_Y</f>
        <v>530</v>
      </c>
      <c r="H41" s="11">
        <f>PI()*C41^2/4</f>
        <v>804.247719318987</v>
      </c>
      <c r="I41" s="10">
        <v>1</v>
      </c>
    </row>
    <row r="42" spans="1:9" x14ac:dyDescent="0.25">
      <c r="A42">
        <v>3</v>
      </c>
      <c r="B42" s="7">
        <v>3</v>
      </c>
      <c r="C42" s="13">
        <v>32</v>
      </c>
      <c r="D42" s="13">
        <v>0</v>
      </c>
      <c r="E42" s="13">
        <v>530</v>
      </c>
      <c r="F42" s="11">
        <f>D42-Origin_X</f>
        <v>0</v>
      </c>
      <c r="G42" s="11">
        <f>E42-Origin_Y</f>
        <v>530</v>
      </c>
      <c r="H42" s="11">
        <f>PI()*C42^2/4</f>
        <v>804.247719318987</v>
      </c>
      <c r="I42" s="10">
        <v>1</v>
      </c>
    </row>
    <row r="43" spans="1:9" x14ac:dyDescent="0.25">
      <c r="A43">
        <v>4</v>
      </c>
      <c r="B43" s="7">
        <v>4</v>
      </c>
      <c r="C43" s="13">
        <v>32</v>
      </c>
      <c r="D43" s="13">
        <v>200</v>
      </c>
      <c r="E43" s="13">
        <v>530</v>
      </c>
      <c r="F43" s="11">
        <f>D43-Origin_X</f>
        <v>200</v>
      </c>
      <c r="G43" s="11">
        <f>E43-Origin_Y</f>
        <v>530</v>
      </c>
      <c r="H43" s="11">
        <f>PI()*C43^2/4</f>
        <v>804.247719318987</v>
      </c>
      <c r="I43" s="10">
        <v>1</v>
      </c>
    </row>
    <row r="44" spans="1:9" x14ac:dyDescent="0.25">
      <c r="A44">
        <v>5</v>
      </c>
      <c r="B44" s="7">
        <v>5</v>
      </c>
      <c r="C44" s="13">
        <v>32</v>
      </c>
      <c r="D44" s="13">
        <v>400</v>
      </c>
      <c r="E44" s="13">
        <v>530</v>
      </c>
      <c r="F44" s="11">
        <f>D44-Origin_X</f>
        <v>400</v>
      </c>
      <c r="G44" s="11">
        <f>E44-Origin_Y</f>
        <v>530</v>
      </c>
      <c r="H44" s="11">
        <f>PI()*C44^2/4</f>
        <v>804.247719318987</v>
      </c>
      <c r="I44" s="10">
        <v>1</v>
      </c>
    </row>
    <row r="45" spans="1:9" x14ac:dyDescent="0.25">
      <c r="A45">
        <v>6</v>
      </c>
      <c r="B45" s="7">
        <v>6</v>
      </c>
      <c r="C45" s="13">
        <v>32</v>
      </c>
      <c r="D45" s="13">
        <v>-400</v>
      </c>
      <c r="E45" s="13">
        <v>-530</v>
      </c>
      <c r="F45" s="11">
        <f>D45-Origin_X</f>
        <v>-400</v>
      </c>
      <c r="G45" s="11">
        <f>E45-Origin_Y</f>
        <v>-530</v>
      </c>
      <c r="H45" s="11">
        <f>PI()*C45^2/4</f>
        <v>804.247719318987</v>
      </c>
      <c r="I45" s="10">
        <v>1</v>
      </c>
    </row>
    <row r="46" spans="1:9" x14ac:dyDescent="0.25">
      <c r="A46">
        <v>7</v>
      </c>
      <c r="B46" s="7">
        <v>7</v>
      </c>
      <c r="C46" s="13">
        <v>32</v>
      </c>
      <c r="D46" s="13">
        <v>-200</v>
      </c>
      <c r="E46" s="13">
        <v>-530</v>
      </c>
      <c r="F46" s="11">
        <f>D46-Origin_X</f>
        <v>-200</v>
      </c>
      <c r="G46" s="11">
        <f>E46-Origin_Y</f>
        <v>-530</v>
      </c>
      <c r="H46" s="11">
        <f>PI()*C46^2/4</f>
        <v>804.247719318987</v>
      </c>
      <c r="I46" s="10">
        <v>1</v>
      </c>
    </row>
    <row r="47" spans="1:9" x14ac:dyDescent="0.25">
      <c r="A47">
        <v>8</v>
      </c>
      <c r="B47" s="7">
        <v>8</v>
      </c>
      <c r="C47" s="13">
        <v>32</v>
      </c>
      <c r="D47" s="13">
        <v>0</v>
      </c>
      <c r="E47" s="13">
        <v>-530</v>
      </c>
      <c r="F47" s="11">
        <f>D47-Origin_X</f>
        <v>0</v>
      </c>
      <c r="G47" s="11">
        <f>E47-Origin_Y</f>
        <v>-530</v>
      </c>
      <c r="H47" s="11">
        <f>PI()*C47^2/4</f>
        <v>804.247719318987</v>
      </c>
      <c r="I47" s="10">
        <v>1</v>
      </c>
    </row>
    <row r="48" spans="1:9" x14ac:dyDescent="0.25">
      <c r="A48">
        <v>9</v>
      </c>
      <c r="B48" s="7">
        <v>9</v>
      </c>
      <c r="C48" s="13">
        <v>32</v>
      </c>
      <c r="D48" s="13">
        <v>200</v>
      </c>
      <c r="E48" s="13">
        <v>-530</v>
      </c>
      <c r="F48" s="11">
        <f>D48-Origin_X</f>
        <v>200</v>
      </c>
      <c r="G48" s="11">
        <f>E48-Origin_Y</f>
        <v>-530</v>
      </c>
      <c r="H48" s="11">
        <f>PI()*C48^2/4</f>
        <v>804.247719318987</v>
      </c>
      <c r="I48" s="10">
        <v>1</v>
      </c>
    </row>
    <row r="49" spans="1:9" x14ac:dyDescent="0.25">
      <c r="A49">
        <v>10</v>
      </c>
      <c r="B49" s="7">
        <v>10</v>
      </c>
      <c r="C49" s="13">
        <v>32</v>
      </c>
      <c r="D49" s="13">
        <v>400</v>
      </c>
      <c r="E49" s="13">
        <v>-530</v>
      </c>
      <c r="F49" s="11">
        <f>D49-Origin_X</f>
        <v>400</v>
      </c>
      <c r="G49" s="11">
        <f>E49-Origin_Y</f>
        <v>-530</v>
      </c>
      <c r="H49" s="11">
        <f>PI()*C49^2/4</f>
        <v>804.247719318987</v>
      </c>
      <c r="I49" s="10">
        <v>1</v>
      </c>
    </row>
    <row r="50" spans="1:9" x14ac:dyDescent="0.25">
      <c r="A50">
        <v>11</v>
      </c>
      <c r="B50" s="7">
        <v>11</v>
      </c>
      <c r="C50" s="13">
        <v>32</v>
      </c>
      <c r="D50" s="13">
        <v>-680</v>
      </c>
      <c r="E50" s="13">
        <v>300</v>
      </c>
      <c r="F50" s="11">
        <f>D50-Origin_X</f>
        <v>-680</v>
      </c>
      <c r="G50" s="11">
        <f>E50-Origin_Y</f>
        <v>300</v>
      </c>
      <c r="H50" s="11">
        <f>PI()*C50^2/4</f>
        <v>804.247719318987</v>
      </c>
      <c r="I50" s="10">
        <v>1</v>
      </c>
    </row>
    <row r="51" spans="1:9" x14ac:dyDescent="0.25">
      <c r="A51">
        <v>12</v>
      </c>
      <c r="B51" s="7">
        <v>12</v>
      </c>
      <c r="C51" s="13">
        <v>32</v>
      </c>
      <c r="D51" s="13">
        <v>-680</v>
      </c>
      <c r="E51" s="13">
        <v>100</v>
      </c>
      <c r="F51" s="11">
        <f>D51-Origin_X</f>
        <v>-680</v>
      </c>
      <c r="G51" s="11">
        <f>E51-Origin_Y</f>
        <v>100</v>
      </c>
      <c r="H51" s="11">
        <f>PI()*C51^2/4</f>
        <v>804.247719318987</v>
      </c>
      <c r="I51" s="10">
        <v>1</v>
      </c>
    </row>
    <row r="52" spans="1:9" x14ac:dyDescent="0.25">
      <c r="A52">
        <v>13</v>
      </c>
      <c r="B52" s="7">
        <v>13</v>
      </c>
      <c r="C52" s="13">
        <v>32</v>
      </c>
      <c r="D52" s="13">
        <v>-680</v>
      </c>
      <c r="E52" s="13">
        <v>-100</v>
      </c>
      <c r="F52" s="11">
        <f>D52-Origin_X</f>
        <v>-680</v>
      </c>
      <c r="G52" s="11">
        <f>E52-Origin_Y</f>
        <v>-100</v>
      </c>
      <c r="H52" s="11">
        <f>PI()*C52^2/4</f>
        <v>804.247719318987</v>
      </c>
      <c r="I52" s="10">
        <v>1</v>
      </c>
    </row>
    <row r="53" spans="1:9" x14ac:dyDescent="0.25">
      <c r="A53">
        <v>14</v>
      </c>
      <c r="B53" s="7">
        <v>14</v>
      </c>
      <c r="C53" s="13">
        <v>32</v>
      </c>
      <c r="D53" s="13">
        <v>-680</v>
      </c>
      <c r="E53" s="13">
        <v>-300</v>
      </c>
      <c r="F53" s="11">
        <f>D53-Origin_X</f>
        <v>-680</v>
      </c>
      <c r="G53" s="11">
        <f>E53-Origin_Y</f>
        <v>-300</v>
      </c>
      <c r="H53" s="11">
        <f>PI()*C53^2/4</f>
        <v>804.247719318987</v>
      </c>
      <c r="I53" s="10">
        <v>1</v>
      </c>
    </row>
    <row r="54" spans="1:9" x14ac:dyDescent="0.25">
      <c r="A54">
        <v>15</v>
      </c>
      <c r="B54" s="7">
        <v>15</v>
      </c>
      <c r="C54" s="13">
        <v>32</v>
      </c>
      <c r="D54" s="13">
        <v>680</v>
      </c>
      <c r="E54" s="13">
        <v>300</v>
      </c>
      <c r="F54" s="11">
        <f>D54-Origin_X</f>
        <v>680</v>
      </c>
      <c r="G54" s="11">
        <f>E54-Origin_Y</f>
        <v>300</v>
      </c>
      <c r="H54" s="11">
        <f>PI()*C54^2/4</f>
        <v>804.247719318987</v>
      </c>
      <c r="I54" s="10">
        <v>1</v>
      </c>
    </row>
    <row r="55" spans="1:9" x14ac:dyDescent="0.25">
      <c r="A55">
        <v>16</v>
      </c>
      <c r="B55" s="7">
        <v>16</v>
      </c>
      <c r="C55" s="13">
        <v>32</v>
      </c>
      <c r="D55" s="13">
        <v>680</v>
      </c>
      <c r="E55" s="13">
        <v>100</v>
      </c>
      <c r="F55" s="11">
        <f>D55-Origin_X</f>
        <v>680</v>
      </c>
      <c r="G55" s="11">
        <f>E55-Origin_Y</f>
        <v>100</v>
      </c>
      <c r="H55" s="11">
        <f>PI()*C55^2/4</f>
        <v>804.247719318987</v>
      </c>
      <c r="I55" s="10">
        <v>1</v>
      </c>
    </row>
    <row r="56" spans="1:9" x14ac:dyDescent="0.25">
      <c r="A56">
        <v>17</v>
      </c>
      <c r="B56" s="7">
        <v>17</v>
      </c>
      <c r="C56" s="13">
        <v>32</v>
      </c>
      <c r="D56" s="13">
        <v>680</v>
      </c>
      <c r="E56" s="13">
        <v>-100</v>
      </c>
      <c r="F56" s="11">
        <f>D56-Origin_X</f>
        <v>680</v>
      </c>
      <c r="G56" s="11">
        <f>E56-Origin_Y</f>
        <v>-100</v>
      </c>
      <c r="H56" s="11">
        <f>PI()*C56^2/4</f>
        <v>804.247719318987</v>
      </c>
      <c r="I56" s="10">
        <v>1</v>
      </c>
    </row>
    <row r="57" spans="1:9" x14ac:dyDescent="0.25">
      <c r="A57">
        <v>18</v>
      </c>
      <c r="B57" s="7">
        <v>18</v>
      </c>
      <c r="C57" s="13">
        <v>32</v>
      </c>
      <c r="D57" s="13">
        <v>680</v>
      </c>
      <c r="E57" s="13">
        <v>-300</v>
      </c>
      <c r="F57" s="11">
        <f>D57-Origin_X</f>
        <v>680</v>
      </c>
      <c r="G57" s="11">
        <f>E57-Origin_Y</f>
        <v>-300</v>
      </c>
      <c r="H57" s="11">
        <f>PI()*C57^2/4</f>
        <v>804.247719318987</v>
      </c>
      <c r="I57" s="10">
        <v>1</v>
      </c>
    </row>
    <row r="61" spans="2:8" x14ac:dyDescent="0.25">
      <c r="B61" s="12" t="s">
        <v>49</v>
      </c>
      <c r="C61" s="12"/>
      <c r="D61" s="12"/>
      <c r="E61" s="12"/>
      <c r="F61" s="12"/>
      <c r="G61" s="12"/>
      <c r="H61" s="12"/>
    </row>
    <row r="62" ht="28" customHeight="1" spans="1:6" x14ac:dyDescent="0.25">
      <c r="A62" s="9" t="s">
        <v>50</v>
      </c>
      <c r="B62" s="9" t="s">
        <v>51</v>
      </c>
      <c r="C62" s="9" t="s">
        <v>52</v>
      </c>
      <c r="D62" s="9" t="s">
        <v>53</v>
      </c>
      <c r="E62" s="9" t="s">
        <v>54</v>
      </c>
      <c r="F62" s="9" t="s">
        <v>55</v>
      </c>
    </row>
    <row r="63" ht="28" customHeight="1" spans="1:6" x14ac:dyDescent="0.25">
      <c r="A63">
        <v>1</v>
      </c>
      <c r="B63" s="14" t="s">
        <v>56</v>
      </c>
      <c r="C63" s="13">
        <v>24942.922102452183</v>
      </c>
      <c r="D63" s="13">
        <v>3714.165943842699</v>
      </c>
      <c r="E63" s="13">
        <v>1431.7807276950741</v>
      </c>
      <c r="F63" t="s">
        <v>57</v>
      </c>
    </row>
    <row r="64" ht="28" customHeight="1" spans="1:6" x14ac:dyDescent="0.25">
      <c r="A64">
        <v>2</v>
      </c>
      <c r="B64" s="14" t="s">
        <v>58</v>
      </c>
      <c r="C64" s="13">
        <v>24942.922102452183</v>
      </c>
      <c r="D64" s="13">
        <v>1857.0829719213496</v>
      </c>
      <c r="E64" s="13">
        <v>715.890363847537</v>
      </c>
      <c r="F64" t="s">
        <v>57</v>
      </c>
    </row>
    <row r="65" ht="28" customHeight="1" spans="1:6" x14ac:dyDescent="0.25">
      <c r="A65">
        <v>3</v>
      </c>
      <c r="B65" s="14" t="s">
        <v>59</v>
      </c>
      <c r="C65" s="13">
        <v>5000</v>
      </c>
      <c r="D65" s="13">
        <v>4000</v>
      </c>
      <c r="E65" s="13">
        <v>1500</v>
      </c>
      <c r="F65" t="s">
        <v>57</v>
      </c>
    </row>
  </sheetData>
  <mergeCells count="6">
    <mergeCell ref="A1:I1"/>
    <mergeCell ref="C3:E3"/>
    <mergeCell ref="C4:E4"/>
    <mergeCell ref="C5:E5"/>
    <mergeCell ref="B38:J38"/>
    <mergeCell ref="B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I3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6" customWidth="1"/>
    <col min="4" max="4" width="16" customWidth="1"/>
    <col min="5" max="5" width="54" customWidth="1"/>
    <col min="6" max="7" width="14" customWidth="1"/>
    <col min="8" max="8" width="24" customWidth="1"/>
  </cols>
  <sheetData>
    <row r="1" ht="22" customHeight="1" spans="1:8" x14ac:dyDescent="0.25">
      <c r="A1" s="1" t="s">
        <v>60</v>
      </c>
      <c r="B1" s="1"/>
      <c r="C1" s="1"/>
      <c r="D1" s="1"/>
      <c r="E1" s="1"/>
      <c r="F1" s="1"/>
      <c r="G1" s="1"/>
      <c r="H1" s="1"/>
    </row>
    <row r="2" ht="24" customHeight="1" spans="1:5" x14ac:dyDescent="0.2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spans="1:5" x14ac:dyDescent="0.25">
      <c r="A3" t="s">
        <v>61</v>
      </c>
      <c r="B3" s="7" t="s">
        <v>62</v>
      </c>
      <c r="D3" t="s">
        <v>14</v>
      </c>
      <c r="E3" s="7" t="s">
        <v>63</v>
      </c>
    </row>
    <row r="5" spans="2:6" x14ac:dyDescent="0.25">
      <c r="B5" s="12" t="s">
        <v>64</v>
      </c>
      <c r="C5" s="12"/>
      <c r="D5" s="12"/>
      <c r="E5" s="12"/>
      <c r="F5" s="12"/>
    </row>
    <row r="6" ht="28" customHeight="1" spans="1:5" x14ac:dyDescent="0.25">
      <c r="A6" s="9" t="s">
        <v>65</v>
      </c>
      <c r="B6" s="9" t="s">
        <v>66</v>
      </c>
      <c r="C6" s="9" t="s">
        <v>67</v>
      </c>
      <c r="D6" s="9" t="s">
        <v>68</v>
      </c>
      <c r="E6" s="9" t="s">
        <v>69</v>
      </c>
    </row>
    <row r="7" spans="2:3" x14ac:dyDescent="0.25">
      <c r="B7" t="s">
        <v>70</v>
      </c>
      <c r="C7" s="7" t="s">
        <v>71</v>
      </c>
    </row>
    <row r="8" spans="2:3" x14ac:dyDescent="0.25">
      <c r="B8" t="s">
        <v>72</v>
      </c>
      <c r="C8" s="7" t="s">
        <v>73</v>
      </c>
    </row>
    <row r="9" spans="2:3" x14ac:dyDescent="0.25">
      <c r="B9" t="s">
        <v>74</v>
      </c>
      <c r="C9" s="7" t="s">
        <v>75</v>
      </c>
    </row>
    <row r="10" spans="1:5" x14ac:dyDescent="0.25">
      <c r="A10" t="s">
        <v>76</v>
      </c>
      <c r="B10" t="s">
        <v>77</v>
      </c>
      <c r="C10" s="13">
        <v>30</v>
      </c>
      <c r="D10" t="s">
        <v>78</v>
      </c>
      <c r="E10" s="14" t="s">
        <v>79</v>
      </c>
    </row>
    <row r="11" spans="1:5" x14ac:dyDescent="0.25">
      <c r="A11" t="s">
        <v>80</v>
      </c>
      <c r="B11" t="s">
        <v>81</v>
      </c>
      <c r="C11" s="10">
        <v>28417.47528313351</v>
      </c>
      <c r="D11" t="s">
        <v>78</v>
      </c>
      <c r="E11" s="14" t="s">
        <v>82</v>
      </c>
    </row>
    <row r="12" spans="1:5" x14ac:dyDescent="0.25">
      <c r="A12" t="s">
        <v>83</v>
      </c>
      <c r="B12" t="s">
        <v>84</v>
      </c>
      <c r="C12" s="13">
        <v>0.85</v>
      </c>
      <c r="D12" t="s">
        <v>85</v>
      </c>
      <c r="E12" s="14" t="s">
        <v>86</v>
      </c>
    </row>
    <row r="13" spans="1:5" x14ac:dyDescent="0.25">
      <c r="A13" t="s">
        <v>87</v>
      </c>
      <c r="B13" t="s">
        <v>88</v>
      </c>
      <c r="C13" s="13">
        <v>0.002</v>
      </c>
      <c r="D13" t="s">
        <v>85</v>
      </c>
      <c r="E13" s="14" t="s">
        <v>89</v>
      </c>
    </row>
    <row r="14" spans="1:5" x14ac:dyDescent="0.25">
      <c r="A14" t="s">
        <v>90</v>
      </c>
      <c r="B14" t="s">
        <v>91</v>
      </c>
      <c r="C14" s="13">
        <v>2</v>
      </c>
      <c r="D14" t="s">
        <v>85</v>
      </c>
      <c r="E14" s="14" t="s">
        <v>92</v>
      </c>
    </row>
    <row r="15" spans="1:5" x14ac:dyDescent="0.25">
      <c r="A15" t="s">
        <v>93</v>
      </c>
      <c r="B15" t="s">
        <v>94</v>
      </c>
      <c r="C15" s="13">
        <v>0.0033</v>
      </c>
      <c r="D15" t="s">
        <v>85</v>
      </c>
      <c r="E15" s="14" t="s">
        <v>95</v>
      </c>
    </row>
    <row r="16" spans="2:5" x14ac:dyDescent="0.25">
      <c r="B16" t="s">
        <v>96</v>
      </c>
      <c r="C16" s="15" t="s">
        <v>97</v>
      </c>
      <c r="D16" s="15"/>
      <c r="E16" s="15"/>
    </row>
    <row r="18" spans="2:9" x14ac:dyDescent="0.25">
      <c r="B18" s="12" t="s">
        <v>98</v>
      </c>
      <c r="C18" s="12"/>
      <c r="D18" s="12"/>
      <c r="E18" s="12"/>
      <c r="F18" s="12"/>
      <c r="G18" s="12"/>
      <c r="H18" s="12"/>
      <c r="I18" s="12"/>
    </row>
    <row r="19" ht="28" customHeight="1" spans="1:8" x14ac:dyDescent="0.25">
      <c r="A19" s="9" t="s">
        <v>50</v>
      </c>
      <c r="B19" s="9" t="s">
        <v>70</v>
      </c>
      <c r="C19" s="9" t="s">
        <v>72</v>
      </c>
      <c r="D19" s="9" t="s">
        <v>99</v>
      </c>
      <c r="E19" s="9" t="s">
        <v>100</v>
      </c>
      <c r="F19" s="9" t="s">
        <v>101</v>
      </c>
      <c r="G19" s="9" t="s">
        <v>102</v>
      </c>
      <c r="H19" s="9" t="s">
        <v>74</v>
      </c>
    </row>
    <row r="20" spans="1:8" x14ac:dyDescent="0.25">
      <c r="A20" s="7">
        <v>1</v>
      </c>
      <c r="B20" s="7" t="s">
        <v>103</v>
      </c>
      <c r="C20" s="7" t="s">
        <v>73</v>
      </c>
      <c r="D20" s="13">
        <v>400</v>
      </c>
      <c r="E20" s="13">
        <v>200000</v>
      </c>
      <c r="F20" s="16">
        <f>D20/E20</f>
        <v>0.002</v>
      </c>
      <c r="G20" s="10"/>
      <c r="H20" s="7" t="s">
        <v>104</v>
      </c>
    </row>
    <row r="24" spans="2:6" x14ac:dyDescent="0.25">
      <c r="B24" s="12" t="s">
        <v>105</v>
      </c>
      <c r="C24" s="12"/>
      <c r="D24" s="12"/>
      <c r="E24" s="12"/>
      <c r="F24" s="12"/>
    </row>
    <row r="25" ht="28" customHeight="1" spans="1:5" x14ac:dyDescent="0.25">
      <c r="A25" s="9" t="s">
        <v>106</v>
      </c>
      <c r="B25" s="9" t="s">
        <v>66</v>
      </c>
      <c r="C25" s="9" t="s">
        <v>67</v>
      </c>
      <c r="D25" s="9" t="s">
        <v>68</v>
      </c>
      <c r="E25" s="9" t="s">
        <v>107</v>
      </c>
    </row>
    <row r="26" spans="1:5" x14ac:dyDescent="0.25">
      <c r="B26" t="s">
        <v>108</v>
      </c>
      <c r="C26" s="10" t="s">
        <v>109</v>
      </c>
      <c r="D26" t="s">
        <v>85</v>
      </c>
      <c r="E26" s="14"/>
    </row>
    <row r="27" spans="1:5" x14ac:dyDescent="0.25">
      <c r="B27" t="s">
        <v>61</v>
      </c>
      <c r="C27" s="10" t="s">
        <v>110</v>
      </c>
      <c r="D27" t="s">
        <v>85</v>
      </c>
      <c r="E27" s="14"/>
    </row>
    <row r="28" spans="1:5" x14ac:dyDescent="0.25">
      <c r="B28" t="s">
        <v>111</v>
      </c>
      <c r="C28" s="10" t="s">
        <v>112</v>
      </c>
      <c r="D28" t="s">
        <v>85</v>
      </c>
      <c r="E28" s="14" t="s">
        <v>63</v>
      </c>
    </row>
    <row r="29" spans="1:5" x14ac:dyDescent="0.25">
      <c r="B29" t="s">
        <v>113</v>
      </c>
      <c r="C29" s="10" t="s">
        <v>114</v>
      </c>
      <c r="D29" t="s">
        <v>85</v>
      </c>
      <c r="E29" s="14"/>
    </row>
    <row r="30" spans="1:5" x14ac:dyDescent="0.25">
      <c r="A30" t="s">
        <v>115</v>
      </c>
      <c r="B30" t="s">
        <v>116</v>
      </c>
      <c r="C30" s="10">
        <v>0.65</v>
      </c>
      <c r="D30" t="s">
        <v>85</v>
      </c>
      <c r="E30" s="14"/>
    </row>
    <row r="31" spans="1:5" x14ac:dyDescent="0.25">
      <c r="A31" t="s">
        <v>117</v>
      </c>
      <c r="B31" t="s">
        <v>118</v>
      </c>
      <c r="C31" s="10">
        <v>0.85</v>
      </c>
      <c r="D31" t="s">
        <v>85</v>
      </c>
      <c r="E31" s="14"/>
    </row>
    <row r="32" spans="1:5" x14ac:dyDescent="0.25">
      <c r="A32" t="s">
        <v>119</v>
      </c>
      <c r="B32" t="s">
        <v>120</v>
      </c>
      <c r="C32" s="10" t="s">
        <v>121</v>
      </c>
      <c r="D32" t="s">
        <v>85</v>
      </c>
      <c r="E32" s="14"/>
    </row>
    <row r="33" spans="1:5" x14ac:dyDescent="0.25">
      <c r="A33" t="s">
        <v>122</v>
      </c>
      <c r="B33" t="s">
        <v>123</v>
      </c>
      <c r="C33" s="10">
        <v>0.8</v>
      </c>
      <c r="D33" t="s">
        <v>85</v>
      </c>
      <c r="E33" s="14"/>
    </row>
    <row r="34" spans="1:5" x14ac:dyDescent="0.25">
      <c r="A34" t="s">
        <v>124</v>
      </c>
      <c r="B34" t="s">
        <v>125</v>
      </c>
      <c r="C34" s="10" t="s">
        <v>126</v>
      </c>
      <c r="D34" t="s">
        <v>85</v>
      </c>
      <c r="E34" s="14"/>
    </row>
    <row r="36" spans="1:5" x14ac:dyDescent="0.25">
      <c r="A36" s="17" t="s">
        <v>127</v>
      </c>
      <c r="B36" s="17"/>
      <c r="C36" s="17"/>
      <c r="D36" s="17"/>
      <c r="E36" s="17"/>
    </row>
  </sheetData>
  <mergeCells count="6">
    <mergeCell ref="A1:H1"/>
    <mergeCell ref="B5:F5"/>
    <mergeCell ref="C16:E16"/>
    <mergeCell ref="B18:I18"/>
    <mergeCell ref="B24:F24"/>
    <mergeCell ref="A36:E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G425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4" width="16" customWidth="1"/>
    <col min="5" max="5" width="14" customWidth="1"/>
    <col min="6" max="7" width="16" customWidth="1"/>
  </cols>
  <sheetData>
    <row r="1" ht="22" customHeight="1" spans="1:7" x14ac:dyDescent="0.25">
      <c r="A1" s="1" t="s">
        <v>128</v>
      </c>
      <c r="B1" s="1"/>
      <c r="C1" s="1"/>
      <c r="D1" s="1"/>
      <c r="E1" s="1"/>
      <c r="F1" s="1"/>
      <c r="G1" s="1"/>
    </row>
    <row r="2" spans="2:7" x14ac:dyDescent="0.25">
      <c r="B2" s="17" t="s">
        <v>129</v>
      </c>
      <c r="C2" s="17"/>
      <c r="D2" s="17"/>
      <c r="E2" s="17"/>
      <c r="F2" s="17"/>
      <c r="G2" s="17"/>
    </row>
    <row r="3" spans="2:7" x14ac:dyDescent="0.25">
      <c r="B3" t="s">
        <v>130</v>
      </c>
      <c r="C3" s="10">
        <v>150</v>
      </c>
      <c r="D3" t="s">
        <v>131</v>
      </c>
      <c r="E3" s="7">
        <v>420</v>
      </c>
      <c r="F3" t="s">
        <v>132</v>
      </c>
      <c r="G3" s="7">
        <v>4.656612873077393e-10</v>
      </c>
    </row>
    <row r="4" ht="24" customHeight="1" spans="1:5" x14ac:dyDescent="0.25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</row>
    <row r="5" ht="28" customHeight="1" spans="1:7" x14ac:dyDescent="0.25">
      <c r="A5" s="9" t="s">
        <v>40</v>
      </c>
      <c r="B5" s="9" t="s">
        <v>45</v>
      </c>
      <c r="C5" s="9" t="s">
        <v>46</v>
      </c>
      <c r="D5" s="9" t="s">
        <v>47</v>
      </c>
      <c r="E5" s="9" t="s">
        <v>133</v>
      </c>
      <c r="F5" s="9" t="s">
        <v>43</v>
      </c>
      <c r="G5" s="9" t="s">
        <v>44</v>
      </c>
    </row>
    <row r="6" spans="1:7" x14ac:dyDescent="0.25">
      <c r="A6" s="7">
        <v>1</v>
      </c>
      <c r="B6" s="7">
        <v>-666.6666666666666</v>
      </c>
      <c r="C6" s="7">
        <v>-466.66666666666663</v>
      </c>
      <c r="D6" s="7">
        <v>1666.6666666666667</v>
      </c>
      <c r="E6" s="7">
        <v>0</v>
      </c>
      <c r="F6" s="11">
        <f>B6+Origin_X</f>
        <v>-666.6666666666666</v>
      </c>
      <c r="G6" s="11">
        <f>C6+Origin_Y</f>
        <v>-466.66666666666663</v>
      </c>
    </row>
    <row r="7" spans="1:7" x14ac:dyDescent="0.25">
      <c r="A7" s="7">
        <v>2</v>
      </c>
      <c r="B7" s="7">
        <v>-616.6666666666666</v>
      </c>
      <c r="C7" s="7">
        <v>-516.6666666666666</v>
      </c>
      <c r="D7" s="7">
        <v>1666.6666666666667</v>
      </c>
      <c r="E7" s="7">
        <v>0</v>
      </c>
      <c r="F7" s="11">
        <f>B7+Origin_X</f>
        <v>-616.6666666666666</v>
      </c>
      <c r="G7" s="11">
        <f>C7+Origin_Y</f>
        <v>-516.6666666666666</v>
      </c>
    </row>
    <row r="8" spans="1:7" x14ac:dyDescent="0.25">
      <c r="A8" s="7">
        <v>3</v>
      </c>
      <c r="B8" s="7">
        <v>-616.6666666666666</v>
      </c>
      <c r="C8" s="7">
        <v>-466.66666666666663</v>
      </c>
      <c r="D8" s="7">
        <v>1666.6666666666667</v>
      </c>
      <c r="E8" s="7">
        <v>0</v>
      </c>
      <c r="F8" s="11">
        <f>B8+Origin_X</f>
        <v>-616.6666666666666</v>
      </c>
      <c r="G8" s="11">
        <f>C8+Origin_Y</f>
        <v>-466.66666666666663</v>
      </c>
    </row>
    <row r="9" spans="1:7" x14ac:dyDescent="0.25">
      <c r="A9" s="7">
        <v>4</v>
      </c>
      <c r="B9" s="7">
        <v>-741.6666666666666</v>
      </c>
      <c r="C9" s="7">
        <v>-341.66666666666663</v>
      </c>
      <c r="D9" s="7">
        <v>833.3333333333334</v>
      </c>
      <c r="E9" s="7">
        <v>1</v>
      </c>
      <c r="F9" s="11">
        <f>B9+Origin_X</f>
        <v>-741.6666666666666</v>
      </c>
      <c r="G9" s="11">
        <f>C9+Origin_Y</f>
        <v>-341.66666666666663</v>
      </c>
    </row>
    <row r="10" spans="1:7" x14ac:dyDescent="0.25">
      <c r="A10" s="7">
        <v>5</v>
      </c>
      <c r="B10" s="7">
        <v>-741.6666666666666</v>
      </c>
      <c r="C10" s="7">
        <v>-391.66666666666663</v>
      </c>
      <c r="D10" s="7">
        <v>833.3333333333334</v>
      </c>
      <c r="E10" s="7">
        <v>1</v>
      </c>
      <c r="F10" s="11">
        <f>B10+Origin_X</f>
        <v>-741.6666666666666</v>
      </c>
      <c r="G10" s="11">
        <f>C10+Origin_Y</f>
        <v>-391.66666666666663</v>
      </c>
    </row>
    <row r="11" spans="1:7" x14ac:dyDescent="0.25">
      <c r="A11" s="7">
        <v>6</v>
      </c>
      <c r="B11" s="7">
        <v>-716.6666666666666</v>
      </c>
      <c r="C11" s="7">
        <v>-416.66666666666663</v>
      </c>
      <c r="D11" s="7">
        <v>833.3333333333334</v>
      </c>
      <c r="E11" s="7">
        <v>1</v>
      </c>
      <c r="F11" s="11">
        <f>B11+Origin_X</f>
        <v>-716.6666666666666</v>
      </c>
      <c r="G11" s="11">
        <f>C11+Origin_Y</f>
        <v>-416.66666666666663</v>
      </c>
    </row>
    <row r="12" spans="1:7" x14ac:dyDescent="0.25">
      <c r="A12" s="7">
        <v>7</v>
      </c>
      <c r="B12" s="7">
        <v>-716.6666666666666</v>
      </c>
      <c r="C12" s="7">
        <v>-350</v>
      </c>
      <c r="D12" s="7">
        <v>2500</v>
      </c>
      <c r="E12" s="7">
        <v>1</v>
      </c>
      <c r="F12" s="11">
        <f>B12+Origin_X</f>
        <v>-716.6666666666666</v>
      </c>
      <c r="G12" s="11">
        <f>C12+Origin_Y</f>
        <v>-350</v>
      </c>
    </row>
    <row r="13" spans="1:7" x14ac:dyDescent="0.25">
      <c r="A13" s="7">
        <v>8</v>
      </c>
      <c r="B13" s="7">
        <v>-691.6666666666666</v>
      </c>
      <c r="C13" s="7">
        <v>-425</v>
      </c>
      <c r="D13" s="7">
        <v>2500</v>
      </c>
      <c r="E13" s="7">
        <v>1</v>
      </c>
      <c r="F13" s="11">
        <f>B13+Origin_X</f>
        <v>-691.6666666666666</v>
      </c>
      <c r="G13" s="11">
        <f>C13+Origin_Y</f>
        <v>-425</v>
      </c>
    </row>
    <row r="14" spans="1:7" x14ac:dyDescent="0.25">
      <c r="A14" s="7">
        <v>9</v>
      </c>
      <c r="B14" s="7">
        <v>-641.6666666666666</v>
      </c>
      <c r="C14" s="7">
        <v>-425</v>
      </c>
      <c r="D14" s="7">
        <v>2500</v>
      </c>
      <c r="E14" s="7">
        <v>1</v>
      </c>
      <c r="F14" s="11">
        <f>B14+Origin_X</f>
        <v>-641.6666666666666</v>
      </c>
      <c r="G14" s="11">
        <f>C14+Origin_Y</f>
        <v>-425</v>
      </c>
    </row>
    <row r="15" spans="1:7" x14ac:dyDescent="0.25">
      <c r="A15" s="7">
        <v>10</v>
      </c>
      <c r="B15" s="7">
        <v>-625</v>
      </c>
      <c r="C15" s="7">
        <v>-400</v>
      </c>
      <c r="D15" s="7">
        <v>3750</v>
      </c>
      <c r="E15" s="7">
        <v>1</v>
      </c>
      <c r="F15" s="11">
        <f>B15+Origin_X</f>
        <v>-625</v>
      </c>
      <c r="G15" s="11">
        <f>C15+Origin_Y</f>
        <v>-400</v>
      </c>
    </row>
    <row r="16" spans="1:7" x14ac:dyDescent="0.25">
      <c r="A16" s="7">
        <v>11</v>
      </c>
      <c r="B16" s="7">
        <v>-625</v>
      </c>
      <c r="C16" s="7">
        <v>-325</v>
      </c>
      <c r="D16" s="7">
        <v>3750</v>
      </c>
      <c r="E16" s="7">
        <v>1</v>
      </c>
      <c r="F16" s="11">
        <f>B16+Origin_X</f>
        <v>-625</v>
      </c>
      <c r="G16" s="11">
        <f>C16+Origin_Y</f>
        <v>-325</v>
      </c>
    </row>
    <row r="17" spans="1:7" x14ac:dyDescent="0.25">
      <c r="A17" s="7">
        <v>12</v>
      </c>
      <c r="B17" s="7">
        <v>-700</v>
      </c>
      <c r="C17" s="7">
        <v>-325</v>
      </c>
      <c r="D17" s="7">
        <v>3750</v>
      </c>
      <c r="E17" s="7">
        <v>1</v>
      </c>
      <c r="F17" s="11">
        <f>B17+Origin_X</f>
        <v>-700</v>
      </c>
      <c r="G17" s="11">
        <f>C17+Origin_Y</f>
        <v>-325</v>
      </c>
    </row>
    <row r="18" spans="1:7" x14ac:dyDescent="0.25">
      <c r="A18" s="7">
        <v>13</v>
      </c>
      <c r="B18" s="7">
        <v>-725</v>
      </c>
      <c r="C18" s="7">
        <v>-200</v>
      </c>
      <c r="D18" s="7">
        <v>3750</v>
      </c>
      <c r="E18" s="7">
        <v>2</v>
      </c>
      <c r="F18" s="11">
        <f>B18+Origin_X</f>
        <v>-725</v>
      </c>
      <c r="G18" s="11">
        <f>C18+Origin_Y</f>
        <v>-200</v>
      </c>
    </row>
    <row r="19" spans="1:7" x14ac:dyDescent="0.25">
      <c r="A19" s="7">
        <v>14</v>
      </c>
      <c r="B19" s="7">
        <v>-725</v>
      </c>
      <c r="C19" s="7">
        <v>-275</v>
      </c>
      <c r="D19" s="7">
        <v>3750</v>
      </c>
      <c r="E19" s="7">
        <v>2</v>
      </c>
      <c r="F19" s="11">
        <f>B19+Origin_X</f>
        <v>-725</v>
      </c>
      <c r="G19" s="11">
        <f>C19+Origin_Y</f>
        <v>-275</v>
      </c>
    </row>
    <row r="20" spans="1:7" x14ac:dyDescent="0.25">
      <c r="A20" s="7">
        <v>15</v>
      </c>
      <c r="B20" s="7">
        <v>-650</v>
      </c>
      <c r="C20" s="7">
        <v>-275</v>
      </c>
      <c r="D20" s="7">
        <v>3750</v>
      </c>
      <c r="E20" s="7">
        <v>2</v>
      </c>
      <c r="F20" s="11">
        <f>B20+Origin_X</f>
        <v>-650</v>
      </c>
      <c r="G20" s="11">
        <f>C20+Origin_Y</f>
        <v>-275</v>
      </c>
    </row>
    <row r="21" spans="1:7" x14ac:dyDescent="0.25">
      <c r="A21" s="7">
        <v>16</v>
      </c>
      <c r="B21" s="7">
        <v>-625</v>
      </c>
      <c r="C21" s="7">
        <v>-250</v>
      </c>
      <c r="D21" s="7">
        <v>3750</v>
      </c>
      <c r="E21" s="7">
        <v>2</v>
      </c>
      <c r="F21" s="11">
        <f>B21+Origin_X</f>
        <v>-625</v>
      </c>
      <c r="G21" s="11">
        <f>C21+Origin_Y</f>
        <v>-250</v>
      </c>
    </row>
    <row r="22" spans="1:7" x14ac:dyDescent="0.25">
      <c r="A22" s="7">
        <v>17</v>
      </c>
      <c r="B22" s="7">
        <v>-625</v>
      </c>
      <c r="C22" s="7">
        <v>-175</v>
      </c>
      <c r="D22" s="7">
        <v>3750</v>
      </c>
      <c r="E22" s="7">
        <v>2</v>
      </c>
      <c r="F22" s="11">
        <f>B22+Origin_X</f>
        <v>-625</v>
      </c>
      <c r="G22" s="11">
        <f>C22+Origin_Y</f>
        <v>-175</v>
      </c>
    </row>
    <row r="23" spans="1:7" x14ac:dyDescent="0.25">
      <c r="A23" s="7">
        <v>18</v>
      </c>
      <c r="B23" s="7">
        <v>-700</v>
      </c>
      <c r="C23" s="7">
        <v>-175</v>
      </c>
      <c r="D23" s="7">
        <v>3750</v>
      </c>
      <c r="E23" s="7">
        <v>2</v>
      </c>
      <c r="F23" s="11">
        <f>B23+Origin_X</f>
        <v>-700</v>
      </c>
      <c r="G23" s="11">
        <f>C23+Origin_Y</f>
        <v>-175</v>
      </c>
    </row>
    <row r="24" spans="1:7" x14ac:dyDescent="0.25">
      <c r="A24" s="7">
        <v>19</v>
      </c>
      <c r="B24" s="7">
        <v>-725</v>
      </c>
      <c r="C24" s="7">
        <v>-50</v>
      </c>
      <c r="D24" s="7">
        <v>3750</v>
      </c>
      <c r="E24" s="7">
        <v>3</v>
      </c>
      <c r="F24" s="11">
        <f>B24+Origin_X</f>
        <v>-725</v>
      </c>
      <c r="G24" s="11">
        <f>C24+Origin_Y</f>
        <v>-50</v>
      </c>
    </row>
    <row r="25" spans="1:7" x14ac:dyDescent="0.25">
      <c r="A25" s="7">
        <v>20</v>
      </c>
      <c r="B25" s="7">
        <v>-725</v>
      </c>
      <c r="C25" s="7">
        <v>-125</v>
      </c>
      <c r="D25" s="7">
        <v>3750</v>
      </c>
      <c r="E25" s="7">
        <v>3</v>
      </c>
      <c r="F25" s="11">
        <f>B25+Origin_X</f>
        <v>-725</v>
      </c>
      <c r="G25" s="11">
        <f>C25+Origin_Y</f>
        <v>-125</v>
      </c>
    </row>
    <row r="26" spans="1:7" x14ac:dyDescent="0.25">
      <c r="A26" s="7">
        <v>21</v>
      </c>
      <c r="B26" s="7">
        <v>-650</v>
      </c>
      <c r="C26" s="7">
        <v>-125</v>
      </c>
      <c r="D26" s="7">
        <v>3750</v>
      </c>
      <c r="E26" s="7">
        <v>3</v>
      </c>
      <c r="F26" s="11">
        <f>B26+Origin_X</f>
        <v>-650</v>
      </c>
      <c r="G26" s="11">
        <f>C26+Origin_Y</f>
        <v>-125</v>
      </c>
    </row>
    <row r="27" spans="1:7" x14ac:dyDescent="0.25">
      <c r="A27" s="7">
        <v>22</v>
      </c>
      <c r="B27" s="7">
        <v>-625</v>
      </c>
      <c r="C27" s="7">
        <v>-100</v>
      </c>
      <c r="D27" s="7">
        <v>3750</v>
      </c>
      <c r="E27" s="7">
        <v>3</v>
      </c>
      <c r="F27" s="11">
        <f>B27+Origin_X</f>
        <v>-625</v>
      </c>
      <c r="G27" s="11">
        <f>C27+Origin_Y</f>
        <v>-100</v>
      </c>
    </row>
    <row r="28" spans="1:7" x14ac:dyDescent="0.25">
      <c r="A28" s="7">
        <v>23</v>
      </c>
      <c r="B28" s="7">
        <v>-625</v>
      </c>
      <c r="C28" s="7">
        <v>-25</v>
      </c>
      <c r="D28" s="7">
        <v>3750</v>
      </c>
      <c r="E28" s="7">
        <v>3</v>
      </c>
      <c r="F28" s="11">
        <f>B28+Origin_X</f>
        <v>-625</v>
      </c>
      <c r="G28" s="11">
        <f>C28+Origin_Y</f>
        <v>-25</v>
      </c>
    </row>
    <row r="29" spans="1:7" x14ac:dyDescent="0.25">
      <c r="A29" s="7">
        <v>24</v>
      </c>
      <c r="B29" s="7">
        <v>-700</v>
      </c>
      <c r="C29" s="7">
        <v>-25</v>
      </c>
      <c r="D29" s="7">
        <v>3750</v>
      </c>
      <c r="E29" s="7">
        <v>3</v>
      </c>
      <c r="F29" s="11">
        <f>B29+Origin_X</f>
        <v>-700</v>
      </c>
      <c r="G29" s="11">
        <f>C29+Origin_Y</f>
        <v>-25</v>
      </c>
    </row>
    <row r="30" spans="1:7" x14ac:dyDescent="0.25">
      <c r="A30" s="7">
        <v>25</v>
      </c>
      <c r="B30" s="7">
        <v>-725</v>
      </c>
      <c r="C30" s="7">
        <v>100</v>
      </c>
      <c r="D30" s="7">
        <v>3750</v>
      </c>
      <c r="E30" s="7">
        <v>4</v>
      </c>
      <c r="F30" s="11">
        <f>B30+Origin_X</f>
        <v>-725</v>
      </c>
      <c r="G30" s="11">
        <f>C30+Origin_Y</f>
        <v>100</v>
      </c>
    </row>
    <row r="31" spans="1:7" x14ac:dyDescent="0.25">
      <c r="A31" s="7">
        <v>26</v>
      </c>
      <c r="B31" s="7">
        <v>-725</v>
      </c>
      <c r="C31" s="7">
        <v>25</v>
      </c>
      <c r="D31" s="7">
        <v>3750</v>
      </c>
      <c r="E31" s="7">
        <v>4</v>
      </c>
      <c r="F31" s="11">
        <f>B31+Origin_X</f>
        <v>-725</v>
      </c>
      <c r="G31" s="11">
        <f>C31+Origin_Y</f>
        <v>25</v>
      </c>
    </row>
    <row r="32" spans="1:7" x14ac:dyDescent="0.25">
      <c r="A32" s="7">
        <v>27</v>
      </c>
      <c r="B32" s="7">
        <v>-650</v>
      </c>
      <c r="C32" s="7">
        <v>25</v>
      </c>
      <c r="D32" s="7">
        <v>3750</v>
      </c>
      <c r="E32" s="7">
        <v>4</v>
      </c>
      <c r="F32" s="11">
        <f>B32+Origin_X</f>
        <v>-650</v>
      </c>
      <c r="G32" s="11">
        <f>C32+Origin_Y</f>
        <v>25</v>
      </c>
    </row>
    <row r="33" spans="1:7" x14ac:dyDescent="0.25">
      <c r="A33" s="7">
        <v>28</v>
      </c>
      <c r="B33" s="7">
        <v>-625</v>
      </c>
      <c r="C33" s="7">
        <v>50</v>
      </c>
      <c r="D33" s="7">
        <v>3750</v>
      </c>
      <c r="E33" s="7">
        <v>4</v>
      </c>
      <c r="F33" s="11">
        <f>B33+Origin_X</f>
        <v>-625</v>
      </c>
      <c r="G33" s="11">
        <f>C33+Origin_Y</f>
        <v>50</v>
      </c>
    </row>
    <row r="34" spans="1:7" x14ac:dyDescent="0.25">
      <c r="A34" s="7">
        <v>29</v>
      </c>
      <c r="B34" s="7">
        <v>-625</v>
      </c>
      <c r="C34" s="7">
        <v>125</v>
      </c>
      <c r="D34" s="7">
        <v>3750</v>
      </c>
      <c r="E34" s="7">
        <v>4</v>
      </c>
      <c r="F34" s="11">
        <f>B34+Origin_X</f>
        <v>-625</v>
      </c>
      <c r="G34" s="11">
        <f>C34+Origin_Y</f>
        <v>125</v>
      </c>
    </row>
    <row r="35" spans="1:7" x14ac:dyDescent="0.25">
      <c r="A35" s="7">
        <v>30</v>
      </c>
      <c r="B35" s="7">
        <v>-700</v>
      </c>
      <c r="C35" s="7">
        <v>125</v>
      </c>
      <c r="D35" s="7">
        <v>3750</v>
      </c>
      <c r="E35" s="7">
        <v>4</v>
      </c>
      <c r="F35" s="11">
        <f>B35+Origin_X</f>
        <v>-700</v>
      </c>
      <c r="G35" s="11">
        <f>C35+Origin_Y</f>
        <v>125</v>
      </c>
    </row>
    <row r="36" spans="1:7" x14ac:dyDescent="0.25">
      <c r="A36" s="7">
        <v>31</v>
      </c>
      <c r="B36" s="7">
        <v>-725</v>
      </c>
      <c r="C36" s="7">
        <v>250</v>
      </c>
      <c r="D36" s="7">
        <v>3750</v>
      </c>
      <c r="E36" s="7">
        <v>5</v>
      </c>
      <c r="F36" s="11">
        <f>B36+Origin_X</f>
        <v>-725</v>
      </c>
      <c r="G36" s="11">
        <f>C36+Origin_Y</f>
        <v>250</v>
      </c>
    </row>
    <row r="37" spans="1:7" x14ac:dyDescent="0.25">
      <c r="A37" s="7">
        <v>32</v>
      </c>
      <c r="B37" s="7">
        <v>-725</v>
      </c>
      <c r="C37" s="7">
        <v>175</v>
      </c>
      <c r="D37" s="7">
        <v>3750</v>
      </c>
      <c r="E37" s="7">
        <v>5</v>
      </c>
      <c r="F37" s="11">
        <f>B37+Origin_X</f>
        <v>-725</v>
      </c>
      <c r="G37" s="11">
        <f>C37+Origin_Y</f>
        <v>175</v>
      </c>
    </row>
    <row r="38" spans="1:7" x14ac:dyDescent="0.25">
      <c r="A38" s="7">
        <v>33</v>
      </c>
      <c r="B38" s="7">
        <v>-650</v>
      </c>
      <c r="C38" s="7">
        <v>175</v>
      </c>
      <c r="D38" s="7">
        <v>3750</v>
      </c>
      <c r="E38" s="7">
        <v>5</v>
      </c>
      <c r="F38" s="11">
        <f>B38+Origin_X</f>
        <v>-650</v>
      </c>
      <c r="G38" s="11">
        <f>C38+Origin_Y</f>
        <v>175</v>
      </c>
    </row>
    <row r="39" spans="1:7" x14ac:dyDescent="0.25">
      <c r="A39" s="7">
        <v>34</v>
      </c>
      <c r="B39" s="7">
        <v>-625</v>
      </c>
      <c r="C39" s="7">
        <v>200</v>
      </c>
      <c r="D39" s="7">
        <v>3750</v>
      </c>
      <c r="E39" s="7">
        <v>5</v>
      </c>
      <c r="F39" s="11">
        <f>B39+Origin_X</f>
        <v>-625</v>
      </c>
      <c r="G39" s="11">
        <f>C39+Origin_Y</f>
        <v>200</v>
      </c>
    </row>
    <row r="40" spans="1:7" x14ac:dyDescent="0.25">
      <c r="A40" s="7">
        <v>35</v>
      </c>
      <c r="B40" s="7">
        <v>-625</v>
      </c>
      <c r="C40" s="7">
        <v>275</v>
      </c>
      <c r="D40" s="7">
        <v>3750</v>
      </c>
      <c r="E40" s="7">
        <v>5</v>
      </c>
      <c r="F40" s="11">
        <f>B40+Origin_X</f>
        <v>-625</v>
      </c>
      <c r="G40" s="11">
        <f>C40+Origin_Y</f>
        <v>275</v>
      </c>
    </row>
    <row r="41" spans="1:7" x14ac:dyDescent="0.25">
      <c r="A41" s="7">
        <v>36</v>
      </c>
      <c r="B41" s="7">
        <v>-700</v>
      </c>
      <c r="C41" s="7">
        <v>275</v>
      </c>
      <c r="D41" s="7">
        <v>3750</v>
      </c>
      <c r="E41" s="7">
        <v>5</v>
      </c>
      <c r="F41" s="11">
        <f>B41+Origin_X</f>
        <v>-700</v>
      </c>
      <c r="G41" s="11">
        <f>C41+Origin_Y</f>
        <v>275</v>
      </c>
    </row>
    <row r="42" spans="1:7" x14ac:dyDescent="0.25">
      <c r="A42" s="7">
        <v>37</v>
      </c>
      <c r="B42" s="7">
        <v>-725</v>
      </c>
      <c r="C42" s="7">
        <v>366.66666666666663</v>
      </c>
      <c r="D42" s="7">
        <v>2500</v>
      </c>
      <c r="E42" s="7">
        <v>6</v>
      </c>
      <c r="F42" s="11">
        <f>B42+Origin_X</f>
        <v>-725</v>
      </c>
      <c r="G42" s="11">
        <f>C42+Origin_Y</f>
        <v>366.66666666666663</v>
      </c>
    </row>
    <row r="43" spans="1:7" x14ac:dyDescent="0.25">
      <c r="A43" s="7">
        <v>38</v>
      </c>
      <c r="B43" s="7">
        <v>-725</v>
      </c>
      <c r="C43" s="7">
        <v>316.66666666666663</v>
      </c>
      <c r="D43" s="7">
        <v>2500</v>
      </c>
      <c r="E43" s="7">
        <v>6</v>
      </c>
      <c r="F43" s="11">
        <f>B43+Origin_X</f>
        <v>-725</v>
      </c>
      <c r="G43" s="11">
        <f>C43+Origin_Y</f>
        <v>316.66666666666663</v>
      </c>
    </row>
    <row r="44" spans="1:7" x14ac:dyDescent="0.25">
      <c r="A44" s="7">
        <v>39</v>
      </c>
      <c r="B44" s="7">
        <v>-650</v>
      </c>
      <c r="C44" s="7">
        <v>316.66666666666663</v>
      </c>
      <c r="D44" s="7">
        <v>2500</v>
      </c>
      <c r="E44" s="7">
        <v>6</v>
      </c>
      <c r="F44" s="11">
        <f>B44+Origin_X</f>
        <v>-650</v>
      </c>
      <c r="G44" s="11">
        <f>C44+Origin_Y</f>
        <v>316.66666666666663</v>
      </c>
    </row>
    <row r="45" spans="1:7" x14ac:dyDescent="0.25">
      <c r="A45" s="7">
        <v>40</v>
      </c>
      <c r="B45" s="7">
        <v>-700</v>
      </c>
      <c r="C45" s="7">
        <v>391.66666666666663</v>
      </c>
      <c r="D45" s="7">
        <v>3750</v>
      </c>
      <c r="E45" s="7">
        <v>6</v>
      </c>
      <c r="F45" s="11">
        <f>B45+Origin_X</f>
        <v>-700</v>
      </c>
      <c r="G45" s="11">
        <f>C45+Origin_Y</f>
        <v>391.66666666666663</v>
      </c>
    </row>
    <row r="46" spans="1:7" x14ac:dyDescent="0.25">
      <c r="A46" s="7">
        <v>41</v>
      </c>
      <c r="B46" s="7">
        <v>-625</v>
      </c>
      <c r="C46" s="7">
        <v>341.66666666666663</v>
      </c>
      <c r="D46" s="7">
        <v>3750</v>
      </c>
      <c r="E46" s="7">
        <v>6</v>
      </c>
      <c r="F46" s="11">
        <f>B46+Origin_X</f>
        <v>-625</v>
      </c>
      <c r="G46" s="11">
        <f>C46+Origin_Y</f>
        <v>341.66666666666663</v>
      </c>
    </row>
    <row r="47" spans="1:7" x14ac:dyDescent="0.25">
      <c r="A47" s="7">
        <v>42</v>
      </c>
      <c r="B47" s="7">
        <v>-625</v>
      </c>
      <c r="C47" s="7">
        <v>416.66666666666663</v>
      </c>
      <c r="D47" s="7">
        <v>3750</v>
      </c>
      <c r="E47" s="7">
        <v>6</v>
      </c>
      <c r="F47" s="11">
        <f>B47+Origin_X</f>
        <v>-625</v>
      </c>
      <c r="G47" s="11">
        <f>C47+Origin_Y</f>
        <v>416.66666666666663</v>
      </c>
    </row>
    <row r="48" spans="1:7" x14ac:dyDescent="0.25">
      <c r="A48" s="7">
        <v>43</v>
      </c>
      <c r="B48" s="7">
        <v>-641.6666666666666</v>
      </c>
      <c r="C48" s="7">
        <v>441.66666666666663</v>
      </c>
      <c r="D48" s="7">
        <v>833.3333333333334</v>
      </c>
      <c r="E48" s="7">
        <v>6</v>
      </c>
      <c r="F48" s="11">
        <f>B48+Origin_X</f>
        <v>-641.6666666666666</v>
      </c>
      <c r="G48" s="11">
        <f>C48+Origin_Y</f>
        <v>441.66666666666663</v>
      </c>
    </row>
    <row r="49" spans="1:7" x14ac:dyDescent="0.25">
      <c r="A49" s="7">
        <v>44</v>
      </c>
      <c r="B49" s="7">
        <v>-691.6666666666666</v>
      </c>
      <c r="C49" s="7">
        <v>441.66666666666663</v>
      </c>
      <c r="D49" s="7">
        <v>833.3333333333334</v>
      </c>
      <c r="E49" s="7">
        <v>6</v>
      </c>
      <c r="F49" s="11">
        <f>B49+Origin_X</f>
        <v>-691.6666666666666</v>
      </c>
      <c r="G49" s="11">
        <f>C49+Origin_Y</f>
        <v>441.66666666666663</v>
      </c>
    </row>
    <row r="50" spans="1:7" x14ac:dyDescent="0.25">
      <c r="A50" s="7">
        <v>45</v>
      </c>
      <c r="B50" s="7">
        <v>-716.6666666666666</v>
      </c>
      <c r="C50" s="7">
        <v>416.66666666666663</v>
      </c>
      <c r="D50" s="7">
        <v>833.3333333333334</v>
      </c>
      <c r="E50" s="7">
        <v>6</v>
      </c>
      <c r="F50" s="11">
        <f>B50+Origin_X</f>
        <v>-716.6666666666666</v>
      </c>
      <c r="G50" s="11">
        <f>C50+Origin_Y</f>
        <v>416.66666666666663</v>
      </c>
    </row>
    <row r="51" spans="1:7" x14ac:dyDescent="0.25">
      <c r="A51" s="7">
        <v>46</v>
      </c>
      <c r="B51" s="7">
        <v>-666.6666666666666</v>
      </c>
      <c r="C51" s="7">
        <v>466.66666666666663</v>
      </c>
      <c r="D51" s="7">
        <v>1666.6666666666667</v>
      </c>
      <c r="E51" s="7">
        <v>7</v>
      </c>
      <c r="F51" s="11">
        <f>B51+Origin_X</f>
        <v>-666.6666666666666</v>
      </c>
      <c r="G51" s="11">
        <f>C51+Origin_Y</f>
        <v>466.66666666666663</v>
      </c>
    </row>
    <row r="52" spans="1:7" x14ac:dyDescent="0.25">
      <c r="A52" s="7">
        <v>47</v>
      </c>
      <c r="B52" s="7">
        <v>-616.6666666666666</v>
      </c>
      <c r="C52" s="7">
        <v>466.66666666666663</v>
      </c>
      <c r="D52" s="7">
        <v>1666.6666666666667</v>
      </c>
      <c r="E52" s="7">
        <v>7</v>
      </c>
      <c r="F52" s="11">
        <f>B52+Origin_X</f>
        <v>-616.6666666666666</v>
      </c>
      <c r="G52" s="11">
        <f>C52+Origin_Y</f>
        <v>466.66666666666663</v>
      </c>
    </row>
    <row r="53" spans="1:7" x14ac:dyDescent="0.25">
      <c r="A53" s="7">
        <v>48</v>
      </c>
      <c r="B53" s="7">
        <v>-616.6666666666666</v>
      </c>
      <c r="C53" s="7">
        <v>516.6666666666666</v>
      </c>
      <c r="D53" s="7">
        <v>1666.6666666666667</v>
      </c>
      <c r="E53" s="7">
        <v>7</v>
      </c>
      <c r="F53" s="11">
        <f>B53+Origin_X</f>
        <v>-616.6666666666666</v>
      </c>
      <c r="G53" s="11">
        <f>C53+Origin_Y</f>
        <v>516.6666666666666</v>
      </c>
    </row>
    <row r="54" spans="1:7" x14ac:dyDescent="0.25">
      <c r="A54" s="7">
        <v>49</v>
      </c>
      <c r="B54" s="7">
        <v>-591.6666666666666</v>
      </c>
      <c r="C54" s="7">
        <v>-491.66666666666663</v>
      </c>
      <c r="D54" s="7">
        <v>833.3333333333334</v>
      </c>
      <c r="E54" s="7">
        <v>8</v>
      </c>
      <c r="F54" s="11">
        <f>B54+Origin_X</f>
        <v>-591.6666666666666</v>
      </c>
      <c r="G54" s="11">
        <f>C54+Origin_Y</f>
        <v>-491.66666666666663</v>
      </c>
    </row>
    <row r="55" spans="1:7" x14ac:dyDescent="0.25">
      <c r="A55" s="7">
        <v>50</v>
      </c>
      <c r="B55" s="7">
        <v>-591.6666666666666</v>
      </c>
      <c r="C55" s="7">
        <v>-541.6666666666666</v>
      </c>
      <c r="D55" s="7">
        <v>833.3333333333334</v>
      </c>
      <c r="E55" s="7">
        <v>8</v>
      </c>
      <c r="F55" s="11">
        <f>B55+Origin_X</f>
        <v>-591.6666666666666</v>
      </c>
      <c r="G55" s="11">
        <f>C55+Origin_Y</f>
        <v>-541.6666666666666</v>
      </c>
    </row>
    <row r="56" spans="1:7" x14ac:dyDescent="0.25">
      <c r="A56" s="7">
        <v>51</v>
      </c>
      <c r="B56" s="7">
        <v>-566.6666666666666</v>
      </c>
      <c r="C56" s="7">
        <v>-566.6666666666666</v>
      </c>
      <c r="D56" s="7">
        <v>833.3333333333334</v>
      </c>
      <c r="E56" s="7">
        <v>8</v>
      </c>
      <c r="F56" s="11">
        <f>B56+Origin_X</f>
        <v>-566.6666666666666</v>
      </c>
      <c r="G56" s="11">
        <f>C56+Origin_Y</f>
        <v>-566.6666666666666</v>
      </c>
    </row>
    <row r="57" spans="1:7" x14ac:dyDescent="0.25">
      <c r="A57" s="7">
        <v>52</v>
      </c>
      <c r="B57" s="7">
        <v>-566.6666666666666</v>
      </c>
      <c r="C57" s="7">
        <v>-500</v>
      </c>
      <c r="D57" s="7">
        <v>2500</v>
      </c>
      <c r="E57" s="7">
        <v>8</v>
      </c>
      <c r="F57" s="11">
        <f>B57+Origin_X</f>
        <v>-566.6666666666666</v>
      </c>
      <c r="G57" s="11">
        <f>C57+Origin_Y</f>
        <v>-500</v>
      </c>
    </row>
    <row r="58" spans="1:7" x14ac:dyDescent="0.25">
      <c r="A58" s="7">
        <v>53</v>
      </c>
      <c r="B58" s="7">
        <v>-541.6666666666666</v>
      </c>
      <c r="C58" s="7">
        <v>-575</v>
      </c>
      <c r="D58" s="7">
        <v>2500</v>
      </c>
      <c r="E58" s="7">
        <v>8</v>
      </c>
      <c r="F58" s="11">
        <f>B58+Origin_X</f>
        <v>-541.6666666666666</v>
      </c>
      <c r="G58" s="11">
        <f>C58+Origin_Y</f>
        <v>-575</v>
      </c>
    </row>
    <row r="59" spans="1:7" x14ac:dyDescent="0.25">
      <c r="A59" s="7">
        <v>54</v>
      </c>
      <c r="B59" s="7">
        <v>-491.66666666666663</v>
      </c>
      <c r="C59" s="7">
        <v>-575</v>
      </c>
      <c r="D59" s="7">
        <v>2500</v>
      </c>
      <c r="E59" s="7">
        <v>8</v>
      </c>
      <c r="F59" s="11">
        <f>B59+Origin_X</f>
        <v>-491.66666666666663</v>
      </c>
      <c r="G59" s="11">
        <f>C59+Origin_Y</f>
        <v>-575</v>
      </c>
    </row>
    <row r="60" spans="1:7" x14ac:dyDescent="0.25">
      <c r="A60" s="7">
        <v>55</v>
      </c>
      <c r="B60" s="7">
        <v>-475</v>
      </c>
      <c r="C60" s="7">
        <v>-550</v>
      </c>
      <c r="D60" s="7">
        <v>3750</v>
      </c>
      <c r="E60" s="7">
        <v>8</v>
      </c>
      <c r="F60" s="11">
        <f>B60+Origin_X</f>
        <v>-475</v>
      </c>
      <c r="G60" s="11">
        <f>C60+Origin_Y</f>
        <v>-550</v>
      </c>
    </row>
    <row r="61" spans="1:7" x14ac:dyDescent="0.25">
      <c r="A61" s="7">
        <v>56</v>
      </c>
      <c r="B61" s="7">
        <v>-475</v>
      </c>
      <c r="C61" s="7">
        <v>-475</v>
      </c>
      <c r="D61" s="7">
        <v>3750</v>
      </c>
      <c r="E61" s="7">
        <v>8</v>
      </c>
      <c r="F61" s="11">
        <f>B61+Origin_X</f>
        <v>-475</v>
      </c>
      <c r="G61" s="11">
        <f>C61+Origin_Y</f>
        <v>-475</v>
      </c>
    </row>
    <row r="62" spans="1:7" x14ac:dyDescent="0.25">
      <c r="A62" s="7">
        <v>57</v>
      </c>
      <c r="B62" s="7">
        <v>-550</v>
      </c>
      <c r="C62" s="7">
        <v>-475</v>
      </c>
      <c r="D62" s="7">
        <v>3750</v>
      </c>
      <c r="E62" s="7">
        <v>8</v>
      </c>
      <c r="F62" s="11">
        <f>B62+Origin_X</f>
        <v>-550</v>
      </c>
      <c r="G62" s="11">
        <f>C62+Origin_Y</f>
        <v>-475</v>
      </c>
    </row>
    <row r="63" spans="1:7" x14ac:dyDescent="0.25">
      <c r="A63" s="7">
        <v>58</v>
      </c>
      <c r="B63" s="7">
        <v>-575</v>
      </c>
      <c r="C63" s="7">
        <v>-350</v>
      </c>
      <c r="D63" s="7">
        <v>3750</v>
      </c>
      <c r="E63" s="7">
        <v>9</v>
      </c>
      <c r="F63" s="11">
        <f>B63+Origin_X</f>
        <v>-575</v>
      </c>
      <c r="G63" s="11">
        <f>C63+Origin_Y</f>
        <v>-350</v>
      </c>
    </row>
    <row r="64" spans="1:7" x14ac:dyDescent="0.25">
      <c r="A64" s="7">
        <v>59</v>
      </c>
      <c r="B64" s="7">
        <v>-575</v>
      </c>
      <c r="C64" s="7">
        <v>-425</v>
      </c>
      <c r="D64" s="7">
        <v>3750</v>
      </c>
      <c r="E64" s="7">
        <v>9</v>
      </c>
      <c r="F64" s="11">
        <f>B64+Origin_X</f>
        <v>-575</v>
      </c>
      <c r="G64" s="11">
        <f>C64+Origin_Y</f>
        <v>-425</v>
      </c>
    </row>
    <row r="65" spans="1:7" x14ac:dyDescent="0.25">
      <c r="A65" s="7">
        <v>60</v>
      </c>
      <c r="B65" s="7">
        <v>-500</v>
      </c>
      <c r="C65" s="7">
        <v>-425</v>
      </c>
      <c r="D65" s="7">
        <v>3750</v>
      </c>
      <c r="E65" s="7">
        <v>9</v>
      </c>
      <c r="F65" s="11">
        <f>B65+Origin_X</f>
        <v>-500</v>
      </c>
      <c r="G65" s="11">
        <f>C65+Origin_Y</f>
        <v>-425</v>
      </c>
    </row>
    <row r="66" spans="1:7" x14ac:dyDescent="0.25">
      <c r="A66" s="7">
        <v>61</v>
      </c>
      <c r="B66" s="7">
        <v>-550</v>
      </c>
      <c r="C66" s="7">
        <v>-341.66666666666663</v>
      </c>
      <c r="D66" s="7">
        <v>1250</v>
      </c>
      <c r="E66" s="7">
        <v>9</v>
      </c>
      <c r="F66" s="11">
        <f>B66+Origin_X</f>
        <v>-550</v>
      </c>
      <c r="G66" s="11">
        <f>C66+Origin_Y</f>
        <v>-341.66666666666663</v>
      </c>
    </row>
    <row r="67" spans="1:7" x14ac:dyDescent="0.25">
      <c r="A67" s="7">
        <v>62</v>
      </c>
      <c r="B67" s="7">
        <v>-475</v>
      </c>
      <c r="C67" s="7">
        <v>-416.66666666666663</v>
      </c>
      <c r="D67" s="7">
        <v>1250</v>
      </c>
      <c r="E67" s="7">
        <v>9</v>
      </c>
      <c r="F67" s="11">
        <f>B67+Origin_X</f>
        <v>-475</v>
      </c>
      <c r="G67" s="11">
        <f>C67+Origin_Y</f>
        <v>-416.66666666666663</v>
      </c>
    </row>
    <row r="68" spans="1:7" x14ac:dyDescent="0.25">
      <c r="A68" s="7">
        <v>63</v>
      </c>
      <c r="B68" s="7">
        <v>-475</v>
      </c>
      <c r="C68" s="7">
        <v>-391.66666666666663</v>
      </c>
      <c r="D68" s="7">
        <v>1250</v>
      </c>
      <c r="E68" s="7">
        <v>9</v>
      </c>
      <c r="F68" s="11">
        <f>B68+Origin_X</f>
        <v>-475</v>
      </c>
      <c r="G68" s="11">
        <f>C68+Origin_Y</f>
        <v>-391.66666666666663</v>
      </c>
    </row>
    <row r="69" spans="1:7" x14ac:dyDescent="0.25">
      <c r="A69" s="7">
        <v>64</v>
      </c>
      <c r="B69" s="7">
        <v>-491.66666666666663</v>
      </c>
      <c r="C69" s="7">
        <v>-366.66666666666663</v>
      </c>
      <c r="D69" s="7">
        <v>833.3333333333334</v>
      </c>
      <c r="E69" s="7">
        <v>9</v>
      </c>
      <c r="F69" s="11">
        <f>B69+Origin_X</f>
        <v>-491.66666666666663</v>
      </c>
      <c r="G69" s="11">
        <f>C69+Origin_Y</f>
        <v>-366.66666666666663</v>
      </c>
    </row>
    <row r="70" spans="1:7" x14ac:dyDescent="0.25">
      <c r="A70" s="7">
        <v>65</v>
      </c>
      <c r="B70" s="7">
        <v>-541.6666666666666</v>
      </c>
      <c r="C70" s="7">
        <v>-316.66666666666663</v>
      </c>
      <c r="D70" s="7">
        <v>833.3333333333334</v>
      </c>
      <c r="E70" s="7">
        <v>9</v>
      </c>
      <c r="F70" s="11">
        <f>B70+Origin_X</f>
        <v>-541.6666666666666</v>
      </c>
      <c r="G70" s="11">
        <f>C70+Origin_Y</f>
        <v>-316.66666666666663</v>
      </c>
    </row>
    <row r="71" spans="1:7" x14ac:dyDescent="0.25">
      <c r="A71" s="7">
        <v>66</v>
      </c>
      <c r="B71" s="7">
        <v>-566.6666666666666</v>
      </c>
      <c r="C71" s="7">
        <v>-316.66666666666663</v>
      </c>
      <c r="D71" s="7">
        <v>833.3333333333334</v>
      </c>
      <c r="E71" s="7">
        <v>9</v>
      </c>
      <c r="F71" s="11">
        <f>B71+Origin_X</f>
        <v>-566.6666666666666</v>
      </c>
      <c r="G71" s="11">
        <f>C71+Origin_Y</f>
        <v>-316.66666666666663</v>
      </c>
    </row>
    <row r="72" spans="1:7" x14ac:dyDescent="0.25">
      <c r="A72" s="7">
        <v>67</v>
      </c>
      <c r="B72" s="7">
        <v>-591.6666666666666</v>
      </c>
      <c r="C72" s="7">
        <v>-200</v>
      </c>
      <c r="D72" s="7">
        <v>1250</v>
      </c>
      <c r="E72" s="7">
        <v>10</v>
      </c>
      <c r="F72" s="11">
        <f>B72+Origin_X</f>
        <v>-591.6666666666666</v>
      </c>
      <c r="G72" s="11">
        <f>C72+Origin_Y</f>
        <v>-200</v>
      </c>
    </row>
    <row r="73" spans="1:7" x14ac:dyDescent="0.25">
      <c r="A73" s="7">
        <v>68</v>
      </c>
      <c r="B73" s="7">
        <v>-591.6666666666666</v>
      </c>
      <c r="C73" s="7">
        <v>-275</v>
      </c>
      <c r="D73" s="7">
        <v>1250</v>
      </c>
      <c r="E73" s="7">
        <v>10</v>
      </c>
      <c r="F73" s="11">
        <f>B73+Origin_X</f>
        <v>-591.6666666666666</v>
      </c>
      <c r="G73" s="11">
        <f>C73+Origin_Y</f>
        <v>-275</v>
      </c>
    </row>
    <row r="74" spans="1:7" x14ac:dyDescent="0.25">
      <c r="A74" s="7">
        <v>69</v>
      </c>
      <c r="B74" s="7">
        <v>-566.6666666666666</v>
      </c>
      <c r="C74" s="7">
        <v>-275</v>
      </c>
      <c r="D74" s="7">
        <v>1250</v>
      </c>
      <c r="E74" s="7">
        <v>10</v>
      </c>
      <c r="F74" s="11">
        <f>B74+Origin_X</f>
        <v>-566.6666666666666</v>
      </c>
      <c r="G74" s="11">
        <f>C74+Origin_Y</f>
        <v>-275</v>
      </c>
    </row>
    <row r="75" spans="1:7" x14ac:dyDescent="0.25">
      <c r="A75" s="7">
        <v>70</v>
      </c>
      <c r="B75" s="7">
        <v>-558.3333333333333</v>
      </c>
      <c r="C75" s="7">
        <v>-250</v>
      </c>
      <c r="D75" s="7">
        <v>1250</v>
      </c>
      <c r="E75" s="7">
        <v>10</v>
      </c>
      <c r="F75" s="11">
        <f>B75+Origin_X</f>
        <v>-558.3333333333333</v>
      </c>
      <c r="G75" s="11">
        <f>C75+Origin_Y</f>
        <v>-250</v>
      </c>
    </row>
    <row r="76" spans="1:7" x14ac:dyDescent="0.25">
      <c r="A76" s="7">
        <v>71</v>
      </c>
      <c r="B76" s="7">
        <v>-558.3333333333333</v>
      </c>
      <c r="C76" s="7">
        <v>-175</v>
      </c>
      <c r="D76" s="7">
        <v>1250</v>
      </c>
      <c r="E76" s="7">
        <v>10</v>
      </c>
      <c r="F76" s="11">
        <f>B76+Origin_X</f>
        <v>-558.3333333333333</v>
      </c>
      <c r="G76" s="11">
        <f>C76+Origin_Y</f>
        <v>-175</v>
      </c>
    </row>
    <row r="77" spans="1:7" x14ac:dyDescent="0.25">
      <c r="A77" s="7">
        <v>72</v>
      </c>
      <c r="B77" s="7">
        <v>-583.3333333333333</v>
      </c>
      <c r="C77" s="7">
        <v>-175</v>
      </c>
      <c r="D77" s="7">
        <v>1250</v>
      </c>
      <c r="E77" s="7">
        <v>10</v>
      </c>
      <c r="F77" s="11">
        <f>B77+Origin_X</f>
        <v>-583.3333333333333</v>
      </c>
      <c r="G77" s="11">
        <f>C77+Origin_Y</f>
        <v>-175</v>
      </c>
    </row>
    <row r="78" spans="1:7" x14ac:dyDescent="0.25">
      <c r="A78" s="7">
        <v>73</v>
      </c>
      <c r="B78" s="7">
        <v>-591.6666666666666</v>
      </c>
      <c r="C78" s="7">
        <v>-50</v>
      </c>
      <c r="D78" s="7">
        <v>1250</v>
      </c>
      <c r="E78" s="7">
        <v>11</v>
      </c>
      <c r="F78" s="11">
        <f>B78+Origin_X</f>
        <v>-591.6666666666666</v>
      </c>
      <c r="G78" s="11">
        <f>C78+Origin_Y</f>
        <v>-50</v>
      </c>
    </row>
    <row r="79" spans="1:7" x14ac:dyDescent="0.25">
      <c r="A79" s="7">
        <v>74</v>
      </c>
      <c r="B79" s="7">
        <v>-591.6666666666666</v>
      </c>
      <c r="C79" s="7">
        <v>-125</v>
      </c>
      <c r="D79" s="7">
        <v>1250</v>
      </c>
      <c r="E79" s="7">
        <v>11</v>
      </c>
      <c r="F79" s="11">
        <f>B79+Origin_X</f>
        <v>-591.6666666666666</v>
      </c>
      <c r="G79" s="11">
        <f>C79+Origin_Y</f>
        <v>-125</v>
      </c>
    </row>
    <row r="80" spans="1:7" x14ac:dyDescent="0.25">
      <c r="A80" s="7">
        <v>75</v>
      </c>
      <c r="B80" s="7">
        <v>-566.6666666666666</v>
      </c>
      <c r="C80" s="7">
        <v>-125</v>
      </c>
      <c r="D80" s="7">
        <v>1250</v>
      </c>
      <c r="E80" s="7">
        <v>11</v>
      </c>
      <c r="F80" s="11">
        <f>B80+Origin_X</f>
        <v>-566.6666666666666</v>
      </c>
      <c r="G80" s="11">
        <f>C80+Origin_Y</f>
        <v>-125</v>
      </c>
    </row>
    <row r="81" spans="1:7" x14ac:dyDescent="0.25">
      <c r="A81" s="7">
        <v>76</v>
      </c>
      <c r="B81" s="7">
        <v>-558.3333333333333</v>
      </c>
      <c r="C81" s="7">
        <v>-100</v>
      </c>
      <c r="D81" s="7">
        <v>1250</v>
      </c>
      <c r="E81" s="7">
        <v>11</v>
      </c>
      <c r="F81" s="11">
        <f>B81+Origin_X</f>
        <v>-558.3333333333333</v>
      </c>
      <c r="G81" s="11">
        <f>C81+Origin_Y</f>
        <v>-100</v>
      </c>
    </row>
    <row r="82" spans="1:7" x14ac:dyDescent="0.25">
      <c r="A82" s="7">
        <v>77</v>
      </c>
      <c r="B82" s="7">
        <v>-558.3333333333333</v>
      </c>
      <c r="C82" s="7">
        <v>-25</v>
      </c>
      <c r="D82" s="7">
        <v>1250</v>
      </c>
      <c r="E82" s="7">
        <v>11</v>
      </c>
      <c r="F82" s="11">
        <f>B82+Origin_X</f>
        <v>-558.3333333333333</v>
      </c>
      <c r="G82" s="11">
        <f>C82+Origin_Y</f>
        <v>-25</v>
      </c>
    </row>
    <row r="83" spans="1:7" x14ac:dyDescent="0.25">
      <c r="A83" s="7">
        <v>78</v>
      </c>
      <c r="B83" s="7">
        <v>-583.3333333333333</v>
      </c>
      <c r="C83" s="7">
        <v>-25</v>
      </c>
      <c r="D83" s="7">
        <v>1250</v>
      </c>
      <c r="E83" s="7">
        <v>11</v>
      </c>
      <c r="F83" s="11">
        <f>B83+Origin_X</f>
        <v>-583.3333333333333</v>
      </c>
      <c r="G83" s="11">
        <f>C83+Origin_Y</f>
        <v>-25</v>
      </c>
    </row>
    <row r="84" spans="1:7" x14ac:dyDescent="0.25">
      <c r="A84" s="7">
        <v>79</v>
      </c>
      <c r="B84" s="7">
        <v>-591.6666666666666</v>
      </c>
      <c r="C84" s="7">
        <v>100</v>
      </c>
      <c r="D84" s="7">
        <v>1250</v>
      </c>
      <c r="E84" s="7">
        <v>12</v>
      </c>
      <c r="F84" s="11">
        <f>B84+Origin_X</f>
        <v>-591.6666666666666</v>
      </c>
      <c r="G84" s="11">
        <f>C84+Origin_Y</f>
        <v>100</v>
      </c>
    </row>
    <row r="85" spans="1:7" x14ac:dyDescent="0.25">
      <c r="A85" s="7">
        <v>80</v>
      </c>
      <c r="B85" s="7">
        <v>-591.6666666666666</v>
      </c>
      <c r="C85" s="7">
        <v>25</v>
      </c>
      <c r="D85" s="7">
        <v>1250</v>
      </c>
      <c r="E85" s="7">
        <v>12</v>
      </c>
      <c r="F85" s="11">
        <f>B85+Origin_X</f>
        <v>-591.6666666666666</v>
      </c>
      <c r="G85" s="11">
        <f>C85+Origin_Y</f>
        <v>25</v>
      </c>
    </row>
    <row r="86" spans="1:7" x14ac:dyDescent="0.25">
      <c r="A86" s="7">
        <v>81</v>
      </c>
      <c r="B86" s="7">
        <v>-566.6666666666666</v>
      </c>
      <c r="C86" s="7">
        <v>25</v>
      </c>
      <c r="D86" s="7">
        <v>1250</v>
      </c>
      <c r="E86" s="7">
        <v>12</v>
      </c>
      <c r="F86" s="11">
        <f>B86+Origin_X</f>
        <v>-566.6666666666666</v>
      </c>
      <c r="G86" s="11">
        <f>C86+Origin_Y</f>
        <v>25</v>
      </c>
    </row>
    <row r="87" spans="1:7" x14ac:dyDescent="0.25">
      <c r="A87" s="7">
        <v>82</v>
      </c>
      <c r="B87" s="7">
        <v>-558.3333333333333</v>
      </c>
      <c r="C87" s="7">
        <v>50</v>
      </c>
      <c r="D87" s="7">
        <v>1250</v>
      </c>
      <c r="E87" s="7">
        <v>12</v>
      </c>
      <c r="F87" s="11">
        <f>B87+Origin_X</f>
        <v>-558.3333333333333</v>
      </c>
      <c r="G87" s="11">
        <f>C87+Origin_Y</f>
        <v>50</v>
      </c>
    </row>
    <row r="88" spans="1:7" x14ac:dyDescent="0.25">
      <c r="A88" s="7">
        <v>83</v>
      </c>
      <c r="B88" s="7">
        <v>-558.3333333333333</v>
      </c>
      <c r="C88" s="7">
        <v>125</v>
      </c>
      <c r="D88" s="7">
        <v>1250</v>
      </c>
      <c r="E88" s="7">
        <v>12</v>
      </c>
      <c r="F88" s="11">
        <f>B88+Origin_X</f>
        <v>-558.3333333333333</v>
      </c>
      <c r="G88" s="11">
        <f>C88+Origin_Y</f>
        <v>125</v>
      </c>
    </row>
    <row r="89" spans="1:7" x14ac:dyDescent="0.25">
      <c r="A89" s="7">
        <v>84</v>
      </c>
      <c r="B89" s="7">
        <v>-583.3333333333333</v>
      </c>
      <c r="C89" s="7">
        <v>125</v>
      </c>
      <c r="D89" s="7">
        <v>1250</v>
      </c>
      <c r="E89" s="7">
        <v>12</v>
      </c>
      <c r="F89" s="11">
        <f>B89+Origin_X</f>
        <v>-583.3333333333333</v>
      </c>
      <c r="G89" s="11">
        <f>C89+Origin_Y</f>
        <v>125</v>
      </c>
    </row>
    <row r="90" spans="1:7" x14ac:dyDescent="0.25">
      <c r="A90" s="7">
        <v>85</v>
      </c>
      <c r="B90" s="7">
        <v>-591.6666666666666</v>
      </c>
      <c r="C90" s="7">
        <v>250</v>
      </c>
      <c r="D90" s="7">
        <v>1250</v>
      </c>
      <c r="E90" s="7">
        <v>13</v>
      </c>
      <c r="F90" s="11">
        <f>B90+Origin_X</f>
        <v>-591.6666666666666</v>
      </c>
      <c r="G90" s="11">
        <f>C90+Origin_Y</f>
        <v>250</v>
      </c>
    </row>
    <row r="91" spans="1:7" x14ac:dyDescent="0.25">
      <c r="A91" s="7">
        <v>86</v>
      </c>
      <c r="B91" s="7">
        <v>-591.6666666666666</v>
      </c>
      <c r="C91" s="7">
        <v>175</v>
      </c>
      <c r="D91" s="7">
        <v>1250</v>
      </c>
      <c r="E91" s="7">
        <v>13</v>
      </c>
      <c r="F91" s="11">
        <f>B91+Origin_X</f>
        <v>-591.6666666666666</v>
      </c>
      <c r="G91" s="11">
        <f>C91+Origin_Y</f>
        <v>175</v>
      </c>
    </row>
    <row r="92" spans="1:7" x14ac:dyDescent="0.25">
      <c r="A92" s="7">
        <v>87</v>
      </c>
      <c r="B92" s="7">
        <v>-566.6666666666666</v>
      </c>
      <c r="C92" s="7">
        <v>175</v>
      </c>
      <c r="D92" s="7">
        <v>1250</v>
      </c>
      <c r="E92" s="7">
        <v>13</v>
      </c>
      <c r="F92" s="11">
        <f>B92+Origin_X</f>
        <v>-566.6666666666666</v>
      </c>
      <c r="G92" s="11">
        <f>C92+Origin_Y</f>
        <v>175</v>
      </c>
    </row>
    <row r="93" spans="1:7" x14ac:dyDescent="0.25">
      <c r="A93" s="7">
        <v>88</v>
      </c>
      <c r="B93" s="7">
        <v>-558.3333333333333</v>
      </c>
      <c r="C93" s="7">
        <v>200</v>
      </c>
      <c r="D93" s="7">
        <v>1250</v>
      </c>
      <c r="E93" s="7">
        <v>13</v>
      </c>
      <c r="F93" s="11">
        <f>B93+Origin_X</f>
        <v>-558.3333333333333</v>
      </c>
      <c r="G93" s="11">
        <f>C93+Origin_Y</f>
        <v>200</v>
      </c>
    </row>
    <row r="94" spans="1:7" x14ac:dyDescent="0.25">
      <c r="A94" s="7">
        <v>89</v>
      </c>
      <c r="B94" s="7">
        <v>-558.3333333333333</v>
      </c>
      <c r="C94" s="7">
        <v>275</v>
      </c>
      <c r="D94" s="7">
        <v>1250</v>
      </c>
      <c r="E94" s="7">
        <v>13</v>
      </c>
      <c r="F94" s="11">
        <f>B94+Origin_X</f>
        <v>-558.3333333333333</v>
      </c>
      <c r="G94" s="11">
        <f>C94+Origin_Y</f>
        <v>275</v>
      </c>
    </row>
    <row r="95" spans="1:7" x14ac:dyDescent="0.25">
      <c r="A95" s="7">
        <v>90</v>
      </c>
      <c r="B95" s="7">
        <v>-583.3333333333333</v>
      </c>
      <c r="C95" s="7">
        <v>275</v>
      </c>
      <c r="D95" s="7">
        <v>1250</v>
      </c>
      <c r="E95" s="7">
        <v>13</v>
      </c>
      <c r="F95" s="11">
        <f>B95+Origin_X</f>
        <v>-583.3333333333333</v>
      </c>
      <c r="G95" s="11">
        <f>C95+Origin_Y</f>
        <v>275</v>
      </c>
    </row>
    <row r="96" spans="1:7" x14ac:dyDescent="0.25">
      <c r="A96" s="7">
        <v>91</v>
      </c>
      <c r="B96" s="7">
        <v>-591.6666666666666</v>
      </c>
      <c r="C96" s="7">
        <v>400</v>
      </c>
      <c r="D96" s="7">
        <v>1250</v>
      </c>
      <c r="E96" s="7">
        <v>14</v>
      </c>
      <c r="F96" s="11">
        <f>B96+Origin_X</f>
        <v>-591.6666666666666</v>
      </c>
      <c r="G96" s="11">
        <f>C96+Origin_Y</f>
        <v>400</v>
      </c>
    </row>
    <row r="97" spans="1:7" x14ac:dyDescent="0.25">
      <c r="A97" s="7">
        <v>92</v>
      </c>
      <c r="B97" s="7">
        <v>-591.6666666666666</v>
      </c>
      <c r="C97" s="7">
        <v>325</v>
      </c>
      <c r="D97" s="7">
        <v>1250</v>
      </c>
      <c r="E97" s="7">
        <v>14</v>
      </c>
      <c r="F97" s="11">
        <f>B97+Origin_X</f>
        <v>-591.6666666666666</v>
      </c>
      <c r="G97" s="11">
        <f>C97+Origin_Y</f>
        <v>325</v>
      </c>
    </row>
    <row r="98" spans="1:7" x14ac:dyDescent="0.25">
      <c r="A98" s="7">
        <v>93</v>
      </c>
      <c r="B98" s="7">
        <v>-566.6666666666666</v>
      </c>
      <c r="C98" s="7">
        <v>325</v>
      </c>
      <c r="D98" s="7">
        <v>1250</v>
      </c>
      <c r="E98" s="7">
        <v>14</v>
      </c>
      <c r="F98" s="11">
        <f>B98+Origin_X</f>
        <v>-566.6666666666666</v>
      </c>
      <c r="G98" s="11">
        <f>C98+Origin_Y</f>
        <v>325</v>
      </c>
    </row>
    <row r="99" spans="1:7" x14ac:dyDescent="0.25">
      <c r="A99" s="7">
        <v>94</v>
      </c>
      <c r="B99" s="7">
        <v>-566.6666666666666</v>
      </c>
      <c r="C99" s="7">
        <v>416.66666666666663</v>
      </c>
      <c r="D99" s="7">
        <v>3333.3333333333335</v>
      </c>
      <c r="E99" s="7">
        <v>14</v>
      </c>
      <c r="F99" s="11">
        <f>B99+Origin_X</f>
        <v>-566.6666666666666</v>
      </c>
      <c r="G99" s="11">
        <f>C99+Origin_Y</f>
        <v>416.66666666666663</v>
      </c>
    </row>
    <row r="100" spans="1:7" x14ac:dyDescent="0.25">
      <c r="A100" s="7">
        <v>95</v>
      </c>
      <c r="B100" s="7">
        <v>-541.6666666666666</v>
      </c>
      <c r="C100" s="7">
        <v>341.66666666666663</v>
      </c>
      <c r="D100" s="7">
        <v>3333.3333333333335</v>
      </c>
      <c r="E100" s="7">
        <v>14</v>
      </c>
      <c r="F100" s="11">
        <f>B100+Origin_X</f>
        <v>-541.6666666666666</v>
      </c>
      <c r="G100" s="11">
        <f>C100+Origin_Y</f>
        <v>341.66666666666663</v>
      </c>
    </row>
    <row r="101" spans="1:7" x14ac:dyDescent="0.25">
      <c r="A101" s="7">
        <v>96</v>
      </c>
      <c r="B101" s="7">
        <v>-491.66666666666663</v>
      </c>
      <c r="C101" s="7">
        <v>391.66666666666663</v>
      </c>
      <c r="D101" s="7">
        <v>3333.3333333333335</v>
      </c>
      <c r="E101" s="7">
        <v>14</v>
      </c>
      <c r="F101" s="11">
        <f>B101+Origin_X</f>
        <v>-491.66666666666663</v>
      </c>
      <c r="G101" s="11">
        <f>C101+Origin_Y</f>
        <v>391.66666666666663</v>
      </c>
    </row>
    <row r="102" spans="1:7" x14ac:dyDescent="0.25">
      <c r="A102" s="7">
        <v>97</v>
      </c>
      <c r="B102" s="7">
        <v>-475</v>
      </c>
      <c r="C102" s="7">
        <v>416.66666666666663</v>
      </c>
      <c r="D102" s="7">
        <v>1250</v>
      </c>
      <c r="E102" s="7">
        <v>14</v>
      </c>
      <c r="F102" s="11">
        <f>B102+Origin_X</f>
        <v>-475</v>
      </c>
      <c r="G102" s="11">
        <f>C102+Origin_Y</f>
        <v>416.66666666666663</v>
      </c>
    </row>
    <row r="103" spans="1:7" x14ac:dyDescent="0.25">
      <c r="A103" s="7">
        <v>98</v>
      </c>
      <c r="B103" s="7">
        <v>-475</v>
      </c>
      <c r="C103" s="7">
        <v>441.66666666666663</v>
      </c>
      <c r="D103" s="7">
        <v>1250</v>
      </c>
      <c r="E103" s="7">
        <v>14</v>
      </c>
      <c r="F103" s="11">
        <f>B103+Origin_X</f>
        <v>-475</v>
      </c>
      <c r="G103" s="11">
        <f>C103+Origin_Y</f>
        <v>441.66666666666663</v>
      </c>
    </row>
    <row r="104" spans="1:7" x14ac:dyDescent="0.25">
      <c r="A104" s="7">
        <v>99</v>
      </c>
      <c r="B104" s="7">
        <v>-550</v>
      </c>
      <c r="C104" s="7">
        <v>441.66666666666663</v>
      </c>
      <c r="D104" s="7">
        <v>1250</v>
      </c>
      <c r="E104" s="7">
        <v>14</v>
      </c>
      <c r="F104" s="11">
        <f>B104+Origin_X</f>
        <v>-550</v>
      </c>
      <c r="G104" s="11">
        <f>C104+Origin_Y</f>
        <v>441.66666666666663</v>
      </c>
    </row>
    <row r="105" spans="1:7" x14ac:dyDescent="0.25">
      <c r="A105" s="7">
        <v>100</v>
      </c>
      <c r="B105" s="7">
        <v>-575</v>
      </c>
      <c r="C105" s="7">
        <v>516.6666666666666</v>
      </c>
      <c r="D105" s="7">
        <v>2500</v>
      </c>
      <c r="E105" s="7">
        <v>15</v>
      </c>
      <c r="F105" s="11">
        <f>B105+Origin_X</f>
        <v>-575</v>
      </c>
      <c r="G105" s="11">
        <f>C105+Origin_Y</f>
        <v>516.6666666666666</v>
      </c>
    </row>
    <row r="106" spans="1:7" x14ac:dyDescent="0.25">
      <c r="A106" s="7">
        <v>101</v>
      </c>
      <c r="B106" s="7">
        <v>-575</v>
      </c>
      <c r="C106" s="7">
        <v>466.66666666666663</v>
      </c>
      <c r="D106" s="7">
        <v>2500</v>
      </c>
      <c r="E106" s="7">
        <v>15</v>
      </c>
      <c r="F106" s="11">
        <f>B106+Origin_X</f>
        <v>-575</v>
      </c>
      <c r="G106" s="11">
        <f>C106+Origin_Y</f>
        <v>466.66666666666663</v>
      </c>
    </row>
    <row r="107" spans="1:7" x14ac:dyDescent="0.25">
      <c r="A107" s="7">
        <v>102</v>
      </c>
      <c r="B107" s="7">
        <v>-500</v>
      </c>
      <c r="C107" s="7">
        <v>466.66666666666663</v>
      </c>
      <c r="D107" s="7">
        <v>2500</v>
      </c>
      <c r="E107" s="7">
        <v>15</v>
      </c>
      <c r="F107" s="11">
        <f>B107+Origin_X</f>
        <v>-500</v>
      </c>
      <c r="G107" s="11">
        <f>C107+Origin_Y</f>
        <v>466.66666666666663</v>
      </c>
    </row>
    <row r="108" spans="1:7" x14ac:dyDescent="0.25">
      <c r="A108" s="7">
        <v>103</v>
      </c>
      <c r="B108" s="7">
        <v>-550</v>
      </c>
      <c r="C108" s="7">
        <v>541.6666666666666</v>
      </c>
      <c r="D108" s="7">
        <v>3750</v>
      </c>
      <c r="E108" s="7">
        <v>15</v>
      </c>
      <c r="F108" s="11">
        <f>B108+Origin_X</f>
        <v>-550</v>
      </c>
      <c r="G108" s="11">
        <f>C108+Origin_Y</f>
        <v>541.6666666666666</v>
      </c>
    </row>
    <row r="109" spans="1:7" x14ac:dyDescent="0.25">
      <c r="A109" s="7">
        <v>104</v>
      </c>
      <c r="B109" s="7">
        <v>-475</v>
      </c>
      <c r="C109" s="7">
        <v>491.66666666666663</v>
      </c>
      <c r="D109" s="7">
        <v>3750</v>
      </c>
      <c r="E109" s="7">
        <v>15</v>
      </c>
      <c r="F109" s="11">
        <f>B109+Origin_X</f>
        <v>-475</v>
      </c>
      <c r="G109" s="11">
        <f>C109+Origin_Y</f>
        <v>491.66666666666663</v>
      </c>
    </row>
    <row r="110" spans="1:7" x14ac:dyDescent="0.25">
      <c r="A110" s="7">
        <v>105</v>
      </c>
      <c r="B110" s="7">
        <v>-475</v>
      </c>
      <c r="C110" s="7">
        <v>566.6666666666666</v>
      </c>
      <c r="D110" s="7">
        <v>3750</v>
      </c>
      <c r="E110" s="7">
        <v>15</v>
      </c>
      <c r="F110" s="11">
        <f>B110+Origin_X</f>
        <v>-475</v>
      </c>
      <c r="G110" s="11">
        <f>C110+Origin_Y</f>
        <v>566.6666666666666</v>
      </c>
    </row>
    <row r="111" spans="1:7" x14ac:dyDescent="0.25">
      <c r="A111" s="7">
        <v>106</v>
      </c>
      <c r="B111" s="7">
        <v>-491.66666666666663</v>
      </c>
      <c r="C111" s="7">
        <v>591.6666666666666</v>
      </c>
      <c r="D111" s="7">
        <v>833.3333333333334</v>
      </c>
      <c r="E111" s="7">
        <v>15</v>
      </c>
      <c r="F111" s="11">
        <f>B111+Origin_X</f>
        <v>-491.66666666666663</v>
      </c>
      <c r="G111" s="11">
        <f>C111+Origin_Y</f>
        <v>591.6666666666666</v>
      </c>
    </row>
    <row r="112" spans="1:7" x14ac:dyDescent="0.25">
      <c r="A112" s="7">
        <v>107</v>
      </c>
      <c r="B112" s="7">
        <v>-541.6666666666666</v>
      </c>
      <c r="C112" s="7">
        <v>591.6666666666666</v>
      </c>
      <c r="D112" s="7">
        <v>833.3333333333334</v>
      </c>
      <c r="E112" s="7">
        <v>15</v>
      </c>
      <c r="F112" s="11">
        <f>B112+Origin_X</f>
        <v>-541.6666666666666</v>
      </c>
      <c r="G112" s="11">
        <f>C112+Origin_Y</f>
        <v>591.6666666666666</v>
      </c>
    </row>
    <row r="113" spans="1:7" x14ac:dyDescent="0.25">
      <c r="A113" s="7">
        <v>108</v>
      </c>
      <c r="B113" s="7">
        <v>-566.6666666666666</v>
      </c>
      <c r="C113" s="7">
        <v>566.6666666666666</v>
      </c>
      <c r="D113" s="7">
        <v>833.3333333333334</v>
      </c>
      <c r="E113" s="7">
        <v>15</v>
      </c>
      <c r="F113" s="11">
        <f>B113+Origin_X</f>
        <v>-566.6666666666666</v>
      </c>
      <c r="G113" s="11">
        <f>C113+Origin_Y</f>
        <v>566.6666666666666</v>
      </c>
    </row>
    <row r="114" spans="1:7" x14ac:dyDescent="0.25">
      <c r="A114" s="7">
        <v>109</v>
      </c>
      <c r="B114" s="7">
        <v>-425</v>
      </c>
      <c r="C114" s="7">
        <v>-500</v>
      </c>
      <c r="D114" s="7">
        <v>3750</v>
      </c>
      <c r="E114" s="7">
        <v>16</v>
      </c>
      <c r="F114" s="11">
        <f>B114+Origin_X</f>
        <v>-425</v>
      </c>
      <c r="G114" s="11">
        <f>C114+Origin_Y</f>
        <v>-500</v>
      </c>
    </row>
    <row r="115" spans="1:7" x14ac:dyDescent="0.25">
      <c r="A115" s="7">
        <v>110</v>
      </c>
      <c r="B115" s="7">
        <v>-425</v>
      </c>
      <c r="C115" s="7">
        <v>-575</v>
      </c>
      <c r="D115" s="7">
        <v>3750</v>
      </c>
      <c r="E115" s="7">
        <v>16</v>
      </c>
      <c r="F115" s="11">
        <f>B115+Origin_X</f>
        <v>-425</v>
      </c>
      <c r="G115" s="11">
        <f>C115+Origin_Y</f>
        <v>-575</v>
      </c>
    </row>
    <row r="116" spans="1:7" x14ac:dyDescent="0.25">
      <c r="A116" s="7">
        <v>111</v>
      </c>
      <c r="B116" s="7">
        <v>-350</v>
      </c>
      <c r="C116" s="7">
        <v>-575</v>
      </c>
      <c r="D116" s="7">
        <v>3750</v>
      </c>
      <c r="E116" s="7">
        <v>16</v>
      </c>
      <c r="F116" s="11">
        <f>B116+Origin_X</f>
        <v>-350</v>
      </c>
      <c r="G116" s="11">
        <f>C116+Origin_Y</f>
        <v>-575</v>
      </c>
    </row>
    <row r="117" spans="1:7" x14ac:dyDescent="0.25">
      <c r="A117" s="7">
        <v>112</v>
      </c>
      <c r="B117" s="7">
        <v>-325</v>
      </c>
      <c r="C117" s="7">
        <v>-550</v>
      </c>
      <c r="D117" s="7">
        <v>3750</v>
      </c>
      <c r="E117" s="7">
        <v>16</v>
      </c>
      <c r="F117" s="11">
        <f>B117+Origin_X</f>
        <v>-325</v>
      </c>
      <c r="G117" s="11">
        <f>C117+Origin_Y</f>
        <v>-550</v>
      </c>
    </row>
    <row r="118" spans="1:7" x14ac:dyDescent="0.25">
      <c r="A118" s="7">
        <v>113</v>
      </c>
      <c r="B118" s="7">
        <v>-325</v>
      </c>
      <c r="C118" s="7">
        <v>-475</v>
      </c>
      <c r="D118" s="7">
        <v>3750</v>
      </c>
      <c r="E118" s="7">
        <v>16</v>
      </c>
      <c r="F118" s="11">
        <f>B118+Origin_X</f>
        <v>-325</v>
      </c>
      <c r="G118" s="11">
        <f>C118+Origin_Y</f>
        <v>-475</v>
      </c>
    </row>
    <row r="119" spans="1:7" x14ac:dyDescent="0.25">
      <c r="A119" s="7">
        <v>114</v>
      </c>
      <c r="B119" s="7">
        <v>-400</v>
      </c>
      <c r="C119" s="7">
        <v>-475</v>
      </c>
      <c r="D119" s="7">
        <v>3750</v>
      </c>
      <c r="E119" s="7">
        <v>16</v>
      </c>
      <c r="F119" s="11">
        <f>B119+Origin_X</f>
        <v>-400</v>
      </c>
      <c r="G119" s="11">
        <f>C119+Origin_Y</f>
        <v>-475</v>
      </c>
    </row>
    <row r="120" spans="1:7" x14ac:dyDescent="0.25">
      <c r="A120" s="7">
        <v>115</v>
      </c>
      <c r="B120" s="7">
        <v>-425</v>
      </c>
      <c r="C120" s="7">
        <v>-416.66666666666663</v>
      </c>
      <c r="D120" s="7">
        <v>1250</v>
      </c>
      <c r="E120" s="7">
        <v>17</v>
      </c>
      <c r="F120" s="11">
        <f>B120+Origin_X</f>
        <v>-425</v>
      </c>
      <c r="G120" s="11">
        <f>C120+Origin_Y</f>
        <v>-416.66666666666663</v>
      </c>
    </row>
    <row r="121" spans="1:7" x14ac:dyDescent="0.25">
      <c r="A121" s="7">
        <v>116</v>
      </c>
      <c r="B121" s="7">
        <v>-425</v>
      </c>
      <c r="C121" s="7">
        <v>-441.66666666666663</v>
      </c>
      <c r="D121" s="7">
        <v>1250</v>
      </c>
      <c r="E121" s="7">
        <v>17</v>
      </c>
      <c r="F121" s="11">
        <f>B121+Origin_X</f>
        <v>-425</v>
      </c>
      <c r="G121" s="11">
        <f>C121+Origin_Y</f>
        <v>-441.66666666666663</v>
      </c>
    </row>
    <row r="122" spans="1:7" x14ac:dyDescent="0.25">
      <c r="A122" s="7">
        <v>117</v>
      </c>
      <c r="B122" s="7">
        <v>-350</v>
      </c>
      <c r="C122" s="7">
        <v>-441.66666666666663</v>
      </c>
      <c r="D122" s="7">
        <v>1250</v>
      </c>
      <c r="E122" s="7">
        <v>17</v>
      </c>
      <c r="F122" s="11">
        <f>B122+Origin_X</f>
        <v>-350</v>
      </c>
      <c r="G122" s="11">
        <f>C122+Origin_Y</f>
        <v>-441.66666666666663</v>
      </c>
    </row>
    <row r="123" spans="1:7" x14ac:dyDescent="0.25">
      <c r="A123" s="7">
        <v>118</v>
      </c>
      <c r="B123" s="7">
        <v>-325</v>
      </c>
      <c r="C123" s="7">
        <v>-433.33333333333326</v>
      </c>
      <c r="D123" s="7">
        <v>1250</v>
      </c>
      <c r="E123" s="7">
        <v>17</v>
      </c>
      <c r="F123" s="11">
        <f>B123+Origin_X</f>
        <v>-325</v>
      </c>
      <c r="G123" s="11">
        <f>C123+Origin_Y</f>
        <v>-433.33333333333326</v>
      </c>
    </row>
    <row r="124" spans="1:7" x14ac:dyDescent="0.25">
      <c r="A124" s="7">
        <v>119</v>
      </c>
      <c r="B124" s="7">
        <v>-325</v>
      </c>
      <c r="C124" s="7">
        <v>-408.33333333333326</v>
      </c>
      <c r="D124" s="7">
        <v>1250</v>
      </c>
      <c r="E124" s="7">
        <v>17</v>
      </c>
      <c r="F124" s="11">
        <f>B124+Origin_X</f>
        <v>-325</v>
      </c>
      <c r="G124" s="11">
        <f>C124+Origin_Y</f>
        <v>-408.33333333333326</v>
      </c>
    </row>
    <row r="125" spans="1:7" x14ac:dyDescent="0.25">
      <c r="A125" s="7">
        <v>120</v>
      </c>
      <c r="B125" s="7">
        <v>-400</v>
      </c>
      <c r="C125" s="7">
        <v>-408.33333333333326</v>
      </c>
      <c r="D125" s="7">
        <v>1250</v>
      </c>
      <c r="E125" s="7">
        <v>17</v>
      </c>
      <c r="F125" s="11">
        <f>B125+Origin_X</f>
        <v>-400</v>
      </c>
      <c r="G125" s="11">
        <f>C125+Origin_Y</f>
        <v>-408.33333333333326</v>
      </c>
    </row>
    <row r="126" spans="1:7" x14ac:dyDescent="0.25">
      <c r="A126" s="7">
        <v>121</v>
      </c>
      <c r="B126" s="7">
        <v>-425</v>
      </c>
      <c r="C126" s="7">
        <v>433.33333333333326</v>
      </c>
      <c r="D126" s="7">
        <v>1250</v>
      </c>
      <c r="E126" s="7">
        <v>18</v>
      </c>
      <c r="F126" s="11">
        <f>B126+Origin_X</f>
        <v>-425</v>
      </c>
      <c r="G126" s="11">
        <f>C126+Origin_Y</f>
        <v>433.33333333333326</v>
      </c>
    </row>
    <row r="127" spans="1:7" x14ac:dyDescent="0.25">
      <c r="A127" s="7">
        <v>122</v>
      </c>
      <c r="B127" s="7">
        <v>-425</v>
      </c>
      <c r="C127" s="7">
        <v>408.33333333333326</v>
      </c>
      <c r="D127" s="7">
        <v>1250</v>
      </c>
      <c r="E127" s="7">
        <v>18</v>
      </c>
      <c r="F127" s="11">
        <f>B127+Origin_X</f>
        <v>-425</v>
      </c>
      <c r="G127" s="11">
        <f>C127+Origin_Y</f>
        <v>408.33333333333326</v>
      </c>
    </row>
    <row r="128" spans="1:7" x14ac:dyDescent="0.25">
      <c r="A128" s="7">
        <v>123</v>
      </c>
      <c r="B128" s="7">
        <v>-350</v>
      </c>
      <c r="C128" s="7">
        <v>408.33333333333326</v>
      </c>
      <c r="D128" s="7">
        <v>1250</v>
      </c>
      <c r="E128" s="7">
        <v>18</v>
      </c>
      <c r="F128" s="11">
        <f>B128+Origin_X</f>
        <v>-350</v>
      </c>
      <c r="G128" s="11">
        <f>C128+Origin_Y</f>
        <v>408.33333333333326</v>
      </c>
    </row>
    <row r="129" spans="1:7" x14ac:dyDescent="0.25">
      <c r="A129" s="7">
        <v>124</v>
      </c>
      <c r="B129" s="7">
        <v>-325</v>
      </c>
      <c r="C129" s="7">
        <v>416.66666666666663</v>
      </c>
      <c r="D129" s="7">
        <v>1250</v>
      </c>
      <c r="E129" s="7">
        <v>18</v>
      </c>
      <c r="F129" s="11">
        <f>B129+Origin_X</f>
        <v>-325</v>
      </c>
      <c r="G129" s="11">
        <f>C129+Origin_Y</f>
        <v>416.66666666666663</v>
      </c>
    </row>
    <row r="130" spans="1:7" x14ac:dyDescent="0.25">
      <c r="A130" s="7">
        <v>125</v>
      </c>
      <c r="B130" s="7">
        <v>-325</v>
      </c>
      <c r="C130" s="7">
        <v>441.66666666666663</v>
      </c>
      <c r="D130" s="7">
        <v>1250</v>
      </c>
      <c r="E130" s="7">
        <v>18</v>
      </c>
      <c r="F130" s="11">
        <f>B130+Origin_X</f>
        <v>-325</v>
      </c>
      <c r="G130" s="11">
        <f>C130+Origin_Y</f>
        <v>441.66666666666663</v>
      </c>
    </row>
    <row r="131" spans="1:7" x14ac:dyDescent="0.25">
      <c r="A131" s="7">
        <v>126</v>
      </c>
      <c r="B131" s="7">
        <v>-400</v>
      </c>
      <c r="C131" s="7">
        <v>441.66666666666663</v>
      </c>
      <c r="D131" s="7">
        <v>1250</v>
      </c>
      <c r="E131" s="7">
        <v>18</v>
      </c>
      <c r="F131" s="11">
        <f>B131+Origin_X</f>
        <v>-400</v>
      </c>
      <c r="G131" s="11">
        <f>C131+Origin_Y</f>
        <v>441.66666666666663</v>
      </c>
    </row>
    <row r="132" spans="1:7" x14ac:dyDescent="0.25">
      <c r="A132" s="7">
        <v>127</v>
      </c>
      <c r="B132" s="7">
        <v>-425</v>
      </c>
      <c r="C132" s="7">
        <v>550</v>
      </c>
      <c r="D132" s="7">
        <v>3750</v>
      </c>
      <c r="E132" s="7">
        <v>19</v>
      </c>
      <c r="F132" s="11">
        <f>B132+Origin_X</f>
        <v>-425</v>
      </c>
      <c r="G132" s="11">
        <f>C132+Origin_Y</f>
        <v>550</v>
      </c>
    </row>
    <row r="133" spans="1:7" x14ac:dyDescent="0.25">
      <c r="A133" s="7">
        <v>128</v>
      </c>
      <c r="B133" s="7">
        <v>-425</v>
      </c>
      <c r="C133" s="7">
        <v>475</v>
      </c>
      <c r="D133" s="7">
        <v>3750</v>
      </c>
      <c r="E133" s="7">
        <v>19</v>
      </c>
      <c r="F133" s="11">
        <f>B133+Origin_X</f>
        <v>-425</v>
      </c>
      <c r="G133" s="11">
        <f>C133+Origin_Y</f>
        <v>475</v>
      </c>
    </row>
    <row r="134" spans="1:7" x14ac:dyDescent="0.25">
      <c r="A134" s="7">
        <v>129</v>
      </c>
      <c r="B134" s="7">
        <v>-350</v>
      </c>
      <c r="C134" s="7">
        <v>475</v>
      </c>
      <c r="D134" s="7">
        <v>3750</v>
      </c>
      <c r="E134" s="7">
        <v>19</v>
      </c>
      <c r="F134" s="11">
        <f>B134+Origin_X</f>
        <v>-350</v>
      </c>
      <c r="G134" s="11">
        <f>C134+Origin_Y</f>
        <v>475</v>
      </c>
    </row>
    <row r="135" spans="1:7" x14ac:dyDescent="0.25">
      <c r="A135" s="7">
        <v>130</v>
      </c>
      <c r="B135" s="7">
        <v>-325</v>
      </c>
      <c r="C135" s="7">
        <v>500</v>
      </c>
      <c r="D135" s="7">
        <v>3750</v>
      </c>
      <c r="E135" s="7">
        <v>19</v>
      </c>
      <c r="F135" s="11">
        <f>B135+Origin_X</f>
        <v>-325</v>
      </c>
      <c r="G135" s="11">
        <f>C135+Origin_Y</f>
        <v>500</v>
      </c>
    </row>
    <row r="136" spans="1:7" x14ac:dyDescent="0.25">
      <c r="A136" s="7">
        <v>131</v>
      </c>
      <c r="B136" s="7">
        <v>-325</v>
      </c>
      <c r="C136" s="7">
        <v>575</v>
      </c>
      <c r="D136" s="7">
        <v>3750</v>
      </c>
      <c r="E136" s="7">
        <v>19</v>
      </c>
      <c r="F136" s="11">
        <f>B136+Origin_X</f>
        <v>-325</v>
      </c>
      <c r="G136" s="11">
        <f>C136+Origin_Y</f>
        <v>575</v>
      </c>
    </row>
    <row r="137" spans="1:7" x14ac:dyDescent="0.25">
      <c r="A137" s="7">
        <v>132</v>
      </c>
      <c r="B137" s="7">
        <v>-400</v>
      </c>
      <c r="C137" s="7">
        <v>575</v>
      </c>
      <c r="D137" s="7">
        <v>3750</v>
      </c>
      <c r="E137" s="7">
        <v>19</v>
      </c>
      <c r="F137" s="11">
        <f>B137+Origin_X</f>
        <v>-400</v>
      </c>
      <c r="G137" s="11">
        <f>C137+Origin_Y</f>
        <v>575</v>
      </c>
    </row>
    <row r="138" spans="1:7" x14ac:dyDescent="0.25">
      <c r="A138" s="7">
        <v>133</v>
      </c>
      <c r="B138" s="7">
        <v>-275</v>
      </c>
      <c r="C138" s="7">
        <v>-500</v>
      </c>
      <c r="D138" s="7">
        <v>3750</v>
      </c>
      <c r="E138" s="7">
        <v>20</v>
      </c>
      <c r="F138" s="11">
        <f>B138+Origin_X</f>
        <v>-275</v>
      </c>
      <c r="G138" s="11">
        <f>C138+Origin_Y</f>
        <v>-500</v>
      </c>
    </row>
    <row r="139" spans="1:7" x14ac:dyDescent="0.25">
      <c r="A139" s="7">
        <v>134</v>
      </c>
      <c r="B139" s="7">
        <v>-275</v>
      </c>
      <c r="C139" s="7">
        <v>-575</v>
      </c>
      <c r="D139" s="7">
        <v>3750</v>
      </c>
      <c r="E139" s="7">
        <v>20</v>
      </c>
      <c r="F139" s="11">
        <f>B139+Origin_X</f>
        <v>-275</v>
      </c>
      <c r="G139" s="11">
        <f>C139+Origin_Y</f>
        <v>-575</v>
      </c>
    </row>
    <row r="140" spans="1:7" x14ac:dyDescent="0.25">
      <c r="A140" s="7">
        <v>135</v>
      </c>
      <c r="B140" s="7">
        <v>-200</v>
      </c>
      <c r="C140" s="7">
        <v>-575</v>
      </c>
      <c r="D140" s="7">
        <v>3750</v>
      </c>
      <c r="E140" s="7">
        <v>20</v>
      </c>
      <c r="F140" s="11">
        <f>B140+Origin_X</f>
        <v>-200</v>
      </c>
      <c r="G140" s="11">
        <f>C140+Origin_Y</f>
        <v>-575</v>
      </c>
    </row>
    <row r="141" spans="1:7" x14ac:dyDescent="0.25">
      <c r="A141" s="7">
        <v>136</v>
      </c>
      <c r="B141" s="7">
        <v>-175</v>
      </c>
      <c r="C141" s="7">
        <v>-550</v>
      </c>
      <c r="D141" s="7">
        <v>3750</v>
      </c>
      <c r="E141" s="7">
        <v>20</v>
      </c>
      <c r="F141" s="11">
        <f>B141+Origin_X</f>
        <v>-175</v>
      </c>
      <c r="G141" s="11">
        <f>C141+Origin_Y</f>
        <v>-550</v>
      </c>
    </row>
    <row r="142" spans="1:7" x14ac:dyDescent="0.25">
      <c r="A142" s="7">
        <v>137</v>
      </c>
      <c r="B142" s="7">
        <v>-175</v>
      </c>
      <c r="C142" s="7">
        <v>-475</v>
      </c>
      <c r="D142" s="7">
        <v>3750</v>
      </c>
      <c r="E142" s="7">
        <v>20</v>
      </c>
      <c r="F142" s="11">
        <f>B142+Origin_X</f>
        <v>-175</v>
      </c>
      <c r="G142" s="11">
        <f>C142+Origin_Y</f>
        <v>-475</v>
      </c>
    </row>
    <row r="143" spans="1:7" x14ac:dyDescent="0.25">
      <c r="A143" s="7">
        <v>138</v>
      </c>
      <c r="B143" s="7">
        <v>-250</v>
      </c>
      <c r="C143" s="7">
        <v>-475</v>
      </c>
      <c r="D143" s="7">
        <v>3750</v>
      </c>
      <c r="E143" s="7">
        <v>20</v>
      </c>
      <c r="F143" s="11">
        <f>B143+Origin_X</f>
        <v>-250</v>
      </c>
      <c r="G143" s="11">
        <f>C143+Origin_Y</f>
        <v>-475</v>
      </c>
    </row>
    <row r="144" spans="1:7" x14ac:dyDescent="0.25">
      <c r="A144" s="7">
        <v>139</v>
      </c>
      <c r="B144" s="7">
        <v>-275</v>
      </c>
      <c r="C144" s="7">
        <v>-416.66666666666663</v>
      </c>
      <c r="D144" s="7">
        <v>1250</v>
      </c>
      <c r="E144" s="7">
        <v>21</v>
      </c>
      <c r="F144" s="11">
        <f>B144+Origin_X</f>
        <v>-275</v>
      </c>
      <c r="G144" s="11">
        <f>C144+Origin_Y</f>
        <v>-416.66666666666663</v>
      </c>
    </row>
    <row r="145" spans="1:7" x14ac:dyDescent="0.25">
      <c r="A145" s="7">
        <v>140</v>
      </c>
      <c r="B145" s="7">
        <v>-275</v>
      </c>
      <c r="C145" s="7">
        <v>-441.66666666666663</v>
      </c>
      <c r="D145" s="7">
        <v>1250</v>
      </c>
      <c r="E145" s="7">
        <v>21</v>
      </c>
      <c r="F145" s="11">
        <f>B145+Origin_X</f>
        <v>-275</v>
      </c>
      <c r="G145" s="11">
        <f>C145+Origin_Y</f>
        <v>-441.66666666666663</v>
      </c>
    </row>
    <row r="146" spans="1:7" x14ac:dyDescent="0.25">
      <c r="A146" s="7">
        <v>141</v>
      </c>
      <c r="B146" s="7">
        <v>-200</v>
      </c>
      <c r="C146" s="7">
        <v>-441.66666666666663</v>
      </c>
      <c r="D146" s="7">
        <v>1250</v>
      </c>
      <c r="E146" s="7">
        <v>21</v>
      </c>
      <c r="F146" s="11">
        <f>B146+Origin_X</f>
        <v>-200</v>
      </c>
      <c r="G146" s="11">
        <f>C146+Origin_Y</f>
        <v>-441.66666666666663</v>
      </c>
    </row>
    <row r="147" spans="1:7" x14ac:dyDescent="0.25">
      <c r="A147" s="7">
        <v>142</v>
      </c>
      <c r="B147" s="7">
        <v>-166.66666666666666</v>
      </c>
      <c r="C147" s="7">
        <v>-416.66666666666663</v>
      </c>
      <c r="D147" s="7">
        <v>2500</v>
      </c>
      <c r="E147" s="7">
        <v>21</v>
      </c>
      <c r="F147" s="11">
        <f>B147+Origin_X</f>
        <v>-166.66666666666666</v>
      </c>
      <c r="G147" s="11">
        <f>C147+Origin_Y</f>
        <v>-416.66666666666663</v>
      </c>
    </row>
    <row r="148" spans="1:7" x14ac:dyDescent="0.25">
      <c r="A148" s="7">
        <v>143</v>
      </c>
      <c r="B148" s="7">
        <v>-166.66666666666666</v>
      </c>
      <c r="C148" s="7">
        <v>-341.66666666666663</v>
      </c>
      <c r="D148" s="7">
        <v>2500</v>
      </c>
      <c r="E148" s="7">
        <v>21</v>
      </c>
      <c r="F148" s="11">
        <f>B148+Origin_X</f>
        <v>-166.66666666666666</v>
      </c>
      <c r="G148" s="11">
        <f>C148+Origin_Y</f>
        <v>-341.66666666666663</v>
      </c>
    </row>
    <row r="149" spans="1:7" x14ac:dyDescent="0.25">
      <c r="A149" s="7">
        <v>144</v>
      </c>
      <c r="B149" s="7">
        <v>-216.66666666666666</v>
      </c>
      <c r="C149" s="7">
        <v>-391.66666666666663</v>
      </c>
      <c r="D149" s="7">
        <v>2500</v>
      </c>
      <c r="E149" s="7">
        <v>21</v>
      </c>
      <c r="F149" s="11">
        <f>B149+Origin_X</f>
        <v>-216.66666666666666</v>
      </c>
      <c r="G149" s="11">
        <f>C149+Origin_Y</f>
        <v>-391.66666666666663</v>
      </c>
    </row>
    <row r="150" spans="1:7" x14ac:dyDescent="0.25">
      <c r="A150" s="7">
        <v>145</v>
      </c>
      <c r="B150" s="7">
        <v>-191.66666666666666</v>
      </c>
      <c r="C150" s="7">
        <v>-433.33333333333326</v>
      </c>
      <c r="D150" s="7">
        <v>416.6666666666667</v>
      </c>
      <c r="E150" s="7">
        <v>21</v>
      </c>
      <c r="F150" s="11">
        <f>B150+Origin_X</f>
        <v>-191.66666666666666</v>
      </c>
      <c r="G150" s="11">
        <f>C150+Origin_Y</f>
        <v>-433.33333333333326</v>
      </c>
    </row>
    <row r="151" spans="1:7" x14ac:dyDescent="0.25">
      <c r="A151" s="7">
        <v>146</v>
      </c>
      <c r="B151" s="7">
        <v>-241.66666666666666</v>
      </c>
      <c r="C151" s="7">
        <v>-408.33333333333326</v>
      </c>
      <c r="D151" s="7">
        <v>416.6666666666667</v>
      </c>
      <c r="E151" s="7">
        <v>21</v>
      </c>
      <c r="F151" s="11">
        <f>B151+Origin_X</f>
        <v>-241.66666666666666</v>
      </c>
      <c r="G151" s="11">
        <f>C151+Origin_Y</f>
        <v>-408.33333333333326</v>
      </c>
    </row>
    <row r="152" spans="1:7" x14ac:dyDescent="0.25">
      <c r="A152" s="7">
        <v>147</v>
      </c>
      <c r="B152" s="7">
        <v>-266.66666666666663</v>
      </c>
      <c r="C152" s="7">
        <v>-408.33333333333326</v>
      </c>
      <c r="D152" s="7">
        <v>416.6666666666667</v>
      </c>
      <c r="E152" s="7">
        <v>21</v>
      </c>
      <c r="F152" s="11">
        <f>B152+Origin_X</f>
        <v>-266.66666666666663</v>
      </c>
      <c r="G152" s="11">
        <f>C152+Origin_Y</f>
        <v>-408.33333333333326</v>
      </c>
    </row>
    <row r="153" spans="1:7" x14ac:dyDescent="0.25">
      <c r="A153" s="7">
        <v>148</v>
      </c>
      <c r="B153" s="7">
        <v>-291.6666666666667</v>
      </c>
      <c r="C153" s="7">
        <v>433.33333333333326</v>
      </c>
      <c r="D153" s="7">
        <v>416.6666666666667</v>
      </c>
      <c r="E153" s="7">
        <v>22</v>
      </c>
      <c r="F153" s="11">
        <f>B153+Origin_X</f>
        <v>-291.6666666666667</v>
      </c>
      <c r="G153" s="11">
        <f>C153+Origin_Y</f>
        <v>433.33333333333326</v>
      </c>
    </row>
    <row r="154" spans="1:7" x14ac:dyDescent="0.25">
      <c r="A154" s="7">
        <v>149</v>
      </c>
      <c r="B154" s="7">
        <v>-291.6666666666667</v>
      </c>
      <c r="C154" s="7">
        <v>408.33333333333326</v>
      </c>
      <c r="D154" s="7">
        <v>416.6666666666667</v>
      </c>
      <c r="E154" s="7">
        <v>22</v>
      </c>
      <c r="F154" s="11">
        <f>B154+Origin_X</f>
        <v>-291.6666666666667</v>
      </c>
      <c r="G154" s="11">
        <f>C154+Origin_Y</f>
        <v>408.33333333333326</v>
      </c>
    </row>
    <row r="155" spans="1:7" x14ac:dyDescent="0.25">
      <c r="A155" s="7">
        <v>150</v>
      </c>
      <c r="B155" s="7">
        <v>-266.66666666666663</v>
      </c>
      <c r="C155" s="7">
        <v>408.33333333333326</v>
      </c>
      <c r="D155" s="7">
        <v>416.6666666666667</v>
      </c>
      <c r="E155" s="7">
        <v>22</v>
      </c>
      <c r="F155" s="11">
        <f>B155+Origin_X</f>
        <v>-266.66666666666663</v>
      </c>
      <c r="G155" s="11">
        <f>C155+Origin_Y</f>
        <v>408.33333333333326</v>
      </c>
    </row>
    <row r="156" spans="1:7" x14ac:dyDescent="0.25">
      <c r="A156" s="7">
        <v>151</v>
      </c>
      <c r="B156" s="7">
        <v>-216.66666666666666</v>
      </c>
      <c r="C156" s="7">
        <v>391.66666666666663</v>
      </c>
      <c r="D156" s="7">
        <v>2500</v>
      </c>
      <c r="E156" s="7">
        <v>22</v>
      </c>
      <c r="F156" s="11">
        <f>B156+Origin_X</f>
        <v>-216.66666666666666</v>
      </c>
      <c r="G156" s="11">
        <f>C156+Origin_Y</f>
        <v>391.66666666666663</v>
      </c>
    </row>
    <row r="157" spans="1:7" x14ac:dyDescent="0.25">
      <c r="A157" s="7">
        <v>152</v>
      </c>
      <c r="B157" s="7">
        <v>-166.66666666666666</v>
      </c>
      <c r="C157" s="7">
        <v>341.66666666666663</v>
      </c>
      <c r="D157" s="7">
        <v>2500</v>
      </c>
      <c r="E157" s="7">
        <v>22</v>
      </c>
      <c r="F157" s="11">
        <f>B157+Origin_X</f>
        <v>-166.66666666666666</v>
      </c>
      <c r="G157" s="11">
        <f>C157+Origin_Y</f>
        <v>341.66666666666663</v>
      </c>
    </row>
    <row r="158" spans="1:7" x14ac:dyDescent="0.25">
      <c r="A158" s="7">
        <v>153</v>
      </c>
      <c r="B158" s="7">
        <v>-166.66666666666666</v>
      </c>
      <c r="C158" s="7">
        <v>416.66666666666663</v>
      </c>
      <c r="D158" s="7">
        <v>2500</v>
      </c>
      <c r="E158" s="7">
        <v>22</v>
      </c>
      <c r="F158" s="11">
        <f>B158+Origin_X</f>
        <v>-166.66666666666666</v>
      </c>
      <c r="G158" s="11">
        <f>C158+Origin_Y</f>
        <v>416.66666666666663</v>
      </c>
    </row>
    <row r="159" spans="1:7" x14ac:dyDescent="0.25">
      <c r="A159" s="7">
        <v>154</v>
      </c>
      <c r="B159" s="7">
        <v>-241.66666666666666</v>
      </c>
      <c r="C159" s="7">
        <v>416.66666666666663</v>
      </c>
      <c r="D159" s="7">
        <v>1250</v>
      </c>
      <c r="E159" s="7">
        <v>22</v>
      </c>
      <c r="F159" s="11">
        <f>B159+Origin_X</f>
        <v>-241.66666666666666</v>
      </c>
      <c r="G159" s="11">
        <f>C159+Origin_Y</f>
        <v>416.66666666666663</v>
      </c>
    </row>
    <row r="160" spans="1:7" x14ac:dyDescent="0.25">
      <c r="A160" s="7">
        <v>155</v>
      </c>
      <c r="B160" s="7">
        <v>-191.66666666666666</v>
      </c>
      <c r="C160" s="7">
        <v>441.66666666666663</v>
      </c>
      <c r="D160" s="7">
        <v>1250</v>
      </c>
      <c r="E160" s="7">
        <v>22</v>
      </c>
      <c r="F160" s="11">
        <f>B160+Origin_X</f>
        <v>-191.66666666666666</v>
      </c>
      <c r="G160" s="11">
        <f>C160+Origin_Y</f>
        <v>441.66666666666663</v>
      </c>
    </row>
    <row r="161" spans="1:7" x14ac:dyDescent="0.25">
      <c r="A161" s="7">
        <v>156</v>
      </c>
      <c r="B161" s="7">
        <v>-266.66666666666663</v>
      </c>
      <c r="C161" s="7">
        <v>441.66666666666663</v>
      </c>
      <c r="D161" s="7">
        <v>1250</v>
      </c>
      <c r="E161" s="7">
        <v>22</v>
      </c>
      <c r="F161" s="11">
        <f>B161+Origin_X</f>
        <v>-266.66666666666663</v>
      </c>
      <c r="G161" s="11">
        <f>C161+Origin_Y</f>
        <v>441.66666666666663</v>
      </c>
    </row>
    <row r="162" spans="1:7" x14ac:dyDescent="0.25">
      <c r="A162" s="7">
        <v>157</v>
      </c>
      <c r="B162" s="7">
        <v>-275</v>
      </c>
      <c r="C162" s="7">
        <v>550</v>
      </c>
      <c r="D162" s="7">
        <v>3750</v>
      </c>
      <c r="E162" s="7">
        <v>23</v>
      </c>
      <c r="F162" s="11">
        <f>B162+Origin_X</f>
        <v>-275</v>
      </c>
      <c r="G162" s="11">
        <f>C162+Origin_Y</f>
        <v>550</v>
      </c>
    </row>
    <row r="163" spans="1:7" x14ac:dyDescent="0.25">
      <c r="A163" s="7">
        <v>158</v>
      </c>
      <c r="B163" s="7">
        <v>-275</v>
      </c>
      <c r="C163" s="7">
        <v>475</v>
      </c>
      <c r="D163" s="7">
        <v>3750</v>
      </c>
      <c r="E163" s="7">
        <v>23</v>
      </c>
      <c r="F163" s="11">
        <f>B163+Origin_X</f>
        <v>-275</v>
      </c>
      <c r="G163" s="11">
        <f>C163+Origin_Y</f>
        <v>475</v>
      </c>
    </row>
    <row r="164" spans="1:7" x14ac:dyDescent="0.25">
      <c r="A164" s="7">
        <v>159</v>
      </c>
      <c r="B164" s="7">
        <v>-200</v>
      </c>
      <c r="C164" s="7">
        <v>475</v>
      </c>
      <c r="D164" s="7">
        <v>3750</v>
      </c>
      <c r="E164" s="7">
        <v>23</v>
      </c>
      <c r="F164" s="11">
        <f>B164+Origin_X</f>
        <v>-200</v>
      </c>
      <c r="G164" s="11">
        <f>C164+Origin_Y</f>
        <v>475</v>
      </c>
    </row>
    <row r="165" spans="1:7" x14ac:dyDescent="0.25">
      <c r="A165" s="7">
        <v>160</v>
      </c>
      <c r="B165" s="7">
        <v>-175</v>
      </c>
      <c r="C165" s="7">
        <v>500</v>
      </c>
      <c r="D165" s="7">
        <v>3750</v>
      </c>
      <c r="E165" s="7">
        <v>23</v>
      </c>
      <c r="F165" s="11">
        <f>B165+Origin_X</f>
        <v>-175</v>
      </c>
      <c r="G165" s="11">
        <f>C165+Origin_Y</f>
        <v>500</v>
      </c>
    </row>
    <row r="166" spans="1:7" x14ac:dyDescent="0.25">
      <c r="A166" s="7">
        <v>161</v>
      </c>
      <c r="B166" s="7">
        <v>-175</v>
      </c>
      <c r="C166" s="7">
        <v>575</v>
      </c>
      <c r="D166" s="7">
        <v>3750</v>
      </c>
      <c r="E166" s="7">
        <v>23</v>
      </c>
      <c r="F166" s="11">
        <f>B166+Origin_X</f>
        <v>-175</v>
      </c>
      <c r="G166" s="11">
        <f>C166+Origin_Y</f>
        <v>575</v>
      </c>
    </row>
    <row r="167" spans="1:7" x14ac:dyDescent="0.25">
      <c r="A167" s="7">
        <v>162</v>
      </c>
      <c r="B167" s="7">
        <v>-250</v>
      </c>
      <c r="C167" s="7">
        <v>575</v>
      </c>
      <c r="D167" s="7">
        <v>3750</v>
      </c>
      <c r="E167" s="7">
        <v>23</v>
      </c>
      <c r="F167" s="11">
        <f>B167+Origin_X</f>
        <v>-250</v>
      </c>
      <c r="G167" s="11">
        <f>C167+Origin_Y</f>
        <v>575</v>
      </c>
    </row>
    <row r="168" spans="1:7" x14ac:dyDescent="0.25">
      <c r="A168" s="7">
        <v>163</v>
      </c>
      <c r="B168" s="7">
        <v>-125</v>
      </c>
      <c r="C168" s="7">
        <v>-500</v>
      </c>
      <c r="D168" s="7">
        <v>3750</v>
      </c>
      <c r="E168" s="7">
        <v>24</v>
      </c>
      <c r="F168" s="11">
        <f>B168+Origin_X</f>
        <v>-125</v>
      </c>
      <c r="G168" s="11">
        <f>C168+Origin_Y</f>
        <v>-500</v>
      </c>
    </row>
    <row r="169" spans="1:7" x14ac:dyDescent="0.25">
      <c r="A169" s="7">
        <v>164</v>
      </c>
      <c r="B169" s="7">
        <v>-125</v>
      </c>
      <c r="C169" s="7">
        <v>-575</v>
      </c>
      <c r="D169" s="7">
        <v>3750</v>
      </c>
      <c r="E169" s="7">
        <v>24</v>
      </c>
      <c r="F169" s="11">
        <f>B169+Origin_X</f>
        <v>-125</v>
      </c>
      <c r="G169" s="11">
        <f>C169+Origin_Y</f>
        <v>-575</v>
      </c>
    </row>
    <row r="170" spans="1:7" x14ac:dyDescent="0.25">
      <c r="A170" s="7">
        <v>165</v>
      </c>
      <c r="B170" s="7">
        <v>-50</v>
      </c>
      <c r="C170" s="7">
        <v>-575</v>
      </c>
      <c r="D170" s="7">
        <v>3750</v>
      </c>
      <c r="E170" s="7">
        <v>24</v>
      </c>
      <c r="F170" s="11">
        <f>B170+Origin_X</f>
        <v>-50</v>
      </c>
      <c r="G170" s="11">
        <f>C170+Origin_Y</f>
        <v>-575</v>
      </c>
    </row>
    <row r="171" spans="1:7" x14ac:dyDescent="0.25">
      <c r="A171" s="7">
        <v>166</v>
      </c>
      <c r="B171" s="7">
        <v>-25</v>
      </c>
      <c r="C171" s="7">
        <v>-550</v>
      </c>
      <c r="D171" s="7">
        <v>3750</v>
      </c>
      <c r="E171" s="7">
        <v>24</v>
      </c>
      <c r="F171" s="11">
        <f>B171+Origin_X</f>
        <v>-25</v>
      </c>
      <c r="G171" s="11">
        <f>C171+Origin_Y</f>
        <v>-550</v>
      </c>
    </row>
    <row r="172" spans="1:7" x14ac:dyDescent="0.25">
      <c r="A172" s="7">
        <v>167</v>
      </c>
      <c r="B172" s="7">
        <v>-25</v>
      </c>
      <c r="C172" s="7">
        <v>-475</v>
      </c>
      <c r="D172" s="7">
        <v>3750</v>
      </c>
      <c r="E172" s="7">
        <v>24</v>
      </c>
      <c r="F172" s="11">
        <f>B172+Origin_X</f>
        <v>-25</v>
      </c>
      <c r="G172" s="11">
        <f>C172+Origin_Y</f>
        <v>-475</v>
      </c>
    </row>
    <row r="173" spans="1:7" x14ac:dyDescent="0.25">
      <c r="A173" s="7">
        <v>168</v>
      </c>
      <c r="B173" s="7">
        <v>-100</v>
      </c>
      <c r="C173" s="7">
        <v>-475</v>
      </c>
      <c r="D173" s="7">
        <v>3750</v>
      </c>
      <c r="E173" s="7">
        <v>24</v>
      </c>
      <c r="F173" s="11">
        <f>B173+Origin_X</f>
        <v>-100</v>
      </c>
      <c r="G173" s="11">
        <f>C173+Origin_Y</f>
        <v>-475</v>
      </c>
    </row>
    <row r="174" spans="1:7" x14ac:dyDescent="0.25">
      <c r="A174" s="7">
        <v>169</v>
      </c>
      <c r="B174" s="7">
        <v>-125</v>
      </c>
      <c r="C174" s="7">
        <v>-350</v>
      </c>
      <c r="D174" s="7">
        <v>3750</v>
      </c>
      <c r="E174" s="7">
        <v>25</v>
      </c>
      <c r="F174" s="11">
        <f>B174+Origin_X</f>
        <v>-125</v>
      </c>
      <c r="G174" s="11">
        <f>C174+Origin_Y</f>
        <v>-350</v>
      </c>
    </row>
    <row r="175" spans="1:7" x14ac:dyDescent="0.25">
      <c r="A175" s="7">
        <v>170</v>
      </c>
      <c r="B175" s="7">
        <v>-125</v>
      </c>
      <c r="C175" s="7">
        <v>-425</v>
      </c>
      <c r="D175" s="7">
        <v>3750</v>
      </c>
      <c r="E175" s="7">
        <v>25</v>
      </c>
      <c r="F175" s="11">
        <f>B175+Origin_X</f>
        <v>-125</v>
      </c>
      <c r="G175" s="11">
        <f>C175+Origin_Y</f>
        <v>-425</v>
      </c>
    </row>
    <row r="176" spans="1:7" x14ac:dyDescent="0.25">
      <c r="A176" s="7">
        <v>171</v>
      </c>
      <c r="B176" s="7">
        <v>-50</v>
      </c>
      <c r="C176" s="7">
        <v>-425</v>
      </c>
      <c r="D176" s="7">
        <v>3750</v>
      </c>
      <c r="E176" s="7">
        <v>25</v>
      </c>
      <c r="F176" s="11">
        <f>B176+Origin_X</f>
        <v>-50</v>
      </c>
      <c r="G176" s="11">
        <f>C176+Origin_Y</f>
        <v>-425</v>
      </c>
    </row>
    <row r="177" spans="1:7" x14ac:dyDescent="0.25">
      <c r="A177" s="7">
        <v>172</v>
      </c>
      <c r="B177" s="7">
        <v>-25</v>
      </c>
      <c r="C177" s="7">
        <v>-400</v>
      </c>
      <c r="D177" s="7">
        <v>3750</v>
      </c>
      <c r="E177" s="7">
        <v>25</v>
      </c>
      <c r="F177" s="11">
        <f>B177+Origin_X</f>
        <v>-25</v>
      </c>
      <c r="G177" s="11">
        <f>C177+Origin_Y</f>
        <v>-400</v>
      </c>
    </row>
    <row r="178" spans="1:7" x14ac:dyDescent="0.25">
      <c r="A178" s="7">
        <v>173</v>
      </c>
      <c r="B178" s="7">
        <v>-25</v>
      </c>
      <c r="C178" s="7">
        <v>-325</v>
      </c>
      <c r="D178" s="7">
        <v>3750</v>
      </c>
      <c r="E178" s="7">
        <v>25</v>
      </c>
      <c r="F178" s="11">
        <f>B178+Origin_X</f>
        <v>-25</v>
      </c>
      <c r="G178" s="11">
        <f>C178+Origin_Y</f>
        <v>-325</v>
      </c>
    </row>
    <row r="179" spans="1:7" x14ac:dyDescent="0.25">
      <c r="A179" s="7">
        <v>174</v>
      </c>
      <c r="B179" s="7">
        <v>-100</v>
      </c>
      <c r="C179" s="7">
        <v>-325</v>
      </c>
      <c r="D179" s="7">
        <v>3750</v>
      </c>
      <c r="E179" s="7">
        <v>25</v>
      </c>
      <c r="F179" s="11">
        <f>B179+Origin_X</f>
        <v>-100</v>
      </c>
      <c r="G179" s="11">
        <f>C179+Origin_Y</f>
        <v>-325</v>
      </c>
    </row>
    <row r="180" spans="1:7" x14ac:dyDescent="0.25">
      <c r="A180" s="7">
        <v>175</v>
      </c>
      <c r="B180" s="7">
        <v>-125</v>
      </c>
      <c r="C180" s="7">
        <v>-200</v>
      </c>
      <c r="D180" s="7">
        <v>3750</v>
      </c>
      <c r="E180" s="7">
        <v>26</v>
      </c>
      <c r="F180" s="11">
        <f>B180+Origin_X</f>
        <v>-125</v>
      </c>
      <c r="G180" s="11">
        <f>C180+Origin_Y</f>
        <v>-200</v>
      </c>
    </row>
    <row r="181" spans="1:7" x14ac:dyDescent="0.25">
      <c r="A181" s="7">
        <v>176</v>
      </c>
      <c r="B181" s="7">
        <v>-125</v>
      </c>
      <c r="C181" s="7">
        <v>-275</v>
      </c>
      <c r="D181" s="7">
        <v>3750</v>
      </c>
      <c r="E181" s="7">
        <v>26</v>
      </c>
      <c r="F181" s="11">
        <f>B181+Origin_X</f>
        <v>-125</v>
      </c>
      <c r="G181" s="11">
        <f>C181+Origin_Y</f>
        <v>-275</v>
      </c>
    </row>
    <row r="182" spans="1:7" x14ac:dyDescent="0.25">
      <c r="A182" s="7">
        <v>177</v>
      </c>
      <c r="B182" s="7">
        <v>-50</v>
      </c>
      <c r="C182" s="7">
        <v>-275</v>
      </c>
      <c r="D182" s="7">
        <v>3750</v>
      </c>
      <c r="E182" s="7">
        <v>26</v>
      </c>
      <c r="F182" s="11">
        <f>B182+Origin_X</f>
        <v>-50</v>
      </c>
      <c r="G182" s="11">
        <f>C182+Origin_Y</f>
        <v>-275</v>
      </c>
    </row>
    <row r="183" spans="1:7" x14ac:dyDescent="0.25">
      <c r="A183" s="7">
        <v>178</v>
      </c>
      <c r="B183" s="7">
        <v>-25</v>
      </c>
      <c r="C183" s="7">
        <v>-250</v>
      </c>
      <c r="D183" s="7">
        <v>3750</v>
      </c>
      <c r="E183" s="7">
        <v>26</v>
      </c>
      <c r="F183" s="11">
        <f>B183+Origin_X</f>
        <v>-25</v>
      </c>
      <c r="G183" s="11">
        <f>C183+Origin_Y</f>
        <v>-250</v>
      </c>
    </row>
    <row r="184" spans="1:7" x14ac:dyDescent="0.25">
      <c r="A184" s="7">
        <v>179</v>
      </c>
      <c r="B184" s="7">
        <v>-25</v>
      </c>
      <c r="C184" s="7">
        <v>-175</v>
      </c>
      <c r="D184" s="7">
        <v>3750</v>
      </c>
      <c r="E184" s="7">
        <v>26</v>
      </c>
      <c r="F184" s="11">
        <f>B184+Origin_X</f>
        <v>-25</v>
      </c>
      <c r="G184" s="11">
        <f>C184+Origin_Y</f>
        <v>-175</v>
      </c>
    </row>
    <row r="185" spans="1:7" x14ac:dyDescent="0.25">
      <c r="A185" s="7">
        <v>180</v>
      </c>
      <c r="B185" s="7">
        <v>-100</v>
      </c>
      <c r="C185" s="7">
        <v>-175</v>
      </c>
      <c r="D185" s="7">
        <v>3750</v>
      </c>
      <c r="E185" s="7">
        <v>26</v>
      </c>
      <c r="F185" s="11">
        <f>B185+Origin_X</f>
        <v>-100</v>
      </c>
      <c r="G185" s="11">
        <f>C185+Origin_Y</f>
        <v>-175</v>
      </c>
    </row>
    <row r="186" spans="1:7" x14ac:dyDescent="0.25">
      <c r="A186" s="7">
        <v>181</v>
      </c>
      <c r="B186" s="7">
        <v>-125</v>
      </c>
      <c r="C186" s="7">
        <v>-50</v>
      </c>
      <c r="D186" s="7">
        <v>3750</v>
      </c>
      <c r="E186" s="7">
        <v>27</v>
      </c>
      <c r="F186" s="11">
        <f>B186+Origin_X</f>
        <v>-125</v>
      </c>
      <c r="G186" s="11">
        <f>C186+Origin_Y</f>
        <v>-50</v>
      </c>
    </row>
    <row r="187" spans="1:7" x14ac:dyDescent="0.25">
      <c r="A187" s="7">
        <v>182</v>
      </c>
      <c r="B187" s="7">
        <v>-125</v>
      </c>
      <c r="C187" s="7">
        <v>-125</v>
      </c>
      <c r="D187" s="7">
        <v>3750</v>
      </c>
      <c r="E187" s="7">
        <v>27</v>
      </c>
      <c r="F187" s="11">
        <f>B187+Origin_X</f>
        <v>-125</v>
      </c>
      <c r="G187" s="11">
        <f>C187+Origin_Y</f>
        <v>-125</v>
      </c>
    </row>
    <row r="188" spans="1:7" x14ac:dyDescent="0.25">
      <c r="A188" s="7">
        <v>183</v>
      </c>
      <c r="B188" s="7">
        <v>-50</v>
      </c>
      <c r="C188" s="7">
        <v>-125</v>
      </c>
      <c r="D188" s="7">
        <v>3750</v>
      </c>
      <c r="E188" s="7">
        <v>27</v>
      </c>
      <c r="F188" s="11">
        <f>B188+Origin_X</f>
        <v>-50</v>
      </c>
      <c r="G188" s="11">
        <f>C188+Origin_Y</f>
        <v>-125</v>
      </c>
    </row>
    <row r="189" spans="1:7" x14ac:dyDescent="0.25">
      <c r="A189" s="7">
        <v>184</v>
      </c>
      <c r="B189" s="7">
        <v>-25</v>
      </c>
      <c r="C189" s="7">
        <v>-100</v>
      </c>
      <c r="D189" s="7">
        <v>3750</v>
      </c>
      <c r="E189" s="7">
        <v>27</v>
      </c>
      <c r="F189" s="11">
        <f>B189+Origin_X</f>
        <v>-25</v>
      </c>
      <c r="G189" s="11">
        <f>C189+Origin_Y</f>
        <v>-100</v>
      </c>
    </row>
    <row r="190" spans="1:7" x14ac:dyDescent="0.25">
      <c r="A190" s="7">
        <v>185</v>
      </c>
      <c r="B190" s="7">
        <v>-25</v>
      </c>
      <c r="C190" s="7">
        <v>-25</v>
      </c>
      <c r="D190" s="7">
        <v>3750</v>
      </c>
      <c r="E190" s="7">
        <v>27</v>
      </c>
      <c r="F190" s="11">
        <f>B190+Origin_X</f>
        <v>-25</v>
      </c>
      <c r="G190" s="11">
        <f>C190+Origin_Y</f>
        <v>-25</v>
      </c>
    </row>
    <row r="191" spans="1:7" x14ac:dyDescent="0.25">
      <c r="A191" s="7">
        <v>186</v>
      </c>
      <c r="B191" s="7">
        <v>-100</v>
      </c>
      <c r="C191" s="7">
        <v>-25</v>
      </c>
      <c r="D191" s="7">
        <v>3750</v>
      </c>
      <c r="E191" s="7">
        <v>27</v>
      </c>
      <c r="F191" s="11">
        <f>B191+Origin_X</f>
        <v>-100</v>
      </c>
      <c r="G191" s="11">
        <f>C191+Origin_Y</f>
        <v>-25</v>
      </c>
    </row>
    <row r="192" spans="1:7" x14ac:dyDescent="0.25">
      <c r="A192" s="7">
        <v>187</v>
      </c>
      <c r="B192" s="7">
        <v>-125</v>
      </c>
      <c r="C192" s="7">
        <v>100</v>
      </c>
      <c r="D192" s="7">
        <v>3750</v>
      </c>
      <c r="E192" s="7">
        <v>28</v>
      </c>
      <c r="F192" s="11">
        <f>B192+Origin_X</f>
        <v>-125</v>
      </c>
      <c r="G192" s="11">
        <f>C192+Origin_Y</f>
        <v>100</v>
      </c>
    </row>
    <row r="193" spans="1:7" x14ac:dyDescent="0.25">
      <c r="A193" s="7">
        <v>188</v>
      </c>
      <c r="B193" s="7">
        <v>-125</v>
      </c>
      <c r="C193" s="7">
        <v>25</v>
      </c>
      <c r="D193" s="7">
        <v>3750</v>
      </c>
      <c r="E193" s="7">
        <v>28</v>
      </c>
      <c r="F193" s="11">
        <f>B193+Origin_X</f>
        <v>-125</v>
      </c>
      <c r="G193" s="11">
        <f>C193+Origin_Y</f>
        <v>25</v>
      </c>
    </row>
    <row r="194" spans="1:7" x14ac:dyDescent="0.25">
      <c r="A194" s="7">
        <v>189</v>
      </c>
      <c r="B194" s="7">
        <v>-50</v>
      </c>
      <c r="C194" s="7">
        <v>25</v>
      </c>
      <c r="D194" s="7">
        <v>3750</v>
      </c>
      <c r="E194" s="7">
        <v>28</v>
      </c>
      <c r="F194" s="11">
        <f>B194+Origin_X</f>
        <v>-50</v>
      </c>
      <c r="G194" s="11">
        <f>C194+Origin_Y</f>
        <v>25</v>
      </c>
    </row>
    <row r="195" spans="1:7" x14ac:dyDescent="0.25">
      <c r="A195" s="7">
        <v>190</v>
      </c>
      <c r="B195" s="7">
        <v>-25</v>
      </c>
      <c r="C195" s="7">
        <v>50</v>
      </c>
      <c r="D195" s="7">
        <v>3750</v>
      </c>
      <c r="E195" s="7">
        <v>28</v>
      </c>
      <c r="F195" s="11">
        <f>B195+Origin_X</f>
        <v>-25</v>
      </c>
      <c r="G195" s="11">
        <f>C195+Origin_Y</f>
        <v>50</v>
      </c>
    </row>
    <row r="196" spans="1:7" x14ac:dyDescent="0.25">
      <c r="A196" s="7">
        <v>191</v>
      </c>
      <c r="B196" s="7">
        <v>-25</v>
      </c>
      <c r="C196" s="7">
        <v>125</v>
      </c>
      <c r="D196" s="7">
        <v>3750</v>
      </c>
      <c r="E196" s="7">
        <v>28</v>
      </c>
      <c r="F196" s="11">
        <f>B196+Origin_X</f>
        <v>-25</v>
      </c>
      <c r="G196" s="11">
        <f>C196+Origin_Y</f>
        <v>125</v>
      </c>
    </row>
    <row r="197" spans="1:7" x14ac:dyDescent="0.25">
      <c r="A197" s="7">
        <v>192</v>
      </c>
      <c r="B197" s="7">
        <v>-100</v>
      </c>
      <c r="C197" s="7">
        <v>125</v>
      </c>
      <c r="D197" s="7">
        <v>3750</v>
      </c>
      <c r="E197" s="7">
        <v>28</v>
      </c>
      <c r="F197" s="11">
        <f>B197+Origin_X</f>
        <v>-100</v>
      </c>
      <c r="G197" s="11">
        <f>C197+Origin_Y</f>
        <v>125</v>
      </c>
    </row>
    <row r="198" spans="1:7" x14ac:dyDescent="0.25">
      <c r="A198" s="7">
        <v>193</v>
      </c>
      <c r="B198" s="7">
        <v>-125</v>
      </c>
      <c r="C198" s="7">
        <v>250</v>
      </c>
      <c r="D198" s="7">
        <v>3750</v>
      </c>
      <c r="E198" s="7">
        <v>29</v>
      </c>
      <c r="F198" s="11">
        <f>B198+Origin_X</f>
        <v>-125</v>
      </c>
      <c r="G198" s="11">
        <f>C198+Origin_Y</f>
        <v>250</v>
      </c>
    </row>
    <row r="199" spans="1:7" x14ac:dyDescent="0.25">
      <c r="A199" s="7">
        <v>194</v>
      </c>
      <c r="B199" s="7">
        <v>-125</v>
      </c>
      <c r="C199" s="7">
        <v>175</v>
      </c>
      <c r="D199" s="7">
        <v>3750</v>
      </c>
      <c r="E199" s="7">
        <v>29</v>
      </c>
      <c r="F199" s="11">
        <f>B199+Origin_X</f>
        <v>-125</v>
      </c>
      <c r="G199" s="11">
        <f>C199+Origin_Y</f>
        <v>175</v>
      </c>
    </row>
    <row r="200" spans="1:7" x14ac:dyDescent="0.25">
      <c r="A200" s="7">
        <v>195</v>
      </c>
      <c r="B200" s="7">
        <v>-50</v>
      </c>
      <c r="C200" s="7">
        <v>175</v>
      </c>
      <c r="D200" s="7">
        <v>3750</v>
      </c>
      <c r="E200" s="7">
        <v>29</v>
      </c>
      <c r="F200" s="11">
        <f>B200+Origin_X</f>
        <v>-50</v>
      </c>
      <c r="G200" s="11">
        <f>C200+Origin_Y</f>
        <v>175</v>
      </c>
    </row>
    <row r="201" spans="1:7" x14ac:dyDescent="0.25">
      <c r="A201" s="7">
        <v>196</v>
      </c>
      <c r="B201" s="7">
        <v>-25</v>
      </c>
      <c r="C201" s="7">
        <v>200</v>
      </c>
      <c r="D201" s="7">
        <v>3750</v>
      </c>
      <c r="E201" s="7">
        <v>29</v>
      </c>
      <c r="F201" s="11">
        <f>B201+Origin_X</f>
        <v>-25</v>
      </c>
      <c r="G201" s="11">
        <f>C201+Origin_Y</f>
        <v>200</v>
      </c>
    </row>
    <row r="202" spans="1:7" x14ac:dyDescent="0.25">
      <c r="A202" s="7">
        <v>197</v>
      </c>
      <c r="B202" s="7">
        <v>-25</v>
      </c>
      <c r="C202" s="7">
        <v>275</v>
      </c>
      <c r="D202" s="7">
        <v>3750</v>
      </c>
      <c r="E202" s="7">
        <v>29</v>
      </c>
      <c r="F202" s="11">
        <f>B202+Origin_X</f>
        <v>-25</v>
      </c>
      <c r="G202" s="11">
        <f>C202+Origin_Y</f>
        <v>275</v>
      </c>
    </row>
    <row r="203" spans="1:7" x14ac:dyDescent="0.25">
      <c r="A203" s="7">
        <v>198</v>
      </c>
      <c r="B203" s="7">
        <v>-100</v>
      </c>
      <c r="C203" s="7">
        <v>275</v>
      </c>
      <c r="D203" s="7">
        <v>3750</v>
      </c>
      <c r="E203" s="7">
        <v>29</v>
      </c>
      <c r="F203" s="11">
        <f>B203+Origin_X</f>
        <v>-100</v>
      </c>
      <c r="G203" s="11">
        <f>C203+Origin_Y</f>
        <v>275</v>
      </c>
    </row>
    <row r="204" spans="1:7" x14ac:dyDescent="0.25">
      <c r="A204" s="7">
        <v>199</v>
      </c>
      <c r="B204" s="7">
        <v>-125</v>
      </c>
      <c r="C204" s="7">
        <v>400</v>
      </c>
      <c r="D204" s="7">
        <v>3750</v>
      </c>
      <c r="E204" s="7">
        <v>30</v>
      </c>
      <c r="F204" s="11">
        <f>B204+Origin_X</f>
        <v>-125</v>
      </c>
      <c r="G204" s="11">
        <f>C204+Origin_Y</f>
        <v>400</v>
      </c>
    </row>
    <row r="205" spans="1:7" x14ac:dyDescent="0.25">
      <c r="A205" s="7">
        <v>200</v>
      </c>
      <c r="B205" s="7">
        <v>-125</v>
      </c>
      <c r="C205" s="7">
        <v>325</v>
      </c>
      <c r="D205" s="7">
        <v>3750</v>
      </c>
      <c r="E205" s="7">
        <v>30</v>
      </c>
      <c r="F205" s="11">
        <f>B205+Origin_X</f>
        <v>-125</v>
      </c>
      <c r="G205" s="11">
        <f>C205+Origin_Y</f>
        <v>325</v>
      </c>
    </row>
    <row r="206" spans="1:7" x14ac:dyDescent="0.25">
      <c r="A206" s="7">
        <v>201</v>
      </c>
      <c r="B206" s="7">
        <v>-50</v>
      </c>
      <c r="C206" s="7">
        <v>325</v>
      </c>
      <c r="D206" s="7">
        <v>3750</v>
      </c>
      <c r="E206" s="7">
        <v>30</v>
      </c>
      <c r="F206" s="11">
        <f>B206+Origin_X</f>
        <v>-50</v>
      </c>
      <c r="G206" s="11">
        <f>C206+Origin_Y</f>
        <v>325</v>
      </c>
    </row>
    <row r="207" spans="1:7" x14ac:dyDescent="0.25">
      <c r="A207" s="7">
        <v>202</v>
      </c>
      <c r="B207" s="7">
        <v>-25</v>
      </c>
      <c r="C207" s="7">
        <v>350</v>
      </c>
      <c r="D207" s="7">
        <v>3750</v>
      </c>
      <c r="E207" s="7">
        <v>30</v>
      </c>
      <c r="F207" s="11">
        <f>B207+Origin_X</f>
        <v>-25</v>
      </c>
      <c r="G207" s="11">
        <f>C207+Origin_Y</f>
        <v>350</v>
      </c>
    </row>
    <row r="208" spans="1:7" x14ac:dyDescent="0.25">
      <c r="A208" s="7">
        <v>203</v>
      </c>
      <c r="B208" s="7">
        <v>-25</v>
      </c>
      <c r="C208" s="7">
        <v>425</v>
      </c>
      <c r="D208" s="7">
        <v>3750</v>
      </c>
      <c r="E208" s="7">
        <v>30</v>
      </c>
      <c r="F208" s="11">
        <f>B208+Origin_X</f>
        <v>-25</v>
      </c>
      <c r="G208" s="11">
        <f>C208+Origin_Y</f>
        <v>425</v>
      </c>
    </row>
    <row r="209" spans="1:7" x14ac:dyDescent="0.25">
      <c r="A209" s="7">
        <v>204</v>
      </c>
      <c r="B209" s="7">
        <v>-100</v>
      </c>
      <c r="C209" s="7">
        <v>425</v>
      </c>
      <c r="D209" s="7">
        <v>3750</v>
      </c>
      <c r="E209" s="7">
        <v>30</v>
      </c>
      <c r="F209" s="11">
        <f>B209+Origin_X</f>
        <v>-100</v>
      </c>
      <c r="G209" s="11">
        <f>C209+Origin_Y</f>
        <v>425</v>
      </c>
    </row>
    <row r="210" spans="1:7" x14ac:dyDescent="0.25">
      <c r="A210" s="7">
        <v>205</v>
      </c>
      <c r="B210" s="7">
        <v>-125</v>
      </c>
      <c r="C210" s="7">
        <v>550</v>
      </c>
      <c r="D210" s="7">
        <v>3750</v>
      </c>
      <c r="E210" s="7">
        <v>31</v>
      </c>
      <c r="F210" s="11">
        <f>B210+Origin_X</f>
        <v>-125</v>
      </c>
      <c r="G210" s="11">
        <f>C210+Origin_Y</f>
        <v>550</v>
      </c>
    </row>
    <row r="211" spans="1:7" x14ac:dyDescent="0.25">
      <c r="A211" s="7">
        <v>206</v>
      </c>
      <c r="B211" s="7">
        <v>-125</v>
      </c>
      <c r="C211" s="7">
        <v>475</v>
      </c>
      <c r="D211" s="7">
        <v>3750</v>
      </c>
      <c r="E211" s="7">
        <v>31</v>
      </c>
      <c r="F211" s="11">
        <f>B211+Origin_X</f>
        <v>-125</v>
      </c>
      <c r="G211" s="11">
        <f>C211+Origin_Y</f>
        <v>475</v>
      </c>
    </row>
    <row r="212" spans="1:7" x14ac:dyDescent="0.25">
      <c r="A212" s="7">
        <v>207</v>
      </c>
      <c r="B212" s="7">
        <v>-50</v>
      </c>
      <c r="C212" s="7">
        <v>475</v>
      </c>
      <c r="D212" s="7">
        <v>3750</v>
      </c>
      <c r="E212" s="7">
        <v>31</v>
      </c>
      <c r="F212" s="11">
        <f>B212+Origin_X</f>
        <v>-50</v>
      </c>
      <c r="G212" s="11">
        <f>C212+Origin_Y</f>
        <v>475</v>
      </c>
    </row>
    <row r="213" spans="1:7" x14ac:dyDescent="0.25">
      <c r="A213" s="7">
        <v>208</v>
      </c>
      <c r="B213" s="7">
        <v>-25</v>
      </c>
      <c r="C213" s="7">
        <v>500</v>
      </c>
      <c r="D213" s="7">
        <v>3750</v>
      </c>
      <c r="E213" s="7">
        <v>31</v>
      </c>
      <c r="F213" s="11">
        <f>B213+Origin_X</f>
        <v>-25</v>
      </c>
      <c r="G213" s="11">
        <f>C213+Origin_Y</f>
        <v>500</v>
      </c>
    </row>
    <row r="214" spans="1:7" x14ac:dyDescent="0.25">
      <c r="A214" s="7">
        <v>209</v>
      </c>
      <c r="B214" s="7">
        <v>-25</v>
      </c>
      <c r="C214" s="7">
        <v>575</v>
      </c>
      <c r="D214" s="7">
        <v>3750</v>
      </c>
      <c r="E214" s="7">
        <v>31</v>
      </c>
      <c r="F214" s="11">
        <f>B214+Origin_X</f>
        <v>-25</v>
      </c>
      <c r="G214" s="11">
        <f>C214+Origin_Y</f>
        <v>575</v>
      </c>
    </row>
    <row r="215" spans="1:7" x14ac:dyDescent="0.25">
      <c r="A215" s="7">
        <v>210</v>
      </c>
      <c r="B215" s="7">
        <v>-100</v>
      </c>
      <c r="C215" s="7">
        <v>575</v>
      </c>
      <c r="D215" s="7">
        <v>3750</v>
      </c>
      <c r="E215" s="7">
        <v>31</v>
      </c>
      <c r="F215" s="11">
        <f>B215+Origin_X</f>
        <v>-100</v>
      </c>
      <c r="G215" s="11">
        <f>C215+Origin_Y</f>
        <v>575</v>
      </c>
    </row>
    <row r="216" spans="1:7" x14ac:dyDescent="0.25">
      <c r="A216" s="7">
        <v>211</v>
      </c>
      <c r="B216" s="7">
        <v>25</v>
      </c>
      <c r="C216" s="7">
        <v>-500</v>
      </c>
      <c r="D216" s="7">
        <v>3750</v>
      </c>
      <c r="E216" s="7">
        <v>32</v>
      </c>
      <c r="F216" s="11">
        <f>B216+Origin_X</f>
        <v>25</v>
      </c>
      <c r="G216" s="11">
        <f>C216+Origin_Y</f>
        <v>-500</v>
      </c>
    </row>
    <row r="217" spans="1:7" x14ac:dyDescent="0.25">
      <c r="A217" s="7">
        <v>212</v>
      </c>
      <c r="B217" s="7">
        <v>25</v>
      </c>
      <c r="C217" s="7">
        <v>-575</v>
      </c>
      <c r="D217" s="7">
        <v>3750</v>
      </c>
      <c r="E217" s="7">
        <v>32</v>
      </c>
      <c r="F217" s="11">
        <f>B217+Origin_X</f>
        <v>25</v>
      </c>
      <c r="G217" s="11">
        <f>C217+Origin_Y</f>
        <v>-575</v>
      </c>
    </row>
    <row r="218" spans="1:7" x14ac:dyDescent="0.25">
      <c r="A218" s="7">
        <v>213</v>
      </c>
      <c r="B218" s="7">
        <v>100</v>
      </c>
      <c r="C218" s="7">
        <v>-575</v>
      </c>
      <c r="D218" s="7">
        <v>3750</v>
      </c>
      <c r="E218" s="7">
        <v>32</v>
      </c>
      <c r="F218" s="11">
        <f>B218+Origin_X</f>
        <v>100</v>
      </c>
      <c r="G218" s="11">
        <f>C218+Origin_Y</f>
        <v>-575</v>
      </c>
    </row>
    <row r="219" spans="1:7" x14ac:dyDescent="0.25">
      <c r="A219" s="7">
        <v>214</v>
      </c>
      <c r="B219" s="7">
        <v>125</v>
      </c>
      <c r="C219" s="7">
        <v>-550</v>
      </c>
      <c r="D219" s="7">
        <v>3750</v>
      </c>
      <c r="E219" s="7">
        <v>32</v>
      </c>
      <c r="F219" s="11">
        <f>B219+Origin_X</f>
        <v>125</v>
      </c>
      <c r="G219" s="11">
        <f>C219+Origin_Y</f>
        <v>-550</v>
      </c>
    </row>
    <row r="220" spans="1:7" x14ac:dyDescent="0.25">
      <c r="A220" s="7">
        <v>215</v>
      </c>
      <c r="B220" s="7">
        <v>125</v>
      </c>
      <c r="C220" s="7">
        <v>-475</v>
      </c>
      <c r="D220" s="7">
        <v>3750</v>
      </c>
      <c r="E220" s="7">
        <v>32</v>
      </c>
      <c r="F220" s="11">
        <f>B220+Origin_X</f>
        <v>125</v>
      </c>
      <c r="G220" s="11">
        <f>C220+Origin_Y</f>
        <v>-475</v>
      </c>
    </row>
    <row r="221" spans="1:7" x14ac:dyDescent="0.25">
      <c r="A221" s="7">
        <v>216</v>
      </c>
      <c r="B221" s="7">
        <v>50</v>
      </c>
      <c r="C221" s="7">
        <v>-475</v>
      </c>
      <c r="D221" s="7">
        <v>3750</v>
      </c>
      <c r="E221" s="7">
        <v>32</v>
      </c>
      <c r="F221" s="11">
        <f>B221+Origin_X</f>
        <v>50</v>
      </c>
      <c r="G221" s="11">
        <f>C221+Origin_Y</f>
        <v>-475</v>
      </c>
    </row>
    <row r="222" spans="1:7" x14ac:dyDescent="0.25">
      <c r="A222" s="7">
        <v>217</v>
      </c>
      <c r="B222" s="7">
        <v>25</v>
      </c>
      <c r="C222" s="7">
        <v>-350</v>
      </c>
      <c r="D222" s="7">
        <v>3750</v>
      </c>
      <c r="E222" s="7">
        <v>33</v>
      </c>
      <c r="F222" s="11">
        <f>B222+Origin_X</f>
        <v>25</v>
      </c>
      <c r="G222" s="11">
        <f>C222+Origin_Y</f>
        <v>-350</v>
      </c>
    </row>
    <row r="223" spans="1:7" x14ac:dyDescent="0.25">
      <c r="A223" s="7">
        <v>218</v>
      </c>
      <c r="B223" s="7">
        <v>25</v>
      </c>
      <c r="C223" s="7">
        <v>-425</v>
      </c>
      <c r="D223" s="7">
        <v>3750</v>
      </c>
      <c r="E223" s="7">
        <v>33</v>
      </c>
      <c r="F223" s="11">
        <f>B223+Origin_X</f>
        <v>25</v>
      </c>
      <c r="G223" s="11">
        <f>C223+Origin_Y</f>
        <v>-425</v>
      </c>
    </row>
    <row r="224" spans="1:7" x14ac:dyDescent="0.25">
      <c r="A224" s="7">
        <v>219</v>
      </c>
      <c r="B224" s="7">
        <v>100</v>
      </c>
      <c r="C224" s="7">
        <v>-425</v>
      </c>
      <c r="D224" s="7">
        <v>3750</v>
      </c>
      <c r="E224" s="7">
        <v>33</v>
      </c>
      <c r="F224" s="11">
        <f>B224+Origin_X</f>
        <v>100</v>
      </c>
      <c r="G224" s="11">
        <f>C224+Origin_Y</f>
        <v>-425</v>
      </c>
    </row>
    <row r="225" spans="1:7" x14ac:dyDescent="0.25">
      <c r="A225" s="7">
        <v>220</v>
      </c>
      <c r="B225" s="7">
        <v>125</v>
      </c>
      <c r="C225" s="7">
        <v>-400</v>
      </c>
      <c r="D225" s="7">
        <v>3750</v>
      </c>
      <c r="E225" s="7">
        <v>33</v>
      </c>
      <c r="F225" s="11">
        <f>B225+Origin_X</f>
        <v>125</v>
      </c>
      <c r="G225" s="11">
        <f>C225+Origin_Y</f>
        <v>-400</v>
      </c>
    </row>
    <row r="226" spans="1:7" x14ac:dyDescent="0.25">
      <c r="A226" s="7">
        <v>221</v>
      </c>
      <c r="B226" s="7">
        <v>125</v>
      </c>
      <c r="C226" s="7">
        <v>-325</v>
      </c>
      <c r="D226" s="7">
        <v>3750</v>
      </c>
      <c r="E226" s="7">
        <v>33</v>
      </c>
      <c r="F226" s="11">
        <f>B226+Origin_X</f>
        <v>125</v>
      </c>
      <c r="G226" s="11">
        <f>C226+Origin_Y</f>
        <v>-325</v>
      </c>
    </row>
    <row r="227" spans="1:7" x14ac:dyDescent="0.25">
      <c r="A227" s="7">
        <v>222</v>
      </c>
      <c r="B227" s="7">
        <v>50</v>
      </c>
      <c r="C227" s="7">
        <v>-325</v>
      </c>
      <c r="D227" s="7">
        <v>3750</v>
      </c>
      <c r="E227" s="7">
        <v>33</v>
      </c>
      <c r="F227" s="11">
        <f>B227+Origin_X</f>
        <v>50</v>
      </c>
      <c r="G227" s="11">
        <f>C227+Origin_Y</f>
        <v>-325</v>
      </c>
    </row>
    <row r="228" spans="1:7" x14ac:dyDescent="0.25">
      <c r="A228" s="7">
        <v>223</v>
      </c>
      <c r="B228" s="7">
        <v>25</v>
      </c>
      <c r="C228" s="7">
        <v>-200</v>
      </c>
      <c r="D228" s="7">
        <v>3750</v>
      </c>
      <c r="E228" s="7">
        <v>34</v>
      </c>
      <c r="F228" s="11">
        <f>B228+Origin_X</f>
        <v>25</v>
      </c>
      <c r="G228" s="11">
        <f>C228+Origin_Y</f>
        <v>-200</v>
      </c>
    </row>
    <row r="229" spans="1:7" x14ac:dyDescent="0.25">
      <c r="A229" s="7">
        <v>224</v>
      </c>
      <c r="B229" s="7">
        <v>25</v>
      </c>
      <c r="C229" s="7">
        <v>-275</v>
      </c>
      <c r="D229" s="7">
        <v>3750</v>
      </c>
      <c r="E229" s="7">
        <v>34</v>
      </c>
      <c r="F229" s="11">
        <f>B229+Origin_X</f>
        <v>25</v>
      </c>
      <c r="G229" s="11">
        <f>C229+Origin_Y</f>
        <v>-275</v>
      </c>
    </row>
    <row r="230" spans="1:7" x14ac:dyDescent="0.25">
      <c r="A230" s="7">
        <v>225</v>
      </c>
      <c r="B230" s="7">
        <v>100</v>
      </c>
      <c r="C230" s="7">
        <v>-275</v>
      </c>
      <c r="D230" s="7">
        <v>3750</v>
      </c>
      <c r="E230" s="7">
        <v>34</v>
      </c>
      <c r="F230" s="11">
        <f>B230+Origin_X</f>
        <v>100</v>
      </c>
      <c r="G230" s="11">
        <f>C230+Origin_Y</f>
        <v>-275</v>
      </c>
    </row>
    <row r="231" spans="1:7" x14ac:dyDescent="0.25">
      <c r="A231" s="7">
        <v>226</v>
      </c>
      <c r="B231" s="7">
        <v>125</v>
      </c>
      <c r="C231" s="7">
        <v>-250</v>
      </c>
      <c r="D231" s="7">
        <v>3750</v>
      </c>
      <c r="E231" s="7">
        <v>34</v>
      </c>
      <c r="F231" s="11">
        <f>B231+Origin_X</f>
        <v>125</v>
      </c>
      <c r="G231" s="11">
        <f>C231+Origin_Y</f>
        <v>-250</v>
      </c>
    </row>
    <row r="232" spans="1:7" x14ac:dyDescent="0.25">
      <c r="A232" s="7">
        <v>227</v>
      </c>
      <c r="B232" s="7">
        <v>125</v>
      </c>
      <c r="C232" s="7">
        <v>-175</v>
      </c>
      <c r="D232" s="7">
        <v>3750</v>
      </c>
      <c r="E232" s="7">
        <v>34</v>
      </c>
      <c r="F232" s="11">
        <f>B232+Origin_X</f>
        <v>125</v>
      </c>
      <c r="G232" s="11">
        <f>C232+Origin_Y</f>
        <v>-175</v>
      </c>
    </row>
    <row r="233" spans="1:7" x14ac:dyDescent="0.25">
      <c r="A233" s="7">
        <v>228</v>
      </c>
      <c r="B233" s="7">
        <v>50</v>
      </c>
      <c r="C233" s="7">
        <v>-175</v>
      </c>
      <c r="D233" s="7">
        <v>3750</v>
      </c>
      <c r="E233" s="7">
        <v>34</v>
      </c>
      <c r="F233" s="11">
        <f>B233+Origin_X</f>
        <v>50</v>
      </c>
      <c r="G233" s="11">
        <f>C233+Origin_Y</f>
        <v>-175</v>
      </c>
    </row>
    <row r="234" spans="1:7" x14ac:dyDescent="0.25">
      <c r="A234" s="7">
        <v>229</v>
      </c>
      <c r="B234" s="7">
        <v>25</v>
      </c>
      <c r="C234" s="7">
        <v>-50</v>
      </c>
      <c r="D234" s="7">
        <v>3750</v>
      </c>
      <c r="E234" s="7">
        <v>35</v>
      </c>
      <c r="F234" s="11">
        <f>B234+Origin_X</f>
        <v>25</v>
      </c>
      <c r="G234" s="11">
        <f>C234+Origin_Y</f>
        <v>-50</v>
      </c>
    </row>
    <row r="235" spans="1:7" x14ac:dyDescent="0.25">
      <c r="A235" s="7">
        <v>230</v>
      </c>
      <c r="B235" s="7">
        <v>25</v>
      </c>
      <c r="C235" s="7">
        <v>-125</v>
      </c>
      <c r="D235" s="7">
        <v>3750</v>
      </c>
      <c r="E235" s="7">
        <v>35</v>
      </c>
      <c r="F235" s="11">
        <f>B235+Origin_X</f>
        <v>25</v>
      </c>
      <c r="G235" s="11">
        <f>C235+Origin_Y</f>
        <v>-125</v>
      </c>
    </row>
    <row r="236" spans="1:7" x14ac:dyDescent="0.25">
      <c r="A236" s="7">
        <v>231</v>
      </c>
      <c r="B236" s="7">
        <v>100</v>
      </c>
      <c r="C236" s="7">
        <v>-125</v>
      </c>
      <c r="D236" s="7">
        <v>3750</v>
      </c>
      <c r="E236" s="7">
        <v>35</v>
      </c>
      <c r="F236" s="11">
        <f>B236+Origin_X</f>
        <v>100</v>
      </c>
      <c r="G236" s="11">
        <f>C236+Origin_Y</f>
        <v>-125</v>
      </c>
    </row>
    <row r="237" spans="1:7" x14ac:dyDescent="0.25">
      <c r="A237" s="7">
        <v>232</v>
      </c>
      <c r="B237" s="7">
        <v>125</v>
      </c>
      <c r="C237" s="7">
        <v>-100</v>
      </c>
      <c r="D237" s="7">
        <v>3750</v>
      </c>
      <c r="E237" s="7">
        <v>35</v>
      </c>
      <c r="F237" s="11">
        <f>B237+Origin_X</f>
        <v>125</v>
      </c>
      <c r="G237" s="11">
        <f>C237+Origin_Y</f>
        <v>-100</v>
      </c>
    </row>
    <row r="238" spans="1:7" x14ac:dyDescent="0.25">
      <c r="A238" s="7">
        <v>233</v>
      </c>
      <c r="B238" s="7">
        <v>125</v>
      </c>
      <c r="C238" s="7">
        <v>-25</v>
      </c>
      <c r="D238" s="7">
        <v>3750</v>
      </c>
      <c r="E238" s="7">
        <v>35</v>
      </c>
      <c r="F238" s="11">
        <f>B238+Origin_X</f>
        <v>125</v>
      </c>
      <c r="G238" s="11">
        <f>C238+Origin_Y</f>
        <v>-25</v>
      </c>
    </row>
    <row r="239" spans="1:7" x14ac:dyDescent="0.25">
      <c r="A239" s="7">
        <v>234</v>
      </c>
      <c r="B239" s="7">
        <v>50</v>
      </c>
      <c r="C239" s="7">
        <v>-25</v>
      </c>
      <c r="D239" s="7">
        <v>3750</v>
      </c>
      <c r="E239" s="7">
        <v>35</v>
      </c>
      <c r="F239" s="11">
        <f>B239+Origin_X</f>
        <v>50</v>
      </c>
      <c r="G239" s="11">
        <f>C239+Origin_Y</f>
        <v>-25</v>
      </c>
    </row>
    <row r="240" spans="1:7" x14ac:dyDescent="0.25">
      <c r="A240" s="7">
        <v>235</v>
      </c>
      <c r="B240" s="7">
        <v>25</v>
      </c>
      <c r="C240" s="7">
        <v>100</v>
      </c>
      <c r="D240" s="7">
        <v>3750</v>
      </c>
      <c r="E240" s="7">
        <v>36</v>
      </c>
      <c r="F240" s="11">
        <f>B240+Origin_X</f>
        <v>25</v>
      </c>
      <c r="G240" s="11">
        <f>C240+Origin_Y</f>
        <v>100</v>
      </c>
    </row>
    <row r="241" spans="1:7" x14ac:dyDescent="0.25">
      <c r="A241" s="7">
        <v>236</v>
      </c>
      <c r="B241" s="7">
        <v>25</v>
      </c>
      <c r="C241" s="7">
        <v>25</v>
      </c>
      <c r="D241" s="7">
        <v>3750</v>
      </c>
      <c r="E241" s="7">
        <v>36</v>
      </c>
      <c r="F241" s="11">
        <f>B241+Origin_X</f>
        <v>25</v>
      </c>
      <c r="G241" s="11">
        <f>C241+Origin_Y</f>
        <v>25</v>
      </c>
    </row>
    <row r="242" spans="1:7" x14ac:dyDescent="0.25">
      <c r="A242" s="7">
        <v>237</v>
      </c>
      <c r="B242" s="7">
        <v>100</v>
      </c>
      <c r="C242" s="7">
        <v>25</v>
      </c>
      <c r="D242" s="7">
        <v>3750</v>
      </c>
      <c r="E242" s="7">
        <v>36</v>
      </c>
      <c r="F242" s="11">
        <f>B242+Origin_X</f>
        <v>100</v>
      </c>
      <c r="G242" s="11">
        <f>C242+Origin_Y</f>
        <v>25</v>
      </c>
    </row>
    <row r="243" spans="1:7" x14ac:dyDescent="0.25">
      <c r="A243" s="7">
        <v>238</v>
      </c>
      <c r="B243" s="7">
        <v>125</v>
      </c>
      <c r="C243" s="7">
        <v>50</v>
      </c>
      <c r="D243" s="7">
        <v>3750</v>
      </c>
      <c r="E243" s="7">
        <v>36</v>
      </c>
      <c r="F243" s="11">
        <f>B243+Origin_X</f>
        <v>125</v>
      </c>
      <c r="G243" s="11">
        <f>C243+Origin_Y</f>
        <v>50</v>
      </c>
    </row>
    <row r="244" spans="1:7" x14ac:dyDescent="0.25">
      <c r="A244" s="7">
        <v>239</v>
      </c>
      <c r="B244" s="7">
        <v>125</v>
      </c>
      <c r="C244" s="7">
        <v>125</v>
      </c>
      <c r="D244" s="7">
        <v>3750</v>
      </c>
      <c r="E244" s="7">
        <v>36</v>
      </c>
      <c r="F244" s="11">
        <f>B244+Origin_X</f>
        <v>125</v>
      </c>
      <c r="G244" s="11">
        <f>C244+Origin_Y</f>
        <v>125</v>
      </c>
    </row>
    <row r="245" spans="1:7" x14ac:dyDescent="0.25">
      <c r="A245" s="7">
        <v>240</v>
      </c>
      <c r="B245" s="7">
        <v>50</v>
      </c>
      <c r="C245" s="7">
        <v>125</v>
      </c>
      <c r="D245" s="7">
        <v>3750</v>
      </c>
      <c r="E245" s="7">
        <v>36</v>
      </c>
      <c r="F245" s="11">
        <f>B245+Origin_X</f>
        <v>50</v>
      </c>
      <c r="G245" s="11">
        <f>C245+Origin_Y</f>
        <v>125</v>
      </c>
    </row>
    <row r="246" spans="1:7" x14ac:dyDescent="0.25">
      <c r="A246" s="7">
        <v>241</v>
      </c>
      <c r="B246" s="7">
        <v>25</v>
      </c>
      <c r="C246" s="7">
        <v>250</v>
      </c>
      <c r="D246" s="7">
        <v>3750</v>
      </c>
      <c r="E246" s="7">
        <v>37</v>
      </c>
      <c r="F246" s="11">
        <f>B246+Origin_X</f>
        <v>25</v>
      </c>
      <c r="G246" s="11">
        <f>C246+Origin_Y</f>
        <v>250</v>
      </c>
    </row>
    <row r="247" spans="1:7" x14ac:dyDescent="0.25">
      <c r="A247" s="7">
        <v>242</v>
      </c>
      <c r="B247" s="7">
        <v>25</v>
      </c>
      <c r="C247" s="7">
        <v>175</v>
      </c>
      <c r="D247" s="7">
        <v>3750</v>
      </c>
      <c r="E247" s="7">
        <v>37</v>
      </c>
      <c r="F247" s="11">
        <f>B247+Origin_X</f>
        <v>25</v>
      </c>
      <c r="G247" s="11">
        <f>C247+Origin_Y</f>
        <v>175</v>
      </c>
    </row>
    <row r="248" spans="1:7" x14ac:dyDescent="0.25">
      <c r="A248" s="7">
        <v>243</v>
      </c>
      <c r="B248" s="7">
        <v>100</v>
      </c>
      <c r="C248" s="7">
        <v>175</v>
      </c>
      <c r="D248" s="7">
        <v>3750</v>
      </c>
      <c r="E248" s="7">
        <v>37</v>
      </c>
      <c r="F248" s="11">
        <f>B248+Origin_X</f>
        <v>100</v>
      </c>
      <c r="G248" s="11">
        <f>C248+Origin_Y</f>
        <v>175</v>
      </c>
    </row>
    <row r="249" spans="1:7" x14ac:dyDescent="0.25">
      <c r="A249" s="7">
        <v>244</v>
      </c>
      <c r="B249" s="7">
        <v>125</v>
      </c>
      <c r="C249" s="7">
        <v>200</v>
      </c>
      <c r="D249" s="7">
        <v>3750</v>
      </c>
      <c r="E249" s="7">
        <v>37</v>
      </c>
      <c r="F249" s="11">
        <f>B249+Origin_X</f>
        <v>125</v>
      </c>
      <c r="G249" s="11">
        <f>C249+Origin_Y</f>
        <v>200</v>
      </c>
    </row>
    <row r="250" spans="1:7" x14ac:dyDescent="0.25">
      <c r="A250" s="7">
        <v>245</v>
      </c>
      <c r="B250" s="7">
        <v>125</v>
      </c>
      <c r="C250" s="7">
        <v>275</v>
      </c>
      <c r="D250" s="7">
        <v>3750</v>
      </c>
      <c r="E250" s="7">
        <v>37</v>
      </c>
      <c r="F250" s="11">
        <f>B250+Origin_X</f>
        <v>125</v>
      </c>
      <c r="G250" s="11">
        <f>C250+Origin_Y</f>
        <v>275</v>
      </c>
    </row>
    <row r="251" spans="1:7" x14ac:dyDescent="0.25">
      <c r="A251" s="7">
        <v>246</v>
      </c>
      <c r="B251" s="7">
        <v>50</v>
      </c>
      <c r="C251" s="7">
        <v>275</v>
      </c>
      <c r="D251" s="7">
        <v>3750</v>
      </c>
      <c r="E251" s="7">
        <v>37</v>
      </c>
      <c r="F251" s="11">
        <f>B251+Origin_X</f>
        <v>50</v>
      </c>
      <c r="G251" s="11">
        <f>C251+Origin_Y</f>
        <v>275</v>
      </c>
    </row>
    <row r="252" spans="1:7" x14ac:dyDescent="0.25">
      <c r="A252" s="7">
        <v>247</v>
      </c>
      <c r="B252" s="7">
        <v>25</v>
      </c>
      <c r="C252" s="7">
        <v>400</v>
      </c>
      <c r="D252" s="7">
        <v>3750</v>
      </c>
      <c r="E252" s="7">
        <v>38</v>
      </c>
      <c r="F252" s="11">
        <f>B252+Origin_X</f>
        <v>25</v>
      </c>
      <c r="G252" s="11">
        <f>C252+Origin_Y</f>
        <v>400</v>
      </c>
    </row>
    <row r="253" spans="1:7" x14ac:dyDescent="0.25">
      <c r="A253" s="7">
        <v>248</v>
      </c>
      <c r="B253" s="7">
        <v>25</v>
      </c>
      <c r="C253" s="7">
        <v>325</v>
      </c>
      <c r="D253" s="7">
        <v>3750</v>
      </c>
      <c r="E253" s="7">
        <v>38</v>
      </c>
      <c r="F253" s="11">
        <f>B253+Origin_X</f>
        <v>25</v>
      </c>
      <c r="G253" s="11">
        <f>C253+Origin_Y</f>
        <v>325</v>
      </c>
    </row>
    <row r="254" spans="1:7" x14ac:dyDescent="0.25">
      <c r="A254" s="7">
        <v>249</v>
      </c>
      <c r="B254" s="7">
        <v>100</v>
      </c>
      <c r="C254" s="7">
        <v>325</v>
      </c>
      <c r="D254" s="7">
        <v>3750</v>
      </c>
      <c r="E254" s="7">
        <v>38</v>
      </c>
      <c r="F254" s="11">
        <f>B254+Origin_X</f>
        <v>100</v>
      </c>
      <c r="G254" s="11">
        <f>C254+Origin_Y</f>
        <v>325</v>
      </c>
    </row>
    <row r="255" spans="1:7" x14ac:dyDescent="0.25">
      <c r="A255" s="7">
        <v>250</v>
      </c>
      <c r="B255" s="7">
        <v>125</v>
      </c>
      <c r="C255" s="7">
        <v>350</v>
      </c>
      <c r="D255" s="7">
        <v>3750</v>
      </c>
      <c r="E255" s="7">
        <v>38</v>
      </c>
      <c r="F255" s="11">
        <f>B255+Origin_X</f>
        <v>125</v>
      </c>
      <c r="G255" s="11">
        <f>C255+Origin_Y</f>
        <v>350</v>
      </c>
    </row>
    <row r="256" spans="1:7" x14ac:dyDescent="0.25">
      <c r="A256" s="7">
        <v>251</v>
      </c>
      <c r="B256" s="7">
        <v>125</v>
      </c>
      <c r="C256" s="7">
        <v>425</v>
      </c>
      <c r="D256" s="7">
        <v>3750</v>
      </c>
      <c r="E256" s="7">
        <v>38</v>
      </c>
      <c r="F256" s="11">
        <f>B256+Origin_X</f>
        <v>125</v>
      </c>
      <c r="G256" s="11">
        <f>C256+Origin_Y</f>
        <v>425</v>
      </c>
    </row>
    <row r="257" spans="1:7" x14ac:dyDescent="0.25">
      <c r="A257" s="7">
        <v>252</v>
      </c>
      <c r="B257" s="7">
        <v>50</v>
      </c>
      <c r="C257" s="7">
        <v>425</v>
      </c>
      <c r="D257" s="7">
        <v>3750</v>
      </c>
      <c r="E257" s="7">
        <v>38</v>
      </c>
      <c r="F257" s="11">
        <f>B257+Origin_X</f>
        <v>50</v>
      </c>
      <c r="G257" s="11">
        <f>C257+Origin_Y</f>
        <v>425</v>
      </c>
    </row>
    <row r="258" spans="1:7" x14ac:dyDescent="0.25">
      <c r="A258" s="7">
        <v>253</v>
      </c>
      <c r="B258" s="7">
        <v>25</v>
      </c>
      <c r="C258" s="7">
        <v>550</v>
      </c>
      <c r="D258" s="7">
        <v>3750</v>
      </c>
      <c r="E258" s="7">
        <v>39</v>
      </c>
      <c r="F258" s="11">
        <f>B258+Origin_X</f>
        <v>25</v>
      </c>
      <c r="G258" s="11">
        <f>C258+Origin_Y</f>
        <v>550</v>
      </c>
    </row>
    <row r="259" spans="1:7" x14ac:dyDescent="0.25">
      <c r="A259" s="7">
        <v>254</v>
      </c>
      <c r="B259" s="7">
        <v>25</v>
      </c>
      <c r="C259" s="7">
        <v>475</v>
      </c>
      <c r="D259" s="7">
        <v>3750</v>
      </c>
      <c r="E259" s="7">
        <v>39</v>
      </c>
      <c r="F259" s="11">
        <f>B259+Origin_X</f>
        <v>25</v>
      </c>
      <c r="G259" s="11">
        <f>C259+Origin_Y</f>
        <v>475</v>
      </c>
    </row>
    <row r="260" spans="1:7" x14ac:dyDescent="0.25">
      <c r="A260" s="7">
        <v>255</v>
      </c>
      <c r="B260" s="7">
        <v>100</v>
      </c>
      <c r="C260" s="7">
        <v>475</v>
      </c>
      <c r="D260" s="7">
        <v>3750</v>
      </c>
      <c r="E260" s="7">
        <v>39</v>
      </c>
      <c r="F260" s="11">
        <f>B260+Origin_X</f>
        <v>100</v>
      </c>
      <c r="G260" s="11">
        <f>C260+Origin_Y</f>
        <v>475</v>
      </c>
    </row>
    <row r="261" spans="1:7" x14ac:dyDescent="0.25">
      <c r="A261" s="7">
        <v>256</v>
      </c>
      <c r="B261" s="7">
        <v>125</v>
      </c>
      <c r="C261" s="7">
        <v>500</v>
      </c>
      <c r="D261" s="7">
        <v>3750</v>
      </c>
      <c r="E261" s="7">
        <v>39</v>
      </c>
      <c r="F261" s="11">
        <f>B261+Origin_X</f>
        <v>125</v>
      </c>
      <c r="G261" s="11">
        <f>C261+Origin_Y</f>
        <v>500</v>
      </c>
    </row>
    <row r="262" spans="1:7" x14ac:dyDescent="0.25">
      <c r="A262" s="7">
        <v>257</v>
      </c>
      <c r="B262" s="7">
        <v>125</v>
      </c>
      <c r="C262" s="7">
        <v>575</v>
      </c>
      <c r="D262" s="7">
        <v>3750</v>
      </c>
      <c r="E262" s="7">
        <v>39</v>
      </c>
      <c r="F262" s="11">
        <f>B262+Origin_X</f>
        <v>125</v>
      </c>
      <c r="G262" s="11">
        <f>C262+Origin_Y</f>
        <v>575</v>
      </c>
    </row>
    <row r="263" spans="1:7" x14ac:dyDescent="0.25">
      <c r="A263" s="7">
        <v>258</v>
      </c>
      <c r="B263" s="7">
        <v>50</v>
      </c>
      <c r="C263" s="7">
        <v>575</v>
      </c>
      <c r="D263" s="7">
        <v>3750</v>
      </c>
      <c r="E263" s="7">
        <v>39</v>
      </c>
      <c r="F263" s="11">
        <f>B263+Origin_X</f>
        <v>50</v>
      </c>
      <c r="G263" s="11">
        <f>C263+Origin_Y</f>
        <v>575</v>
      </c>
    </row>
    <row r="264" spans="1:7" x14ac:dyDescent="0.25">
      <c r="A264" s="7">
        <v>259</v>
      </c>
      <c r="B264" s="7">
        <v>175</v>
      </c>
      <c r="C264" s="7">
        <v>-500</v>
      </c>
      <c r="D264" s="7">
        <v>3750</v>
      </c>
      <c r="E264" s="7">
        <v>40</v>
      </c>
      <c r="F264" s="11">
        <f>B264+Origin_X</f>
        <v>175</v>
      </c>
      <c r="G264" s="11">
        <f>C264+Origin_Y</f>
        <v>-500</v>
      </c>
    </row>
    <row r="265" spans="1:7" x14ac:dyDescent="0.25">
      <c r="A265" s="7">
        <v>260</v>
      </c>
      <c r="B265" s="7">
        <v>175</v>
      </c>
      <c r="C265" s="7">
        <v>-575</v>
      </c>
      <c r="D265" s="7">
        <v>3750</v>
      </c>
      <c r="E265" s="7">
        <v>40</v>
      </c>
      <c r="F265" s="11">
        <f>B265+Origin_X</f>
        <v>175</v>
      </c>
      <c r="G265" s="11">
        <f>C265+Origin_Y</f>
        <v>-575</v>
      </c>
    </row>
    <row r="266" spans="1:7" x14ac:dyDescent="0.25">
      <c r="A266" s="7">
        <v>261</v>
      </c>
      <c r="B266" s="7">
        <v>250</v>
      </c>
      <c r="C266" s="7">
        <v>-575</v>
      </c>
      <c r="D266" s="7">
        <v>3750</v>
      </c>
      <c r="E266" s="7">
        <v>40</v>
      </c>
      <c r="F266" s="11">
        <f>B266+Origin_X</f>
        <v>250</v>
      </c>
      <c r="G266" s="11">
        <f>C266+Origin_Y</f>
        <v>-575</v>
      </c>
    </row>
    <row r="267" spans="1:7" x14ac:dyDescent="0.25">
      <c r="A267" s="7">
        <v>262</v>
      </c>
      <c r="B267" s="7">
        <v>275</v>
      </c>
      <c r="C267" s="7">
        <v>-550</v>
      </c>
      <c r="D267" s="7">
        <v>3750</v>
      </c>
      <c r="E267" s="7">
        <v>40</v>
      </c>
      <c r="F267" s="11">
        <f>B267+Origin_X</f>
        <v>275</v>
      </c>
      <c r="G267" s="11">
        <f>C267+Origin_Y</f>
        <v>-550</v>
      </c>
    </row>
    <row r="268" spans="1:7" x14ac:dyDescent="0.25">
      <c r="A268" s="7">
        <v>263</v>
      </c>
      <c r="B268" s="7">
        <v>275</v>
      </c>
      <c r="C268" s="7">
        <v>-475</v>
      </c>
      <c r="D268" s="7">
        <v>3750</v>
      </c>
      <c r="E268" s="7">
        <v>40</v>
      </c>
      <c r="F268" s="11">
        <f>B268+Origin_X</f>
        <v>275</v>
      </c>
      <c r="G268" s="11">
        <f>C268+Origin_Y</f>
        <v>-475</v>
      </c>
    </row>
    <row r="269" spans="1:7" x14ac:dyDescent="0.25">
      <c r="A269" s="7">
        <v>264</v>
      </c>
      <c r="B269" s="7">
        <v>200</v>
      </c>
      <c r="C269" s="7">
        <v>-475</v>
      </c>
      <c r="D269" s="7">
        <v>3750</v>
      </c>
      <c r="E269" s="7">
        <v>40</v>
      </c>
      <c r="F269" s="11">
        <f>B269+Origin_X</f>
        <v>200</v>
      </c>
      <c r="G269" s="11">
        <f>C269+Origin_Y</f>
        <v>-475</v>
      </c>
    </row>
    <row r="270" spans="1:7" x14ac:dyDescent="0.25">
      <c r="A270" s="7">
        <v>265</v>
      </c>
      <c r="B270" s="7">
        <v>200</v>
      </c>
      <c r="C270" s="7">
        <v>-441.66666666666663</v>
      </c>
      <c r="D270" s="7">
        <v>1250</v>
      </c>
      <c r="E270" s="7">
        <v>41</v>
      </c>
      <c r="F270" s="11">
        <f>B270+Origin_X</f>
        <v>200</v>
      </c>
      <c r="G270" s="11">
        <f>C270+Origin_Y</f>
        <v>-441.66666666666663</v>
      </c>
    </row>
    <row r="271" spans="1:7" x14ac:dyDescent="0.25">
      <c r="A271" s="7">
        <v>266</v>
      </c>
      <c r="B271" s="7">
        <v>275</v>
      </c>
      <c r="C271" s="7">
        <v>-441.66666666666663</v>
      </c>
      <c r="D271" s="7">
        <v>1250</v>
      </c>
      <c r="E271" s="7">
        <v>41</v>
      </c>
      <c r="F271" s="11">
        <f>B271+Origin_X</f>
        <v>275</v>
      </c>
      <c r="G271" s="11">
        <f>C271+Origin_Y</f>
        <v>-441.66666666666663</v>
      </c>
    </row>
    <row r="272" spans="1:7" x14ac:dyDescent="0.25">
      <c r="A272" s="7">
        <v>267</v>
      </c>
      <c r="B272" s="7">
        <v>275</v>
      </c>
      <c r="C272" s="7">
        <v>-416.66666666666663</v>
      </c>
      <c r="D272" s="7">
        <v>1250</v>
      </c>
      <c r="E272" s="7">
        <v>41</v>
      </c>
      <c r="F272" s="11">
        <f>B272+Origin_X</f>
        <v>275</v>
      </c>
      <c r="G272" s="11">
        <f>C272+Origin_Y</f>
        <v>-416.66666666666663</v>
      </c>
    </row>
    <row r="273" spans="1:7" x14ac:dyDescent="0.25">
      <c r="A273" s="7">
        <v>268</v>
      </c>
      <c r="B273" s="7">
        <v>191.66666666666666</v>
      </c>
      <c r="C273" s="7">
        <v>-433.33333333333326</v>
      </c>
      <c r="D273" s="7">
        <v>416.6666666666667</v>
      </c>
      <c r="E273" s="7">
        <v>41</v>
      </c>
      <c r="F273" s="11">
        <f>B273+Origin_X</f>
        <v>191.66666666666666</v>
      </c>
      <c r="G273" s="11">
        <f>C273+Origin_Y</f>
        <v>-433.33333333333326</v>
      </c>
    </row>
    <row r="274" spans="1:7" x14ac:dyDescent="0.25">
      <c r="A274" s="7">
        <v>269</v>
      </c>
      <c r="B274" s="7">
        <v>266.6666666666667</v>
      </c>
      <c r="C274" s="7">
        <v>-408.33333333333326</v>
      </c>
      <c r="D274" s="7">
        <v>416.6666666666667</v>
      </c>
      <c r="E274" s="7">
        <v>41</v>
      </c>
      <c r="F274" s="11">
        <f>B274+Origin_X</f>
        <v>266.6666666666667</v>
      </c>
      <c r="G274" s="11">
        <f>C274+Origin_Y</f>
        <v>-408.33333333333326</v>
      </c>
    </row>
    <row r="275" spans="1:7" x14ac:dyDescent="0.25">
      <c r="A275" s="7">
        <v>270</v>
      </c>
      <c r="B275" s="7">
        <v>241.66666666666666</v>
      </c>
      <c r="C275" s="7">
        <v>-408.33333333333326</v>
      </c>
      <c r="D275" s="7">
        <v>416.6666666666667</v>
      </c>
      <c r="E275" s="7">
        <v>41</v>
      </c>
      <c r="F275" s="11">
        <f>B275+Origin_X</f>
        <v>241.66666666666666</v>
      </c>
      <c r="G275" s="11">
        <f>C275+Origin_Y</f>
        <v>-408.33333333333326</v>
      </c>
    </row>
    <row r="276" spans="1:7" x14ac:dyDescent="0.25">
      <c r="A276" s="7">
        <v>271</v>
      </c>
      <c r="B276" s="7">
        <v>166.66666666666666</v>
      </c>
      <c r="C276" s="7">
        <v>-416.66666666666663</v>
      </c>
      <c r="D276" s="7">
        <v>2500</v>
      </c>
      <c r="E276" s="7">
        <v>41</v>
      </c>
      <c r="F276" s="11">
        <f>B276+Origin_X</f>
        <v>166.66666666666666</v>
      </c>
      <c r="G276" s="11">
        <f>C276+Origin_Y</f>
        <v>-416.66666666666663</v>
      </c>
    </row>
    <row r="277" spans="1:7" x14ac:dyDescent="0.25">
      <c r="A277" s="7">
        <v>272</v>
      </c>
      <c r="B277" s="7">
        <v>216.66666666666666</v>
      </c>
      <c r="C277" s="7">
        <v>-391.66666666666663</v>
      </c>
      <c r="D277" s="7">
        <v>2500</v>
      </c>
      <c r="E277" s="7">
        <v>41</v>
      </c>
      <c r="F277" s="11">
        <f>B277+Origin_X</f>
        <v>216.66666666666666</v>
      </c>
      <c r="G277" s="11">
        <f>C277+Origin_Y</f>
        <v>-391.66666666666663</v>
      </c>
    </row>
    <row r="278" spans="1:7" x14ac:dyDescent="0.25">
      <c r="A278" s="7">
        <v>273</v>
      </c>
      <c r="B278" s="7">
        <v>166.66666666666666</v>
      </c>
      <c r="C278" s="7">
        <v>-341.66666666666663</v>
      </c>
      <c r="D278" s="7">
        <v>2500</v>
      </c>
      <c r="E278" s="7">
        <v>41</v>
      </c>
      <c r="F278" s="11">
        <f>B278+Origin_X</f>
        <v>166.66666666666666</v>
      </c>
      <c r="G278" s="11">
        <f>C278+Origin_Y</f>
        <v>-341.66666666666663</v>
      </c>
    </row>
    <row r="279" spans="1:7" x14ac:dyDescent="0.25">
      <c r="A279" s="7">
        <v>274</v>
      </c>
      <c r="B279" s="7">
        <v>166.66666666666666</v>
      </c>
      <c r="C279" s="7">
        <v>416.66666666666663</v>
      </c>
      <c r="D279" s="7">
        <v>2500</v>
      </c>
      <c r="E279" s="7">
        <v>42</v>
      </c>
      <c r="F279" s="11">
        <f>B279+Origin_X</f>
        <v>166.66666666666666</v>
      </c>
      <c r="G279" s="11">
        <f>C279+Origin_Y</f>
        <v>416.66666666666663</v>
      </c>
    </row>
    <row r="280" spans="1:7" x14ac:dyDescent="0.25">
      <c r="A280" s="7">
        <v>275</v>
      </c>
      <c r="B280" s="7">
        <v>166.66666666666666</v>
      </c>
      <c r="C280" s="7">
        <v>341.66666666666663</v>
      </c>
      <c r="D280" s="7">
        <v>2500</v>
      </c>
      <c r="E280" s="7">
        <v>42</v>
      </c>
      <c r="F280" s="11">
        <f>B280+Origin_X</f>
        <v>166.66666666666666</v>
      </c>
      <c r="G280" s="11">
        <f>C280+Origin_Y</f>
        <v>341.66666666666663</v>
      </c>
    </row>
    <row r="281" spans="1:7" x14ac:dyDescent="0.25">
      <c r="A281" s="7">
        <v>276</v>
      </c>
      <c r="B281" s="7">
        <v>216.66666666666666</v>
      </c>
      <c r="C281" s="7">
        <v>391.66666666666663</v>
      </c>
      <c r="D281" s="7">
        <v>2500</v>
      </c>
      <c r="E281" s="7">
        <v>42</v>
      </c>
      <c r="F281" s="11">
        <f>B281+Origin_X</f>
        <v>216.66666666666666</v>
      </c>
      <c r="G281" s="11">
        <f>C281+Origin_Y</f>
        <v>391.66666666666663</v>
      </c>
    </row>
    <row r="282" spans="1:7" x14ac:dyDescent="0.25">
      <c r="A282" s="7">
        <v>277</v>
      </c>
      <c r="B282" s="7">
        <v>191.66666666666666</v>
      </c>
      <c r="C282" s="7">
        <v>433.33333333333326</v>
      </c>
      <c r="D282" s="7">
        <v>416.6666666666667</v>
      </c>
      <c r="E282" s="7">
        <v>42</v>
      </c>
      <c r="F282" s="11">
        <f>B282+Origin_X</f>
        <v>191.66666666666666</v>
      </c>
      <c r="G282" s="11">
        <f>C282+Origin_Y</f>
        <v>433.33333333333326</v>
      </c>
    </row>
    <row r="283" spans="1:7" x14ac:dyDescent="0.25">
      <c r="A283" s="7">
        <v>278</v>
      </c>
      <c r="B283" s="7">
        <v>241.66666666666666</v>
      </c>
      <c r="C283" s="7">
        <v>408.33333333333326</v>
      </c>
      <c r="D283" s="7">
        <v>416.6666666666667</v>
      </c>
      <c r="E283" s="7">
        <v>42</v>
      </c>
      <c r="F283" s="11">
        <f>B283+Origin_X</f>
        <v>241.66666666666666</v>
      </c>
      <c r="G283" s="11">
        <f>C283+Origin_Y</f>
        <v>408.33333333333326</v>
      </c>
    </row>
    <row r="284" spans="1:7" x14ac:dyDescent="0.25">
      <c r="A284" s="7">
        <v>279</v>
      </c>
      <c r="B284" s="7">
        <v>266.66666666666663</v>
      </c>
      <c r="C284" s="7">
        <v>408.33333333333326</v>
      </c>
      <c r="D284" s="7">
        <v>416.6666666666667</v>
      </c>
      <c r="E284" s="7">
        <v>42</v>
      </c>
      <c r="F284" s="11">
        <f>B284+Origin_X</f>
        <v>266.66666666666663</v>
      </c>
      <c r="G284" s="11">
        <f>C284+Origin_Y</f>
        <v>408.33333333333326</v>
      </c>
    </row>
    <row r="285" spans="1:7" x14ac:dyDescent="0.25">
      <c r="A285" s="7">
        <v>280</v>
      </c>
      <c r="B285" s="7">
        <v>275</v>
      </c>
      <c r="C285" s="7">
        <v>416.66666666666663</v>
      </c>
      <c r="D285" s="7">
        <v>1250</v>
      </c>
      <c r="E285" s="7">
        <v>42</v>
      </c>
      <c r="F285" s="11">
        <f>B285+Origin_X</f>
        <v>275</v>
      </c>
      <c r="G285" s="11">
        <f>C285+Origin_Y</f>
        <v>416.66666666666663</v>
      </c>
    </row>
    <row r="286" spans="1:7" x14ac:dyDescent="0.25">
      <c r="A286" s="7">
        <v>281</v>
      </c>
      <c r="B286" s="7">
        <v>275</v>
      </c>
      <c r="C286" s="7">
        <v>441.66666666666663</v>
      </c>
      <c r="D286" s="7">
        <v>1250</v>
      </c>
      <c r="E286" s="7">
        <v>42</v>
      </c>
      <c r="F286" s="11">
        <f>B286+Origin_X</f>
        <v>275</v>
      </c>
      <c r="G286" s="11">
        <f>C286+Origin_Y</f>
        <v>441.66666666666663</v>
      </c>
    </row>
    <row r="287" spans="1:7" x14ac:dyDescent="0.25">
      <c r="A287" s="7">
        <v>282</v>
      </c>
      <c r="B287" s="7">
        <v>200</v>
      </c>
      <c r="C287" s="7">
        <v>441.66666666666663</v>
      </c>
      <c r="D287" s="7">
        <v>1250</v>
      </c>
      <c r="E287" s="7">
        <v>42</v>
      </c>
      <c r="F287" s="11">
        <f>B287+Origin_X</f>
        <v>200</v>
      </c>
      <c r="G287" s="11">
        <f>C287+Origin_Y</f>
        <v>441.66666666666663</v>
      </c>
    </row>
    <row r="288" spans="1:7" x14ac:dyDescent="0.25">
      <c r="A288" s="7">
        <v>283</v>
      </c>
      <c r="B288" s="7">
        <v>175</v>
      </c>
      <c r="C288" s="7">
        <v>550</v>
      </c>
      <c r="D288" s="7">
        <v>3750</v>
      </c>
      <c r="E288" s="7">
        <v>43</v>
      </c>
      <c r="F288" s="11">
        <f>B288+Origin_X</f>
        <v>175</v>
      </c>
      <c r="G288" s="11">
        <f>C288+Origin_Y</f>
        <v>550</v>
      </c>
    </row>
    <row r="289" spans="1:7" x14ac:dyDescent="0.25">
      <c r="A289" s="7">
        <v>284</v>
      </c>
      <c r="B289" s="7">
        <v>175</v>
      </c>
      <c r="C289" s="7">
        <v>475</v>
      </c>
      <c r="D289" s="7">
        <v>3750</v>
      </c>
      <c r="E289" s="7">
        <v>43</v>
      </c>
      <c r="F289" s="11">
        <f>B289+Origin_X</f>
        <v>175</v>
      </c>
      <c r="G289" s="11">
        <f>C289+Origin_Y</f>
        <v>475</v>
      </c>
    </row>
    <row r="290" spans="1:7" x14ac:dyDescent="0.25">
      <c r="A290" s="7">
        <v>285</v>
      </c>
      <c r="B290" s="7">
        <v>250</v>
      </c>
      <c r="C290" s="7">
        <v>475</v>
      </c>
      <c r="D290" s="7">
        <v>3750</v>
      </c>
      <c r="E290" s="7">
        <v>43</v>
      </c>
      <c r="F290" s="11">
        <f>B290+Origin_X</f>
        <v>250</v>
      </c>
      <c r="G290" s="11">
        <f>C290+Origin_Y</f>
        <v>475</v>
      </c>
    </row>
    <row r="291" spans="1:7" x14ac:dyDescent="0.25">
      <c r="A291" s="7">
        <v>286</v>
      </c>
      <c r="B291" s="7">
        <v>275</v>
      </c>
      <c r="C291" s="7">
        <v>500</v>
      </c>
      <c r="D291" s="7">
        <v>3750</v>
      </c>
      <c r="E291" s="7">
        <v>43</v>
      </c>
      <c r="F291" s="11">
        <f>B291+Origin_X</f>
        <v>275</v>
      </c>
      <c r="G291" s="11">
        <f>C291+Origin_Y</f>
        <v>500</v>
      </c>
    </row>
    <row r="292" spans="1:7" x14ac:dyDescent="0.25">
      <c r="A292" s="7">
        <v>287</v>
      </c>
      <c r="B292" s="7">
        <v>275</v>
      </c>
      <c r="C292" s="7">
        <v>575</v>
      </c>
      <c r="D292" s="7">
        <v>3750</v>
      </c>
      <c r="E292" s="7">
        <v>43</v>
      </c>
      <c r="F292" s="11">
        <f>B292+Origin_X</f>
        <v>275</v>
      </c>
      <c r="G292" s="11">
        <f>C292+Origin_Y</f>
        <v>575</v>
      </c>
    </row>
    <row r="293" spans="1:7" x14ac:dyDescent="0.25">
      <c r="A293" s="7">
        <v>288</v>
      </c>
      <c r="B293" s="7">
        <v>200</v>
      </c>
      <c r="C293" s="7">
        <v>575</v>
      </c>
      <c r="D293" s="7">
        <v>3750</v>
      </c>
      <c r="E293" s="7">
        <v>43</v>
      </c>
      <c r="F293" s="11">
        <f>B293+Origin_X</f>
        <v>200</v>
      </c>
      <c r="G293" s="11">
        <f>C293+Origin_Y</f>
        <v>575</v>
      </c>
    </row>
    <row r="294" spans="1:7" x14ac:dyDescent="0.25">
      <c r="A294" s="7">
        <v>289</v>
      </c>
      <c r="B294" s="7">
        <v>325</v>
      </c>
      <c r="C294" s="7">
        <v>-500</v>
      </c>
      <c r="D294" s="7">
        <v>3750</v>
      </c>
      <c r="E294" s="7">
        <v>44</v>
      </c>
      <c r="F294" s="11">
        <f>B294+Origin_X</f>
        <v>325</v>
      </c>
      <c r="G294" s="11">
        <f>C294+Origin_Y</f>
        <v>-500</v>
      </c>
    </row>
    <row r="295" spans="1:7" x14ac:dyDescent="0.25">
      <c r="A295" s="7">
        <v>290</v>
      </c>
      <c r="B295" s="7">
        <v>325</v>
      </c>
      <c r="C295" s="7">
        <v>-575</v>
      </c>
      <c r="D295" s="7">
        <v>3750</v>
      </c>
      <c r="E295" s="7">
        <v>44</v>
      </c>
      <c r="F295" s="11">
        <f>B295+Origin_X</f>
        <v>325</v>
      </c>
      <c r="G295" s="11">
        <f>C295+Origin_Y</f>
        <v>-575</v>
      </c>
    </row>
    <row r="296" spans="1:7" x14ac:dyDescent="0.25">
      <c r="A296" s="7">
        <v>291</v>
      </c>
      <c r="B296" s="7">
        <v>400</v>
      </c>
      <c r="C296" s="7">
        <v>-575</v>
      </c>
      <c r="D296" s="7">
        <v>3750</v>
      </c>
      <c r="E296" s="7">
        <v>44</v>
      </c>
      <c r="F296" s="11">
        <f>B296+Origin_X</f>
        <v>400</v>
      </c>
      <c r="G296" s="11">
        <f>C296+Origin_Y</f>
        <v>-575</v>
      </c>
    </row>
    <row r="297" spans="1:7" x14ac:dyDescent="0.25">
      <c r="A297" s="7">
        <v>292</v>
      </c>
      <c r="B297" s="7">
        <v>425</v>
      </c>
      <c r="C297" s="7">
        <v>-550</v>
      </c>
      <c r="D297" s="7">
        <v>3750</v>
      </c>
      <c r="E297" s="7">
        <v>44</v>
      </c>
      <c r="F297" s="11">
        <f>B297+Origin_X</f>
        <v>425</v>
      </c>
      <c r="G297" s="11">
        <f>C297+Origin_Y</f>
        <v>-550</v>
      </c>
    </row>
    <row r="298" spans="1:7" x14ac:dyDescent="0.25">
      <c r="A298" s="7">
        <v>293</v>
      </c>
      <c r="B298" s="7">
        <v>425</v>
      </c>
      <c r="C298" s="7">
        <v>-475</v>
      </c>
      <c r="D298" s="7">
        <v>3750</v>
      </c>
      <c r="E298" s="7">
        <v>44</v>
      </c>
      <c r="F298" s="11">
        <f>B298+Origin_X</f>
        <v>425</v>
      </c>
      <c r="G298" s="11">
        <f>C298+Origin_Y</f>
        <v>-475</v>
      </c>
    </row>
    <row r="299" spans="1:7" x14ac:dyDescent="0.25">
      <c r="A299" s="7">
        <v>294</v>
      </c>
      <c r="B299" s="7">
        <v>350</v>
      </c>
      <c r="C299" s="7">
        <v>-475</v>
      </c>
      <c r="D299" s="7">
        <v>3750</v>
      </c>
      <c r="E299" s="7">
        <v>44</v>
      </c>
      <c r="F299" s="11">
        <f>B299+Origin_X</f>
        <v>350</v>
      </c>
      <c r="G299" s="11">
        <f>C299+Origin_Y</f>
        <v>-475</v>
      </c>
    </row>
    <row r="300" spans="1:7" x14ac:dyDescent="0.25">
      <c r="A300" s="7">
        <v>295</v>
      </c>
      <c r="B300" s="7">
        <v>325</v>
      </c>
      <c r="C300" s="7">
        <v>-416.66666666666663</v>
      </c>
      <c r="D300" s="7">
        <v>1250</v>
      </c>
      <c r="E300" s="7">
        <v>45</v>
      </c>
      <c r="F300" s="11">
        <f>B300+Origin_X</f>
        <v>325</v>
      </c>
      <c r="G300" s="11">
        <f>C300+Origin_Y</f>
        <v>-416.66666666666663</v>
      </c>
    </row>
    <row r="301" spans="1:7" x14ac:dyDescent="0.25">
      <c r="A301" s="7">
        <v>296</v>
      </c>
      <c r="B301" s="7">
        <v>325</v>
      </c>
      <c r="C301" s="7">
        <v>-441.66666666666663</v>
      </c>
      <c r="D301" s="7">
        <v>1250</v>
      </c>
      <c r="E301" s="7">
        <v>45</v>
      </c>
      <c r="F301" s="11">
        <f>B301+Origin_X</f>
        <v>325</v>
      </c>
      <c r="G301" s="11">
        <f>C301+Origin_Y</f>
        <v>-441.66666666666663</v>
      </c>
    </row>
    <row r="302" spans="1:7" x14ac:dyDescent="0.25">
      <c r="A302" s="7">
        <v>297</v>
      </c>
      <c r="B302" s="7">
        <v>400</v>
      </c>
      <c r="C302" s="7">
        <v>-441.66666666666663</v>
      </c>
      <c r="D302" s="7">
        <v>1250</v>
      </c>
      <c r="E302" s="7">
        <v>45</v>
      </c>
      <c r="F302" s="11">
        <f>B302+Origin_X</f>
        <v>400</v>
      </c>
      <c r="G302" s="11">
        <f>C302+Origin_Y</f>
        <v>-441.66666666666663</v>
      </c>
    </row>
    <row r="303" spans="1:7" x14ac:dyDescent="0.25">
      <c r="A303" s="7">
        <v>298</v>
      </c>
      <c r="B303" s="7">
        <v>425</v>
      </c>
      <c r="C303" s="7">
        <v>-433.33333333333326</v>
      </c>
      <c r="D303" s="7">
        <v>1250</v>
      </c>
      <c r="E303" s="7">
        <v>45</v>
      </c>
      <c r="F303" s="11">
        <f>B303+Origin_X</f>
        <v>425</v>
      </c>
      <c r="G303" s="11">
        <f>C303+Origin_Y</f>
        <v>-433.33333333333326</v>
      </c>
    </row>
    <row r="304" spans="1:7" x14ac:dyDescent="0.25">
      <c r="A304" s="7">
        <v>299</v>
      </c>
      <c r="B304" s="7">
        <v>425</v>
      </c>
      <c r="C304" s="7">
        <v>-408.33333333333326</v>
      </c>
      <c r="D304" s="7">
        <v>1250</v>
      </c>
      <c r="E304" s="7">
        <v>45</v>
      </c>
      <c r="F304" s="11">
        <f>B304+Origin_X</f>
        <v>425</v>
      </c>
      <c r="G304" s="11">
        <f>C304+Origin_Y</f>
        <v>-408.33333333333326</v>
      </c>
    </row>
    <row r="305" spans="1:7" x14ac:dyDescent="0.25">
      <c r="A305" s="7">
        <v>300</v>
      </c>
      <c r="B305" s="7">
        <v>350</v>
      </c>
      <c r="C305" s="7">
        <v>-408.33333333333326</v>
      </c>
      <c r="D305" s="7">
        <v>1250</v>
      </c>
      <c r="E305" s="7">
        <v>45</v>
      </c>
      <c r="F305" s="11">
        <f>B305+Origin_X</f>
        <v>350</v>
      </c>
      <c r="G305" s="11">
        <f>C305+Origin_Y</f>
        <v>-408.33333333333326</v>
      </c>
    </row>
    <row r="306" spans="1:7" x14ac:dyDescent="0.25">
      <c r="A306" s="7">
        <v>301</v>
      </c>
      <c r="B306" s="7">
        <v>325</v>
      </c>
      <c r="C306" s="7">
        <v>433.33333333333326</v>
      </c>
      <c r="D306" s="7">
        <v>1250</v>
      </c>
      <c r="E306" s="7">
        <v>46</v>
      </c>
      <c r="F306" s="11">
        <f>B306+Origin_X</f>
        <v>325</v>
      </c>
      <c r="G306" s="11">
        <f>C306+Origin_Y</f>
        <v>433.33333333333326</v>
      </c>
    </row>
    <row r="307" spans="1:7" x14ac:dyDescent="0.25">
      <c r="A307" s="7">
        <v>302</v>
      </c>
      <c r="B307" s="7">
        <v>325</v>
      </c>
      <c r="C307" s="7">
        <v>408.33333333333326</v>
      </c>
      <c r="D307" s="7">
        <v>1250</v>
      </c>
      <c r="E307" s="7">
        <v>46</v>
      </c>
      <c r="F307" s="11">
        <f>B307+Origin_X</f>
        <v>325</v>
      </c>
      <c r="G307" s="11">
        <f>C307+Origin_Y</f>
        <v>408.33333333333326</v>
      </c>
    </row>
    <row r="308" spans="1:7" x14ac:dyDescent="0.25">
      <c r="A308" s="7">
        <v>303</v>
      </c>
      <c r="B308" s="7">
        <v>400</v>
      </c>
      <c r="C308" s="7">
        <v>408.33333333333326</v>
      </c>
      <c r="D308" s="7">
        <v>1250</v>
      </c>
      <c r="E308" s="7">
        <v>46</v>
      </c>
      <c r="F308" s="11">
        <f>B308+Origin_X</f>
        <v>400</v>
      </c>
      <c r="G308" s="11">
        <f>C308+Origin_Y</f>
        <v>408.33333333333326</v>
      </c>
    </row>
    <row r="309" spans="1:7" x14ac:dyDescent="0.25">
      <c r="A309" s="7">
        <v>304</v>
      </c>
      <c r="B309" s="7">
        <v>425</v>
      </c>
      <c r="C309" s="7">
        <v>416.66666666666663</v>
      </c>
      <c r="D309" s="7">
        <v>1250</v>
      </c>
      <c r="E309" s="7">
        <v>46</v>
      </c>
      <c r="F309" s="11">
        <f>B309+Origin_X</f>
        <v>425</v>
      </c>
      <c r="G309" s="11">
        <f>C309+Origin_Y</f>
        <v>416.66666666666663</v>
      </c>
    </row>
    <row r="310" spans="1:7" x14ac:dyDescent="0.25">
      <c r="A310" s="7">
        <v>305</v>
      </c>
      <c r="B310" s="7">
        <v>425</v>
      </c>
      <c r="C310" s="7">
        <v>441.66666666666663</v>
      </c>
      <c r="D310" s="7">
        <v>1250</v>
      </c>
      <c r="E310" s="7">
        <v>46</v>
      </c>
      <c r="F310" s="11">
        <f>B310+Origin_X</f>
        <v>425</v>
      </c>
      <c r="G310" s="11">
        <f>C310+Origin_Y</f>
        <v>441.66666666666663</v>
      </c>
    </row>
    <row r="311" spans="1:7" x14ac:dyDescent="0.25">
      <c r="A311" s="7">
        <v>306</v>
      </c>
      <c r="B311" s="7">
        <v>350</v>
      </c>
      <c r="C311" s="7">
        <v>441.66666666666663</v>
      </c>
      <c r="D311" s="7">
        <v>1250</v>
      </c>
      <c r="E311" s="7">
        <v>46</v>
      </c>
      <c r="F311" s="11">
        <f>B311+Origin_X</f>
        <v>350</v>
      </c>
      <c r="G311" s="11">
        <f>C311+Origin_Y</f>
        <v>441.66666666666663</v>
      </c>
    </row>
    <row r="312" spans="1:7" x14ac:dyDescent="0.25">
      <c r="A312" s="7">
        <v>307</v>
      </c>
      <c r="B312" s="7">
        <v>325</v>
      </c>
      <c r="C312" s="7">
        <v>550</v>
      </c>
      <c r="D312" s="7">
        <v>3750</v>
      </c>
      <c r="E312" s="7">
        <v>47</v>
      </c>
      <c r="F312" s="11">
        <f>B312+Origin_X</f>
        <v>325</v>
      </c>
      <c r="G312" s="11">
        <f>C312+Origin_Y</f>
        <v>550</v>
      </c>
    </row>
    <row r="313" spans="1:7" x14ac:dyDescent="0.25">
      <c r="A313" s="7">
        <v>308</v>
      </c>
      <c r="B313" s="7">
        <v>325</v>
      </c>
      <c r="C313" s="7">
        <v>475</v>
      </c>
      <c r="D313" s="7">
        <v>3750</v>
      </c>
      <c r="E313" s="7">
        <v>47</v>
      </c>
      <c r="F313" s="11">
        <f>B313+Origin_X</f>
        <v>325</v>
      </c>
      <c r="G313" s="11">
        <f>C313+Origin_Y</f>
        <v>475</v>
      </c>
    </row>
    <row r="314" spans="1:7" x14ac:dyDescent="0.25">
      <c r="A314" s="7">
        <v>309</v>
      </c>
      <c r="B314" s="7">
        <v>400</v>
      </c>
      <c r="C314" s="7">
        <v>475</v>
      </c>
      <c r="D314" s="7">
        <v>3750</v>
      </c>
      <c r="E314" s="7">
        <v>47</v>
      </c>
      <c r="F314" s="11">
        <f>B314+Origin_X</f>
        <v>400</v>
      </c>
      <c r="G314" s="11">
        <f>C314+Origin_Y</f>
        <v>475</v>
      </c>
    </row>
    <row r="315" spans="1:7" x14ac:dyDescent="0.25">
      <c r="A315" s="7">
        <v>310</v>
      </c>
      <c r="B315" s="7">
        <v>425</v>
      </c>
      <c r="C315" s="7">
        <v>500</v>
      </c>
      <c r="D315" s="7">
        <v>3750</v>
      </c>
      <c r="E315" s="7">
        <v>47</v>
      </c>
      <c r="F315" s="11">
        <f>B315+Origin_X</f>
        <v>425</v>
      </c>
      <c r="G315" s="11">
        <f>C315+Origin_Y</f>
        <v>500</v>
      </c>
    </row>
    <row r="316" spans="1:7" x14ac:dyDescent="0.25">
      <c r="A316" s="7">
        <v>311</v>
      </c>
      <c r="B316" s="7">
        <v>425</v>
      </c>
      <c r="C316" s="7">
        <v>575</v>
      </c>
      <c r="D316" s="7">
        <v>3750</v>
      </c>
      <c r="E316" s="7">
        <v>47</v>
      </c>
      <c r="F316" s="11">
        <f>B316+Origin_X</f>
        <v>425</v>
      </c>
      <c r="G316" s="11">
        <f>C316+Origin_Y</f>
        <v>575</v>
      </c>
    </row>
    <row r="317" spans="1:7" x14ac:dyDescent="0.25">
      <c r="A317" s="7">
        <v>312</v>
      </c>
      <c r="B317" s="7">
        <v>350</v>
      </c>
      <c r="C317" s="7">
        <v>575</v>
      </c>
      <c r="D317" s="7">
        <v>3750</v>
      </c>
      <c r="E317" s="7">
        <v>47</v>
      </c>
      <c r="F317" s="11">
        <f>B317+Origin_X</f>
        <v>350</v>
      </c>
      <c r="G317" s="11">
        <f>C317+Origin_Y</f>
        <v>575</v>
      </c>
    </row>
    <row r="318" spans="1:7" x14ac:dyDescent="0.25">
      <c r="A318" s="7">
        <v>313</v>
      </c>
      <c r="B318" s="7">
        <v>466.66666666666663</v>
      </c>
      <c r="C318" s="7">
        <v>-500</v>
      </c>
      <c r="D318" s="7">
        <v>2500</v>
      </c>
      <c r="E318" s="7">
        <v>48</v>
      </c>
      <c r="F318" s="11">
        <f>B318+Origin_X</f>
        <v>466.66666666666663</v>
      </c>
      <c r="G318" s="11">
        <f>C318+Origin_Y</f>
        <v>-500</v>
      </c>
    </row>
    <row r="319" spans="1:7" x14ac:dyDescent="0.25">
      <c r="A319" s="7">
        <v>314</v>
      </c>
      <c r="B319" s="7">
        <v>466.66666666666663</v>
      </c>
      <c r="C319" s="7">
        <v>-575</v>
      </c>
      <c r="D319" s="7">
        <v>2500</v>
      </c>
      <c r="E319" s="7">
        <v>48</v>
      </c>
      <c r="F319" s="11">
        <f>B319+Origin_X</f>
        <v>466.66666666666663</v>
      </c>
      <c r="G319" s="11">
        <f>C319+Origin_Y</f>
        <v>-575</v>
      </c>
    </row>
    <row r="320" spans="1:7" x14ac:dyDescent="0.25">
      <c r="A320" s="7">
        <v>315</v>
      </c>
      <c r="B320" s="7">
        <v>516.6666666666666</v>
      </c>
      <c r="C320" s="7">
        <v>-575</v>
      </c>
      <c r="D320" s="7">
        <v>2500</v>
      </c>
      <c r="E320" s="7">
        <v>48</v>
      </c>
      <c r="F320" s="11">
        <f>B320+Origin_X</f>
        <v>516.6666666666666</v>
      </c>
      <c r="G320" s="11">
        <f>C320+Origin_Y</f>
        <v>-575</v>
      </c>
    </row>
    <row r="321" spans="1:7" x14ac:dyDescent="0.25">
      <c r="A321" s="7">
        <v>316</v>
      </c>
      <c r="B321" s="7">
        <v>491.66666666666663</v>
      </c>
      <c r="C321" s="7">
        <v>-491.66666666666663</v>
      </c>
      <c r="D321" s="7">
        <v>2083.3333333333335</v>
      </c>
      <c r="E321" s="7">
        <v>48</v>
      </c>
      <c r="F321" s="11">
        <f>B321+Origin_X</f>
        <v>491.66666666666663</v>
      </c>
      <c r="G321" s="11">
        <f>C321+Origin_Y</f>
        <v>-491.66666666666663</v>
      </c>
    </row>
    <row r="322" spans="1:7" x14ac:dyDescent="0.25">
      <c r="A322" s="7">
        <v>317</v>
      </c>
      <c r="B322" s="7">
        <v>541.6666666666666</v>
      </c>
      <c r="C322" s="7">
        <v>-566.6666666666666</v>
      </c>
      <c r="D322" s="7">
        <v>2083.3333333333335</v>
      </c>
      <c r="E322" s="7">
        <v>48</v>
      </c>
      <c r="F322" s="11">
        <f>B322+Origin_X</f>
        <v>541.6666666666666</v>
      </c>
      <c r="G322" s="11">
        <f>C322+Origin_Y</f>
        <v>-566.6666666666666</v>
      </c>
    </row>
    <row r="323" spans="1:7" x14ac:dyDescent="0.25">
      <c r="A323" s="7">
        <v>318</v>
      </c>
      <c r="B323" s="7">
        <v>566.6666666666666</v>
      </c>
      <c r="C323" s="7">
        <v>-541.6666666666666</v>
      </c>
      <c r="D323" s="7">
        <v>2083.3333333333335</v>
      </c>
      <c r="E323" s="7">
        <v>48</v>
      </c>
      <c r="F323" s="11">
        <f>B323+Origin_X</f>
        <v>566.6666666666666</v>
      </c>
      <c r="G323" s="11">
        <f>C323+Origin_Y</f>
        <v>-541.6666666666666</v>
      </c>
    </row>
    <row r="324" spans="1:7" x14ac:dyDescent="0.25">
      <c r="A324" s="7">
        <v>319</v>
      </c>
      <c r="B324" s="7">
        <v>575</v>
      </c>
      <c r="C324" s="7">
        <v>-516.6666666666666</v>
      </c>
      <c r="D324" s="7">
        <v>2500</v>
      </c>
      <c r="E324" s="7">
        <v>48</v>
      </c>
      <c r="F324" s="11">
        <f>B324+Origin_X</f>
        <v>575</v>
      </c>
      <c r="G324" s="11">
        <f>C324+Origin_Y</f>
        <v>-516.6666666666666</v>
      </c>
    </row>
    <row r="325" spans="1:7" x14ac:dyDescent="0.25">
      <c r="A325" s="7">
        <v>320</v>
      </c>
      <c r="B325" s="7">
        <v>575</v>
      </c>
      <c r="C325" s="7">
        <v>-466.66666666666663</v>
      </c>
      <c r="D325" s="7">
        <v>2500</v>
      </c>
      <c r="E325" s="7">
        <v>48</v>
      </c>
      <c r="F325" s="11">
        <f>B325+Origin_X</f>
        <v>575</v>
      </c>
      <c r="G325" s="11">
        <f>C325+Origin_Y</f>
        <v>-466.66666666666663</v>
      </c>
    </row>
    <row r="326" spans="1:7" x14ac:dyDescent="0.25">
      <c r="A326" s="7">
        <v>321</v>
      </c>
      <c r="B326" s="7">
        <v>500</v>
      </c>
      <c r="C326" s="7">
        <v>-466.66666666666663</v>
      </c>
      <c r="D326" s="7">
        <v>2500</v>
      </c>
      <c r="E326" s="7">
        <v>48</v>
      </c>
      <c r="F326" s="11">
        <f>B326+Origin_X</f>
        <v>500</v>
      </c>
      <c r="G326" s="11">
        <f>C326+Origin_Y</f>
        <v>-466.66666666666663</v>
      </c>
    </row>
    <row r="327" spans="1:7" x14ac:dyDescent="0.25">
      <c r="A327" s="7">
        <v>322</v>
      </c>
      <c r="B327" s="7">
        <v>475</v>
      </c>
      <c r="C327" s="7">
        <v>-416.66666666666663</v>
      </c>
      <c r="D327" s="7">
        <v>1250</v>
      </c>
      <c r="E327" s="7">
        <v>49</v>
      </c>
      <c r="F327" s="11">
        <f>B327+Origin_X</f>
        <v>475</v>
      </c>
      <c r="G327" s="11">
        <f>C327+Origin_Y</f>
        <v>-416.66666666666663</v>
      </c>
    </row>
    <row r="328" spans="1:7" x14ac:dyDescent="0.25">
      <c r="A328" s="7">
        <v>323</v>
      </c>
      <c r="B328" s="7">
        <v>475</v>
      </c>
      <c r="C328" s="7">
        <v>-441.66666666666663</v>
      </c>
      <c r="D328" s="7">
        <v>1250</v>
      </c>
      <c r="E328" s="7">
        <v>49</v>
      </c>
      <c r="F328" s="11">
        <f>B328+Origin_X</f>
        <v>475</v>
      </c>
      <c r="G328" s="11">
        <f>C328+Origin_Y</f>
        <v>-441.66666666666663</v>
      </c>
    </row>
    <row r="329" spans="1:7" x14ac:dyDescent="0.25">
      <c r="A329" s="7">
        <v>324</v>
      </c>
      <c r="B329" s="7">
        <v>550</v>
      </c>
      <c r="C329" s="7">
        <v>-441.66666666666663</v>
      </c>
      <c r="D329" s="7">
        <v>1250</v>
      </c>
      <c r="E329" s="7">
        <v>49</v>
      </c>
      <c r="F329" s="11">
        <f>B329+Origin_X</f>
        <v>550</v>
      </c>
      <c r="G329" s="11">
        <f>C329+Origin_Y</f>
        <v>-441.66666666666663</v>
      </c>
    </row>
    <row r="330" spans="1:7" x14ac:dyDescent="0.25">
      <c r="A330" s="7">
        <v>325</v>
      </c>
      <c r="B330" s="7">
        <v>500</v>
      </c>
      <c r="C330" s="7">
        <v>-391.66666666666663</v>
      </c>
      <c r="D330" s="7">
        <v>3750</v>
      </c>
      <c r="E330" s="7">
        <v>49</v>
      </c>
      <c r="F330" s="11">
        <f>B330+Origin_X</f>
        <v>500</v>
      </c>
      <c r="G330" s="11">
        <f>C330+Origin_Y</f>
        <v>-391.66666666666663</v>
      </c>
    </row>
    <row r="331" spans="1:7" x14ac:dyDescent="0.25">
      <c r="A331" s="7">
        <v>326</v>
      </c>
      <c r="B331" s="7">
        <v>575</v>
      </c>
      <c r="C331" s="7">
        <v>-416.66666666666663</v>
      </c>
      <c r="D331" s="7">
        <v>3750</v>
      </c>
      <c r="E331" s="7">
        <v>49</v>
      </c>
      <c r="F331" s="11">
        <f>B331+Origin_X</f>
        <v>575</v>
      </c>
      <c r="G331" s="11">
        <f>C331+Origin_Y</f>
        <v>-416.66666666666663</v>
      </c>
    </row>
    <row r="332" spans="1:7" x14ac:dyDescent="0.25">
      <c r="A332" s="7">
        <v>327</v>
      </c>
      <c r="B332" s="7">
        <v>575</v>
      </c>
      <c r="C332" s="7">
        <v>-341.66666666666663</v>
      </c>
      <c r="D332" s="7">
        <v>3750</v>
      </c>
      <c r="E332" s="7">
        <v>49</v>
      </c>
      <c r="F332" s="11">
        <f>B332+Origin_X</f>
        <v>575</v>
      </c>
      <c r="G332" s="11">
        <f>C332+Origin_Y</f>
        <v>-341.66666666666663</v>
      </c>
    </row>
    <row r="333" spans="1:7" x14ac:dyDescent="0.25">
      <c r="A333" s="7">
        <v>328</v>
      </c>
      <c r="B333" s="7">
        <v>566.6666666666666</v>
      </c>
      <c r="C333" s="7">
        <v>-316.66666666666663</v>
      </c>
      <c r="D333" s="7">
        <v>833.3333333333334</v>
      </c>
      <c r="E333" s="7">
        <v>49</v>
      </c>
      <c r="F333" s="11">
        <f>B333+Origin_X</f>
        <v>566.6666666666666</v>
      </c>
      <c r="G333" s="11">
        <f>C333+Origin_Y</f>
        <v>-316.66666666666663</v>
      </c>
    </row>
    <row r="334" spans="1:7" x14ac:dyDescent="0.25">
      <c r="A334" s="7">
        <v>329</v>
      </c>
      <c r="B334" s="7">
        <v>541.6666666666666</v>
      </c>
      <c r="C334" s="7">
        <v>-316.66666666666663</v>
      </c>
      <c r="D334" s="7">
        <v>833.3333333333334</v>
      </c>
      <c r="E334" s="7">
        <v>49</v>
      </c>
      <c r="F334" s="11">
        <f>B334+Origin_X</f>
        <v>541.6666666666666</v>
      </c>
      <c r="G334" s="11">
        <f>C334+Origin_Y</f>
        <v>-316.66666666666663</v>
      </c>
    </row>
    <row r="335" spans="1:7" x14ac:dyDescent="0.25">
      <c r="A335" s="7">
        <v>330</v>
      </c>
      <c r="B335" s="7">
        <v>491.66666666666663</v>
      </c>
      <c r="C335" s="7">
        <v>-366.66666666666663</v>
      </c>
      <c r="D335" s="7">
        <v>833.3333333333334</v>
      </c>
      <c r="E335" s="7">
        <v>49</v>
      </c>
      <c r="F335" s="11">
        <f>B335+Origin_X</f>
        <v>491.66666666666663</v>
      </c>
      <c r="G335" s="11">
        <f>C335+Origin_Y</f>
        <v>-366.66666666666663</v>
      </c>
    </row>
    <row r="336" spans="1:7" x14ac:dyDescent="0.25">
      <c r="A336" s="7">
        <v>331</v>
      </c>
      <c r="B336" s="7">
        <v>558.3333333333333</v>
      </c>
      <c r="C336" s="7">
        <v>-200</v>
      </c>
      <c r="D336" s="7">
        <v>1250</v>
      </c>
      <c r="E336" s="7">
        <v>50</v>
      </c>
      <c r="F336" s="11">
        <f>B336+Origin_X</f>
        <v>558.3333333333333</v>
      </c>
      <c r="G336" s="11">
        <f>C336+Origin_Y</f>
        <v>-200</v>
      </c>
    </row>
    <row r="337" spans="1:7" x14ac:dyDescent="0.25">
      <c r="A337" s="7">
        <v>332</v>
      </c>
      <c r="B337" s="7">
        <v>558.3333333333333</v>
      </c>
      <c r="C337" s="7">
        <v>-275</v>
      </c>
      <c r="D337" s="7">
        <v>1250</v>
      </c>
      <c r="E337" s="7">
        <v>50</v>
      </c>
      <c r="F337" s="11">
        <f>B337+Origin_X</f>
        <v>558.3333333333333</v>
      </c>
      <c r="G337" s="11">
        <f>C337+Origin_Y</f>
        <v>-275</v>
      </c>
    </row>
    <row r="338" spans="1:7" x14ac:dyDescent="0.25">
      <c r="A338" s="7">
        <v>333</v>
      </c>
      <c r="B338" s="7">
        <v>583.3333333333333</v>
      </c>
      <c r="C338" s="7">
        <v>-275</v>
      </c>
      <c r="D338" s="7">
        <v>1250</v>
      </c>
      <c r="E338" s="7">
        <v>50</v>
      </c>
      <c r="F338" s="11">
        <f>B338+Origin_X</f>
        <v>583.3333333333333</v>
      </c>
      <c r="G338" s="11">
        <f>C338+Origin_Y</f>
        <v>-275</v>
      </c>
    </row>
    <row r="339" spans="1:7" x14ac:dyDescent="0.25">
      <c r="A339" s="7">
        <v>334</v>
      </c>
      <c r="B339" s="7">
        <v>591.6666666666666</v>
      </c>
      <c r="C339" s="7">
        <v>-250</v>
      </c>
      <c r="D339" s="7">
        <v>1250</v>
      </c>
      <c r="E339" s="7">
        <v>50</v>
      </c>
      <c r="F339" s="11">
        <f>B339+Origin_X</f>
        <v>591.6666666666666</v>
      </c>
      <c r="G339" s="11">
        <f>C339+Origin_Y</f>
        <v>-250</v>
      </c>
    </row>
    <row r="340" spans="1:7" x14ac:dyDescent="0.25">
      <c r="A340" s="7">
        <v>335</v>
      </c>
      <c r="B340" s="7">
        <v>591.6666666666666</v>
      </c>
      <c r="C340" s="7">
        <v>-175</v>
      </c>
      <c r="D340" s="7">
        <v>1250</v>
      </c>
      <c r="E340" s="7">
        <v>50</v>
      </c>
      <c r="F340" s="11">
        <f>B340+Origin_X</f>
        <v>591.6666666666666</v>
      </c>
      <c r="G340" s="11">
        <f>C340+Origin_Y</f>
        <v>-175</v>
      </c>
    </row>
    <row r="341" spans="1:7" x14ac:dyDescent="0.25">
      <c r="A341" s="7">
        <v>336</v>
      </c>
      <c r="B341" s="7">
        <v>566.6666666666666</v>
      </c>
      <c r="C341" s="7">
        <v>-175</v>
      </c>
      <c r="D341" s="7">
        <v>1250</v>
      </c>
      <c r="E341" s="7">
        <v>50</v>
      </c>
      <c r="F341" s="11">
        <f>B341+Origin_X</f>
        <v>566.6666666666666</v>
      </c>
      <c r="G341" s="11">
        <f>C341+Origin_Y</f>
        <v>-175</v>
      </c>
    </row>
    <row r="342" spans="1:7" x14ac:dyDescent="0.25">
      <c r="A342" s="7">
        <v>337</v>
      </c>
      <c r="B342" s="7">
        <v>558.3333333333333</v>
      </c>
      <c r="C342" s="7">
        <v>-50</v>
      </c>
      <c r="D342" s="7">
        <v>1250</v>
      </c>
      <c r="E342" s="7">
        <v>51</v>
      </c>
      <c r="F342" s="11">
        <f>B342+Origin_X</f>
        <v>558.3333333333333</v>
      </c>
      <c r="G342" s="11">
        <f>C342+Origin_Y</f>
        <v>-50</v>
      </c>
    </row>
    <row r="343" spans="1:7" x14ac:dyDescent="0.25">
      <c r="A343" s="7">
        <v>338</v>
      </c>
      <c r="B343" s="7">
        <v>558.3333333333333</v>
      </c>
      <c r="C343" s="7">
        <v>-125</v>
      </c>
      <c r="D343" s="7">
        <v>1250</v>
      </c>
      <c r="E343" s="7">
        <v>51</v>
      </c>
      <c r="F343" s="11">
        <f>B343+Origin_X</f>
        <v>558.3333333333333</v>
      </c>
      <c r="G343" s="11">
        <f>C343+Origin_Y</f>
        <v>-125</v>
      </c>
    </row>
    <row r="344" spans="1:7" x14ac:dyDescent="0.25">
      <c r="A344" s="7">
        <v>339</v>
      </c>
      <c r="B344" s="7">
        <v>583.3333333333333</v>
      </c>
      <c r="C344" s="7">
        <v>-125</v>
      </c>
      <c r="D344" s="7">
        <v>1250</v>
      </c>
      <c r="E344" s="7">
        <v>51</v>
      </c>
      <c r="F344" s="11">
        <f>B344+Origin_X</f>
        <v>583.3333333333333</v>
      </c>
      <c r="G344" s="11">
        <f>C344+Origin_Y</f>
        <v>-125</v>
      </c>
    </row>
    <row r="345" spans="1:7" x14ac:dyDescent="0.25">
      <c r="A345" s="7">
        <v>340</v>
      </c>
      <c r="B345" s="7">
        <v>591.6666666666666</v>
      </c>
      <c r="C345" s="7">
        <v>-100</v>
      </c>
      <c r="D345" s="7">
        <v>1250</v>
      </c>
      <c r="E345" s="7">
        <v>51</v>
      </c>
      <c r="F345" s="11">
        <f>B345+Origin_X</f>
        <v>591.6666666666666</v>
      </c>
      <c r="G345" s="11">
        <f>C345+Origin_Y</f>
        <v>-100</v>
      </c>
    </row>
    <row r="346" spans="1:7" x14ac:dyDescent="0.25">
      <c r="A346" s="7">
        <v>341</v>
      </c>
      <c r="B346" s="7">
        <v>591.6666666666666</v>
      </c>
      <c r="C346" s="7">
        <v>-25</v>
      </c>
      <c r="D346" s="7">
        <v>1250</v>
      </c>
      <c r="E346" s="7">
        <v>51</v>
      </c>
      <c r="F346" s="11">
        <f>B346+Origin_X</f>
        <v>591.6666666666666</v>
      </c>
      <c r="G346" s="11">
        <f>C346+Origin_Y</f>
        <v>-25</v>
      </c>
    </row>
    <row r="347" spans="1:7" x14ac:dyDescent="0.25">
      <c r="A347" s="7">
        <v>342</v>
      </c>
      <c r="B347" s="7">
        <v>566.6666666666666</v>
      </c>
      <c r="C347" s="7">
        <v>-25</v>
      </c>
      <c r="D347" s="7">
        <v>1250</v>
      </c>
      <c r="E347" s="7">
        <v>51</v>
      </c>
      <c r="F347" s="11">
        <f>B347+Origin_X</f>
        <v>566.6666666666666</v>
      </c>
      <c r="G347" s="11">
        <f>C347+Origin_Y</f>
        <v>-25</v>
      </c>
    </row>
    <row r="348" spans="1:7" x14ac:dyDescent="0.25">
      <c r="A348" s="7">
        <v>343</v>
      </c>
      <c r="B348" s="7">
        <v>558.3333333333333</v>
      </c>
      <c r="C348" s="7">
        <v>100</v>
      </c>
      <c r="D348" s="7">
        <v>1250</v>
      </c>
      <c r="E348" s="7">
        <v>52</v>
      </c>
      <c r="F348" s="11">
        <f>B348+Origin_X</f>
        <v>558.3333333333333</v>
      </c>
      <c r="G348" s="11">
        <f>C348+Origin_Y</f>
        <v>100</v>
      </c>
    </row>
    <row r="349" spans="1:7" x14ac:dyDescent="0.25">
      <c r="A349" s="7">
        <v>344</v>
      </c>
      <c r="B349" s="7">
        <v>558.3333333333333</v>
      </c>
      <c r="C349" s="7">
        <v>25</v>
      </c>
      <c r="D349" s="7">
        <v>1250</v>
      </c>
      <c r="E349" s="7">
        <v>52</v>
      </c>
      <c r="F349" s="11">
        <f>B349+Origin_X</f>
        <v>558.3333333333333</v>
      </c>
      <c r="G349" s="11">
        <f>C349+Origin_Y</f>
        <v>25</v>
      </c>
    </row>
    <row r="350" spans="1:7" x14ac:dyDescent="0.25">
      <c r="A350" s="7">
        <v>345</v>
      </c>
      <c r="B350" s="7">
        <v>583.3333333333333</v>
      </c>
      <c r="C350" s="7">
        <v>25</v>
      </c>
      <c r="D350" s="7">
        <v>1250</v>
      </c>
      <c r="E350" s="7">
        <v>52</v>
      </c>
      <c r="F350" s="11">
        <f>B350+Origin_X</f>
        <v>583.3333333333333</v>
      </c>
      <c r="G350" s="11">
        <f>C350+Origin_Y</f>
        <v>25</v>
      </c>
    </row>
    <row r="351" spans="1:7" x14ac:dyDescent="0.25">
      <c r="A351" s="7">
        <v>346</v>
      </c>
      <c r="B351" s="7">
        <v>591.6666666666666</v>
      </c>
      <c r="C351" s="7">
        <v>50</v>
      </c>
      <c r="D351" s="7">
        <v>1250</v>
      </c>
      <c r="E351" s="7">
        <v>52</v>
      </c>
      <c r="F351" s="11">
        <f>B351+Origin_X</f>
        <v>591.6666666666666</v>
      </c>
      <c r="G351" s="11">
        <f>C351+Origin_Y</f>
        <v>50</v>
      </c>
    </row>
    <row r="352" spans="1:7" x14ac:dyDescent="0.25">
      <c r="A352" s="7">
        <v>347</v>
      </c>
      <c r="B352" s="7">
        <v>591.6666666666666</v>
      </c>
      <c r="C352" s="7">
        <v>125</v>
      </c>
      <c r="D352" s="7">
        <v>1250</v>
      </c>
      <c r="E352" s="7">
        <v>52</v>
      </c>
      <c r="F352" s="11">
        <f>B352+Origin_X</f>
        <v>591.6666666666666</v>
      </c>
      <c r="G352" s="11">
        <f>C352+Origin_Y</f>
        <v>125</v>
      </c>
    </row>
    <row r="353" spans="1:7" x14ac:dyDescent="0.25">
      <c r="A353" s="7">
        <v>348</v>
      </c>
      <c r="B353" s="7">
        <v>566.6666666666666</v>
      </c>
      <c r="C353" s="7">
        <v>125</v>
      </c>
      <c r="D353" s="7">
        <v>1250</v>
      </c>
      <c r="E353" s="7">
        <v>52</v>
      </c>
      <c r="F353" s="11">
        <f>B353+Origin_X</f>
        <v>566.6666666666666</v>
      </c>
      <c r="G353" s="11">
        <f>C353+Origin_Y</f>
        <v>125</v>
      </c>
    </row>
    <row r="354" spans="1:7" x14ac:dyDescent="0.25">
      <c r="A354" s="7">
        <v>349</v>
      </c>
      <c r="B354" s="7">
        <v>558.3333333333333</v>
      </c>
      <c r="C354" s="7">
        <v>250</v>
      </c>
      <c r="D354" s="7">
        <v>1250</v>
      </c>
      <c r="E354" s="7">
        <v>53</v>
      </c>
      <c r="F354" s="11">
        <f>B354+Origin_X</f>
        <v>558.3333333333333</v>
      </c>
      <c r="G354" s="11">
        <f>C354+Origin_Y</f>
        <v>250</v>
      </c>
    </row>
    <row r="355" spans="1:7" x14ac:dyDescent="0.25">
      <c r="A355" s="7">
        <v>350</v>
      </c>
      <c r="B355" s="7">
        <v>558.3333333333333</v>
      </c>
      <c r="C355" s="7">
        <v>175</v>
      </c>
      <c r="D355" s="7">
        <v>1250</v>
      </c>
      <c r="E355" s="7">
        <v>53</v>
      </c>
      <c r="F355" s="11">
        <f>B355+Origin_X</f>
        <v>558.3333333333333</v>
      </c>
      <c r="G355" s="11">
        <f>C355+Origin_Y</f>
        <v>175</v>
      </c>
    </row>
    <row r="356" spans="1:7" x14ac:dyDescent="0.25">
      <c r="A356" s="7">
        <v>351</v>
      </c>
      <c r="B356" s="7">
        <v>583.3333333333333</v>
      </c>
      <c r="C356" s="7">
        <v>175</v>
      </c>
      <c r="D356" s="7">
        <v>1250</v>
      </c>
      <c r="E356" s="7">
        <v>53</v>
      </c>
      <c r="F356" s="11">
        <f>B356+Origin_X</f>
        <v>583.3333333333333</v>
      </c>
      <c r="G356" s="11">
        <f>C356+Origin_Y</f>
        <v>175</v>
      </c>
    </row>
    <row r="357" spans="1:7" x14ac:dyDescent="0.25">
      <c r="A357" s="7">
        <v>352</v>
      </c>
      <c r="B357" s="7">
        <v>591.6666666666666</v>
      </c>
      <c r="C357" s="7">
        <v>200</v>
      </c>
      <c r="D357" s="7">
        <v>1250</v>
      </c>
      <c r="E357" s="7">
        <v>53</v>
      </c>
      <c r="F357" s="11">
        <f>B357+Origin_X</f>
        <v>591.6666666666666</v>
      </c>
      <c r="G357" s="11">
        <f>C357+Origin_Y</f>
        <v>200</v>
      </c>
    </row>
    <row r="358" spans="1:7" x14ac:dyDescent="0.25">
      <c r="A358" s="7">
        <v>353</v>
      </c>
      <c r="B358" s="7">
        <v>591.6666666666666</v>
      </c>
      <c r="C358" s="7">
        <v>275</v>
      </c>
      <c r="D358" s="7">
        <v>1250</v>
      </c>
      <c r="E358" s="7">
        <v>53</v>
      </c>
      <c r="F358" s="11">
        <f>B358+Origin_X</f>
        <v>591.6666666666666</v>
      </c>
      <c r="G358" s="11">
        <f>C358+Origin_Y</f>
        <v>275</v>
      </c>
    </row>
    <row r="359" spans="1:7" x14ac:dyDescent="0.25">
      <c r="A359" s="7">
        <v>354</v>
      </c>
      <c r="B359" s="7">
        <v>566.6666666666666</v>
      </c>
      <c r="C359" s="7">
        <v>275</v>
      </c>
      <c r="D359" s="7">
        <v>1250</v>
      </c>
      <c r="E359" s="7">
        <v>53</v>
      </c>
      <c r="F359" s="11">
        <f>B359+Origin_X</f>
        <v>566.6666666666666</v>
      </c>
      <c r="G359" s="11">
        <f>C359+Origin_Y</f>
        <v>275</v>
      </c>
    </row>
    <row r="360" spans="1:7" x14ac:dyDescent="0.25">
      <c r="A360" s="7">
        <v>355</v>
      </c>
      <c r="B360" s="7">
        <v>466.66666666666663</v>
      </c>
      <c r="C360" s="7">
        <v>416.66666666666663</v>
      </c>
      <c r="D360" s="7">
        <v>833.3333333333334</v>
      </c>
      <c r="E360" s="7">
        <v>54</v>
      </c>
      <c r="F360" s="11">
        <f>B360+Origin_X</f>
        <v>466.66666666666663</v>
      </c>
      <c r="G360" s="11">
        <f>C360+Origin_Y</f>
        <v>416.66666666666663</v>
      </c>
    </row>
    <row r="361" spans="1:7" x14ac:dyDescent="0.25">
      <c r="A361" s="7">
        <v>356</v>
      </c>
      <c r="B361" s="7">
        <v>466.66666666666663</v>
      </c>
      <c r="C361" s="7">
        <v>391.66666666666663</v>
      </c>
      <c r="D361" s="7">
        <v>833.3333333333334</v>
      </c>
      <c r="E361" s="7">
        <v>54</v>
      </c>
      <c r="F361" s="11">
        <f>B361+Origin_X</f>
        <v>466.66666666666663</v>
      </c>
      <c r="G361" s="11">
        <f>C361+Origin_Y</f>
        <v>391.66666666666663</v>
      </c>
    </row>
    <row r="362" spans="1:7" x14ac:dyDescent="0.25">
      <c r="A362" s="7">
        <v>357</v>
      </c>
      <c r="B362" s="7">
        <v>516.6666666666666</v>
      </c>
      <c r="C362" s="7">
        <v>341.66666666666663</v>
      </c>
      <c r="D362" s="7">
        <v>833.3333333333334</v>
      </c>
      <c r="E362" s="7">
        <v>54</v>
      </c>
      <c r="F362" s="11">
        <f>B362+Origin_X</f>
        <v>516.6666666666666</v>
      </c>
      <c r="G362" s="11">
        <f>C362+Origin_Y</f>
        <v>341.66666666666663</v>
      </c>
    </row>
    <row r="363" spans="1:7" x14ac:dyDescent="0.25">
      <c r="A363" s="7">
        <v>358</v>
      </c>
      <c r="B363" s="7">
        <v>491.66666666666663</v>
      </c>
      <c r="C363" s="7">
        <v>400</v>
      </c>
      <c r="D363" s="7">
        <v>1250</v>
      </c>
      <c r="E363" s="7">
        <v>54</v>
      </c>
      <c r="F363" s="11">
        <f>B363+Origin_X</f>
        <v>491.66666666666663</v>
      </c>
      <c r="G363" s="11">
        <f>C363+Origin_Y</f>
        <v>400</v>
      </c>
    </row>
    <row r="364" spans="1:7" x14ac:dyDescent="0.25">
      <c r="A364" s="7">
        <v>359</v>
      </c>
      <c r="B364" s="7">
        <v>541.6666666666666</v>
      </c>
      <c r="C364" s="7">
        <v>325</v>
      </c>
      <c r="D364" s="7">
        <v>1250</v>
      </c>
      <c r="E364" s="7">
        <v>54</v>
      </c>
      <c r="F364" s="11">
        <f>B364+Origin_X</f>
        <v>541.6666666666666</v>
      </c>
      <c r="G364" s="11">
        <f>C364+Origin_Y</f>
        <v>325</v>
      </c>
    </row>
    <row r="365" spans="1:7" x14ac:dyDescent="0.25">
      <c r="A365" s="7">
        <v>360</v>
      </c>
      <c r="B365" s="7">
        <v>566.6666666666666</v>
      </c>
      <c r="C365" s="7">
        <v>325</v>
      </c>
      <c r="D365" s="7">
        <v>1250</v>
      </c>
      <c r="E365" s="7">
        <v>54</v>
      </c>
      <c r="F365" s="11">
        <f>B365+Origin_X</f>
        <v>566.6666666666666</v>
      </c>
      <c r="G365" s="11">
        <f>C365+Origin_Y</f>
        <v>325</v>
      </c>
    </row>
    <row r="366" spans="1:7" x14ac:dyDescent="0.25">
      <c r="A366" s="7">
        <v>361</v>
      </c>
      <c r="B366" s="7">
        <v>575</v>
      </c>
      <c r="C366" s="7">
        <v>350</v>
      </c>
      <c r="D366" s="7">
        <v>3750</v>
      </c>
      <c r="E366" s="7">
        <v>54</v>
      </c>
      <c r="F366" s="11">
        <f>B366+Origin_X</f>
        <v>575</v>
      </c>
      <c r="G366" s="11">
        <f>C366+Origin_Y</f>
        <v>350</v>
      </c>
    </row>
    <row r="367" spans="1:7" x14ac:dyDescent="0.25">
      <c r="A367" s="7">
        <v>362</v>
      </c>
      <c r="B367" s="7">
        <v>575</v>
      </c>
      <c r="C367" s="7">
        <v>425</v>
      </c>
      <c r="D367" s="7">
        <v>3750</v>
      </c>
      <c r="E367" s="7">
        <v>54</v>
      </c>
      <c r="F367" s="11">
        <f>B367+Origin_X</f>
        <v>575</v>
      </c>
      <c r="G367" s="11">
        <f>C367+Origin_Y</f>
        <v>425</v>
      </c>
    </row>
    <row r="368" spans="1:7" x14ac:dyDescent="0.25">
      <c r="A368" s="7">
        <v>363</v>
      </c>
      <c r="B368" s="7">
        <v>500</v>
      </c>
      <c r="C368" s="7">
        <v>425</v>
      </c>
      <c r="D368" s="7">
        <v>3750</v>
      </c>
      <c r="E368" s="7">
        <v>54</v>
      </c>
      <c r="F368" s="11">
        <f>B368+Origin_X</f>
        <v>500</v>
      </c>
      <c r="G368" s="11">
        <f>C368+Origin_Y</f>
        <v>425</v>
      </c>
    </row>
    <row r="369" spans="1:7" x14ac:dyDescent="0.25">
      <c r="A369" s="7">
        <v>364</v>
      </c>
      <c r="B369" s="7">
        <v>475</v>
      </c>
      <c r="C369" s="7">
        <v>550</v>
      </c>
      <c r="D369" s="7">
        <v>3750</v>
      </c>
      <c r="E369" s="7">
        <v>55</v>
      </c>
      <c r="F369" s="11">
        <f>B369+Origin_X</f>
        <v>475</v>
      </c>
      <c r="G369" s="11">
        <f>C369+Origin_Y</f>
        <v>550</v>
      </c>
    </row>
    <row r="370" spans="1:7" x14ac:dyDescent="0.25">
      <c r="A370" s="7">
        <v>365</v>
      </c>
      <c r="B370" s="7">
        <v>475</v>
      </c>
      <c r="C370" s="7">
        <v>475</v>
      </c>
      <c r="D370" s="7">
        <v>3750</v>
      </c>
      <c r="E370" s="7">
        <v>55</v>
      </c>
      <c r="F370" s="11">
        <f>B370+Origin_X</f>
        <v>475</v>
      </c>
      <c r="G370" s="11">
        <f>C370+Origin_Y</f>
        <v>475</v>
      </c>
    </row>
    <row r="371" spans="1:7" x14ac:dyDescent="0.25">
      <c r="A371" s="7">
        <v>366</v>
      </c>
      <c r="B371" s="7">
        <v>550</v>
      </c>
      <c r="C371" s="7">
        <v>475</v>
      </c>
      <c r="D371" s="7">
        <v>3750</v>
      </c>
      <c r="E371" s="7">
        <v>55</v>
      </c>
      <c r="F371" s="11">
        <f>B371+Origin_X</f>
        <v>550</v>
      </c>
      <c r="G371" s="11">
        <f>C371+Origin_Y</f>
        <v>475</v>
      </c>
    </row>
    <row r="372" spans="1:7" x14ac:dyDescent="0.25">
      <c r="A372" s="7">
        <v>367</v>
      </c>
      <c r="B372" s="7">
        <v>500</v>
      </c>
      <c r="C372" s="7">
        <v>566.6666666666666</v>
      </c>
      <c r="D372" s="7">
        <v>2500</v>
      </c>
      <c r="E372" s="7">
        <v>55</v>
      </c>
      <c r="F372" s="11">
        <f>B372+Origin_X</f>
        <v>500</v>
      </c>
      <c r="G372" s="11">
        <f>C372+Origin_Y</f>
        <v>566.6666666666666</v>
      </c>
    </row>
    <row r="373" spans="1:7" x14ac:dyDescent="0.25">
      <c r="A373" s="7">
        <v>368</v>
      </c>
      <c r="B373" s="7">
        <v>575</v>
      </c>
      <c r="C373" s="7">
        <v>491.66666666666663</v>
      </c>
      <c r="D373" s="7">
        <v>2500</v>
      </c>
      <c r="E373" s="7">
        <v>55</v>
      </c>
      <c r="F373" s="11">
        <f>B373+Origin_X</f>
        <v>575</v>
      </c>
      <c r="G373" s="11">
        <f>C373+Origin_Y</f>
        <v>491.66666666666663</v>
      </c>
    </row>
    <row r="374" spans="1:7" x14ac:dyDescent="0.25">
      <c r="A374" s="7">
        <v>369</v>
      </c>
      <c r="B374" s="7">
        <v>575</v>
      </c>
      <c r="C374" s="7">
        <v>541.6666666666666</v>
      </c>
      <c r="D374" s="7">
        <v>2500</v>
      </c>
      <c r="E374" s="7">
        <v>55</v>
      </c>
      <c r="F374" s="11">
        <f>B374+Origin_X</f>
        <v>575</v>
      </c>
      <c r="G374" s="11">
        <f>C374+Origin_Y</f>
        <v>541.6666666666666</v>
      </c>
    </row>
    <row r="375" spans="1:7" x14ac:dyDescent="0.25">
      <c r="A375" s="7">
        <v>370</v>
      </c>
      <c r="B375" s="7">
        <v>566.6666666666666</v>
      </c>
      <c r="C375" s="7">
        <v>566.6666666666666</v>
      </c>
      <c r="D375" s="7">
        <v>833.3333333333334</v>
      </c>
      <c r="E375" s="7">
        <v>55</v>
      </c>
      <c r="F375" s="11">
        <f>B375+Origin_X</f>
        <v>566.6666666666666</v>
      </c>
      <c r="G375" s="11">
        <f>C375+Origin_Y</f>
        <v>566.6666666666666</v>
      </c>
    </row>
    <row r="376" spans="1:7" x14ac:dyDescent="0.25">
      <c r="A376" s="7">
        <v>371</v>
      </c>
      <c r="B376" s="7">
        <v>541.6666666666666</v>
      </c>
      <c r="C376" s="7">
        <v>591.6666666666666</v>
      </c>
      <c r="D376" s="7">
        <v>833.3333333333334</v>
      </c>
      <c r="E376" s="7">
        <v>55</v>
      </c>
      <c r="F376" s="11">
        <f>B376+Origin_X</f>
        <v>541.6666666666666</v>
      </c>
      <c r="G376" s="11">
        <f>C376+Origin_Y</f>
        <v>591.6666666666666</v>
      </c>
    </row>
    <row r="377" spans="1:7" x14ac:dyDescent="0.25">
      <c r="A377" s="7">
        <v>372</v>
      </c>
      <c r="B377" s="7">
        <v>491.66666666666663</v>
      </c>
      <c r="C377" s="7">
        <v>591.6666666666666</v>
      </c>
      <c r="D377" s="7">
        <v>833.3333333333334</v>
      </c>
      <c r="E377" s="7">
        <v>55</v>
      </c>
      <c r="F377" s="11">
        <f>B377+Origin_X</f>
        <v>491.66666666666663</v>
      </c>
      <c r="G377" s="11">
        <f>C377+Origin_Y</f>
        <v>591.6666666666666</v>
      </c>
    </row>
    <row r="378" spans="1:7" x14ac:dyDescent="0.25">
      <c r="A378" s="7">
        <v>373</v>
      </c>
      <c r="B378" s="7">
        <v>616.6666666666666</v>
      </c>
      <c r="C378" s="7">
        <v>-516.6666666666666</v>
      </c>
      <c r="D378" s="7">
        <v>1666.6666666666667</v>
      </c>
      <c r="E378" s="7">
        <v>56</v>
      </c>
      <c r="F378" s="11">
        <f>B378+Origin_X</f>
        <v>616.6666666666666</v>
      </c>
      <c r="G378" s="11">
        <f>C378+Origin_Y</f>
        <v>-516.6666666666666</v>
      </c>
    </row>
    <row r="379" spans="1:7" x14ac:dyDescent="0.25">
      <c r="A379" s="7">
        <v>374</v>
      </c>
      <c r="B379" s="7">
        <v>666.6666666666666</v>
      </c>
      <c r="C379" s="7">
        <v>-466.66666666666663</v>
      </c>
      <c r="D379" s="7">
        <v>1666.6666666666667</v>
      </c>
      <c r="E379" s="7">
        <v>56</v>
      </c>
      <c r="F379" s="11">
        <f>B379+Origin_X</f>
        <v>666.6666666666666</v>
      </c>
      <c r="G379" s="11">
        <f>C379+Origin_Y</f>
        <v>-466.66666666666663</v>
      </c>
    </row>
    <row r="380" spans="1:7" x14ac:dyDescent="0.25">
      <c r="A380" s="7">
        <v>375</v>
      </c>
      <c r="B380" s="7">
        <v>616.6666666666666</v>
      </c>
      <c r="C380" s="7">
        <v>-466.66666666666663</v>
      </c>
      <c r="D380" s="7">
        <v>1666.6666666666667</v>
      </c>
      <c r="E380" s="7">
        <v>56</v>
      </c>
      <c r="F380" s="11">
        <f>B380+Origin_X</f>
        <v>616.6666666666666</v>
      </c>
      <c r="G380" s="11">
        <f>C380+Origin_Y</f>
        <v>-466.66666666666663</v>
      </c>
    </row>
    <row r="381" spans="1:7" x14ac:dyDescent="0.25">
      <c r="A381" s="7">
        <v>376</v>
      </c>
      <c r="B381" s="7">
        <v>616.6666666666666</v>
      </c>
      <c r="C381" s="7">
        <v>-350</v>
      </c>
      <c r="D381" s="7">
        <v>2500</v>
      </c>
      <c r="E381" s="7">
        <v>57</v>
      </c>
      <c r="F381" s="11">
        <f>B381+Origin_X</f>
        <v>616.6666666666666</v>
      </c>
      <c r="G381" s="11">
        <f>C381+Origin_Y</f>
        <v>-350</v>
      </c>
    </row>
    <row r="382" spans="1:7" x14ac:dyDescent="0.25">
      <c r="A382" s="7">
        <v>377</v>
      </c>
      <c r="B382" s="7">
        <v>616.6666666666666</v>
      </c>
      <c r="C382" s="7">
        <v>-425</v>
      </c>
      <c r="D382" s="7">
        <v>2500</v>
      </c>
      <c r="E382" s="7">
        <v>57</v>
      </c>
      <c r="F382" s="11">
        <f>B382+Origin_X</f>
        <v>616.6666666666666</v>
      </c>
      <c r="G382" s="11">
        <f>C382+Origin_Y</f>
        <v>-425</v>
      </c>
    </row>
    <row r="383" spans="1:7" x14ac:dyDescent="0.25">
      <c r="A383" s="7">
        <v>378</v>
      </c>
      <c r="B383" s="7">
        <v>666.6666666666666</v>
      </c>
      <c r="C383" s="7">
        <v>-425</v>
      </c>
      <c r="D383" s="7">
        <v>2500</v>
      </c>
      <c r="E383" s="7">
        <v>57</v>
      </c>
      <c r="F383" s="11">
        <f>B383+Origin_X</f>
        <v>666.6666666666666</v>
      </c>
      <c r="G383" s="11">
        <f>C383+Origin_Y</f>
        <v>-425</v>
      </c>
    </row>
    <row r="384" spans="1:7" x14ac:dyDescent="0.25">
      <c r="A384" s="7">
        <v>379</v>
      </c>
      <c r="B384" s="7">
        <v>641.6666666666666</v>
      </c>
      <c r="C384" s="7">
        <v>-341.66666666666663</v>
      </c>
      <c r="D384" s="7">
        <v>2083.3333333333335</v>
      </c>
      <c r="E384" s="7">
        <v>57</v>
      </c>
      <c r="F384" s="11">
        <f>B384+Origin_X</f>
        <v>641.6666666666666</v>
      </c>
      <c r="G384" s="11">
        <f>C384+Origin_Y</f>
        <v>-341.66666666666663</v>
      </c>
    </row>
    <row r="385" spans="1:7" x14ac:dyDescent="0.25">
      <c r="A385" s="7">
        <v>380</v>
      </c>
      <c r="B385" s="7">
        <v>691.6666666666666</v>
      </c>
      <c r="C385" s="7">
        <v>-416.66666666666663</v>
      </c>
      <c r="D385" s="7">
        <v>2083.3333333333335</v>
      </c>
      <c r="E385" s="7">
        <v>57</v>
      </c>
      <c r="F385" s="11">
        <f>B385+Origin_X</f>
        <v>691.6666666666666</v>
      </c>
      <c r="G385" s="11">
        <f>C385+Origin_Y</f>
        <v>-416.66666666666663</v>
      </c>
    </row>
    <row r="386" spans="1:7" x14ac:dyDescent="0.25">
      <c r="A386" s="7">
        <v>381</v>
      </c>
      <c r="B386" s="7">
        <v>716.6666666666666</v>
      </c>
      <c r="C386" s="7">
        <v>-391.66666666666663</v>
      </c>
      <c r="D386" s="7">
        <v>2083.3333333333335</v>
      </c>
      <c r="E386" s="7">
        <v>57</v>
      </c>
      <c r="F386" s="11">
        <f>B386+Origin_X</f>
        <v>716.6666666666666</v>
      </c>
      <c r="G386" s="11">
        <f>C386+Origin_Y</f>
        <v>-391.66666666666663</v>
      </c>
    </row>
    <row r="387" spans="1:7" x14ac:dyDescent="0.25">
      <c r="A387" s="7">
        <v>382</v>
      </c>
      <c r="B387" s="7">
        <v>725</v>
      </c>
      <c r="C387" s="7">
        <v>-366.66666666666663</v>
      </c>
      <c r="D387" s="7">
        <v>2500</v>
      </c>
      <c r="E387" s="7">
        <v>57</v>
      </c>
      <c r="F387" s="11">
        <f>B387+Origin_X</f>
        <v>725</v>
      </c>
      <c r="G387" s="11">
        <f>C387+Origin_Y</f>
        <v>-366.66666666666663</v>
      </c>
    </row>
    <row r="388" spans="1:7" x14ac:dyDescent="0.25">
      <c r="A388" s="7">
        <v>383</v>
      </c>
      <c r="B388" s="7">
        <v>725</v>
      </c>
      <c r="C388" s="7">
        <v>-316.66666666666663</v>
      </c>
      <c r="D388" s="7">
        <v>2500</v>
      </c>
      <c r="E388" s="7">
        <v>57</v>
      </c>
      <c r="F388" s="11">
        <f>B388+Origin_X</f>
        <v>725</v>
      </c>
      <c r="G388" s="11">
        <f>C388+Origin_Y</f>
        <v>-316.66666666666663</v>
      </c>
    </row>
    <row r="389" spans="1:7" x14ac:dyDescent="0.25">
      <c r="A389" s="7">
        <v>384</v>
      </c>
      <c r="B389" s="7">
        <v>650</v>
      </c>
      <c r="C389" s="7">
        <v>-316.66666666666663</v>
      </c>
      <c r="D389" s="7">
        <v>2500</v>
      </c>
      <c r="E389" s="7">
        <v>57</v>
      </c>
      <c r="F389" s="11">
        <f>B389+Origin_X</f>
        <v>650</v>
      </c>
      <c r="G389" s="11">
        <f>C389+Origin_Y</f>
        <v>-316.66666666666663</v>
      </c>
    </row>
    <row r="390" spans="1:7" x14ac:dyDescent="0.25">
      <c r="A390" s="7">
        <v>385</v>
      </c>
      <c r="B390" s="7">
        <v>625</v>
      </c>
      <c r="C390" s="7">
        <v>-200</v>
      </c>
      <c r="D390" s="7">
        <v>3750</v>
      </c>
      <c r="E390" s="7">
        <v>58</v>
      </c>
      <c r="F390" s="11">
        <f>B390+Origin_X</f>
        <v>625</v>
      </c>
      <c r="G390" s="11">
        <f>C390+Origin_Y</f>
        <v>-200</v>
      </c>
    </row>
    <row r="391" spans="1:7" x14ac:dyDescent="0.25">
      <c r="A391" s="7">
        <v>386</v>
      </c>
      <c r="B391" s="7">
        <v>625</v>
      </c>
      <c r="C391" s="7">
        <v>-275</v>
      </c>
      <c r="D391" s="7">
        <v>3750</v>
      </c>
      <c r="E391" s="7">
        <v>58</v>
      </c>
      <c r="F391" s="11">
        <f>B391+Origin_X</f>
        <v>625</v>
      </c>
      <c r="G391" s="11">
        <f>C391+Origin_Y</f>
        <v>-275</v>
      </c>
    </row>
    <row r="392" spans="1:7" x14ac:dyDescent="0.25">
      <c r="A392" s="7">
        <v>387</v>
      </c>
      <c r="B392" s="7">
        <v>700</v>
      </c>
      <c r="C392" s="7">
        <v>-275</v>
      </c>
      <c r="D392" s="7">
        <v>3750</v>
      </c>
      <c r="E392" s="7">
        <v>58</v>
      </c>
      <c r="F392" s="11">
        <f>B392+Origin_X</f>
        <v>700</v>
      </c>
      <c r="G392" s="11">
        <f>C392+Origin_Y</f>
        <v>-275</v>
      </c>
    </row>
    <row r="393" spans="1:7" x14ac:dyDescent="0.25">
      <c r="A393" s="7">
        <v>388</v>
      </c>
      <c r="B393" s="7">
        <v>725</v>
      </c>
      <c r="C393" s="7">
        <v>-250</v>
      </c>
      <c r="D393" s="7">
        <v>3750</v>
      </c>
      <c r="E393" s="7">
        <v>58</v>
      </c>
      <c r="F393" s="11">
        <f>B393+Origin_X</f>
        <v>725</v>
      </c>
      <c r="G393" s="11">
        <f>C393+Origin_Y</f>
        <v>-250</v>
      </c>
    </row>
    <row r="394" spans="1:7" x14ac:dyDescent="0.25">
      <c r="A394" s="7">
        <v>389</v>
      </c>
      <c r="B394" s="7">
        <v>725</v>
      </c>
      <c r="C394" s="7">
        <v>-175</v>
      </c>
      <c r="D394" s="7">
        <v>3750</v>
      </c>
      <c r="E394" s="7">
        <v>58</v>
      </c>
      <c r="F394" s="11">
        <f>B394+Origin_X</f>
        <v>725</v>
      </c>
      <c r="G394" s="11">
        <f>C394+Origin_Y</f>
        <v>-175</v>
      </c>
    </row>
    <row r="395" spans="1:7" x14ac:dyDescent="0.25">
      <c r="A395" s="7">
        <v>390</v>
      </c>
      <c r="B395" s="7">
        <v>650</v>
      </c>
      <c r="C395" s="7">
        <v>-175</v>
      </c>
      <c r="D395" s="7">
        <v>3750</v>
      </c>
      <c r="E395" s="7">
        <v>58</v>
      </c>
      <c r="F395" s="11">
        <f>B395+Origin_X</f>
        <v>650</v>
      </c>
      <c r="G395" s="11">
        <f>C395+Origin_Y</f>
        <v>-175</v>
      </c>
    </row>
    <row r="396" spans="1:7" x14ac:dyDescent="0.25">
      <c r="A396" s="7">
        <v>391</v>
      </c>
      <c r="B396" s="7">
        <v>625</v>
      </c>
      <c r="C396" s="7">
        <v>-50</v>
      </c>
      <c r="D396" s="7">
        <v>3750</v>
      </c>
      <c r="E396" s="7">
        <v>59</v>
      </c>
      <c r="F396" s="11">
        <f>B396+Origin_X</f>
        <v>625</v>
      </c>
      <c r="G396" s="11">
        <f>C396+Origin_Y</f>
        <v>-50</v>
      </c>
    </row>
    <row r="397" spans="1:7" x14ac:dyDescent="0.25">
      <c r="A397" s="7">
        <v>392</v>
      </c>
      <c r="B397" s="7">
        <v>625</v>
      </c>
      <c r="C397" s="7">
        <v>-125</v>
      </c>
      <c r="D397" s="7">
        <v>3750</v>
      </c>
      <c r="E397" s="7">
        <v>59</v>
      </c>
      <c r="F397" s="11">
        <f>B397+Origin_X</f>
        <v>625</v>
      </c>
      <c r="G397" s="11">
        <f>C397+Origin_Y</f>
        <v>-125</v>
      </c>
    </row>
    <row r="398" spans="1:7" x14ac:dyDescent="0.25">
      <c r="A398" s="7">
        <v>393</v>
      </c>
      <c r="B398" s="7">
        <v>700</v>
      </c>
      <c r="C398" s="7">
        <v>-125</v>
      </c>
      <c r="D398" s="7">
        <v>3750</v>
      </c>
      <c r="E398" s="7">
        <v>59</v>
      </c>
      <c r="F398" s="11">
        <f>B398+Origin_X</f>
        <v>700</v>
      </c>
      <c r="G398" s="11">
        <f>C398+Origin_Y</f>
        <v>-125</v>
      </c>
    </row>
    <row r="399" spans="1:7" x14ac:dyDescent="0.25">
      <c r="A399" s="7">
        <v>394</v>
      </c>
      <c r="B399" s="7">
        <v>725</v>
      </c>
      <c r="C399" s="7">
        <v>-100</v>
      </c>
      <c r="D399" s="7">
        <v>3750</v>
      </c>
      <c r="E399" s="7">
        <v>59</v>
      </c>
      <c r="F399" s="11">
        <f>B399+Origin_X</f>
        <v>725</v>
      </c>
      <c r="G399" s="11">
        <f>C399+Origin_Y</f>
        <v>-100</v>
      </c>
    </row>
    <row r="400" spans="1:7" x14ac:dyDescent="0.25">
      <c r="A400" s="7">
        <v>395</v>
      </c>
      <c r="B400" s="7">
        <v>725</v>
      </c>
      <c r="C400" s="7">
        <v>-25</v>
      </c>
      <c r="D400" s="7">
        <v>3750</v>
      </c>
      <c r="E400" s="7">
        <v>59</v>
      </c>
      <c r="F400" s="11">
        <f>B400+Origin_X</f>
        <v>725</v>
      </c>
      <c r="G400" s="11">
        <f>C400+Origin_Y</f>
        <v>-25</v>
      </c>
    </row>
    <row r="401" spans="1:7" x14ac:dyDescent="0.25">
      <c r="A401" s="7">
        <v>396</v>
      </c>
      <c r="B401" s="7">
        <v>650</v>
      </c>
      <c r="C401" s="7">
        <v>-25</v>
      </c>
      <c r="D401" s="7">
        <v>3750</v>
      </c>
      <c r="E401" s="7">
        <v>59</v>
      </c>
      <c r="F401" s="11">
        <f>B401+Origin_X</f>
        <v>650</v>
      </c>
      <c r="G401" s="11">
        <f>C401+Origin_Y</f>
        <v>-25</v>
      </c>
    </row>
    <row r="402" spans="1:7" x14ac:dyDescent="0.25">
      <c r="A402" s="7">
        <v>397</v>
      </c>
      <c r="B402" s="7">
        <v>625</v>
      </c>
      <c r="C402" s="7">
        <v>100</v>
      </c>
      <c r="D402" s="7">
        <v>3750</v>
      </c>
      <c r="E402" s="7">
        <v>60</v>
      </c>
      <c r="F402" s="11">
        <f>B402+Origin_X</f>
        <v>625</v>
      </c>
      <c r="G402" s="11">
        <f>C402+Origin_Y</f>
        <v>100</v>
      </c>
    </row>
    <row r="403" spans="1:7" x14ac:dyDescent="0.25">
      <c r="A403" s="7">
        <v>398</v>
      </c>
      <c r="B403" s="7">
        <v>625</v>
      </c>
      <c r="C403" s="7">
        <v>25</v>
      </c>
      <c r="D403" s="7">
        <v>3750</v>
      </c>
      <c r="E403" s="7">
        <v>60</v>
      </c>
      <c r="F403" s="11">
        <f>B403+Origin_X</f>
        <v>625</v>
      </c>
      <c r="G403" s="11">
        <f>C403+Origin_Y</f>
        <v>25</v>
      </c>
    </row>
    <row r="404" spans="1:7" x14ac:dyDescent="0.25">
      <c r="A404" s="7">
        <v>399</v>
      </c>
      <c r="B404" s="7">
        <v>700</v>
      </c>
      <c r="C404" s="7">
        <v>25</v>
      </c>
      <c r="D404" s="7">
        <v>3750</v>
      </c>
      <c r="E404" s="7">
        <v>60</v>
      </c>
      <c r="F404" s="11">
        <f>B404+Origin_X</f>
        <v>700</v>
      </c>
      <c r="G404" s="11">
        <f>C404+Origin_Y</f>
        <v>25</v>
      </c>
    </row>
    <row r="405" spans="1:7" x14ac:dyDescent="0.25">
      <c r="A405" s="7">
        <v>400</v>
      </c>
      <c r="B405" s="7">
        <v>725</v>
      </c>
      <c r="C405" s="7">
        <v>50</v>
      </c>
      <c r="D405" s="7">
        <v>3750</v>
      </c>
      <c r="E405" s="7">
        <v>60</v>
      </c>
      <c r="F405" s="11">
        <f>B405+Origin_X</f>
        <v>725</v>
      </c>
      <c r="G405" s="11">
        <f>C405+Origin_Y</f>
        <v>50</v>
      </c>
    </row>
    <row r="406" spans="1:7" x14ac:dyDescent="0.25">
      <c r="A406" s="7">
        <v>401</v>
      </c>
      <c r="B406" s="7">
        <v>725</v>
      </c>
      <c r="C406" s="7">
        <v>125</v>
      </c>
      <c r="D406" s="7">
        <v>3750</v>
      </c>
      <c r="E406" s="7">
        <v>60</v>
      </c>
      <c r="F406" s="11">
        <f>B406+Origin_X</f>
        <v>725</v>
      </c>
      <c r="G406" s="11">
        <f>C406+Origin_Y</f>
        <v>125</v>
      </c>
    </row>
    <row r="407" spans="1:7" x14ac:dyDescent="0.25">
      <c r="A407" s="7">
        <v>402</v>
      </c>
      <c r="B407" s="7">
        <v>650</v>
      </c>
      <c r="C407" s="7">
        <v>125</v>
      </c>
      <c r="D407" s="7">
        <v>3750</v>
      </c>
      <c r="E407" s="7">
        <v>60</v>
      </c>
      <c r="F407" s="11">
        <f>B407+Origin_X</f>
        <v>650</v>
      </c>
      <c r="G407" s="11">
        <f>C407+Origin_Y</f>
        <v>125</v>
      </c>
    </row>
    <row r="408" spans="1:7" x14ac:dyDescent="0.25">
      <c r="A408" s="7">
        <v>403</v>
      </c>
      <c r="B408" s="7">
        <v>625</v>
      </c>
      <c r="C408" s="7">
        <v>250</v>
      </c>
      <c r="D408" s="7">
        <v>3750</v>
      </c>
      <c r="E408" s="7">
        <v>61</v>
      </c>
      <c r="F408" s="11">
        <f>B408+Origin_X</f>
        <v>625</v>
      </c>
      <c r="G408" s="11">
        <f>C408+Origin_Y</f>
        <v>250</v>
      </c>
    </row>
    <row r="409" spans="1:7" x14ac:dyDescent="0.25">
      <c r="A409" s="7">
        <v>404</v>
      </c>
      <c r="B409" s="7">
        <v>625</v>
      </c>
      <c r="C409" s="7">
        <v>175</v>
      </c>
      <c r="D409" s="7">
        <v>3750</v>
      </c>
      <c r="E409" s="7">
        <v>61</v>
      </c>
      <c r="F409" s="11">
        <f>B409+Origin_X</f>
        <v>625</v>
      </c>
      <c r="G409" s="11">
        <f>C409+Origin_Y</f>
        <v>175</v>
      </c>
    </row>
    <row r="410" spans="1:7" x14ac:dyDescent="0.25">
      <c r="A410" s="7">
        <v>405</v>
      </c>
      <c r="B410" s="7">
        <v>700</v>
      </c>
      <c r="C410" s="7">
        <v>175</v>
      </c>
      <c r="D410" s="7">
        <v>3750</v>
      </c>
      <c r="E410" s="7">
        <v>61</v>
      </c>
      <c r="F410" s="11">
        <f>B410+Origin_X</f>
        <v>700</v>
      </c>
      <c r="G410" s="11">
        <f>C410+Origin_Y</f>
        <v>175</v>
      </c>
    </row>
    <row r="411" spans="1:7" x14ac:dyDescent="0.25">
      <c r="A411" s="7">
        <v>406</v>
      </c>
      <c r="B411" s="7">
        <v>725</v>
      </c>
      <c r="C411" s="7">
        <v>200</v>
      </c>
      <c r="D411" s="7">
        <v>3750</v>
      </c>
      <c r="E411" s="7">
        <v>61</v>
      </c>
      <c r="F411" s="11">
        <f>B411+Origin_X</f>
        <v>725</v>
      </c>
      <c r="G411" s="11">
        <f>C411+Origin_Y</f>
        <v>200</v>
      </c>
    </row>
    <row r="412" spans="1:7" x14ac:dyDescent="0.25">
      <c r="A412" s="7">
        <v>407</v>
      </c>
      <c r="B412" s="7">
        <v>725</v>
      </c>
      <c r="C412" s="7">
        <v>275</v>
      </c>
      <c r="D412" s="7">
        <v>3750</v>
      </c>
      <c r="E412" s="7">
        <v>61</v>
      </c>
      <c r="F412" s="11">
        <f>B412+Origin_X</f>
        <v>725</v>
      </c>
      <c r="G412" s="11">
        <f>C412+Origin_Y</f>
        <v>275</v>
      </c>
    </row>
    <row r="413" spans="1:7" x14ac:dyDescent="0.25">
      <c r="A413" s="7">
        <v>408</v>
      </c>
      <c r="B413" s="7">
        <v>650</v>
      </c>
      <c r="C413" s="7">
        <v>275</v>
      </c>
      <c r="D413" s="7">
        <v>3750</v>
      </c>
      <c r="E413" s="7">
        <v>61</v>
      </c>
      <c r="F413" s="11">
        <f>B413+Origin_X</f>
        <v>650</v>
      </c>
      <c r="G413" s="11">
        <f>C413+Origin_Y</f>
        <v>275</v>
      </c>
    </row>
    <row r="414" spans="1:7" x14ac:dyDescent="0.25">
      <c r="A414" s="7">
        <v>409</v>
      </c>
      <c r="B414" s="7">
        <v>625</v>
      </c>
      <c r="C414" s="7">
        <v>400</v>
      </c>
      <c r="D414" s="7">
        <v>3750</v>
      </c>
      <c r="E414" s="7">
        <v>62</v>
      </c>
      <c r="F414" s="11">
        <f>B414+Origin_X</f>
        <v>625</v>
      </c>
      <c r="G414" s="11">
        <f>C414+Origin_Y</f>
        <v>400</v>
      </c>
    </row>
    <row r="415" spans="1:7" x14ac:dyDescent="0.25">
      <c r="A415" s="7">
        <v>410</v>
      </c>
      <c r="B415" s="7">
        <v>625</v>
      </c>
      <c r="C415" s="7">
        <v>325</v>
      </c>
      <c r="D415" s="7">
        <v>3750</v>
      </c>
      <c r="E415" s="7">
        <v>62</v>
      </c>
      <c r="F415" s="11">
        <f>B415+Origin_X</f>
        <v>625</v>
      </c>
      <c r="G415" s="11">
        <f>C415+Origin_Y</f>
        <v>325</v>
      </c>
    </row>
    <row r="416" spans="1:7" x14ac:dyDescent="0.25">
      <c r="A416" s="7">
        <v>411</v>
      </c>
      <c r="B416" s="7">
        <v>700</v>
      </c>
      <c r="C416" s="7">
        <v>325</v>
      </c>
      <c r="D416" s="7">
        <v>3750</v>
      </c>
      <c r="E416" s="7">
        <v>62</v>
      </c>
      <c r="F416" s="11">
        <f>B416+Origin_X</f>
        <v>700</v>
      </c>
      <c r="G416" s="11">
        <f>C416+Origin_Y</f>
        <v>325</v>
      </c>
    </row>
    <row r="417" spans="1:7" x14ac:dyDescent="0.25">
      <c r="A417" s="7">
        <v>412</v>
      </c>
      <c r="B417" s="7">
        <v>650</v>
      </c>
      <c r="C417" s="7">
        <v>416.66666666666663</v>
      </c>
      <c r="D417" s="7">
        <v>2500</v>
      </c>
      <c r="E417" s="7">
        <v>62</v>
      </c>
      <c r="F417" s="11">
        <f>B417+Origin_X</f>
        <v>650</v>
      </c>
      <c r="G417" s="11">
        <f>C417+Origin_Y</f>
        <v>416.66666666666663</v>
      </c>
    </row>
    <row r="418" spans="1:7" x14ac:dyDescent="0.25">
      <c r="A418" s="7">
        <v>413</v>
      </c>
      <c r="B418" s="7">
        <v>725</v>
      </c>
      <c r="C418" s="7">
        <v>341.66666666666663</v>
      </c>
      <c r="D418" s="7">
        <v>2500</v>
      </c>
      <c r="E418" s="7">
        <v>62</v>
      </c>
      <c r="F418" s="11">
        <f>B418+Origin_X</f>
        <v>725</v>
      </c>
      <c r="G418" s="11">
        <f>C418+Origin_Y</f>
        <v>341.66666666666663</v>
      </c>
    </row>
    <row r="419" spans="1:7" x14ac:dyDescent="0.25">
      <c r="A419" s="7">
        <v>414</v>
      </c>
      <c r="B419" s="7">
        <v>725</v>
      </c>
      <c r="C419" s="7">
        <v>391.66666666666663</v>
      </c>
      <c r="D419" s="7">
        <v>2500</v>
      </c>
      <c r="E419" s="7">
        <v>62</v>
      </c>
      <c r="F419" s="11">
        <f>B419+Origin_X</f>
        <v>725</v>
      </c>
      <c r="G419" s="11">
        <f>C419+Origin_Y</f>
        <v>391.66666666666663</v>
      </c>
    </row>
    <row r="420" spans="1:7" x14ac:dyDescent="0.25">
      <c r="A420" s="7">
        <v>415</v>
      </c>
      <c r="B420" s="7">
        <v>716.6666666666666</v>
      </c>
      <c r="C420" s="7">
        <v>416.66666666666663</v>
      </c>
      <c r="D420" s="7">
        <v>833.3333333333334</v>
      </c>
      <c r="E420" s="7">
        <v>62</v>
      </c>
      <c r="F420" s="11">
        <f>B420+Origin_X</f>
        <v>716.6666666666666</v>
      </c>
      <c r="G420" s="11">
        <f>C420+Origin_Y</f>
        <v>416.66666666666663</v>
      </c>
    </row>
    <row r="421" spans="1:7" x14ac:dyDescent="0.25">
      <c r="A421" s="7">
        <v>416</v>
      </c>
      <c r="B421" s="7">
        <v>691.6666666666666</v>
      </c>
      <c r="C421" s="7">
        <v>441.66666666666663</v>
      </c>
      <c r="D421" s="7">
        <v>833.3333333333334</v>
      </c>
      <c r="E421" s="7">
        <v>62</v>
      </c>
      <c r="F421" s="11">
        <f>B421+Origin_X</f>
        <v>691.6666666666666</v>
      </c>
      <c r="G421" s="11">
        <f>C421+Origin_Y</f>
        <v>441.66666666666663</v>
      </c>
    </row>
    <row r="422" spans="1:7" x14ac:dyDescent="0.25">
      <c r="A422" s="7">
        <v>417</v>
      </c>
      <c r="B422" s="7">
        <v>641.6666666666666</v>
      </c>
      <c r="C422" s="7">
        <v>441.66666666666663</v>
      </c>
      <c r="D422" s="7">
        <v>833.3333333333334</v>
      </c>
      <c r="E422" s="7">
        <v>62</v>
      </c>
      <c r="F422" s="11">
        <f>B422+Origin_X</f>
        <v>641.6666666666666</v>
      </c>
      <c r="G422" s="11">
        <f>C422+Origin_Y</f>
        <v>441.66666666666663</v>
      </c>
    </row>
    <row r="423" spans="1:7" x14ac:dyDescent="0.25">
      <c r="A423" s="7">
        <v>418</v>
      </c>
      <c r="B423" s="7">
        <v>616.6666666666666</v>
      </c>
      <c r="C423" s="7">
        <v>466.66666666666663</v>
      </c>
      <c r="D423" s="7">
        <v>1666.6666666666667</v>
      </c>
      <c r="E423" s="7">
        <v>63</v>
      </c>
      <c r="F423" s="11">
        <f>B423+Origin_X</f>
        <v>616.6666666666666</v>
      </c>
      <c r="G423" s="11">
        <f>C423+Origin_Y</f>
        <v>466.66666666666663</v>
      </c>
    </row>
    <row r="424" spans="1:7" x14ac:dyDescent="0.25">
      <c r="A424" s="7">
        <v>419</v>
      </c>
      <c r="B424" s="7">
        <v>666.6666666666666</v>
      </c>
      <c r="C424" s="7">
        <v>466.66666666666663</v>
      </c>
      <c r="D424" s="7">
        <v>1666.6666666666667</v>
      </c>
      <c r="E424" s="7">
        <v>63</v>
      </c>
      <c r="F424" s="11">
        <f>B424+Origin_X</f>
        <v>666.6666666666666</v>
      </c>
      <c r="G424" s="11">
        <f>C424+Origin_Y</f>
        <v>466.66666666666663</v>
      </c>
    </row>
    <row r="425" spans="1:7" x14ac:dyDescent="0.25">
      <c r="A425" s="7">
        <v>420</v>
      </c>
      <c r="B425" s="7">
        <v>616.6666666666666</v>
      </c>
      <c r="C425" s="7">
        <v>516.6666666666666</v>
      </c>
      <c r="D425" s="7">
        <v>1666.6666666666667</v>
      </c>
      <c r="E425" s="7">
        <v>63</v>
      </c>
      <c r="F425" s="11">
        <f>B425+Origin_X</f>
        <v>616.6666666666666</v>
      </c>
      <c r="G425" s="11">
        <f>C425+Origin_Y</f>
        <v>516.6666666666666</v>
      </c>
    </row>
  </sheetData>
  <mergeCells count="2">
    <mergeCell ref="A1:G1"/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U212"/>
  <sheetViews>
    <sheetView workbookViewId="0" showGridLines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4" customWidth="1"/>
    <col min="4" max="4" width="24" customWidth="1"/>
    <col min="5" max="5" width="30" customWidth="1"/>
    <col min="6" max="6" width="12" customWidth="1"/>
    <col min="7" max="7" width="30" customWidth="1"/>
    <col min="8" max="8" width="16" customWidth="1"/>
    <col min="9" max="9" width="14" customWidth="1"/>
    <col min="10" max="10" width="15" customWidth="1"/>
    <col min="11" max="15" width="14" customWidth="1"/>
    <col min="16" max="17" width="15" customWidth="1"/>
    <col min="18" max="32" width="14" customWidth="1"/>
    <col min="33" max="47" width="16" hidden="1" customWidth="1"/>
  </cols>
  <sheetData>
    <row r="1" ht="22" customHeight="1" spans="1:47" x14ac:dyDescent="0.25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2:47" x14ac:dyDescent="0.25">
      <c r="B2" s="17" t="s">
        <v>135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5" x14ac:dyDescent="0.25">
      <c r="B3" t="s">
        <v>136</v>
      </c>
      <c r="C3" s="18">
        <f>Selected_P</f>
        <v>17670.345615483235</v>
      </c>
      <c r="D3" t="s">
        <v>137</v>
      </c>
      <c r="E3" s="7" t="s">
        <v>138</v>
      </c>
    </row>
    <row r="6" ht="24" customHeight="1" spans="1:5" x14ac:dyDescent="0.25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</row>
    <row r="7" ht="28" customHeight="1" spans="1:47" x14ac:dyDescent="0.25">
      <c r="A7" s="9" t="s">
        <v>139</v>
      </c>
      <c r="B7" s="9" t="s">
        <v>140</v>
      </c>
      <c r="C7" s="9" t="s">
        <v>141</v>
      </c>
      <c r="D7" s="9" t="s">
        <v>142</v>
      </c>
      <c r="E7" s="9" t="s">
        <v>143</v>
      </c>
      <c r="F7" s="9" t="s">
        <v>144</v>
      </c>
      <c r="G7" s="9" t="s">
        <v>145</v>
      </c>
      <c r="H7" s="9" t="s">
        <v>146</v>
      </c>
      <c r="I7" s="9" t="s">
        <v>147</v>
      </c>
      <c r="J7" s="9" t="s">
        <v>148</v>
      </c>
      <c r="K7" s="9" t="s">
        <v>149</v>
      </c>
      <c r="L7" s="9" t="s">
        <v>150</v>
      </c>
      <c r="M7" s="9" t="s">
        <v>151</v>
      </c>
      <c r="N7" s="9" t="s">
        <v>152</v>
      </c>
      <c r="O7" s="9" t="s">
        <v>153</v>
      </c>
      <c r="P7" s="9" t="s">
        <v>154</v>
      </c>
      <c r="Q7" s="9" t="s">
        <v>155</v>
      </c>
      <c r="R7" s="9" t="s">
        <v>156</v>
      </c>
      <c r="S7" s="9" t="s">
        <v>157</v>
      </c>
      <c r="T7" s="9" t="s">
        <v>158</v>
      </c>
      <c r="U7" s="9" t="s">
        <v>159</v>
      </c>
      <c r="V7" s="9" t="s">
        <v>160</v>
      </c>
      <c r="W7" s="9" t="s">
        <v>161</v>
      </c>
      <c r="X7" s="9" t="s">
        <v>162</v>
      </c>
      <c r="Y7" s="9" t="s">
        <v>163</v>
      </c>
      <c r="Z7" s="9" t="s">
        <v>164</v>
      </c>
      <c r="AA7" s="9" t="s">
        <v>165</v>
      </c>
      <c r="AB7" s="9" t="s">
        <v>166</v>
      </c>
      <c r="AC7" s="9" t="s">
        <v>167</v>
      </c>
      <c r="AD7" s="9" t="s">
        <v>168</v>
      </c>
      <c r="AE7" s="9" t="s">
        <v>169</v>
      </c>
      <c r="AF7" s="9" t="s">
        <v>170</v>
      </c>
      <c r="AG7" s="9" t="s">
        <v>171</v>
      </c>
      <c r="AH7" s="9" t="s">
        <v>172</v>
      </c>
      <c r="AI7" s="9" t="s">
        <v>173</v>
      </c>
      <c r="AJ7" s="9" t="s">
        <v>174</v>
      </c>
      <c r="AK7" s="9" t="s">
        <v>175</v>
      </c>
      <c r="AL7" s="9" t="s">
        <v>176</v>
      </c>
      <c r="AM7" s="9" t="s">
        <v>177</v>
      </c>
      <c r="AN7" s="9" t="s">
        <v>178</v>
      </c>
      <c r="AO7" s="9" t="s">
        <v>179</v>
      </c>
      <c r="AP7" s="9" t="s">
        <v>180</v>
      </c>
      <c r="AQ7" s="9" t="s">
        <v>181</v>
      </c>
      <c r="AR7" s="9" t="s">
        <v>182</v>
      </c>
      <c r="AS7" s="9" t="s">
        <v>183</v>
      </c>
      <c r="AT7" s="9" t="s">
        <v>184</v>
      </c>
      <c r="AU7" s="9" t="s">
        <v>185</v>
      </c>
    </row>
    <row r="8" spans="1:47" x14ac:dyDescent="0.25">
      <c r="A8" s="7" t="s">
        <v>186</v>
      </c>
      <c r="B8" s="7">
        <v>1</v>
      </c>
      <c r="C8" s="19">
        <v>0</v>
      </c>
      <c r="D8" s="7" t="s">
        <v>187</v>
      </c>
      <c r="E8" s="7" t="s">
        <v>188</v>
      </c>
      <c r="F8" s="20">
        <v>0</v>
      </c>
      <c r="G8" s="7" t="s">
        <v>189</v>
      </c>
      <c r="H8" s="21">
        <v>0.0033</v>
      </c>
      <c r="I8" s="11">
        <f>MAX(('Geometry'!$G$13*COS(RADIANS(F8))+'Geometry'!$F$13*SIN(RADIANS(F8))),('Geometry'!$G$14*COS(RADIANS(F8))+'Geometry'!$F$14*SIN(RADIANS(F8))),('Geometry'!$G$15*COS(RADIANS(F8))+'Geometry'!$F$15*SIN(RADIANS(F8))),('Geometry'!$G$16*COS(RADIANS(F8))+'Geometry'!$F$16*SIN(RADIANS(F8))),('Geometry'!$G$17*COS(RADIANS(F8))+'Geometry'!$F$17*SIN(RADIANS(F8))),('Geometry'!$G$18*COS(RADIANS(F8))+'Geometry'!$F$18*SIN(RADIANS(F8))),('Geometry'!$G$19*COS(RADIANS(F8))+'Geometry'!$F$19*SIN(RADIANS(F8))),('Geometry'!$G$20*COS(RADIANS(F8))+'Geometry'!$F$20*SIN(RADIANS(F8))))</f>
        <v>600</v>
      </c>
      <c r="J8" s="11">
        <f>I8</f>
        <v>-530</v>
      </c>
      <c r="K8" s="11">
        <f>I8-MIN(('Geometry'!$G$13*COS(RADIANS(F8))+'Geometry'!$F$13*SIN(RADIANS(F8))),('Geometry'!$G$14*COS(RADIANS(F8))+'Geometry'!$F$14*SIN(RADIANS(F8))),('Geometry'!$G$15*COS(RADIANS(F8))+'Geometry'!$F$15*SIN(RADIANS(F8))),('Geometry'!$G$16*COS(RADIANS(F8))+'Geometry'!$F$16*SIN(RADIANS(F8))),('Geometry'!$G$17*COS(RADIANS(F8))+'Geometry'!$F$17*SIN(RADIANS(F8))),('Geometry'!$G$18*COS(RADIANS(F8))+'Geometry'!$F$18*SIN(RADIANS(F8))),('Geometry'!$G$19*COS(RADIANS(F8))+'Geometry'!$F$19*SIN(RADIANS(F8))),('Geometry'!$G$20*COS(RADIANS(F8))+'Geometry'!$F$20*SIN(RADIANS(F8))))</f>
        <v>1200</v>
      </c>
      <c r="L8" s="16">
        <f>H8</f>
        <v>0.0033</v>
      </c>
      <c r="M8" s="16">
        <f>H8</f>
        <v>0.0033</v>
      </c>
      <c r="N8" s="22">
        <f>0</f>
        <v>0</v>
      </c>
      <c r="O8" s="16">
        <f>H8</f>
        <v>0.0033</v>
      </c>
      <c r="P8" s="22">
        <f>N8*COS(RADIANS(F8))</f>
        <v>0</v>
      </c>
      <c r="Q8" s="22">
        <f>N8*SIN(RADIANS(F8))</f>
        <v>0</v>
      </c>
      <c r="R8" s="11">
        <f>AP8</f>
        <v>15240.060530616256</v>
      </c>
      <c r="S8" s="11">
        <f>AQ8</f>
        <v>0</v>
      </c>
      <c r="T8" s="11">
        <f>AR8</f>
        <v>0</v>
      </c>
      <c r="U8" s="11">
        <f>AS8</f>
        <v>2430.2850848669796</v>
      </c>
      <c r="V8" s="11">
        <f>AT8</f>
        <v>0</v>
      </c>
      <c r="W8" s="11">
        <f>AU8</f>
        <v>0</v>
      </c>
      <c r="X8" s="11">
        <f>AM8</f>
        <v>17670.345615483235</v>
      </c>
      <c r="Y8" s="11">
        <f>AN8</f>
        <v>0</v>
      </c>
      <c r="Z8" s="11">
        <f>AO8</f>
        <v>0</v>
      </c>
      <c r="AA8" s="7">
        <v>1</v>
      </c>
      <c r="AB8" s="7">
        <v>1</v>
      </c>
      <c r="AC8" s="7">
        <v>1</v>
      </c>
      <c r="AD8" s="11">
        <f>X8*AA8</f>
        <v>17670.345615483235</v>
      </c>
      <c r="AE8" s="11">
        <f>Y8*AB8</f>
        <v>0</v>
      </c>
      <c r="AF8" s="11">
        <f>Z8*AC8</f>
        <v>0</v>
      </c>
      <c r="AG8" s="7">
        <v>17670.345615483235</v>
      </c>
      <c r="AH8" s="7">
        <v>0</v>
      </c>
      <c r="AI8" s="7">
        <v>0</v>
      </c>
      <c r="AJ8" s="16">
        <f>AD8-AG8</f>
        <v>0</v>
      </c>
      <c r="AK8" s="16">
        <f>SQRT((AE8-AH8)^2+(AF8-AI8)^2)</f>
        <v>0</v>
      </c>
      <c r="AL8" s="7" t="s">
        <v>190</v>
      </c>
      <c r="AM8" s="7">
        <v>17670.345615483235</v>
      </c>
      <c r="AN8" s="7">
        <v>0</v>
      </c>
      <c r="AO8" s="7">
        <v>0</v>
      </c>
      <c r="AP8" s="7">
        <v>15240.060530616256</v>
      </c>
      <c r="AQ8" s="7">
        <v>0</v>
      </c>
      <c r="AR8" s="7">
        <v>0</v>
      </c>
      <c r="AS8" s="7">
        <v>2430.2850848669796</v>
      </c>
      <c r="AT8" s="7">
        <v>0</v>
      </c>
      <c r="AU8" s="7">
        <v>0</v>
      </c>
    </row>
    <row r="9" spans="1:47" x14ac:dyDescent="0.25">
      <c r="A9" s="7" t="s">
        <v>191</v>
      </c>
      <c r="B9" s="7">
        <v>2</v>
      </c>
      <c r="C9" s="19">
        <v>0</v>
      </c>
      <c r="D9" s="7" t="s">
        <v>192</v>
      </c>
      <c r="E9" s="7" t="s">
        <v>193</v>
      </c>
      <c r="F9" s="20">
        <v>0</v>
      </c>
      <c r="G9" s="7" t="s">
        <v>194</v>
      </c>
      <c r="H9" s="21">
        <v>3</v>
      </c>
      <c r="I9" s="11">
        <f>MAX(('Geometry'!$G$13*COS(RADIANS(F9))+'Geometry'!$F$13*SIN(RADIANS(F9))),('Geometry'!$G$14*COS(RADIANS(F9))+'Geometry'!$F$14*SIN(RADIANS(F9))),('Geometry'!$G$15*COS(RADIANS(F9))+'Geometry'!$F$15*SIN(RADIANS(F9))),('Geometry'!$G$16*COS(RADIANS(F9))+'Geometry'!$F$16*SIN(RADIANS(F9))),('Geometry'!$G$17*COS(RADIANS(F9))+'Geometry'!$F$17*SIN(RADIANS(F9))),('Geometry'!$G$18*COS(RADIANS(F9))+'Geometry'!$F$18*SIN(RADIANS(F9))),('Geometry'!$G$19*COS(RADIANS(F9))+'Geometry'!$F$19*SIN(RADIANS(F9))),('Geometry'!$G$20*COS(RADIANS(F9))+'Geometry'!$F$20*SIN(RADIANS(F9))))</f>
        <v>600</v>
      </c>
      <c r="J9" s="11">
        <f>I9-H9*K9</f>
        <v>-3000</v>
      </c>
      <c r="K9" s="11">
        <f>I9-MIN(('Geometry'!$G$13*COS(RADIANS(F9))+'Geometry'!$F$13*SIN(RADIANS(F9))),('Geometry'!$G$14*COS(RADIANS(F9))+'Geometry'!$F$14*SIN(RADIANS(F9))),('Geometry'!$G$15*COS(RADIANS(F9))+'Geometry'!$F$15*SIN(RADIANS(F9))),('Geometry'!$G$16*COS(RADIANS(F9))+'Geometry'!$F$16*SIN(RADIANS(F9))),('Geometry'!$G$17*COS(RADIANS(F9))+'Geometry'!$F$17*SIN(RADIANS(F9))),('Geometry'!$G$18*COS(RADIANS(F9))+'Geometry'!$F$18*SIN(RADIANS(F9))),('Geometry'!$G$19*COS(RADIANS(F9))+'Geometry'!$F$19*SIN(RADIANS(F9))),('Geometry'!$G$20*COS(RADIANS(F9))+'Geometry'!$F$20*SIN(RADIANS(F9))))</f>
        <v>1200</v>
      </c>
      <c r="L9" s="16">
        <f>C_ecu</f>
        <v>0.0033</v>
      </c>
      <c r="M9" s="16">
        <f>0</f>
        <v>0</v>
      </c>
      <c r="N9" s="22">
        <f>IF(ABS(I9-J9)&lt;0.000000000001,0,(L9-M9)/(I9-J9))</f>
        <v>9.166666666666666e-7</v>
      </c>
      <c r="O9" s="16">
        <f>L9-N9*I9</f>
        <v>0.00275</v>
      </c>
      <c r="P9" s="22">
        <f>N9*COS(RADIANS(F9))</f>
        <v>9.166666666666666e-7</v>
      </c>
      <c r="Q9" s="22">
        <f>N9*SIN(RADIANS(F9))</f>
        <v>0</v>
      </c>
      <c r="R9" s="11">
        <f>AP9</f>
        <v>15240.060530616256</v>
      </c>
      <c r="S9" s="11">
        <f>AQ9</f>
        <v>285.94652373245185</v>
      </c>
      <c r="T9" s="11">
        <f>AR9</f>
        <v>0.0021480206476070093</v>
      </c>
      <c r="U9" s="11">
        <f>AS9</f>
        <v>2430.2850848669796</v>
      </c>
      <c r="V9" s="11">
        <f>AT9</f>
        <v>93.44254178501635</v>
      </c>
      <c r="W9" s="11">
        <f>AU9</f>
        <v>5.879224946033295e-16</v>
      </c>
      <c r="X9" s="11">
        <f>AM9</f>
        <v>17670.345615483235</v>
      </c>
      <c r="Y9" s="11">
        <f>AN9</f>
        <v>379.38906551746817</v>
      </c>
      <c r="Z9" s="11">
        <f>AO9</f>
        <v>0.0021480206476075974</v>
      </c>
      <c r="AA9" s="7">
        <v>1</v>
      </c>
      <c r="AB9" s="7">
        <v>1</v>
      </c>
      <c r="AC9" s="7">
        <v>1</v>
      </c>
      <c r="AD9" s="11">
        <f>X9*AA9</f>
        <v>17670.345615483235</v>
      </c>
      <c r="AE9" s="11">
        <f>Y9*AB9</f>
        <v>379.38906551746817</v>
      </c>
      <c r="AF9" s="11">
        <f>Z9*AC9</f>
        <v>0.0021480206476075974</v>
      </c>
      <c r="AG9" s="7">
        <v>17670.345615483235</v>
      </c>
      <c r="AH9" s="7">
        <v>379.38906551746817</v>
      </c>
      <c r="AI9" s="7">
        <v>0.0021480206476075974</v>
      </c>
      <c r="AJ9" s="16">
        <f>AD9-AG9</f>
        <v>0</v>
      </c>
      <c r="AK9" s="16">
        <f>SQRT((AE9-AH9)^2+(AF9-AI9)^2)</f>
        <v>0</v>
      </c>
      <c r="AL9" s="7" t="s">
        <v>190</v>
      </c>
      <c r="AM9" s="7">
        <v>17670.345615483235</v>
      </c>
      <c r="AN9" s="7">
        <v>379.38906551746817</v>
      </c>
      <c r="AO9" s="7">
        <v>0.0021480206476075974</v>
      </c>
      <c r="AP9" s="7">
        <v>15240.060530616256</v>
      </c>
      <c r="AQ9" s="7">
        <v>285.94652373245185</v>
      </c>
      <c r="AR9" s="7">
        <v>0.0021480206476070093</v>
      </c>
      <c r="AS9" s="7">
        <v>2430.2850848669796</v>
      </c>
      <c r="AT9" s="7">
        <v>93.44254178501635</v>
      </c>
      <c r="AU9" s="7">
        <v>5.879224946033295e-16</v>
      </c>
    </row>
    <row r="10" spans="1:47" x14ac:dyDescent="0.25">
      <c r="A10" s="7" t="s">
        <v>195</v>
      </c>
      <c r="B10" s="7">
        <v>3</v>
      </c>
      <c r="C10" s="19">
        <v>0</v>
      </c>
      <c r="D10" s="7" t="s">
        <v>196</v>
      </c>
      <c r="E10" s="7" t="s">
        <v>197</v>
      </c>
      <c r="F10" s="20">
        <v>0</v>
      </c>
      <c r="G10" s="7" t="s">
        <v>194</v>
      </c>
      <c r="H10" s="21">
        <v>2</v>
      </c>
      <c r="I10" s="11">
        <f>MAX(('Geometry'!$G$13*COS(RADIANS(F10))+'Geometry'!$F$13*SIN(RADIANS(F10))),('Geometry'!$G$14*COS(RADIANS(F10))+'Geometry'!$F$14*SIN(RADIANS(F10))),('Geometry'!$G$15*COS(RADIANS(F10))+'Geometry'!$F$15*SIN(RADIANS(F10))),('Geometry'!$G$16*COS(RADIANS(F10))+'Geometry'!$F$16*SIN(RADIANS(F10))),('Geometry'!$G$17*COS(RADIANS(F10))+'Geometry'!$F$17*SIN(RADIANS(F10))),('Geometry'!$G$18*COS(RADIANS(F10))+'Geometry'!$F$18*SIN(RADIANS(F10))),('Geometry'!$G$19*COS(RADIANS(F10))+'Geometry'!$F$19*SIN(RADIANS(F10))),('Geometry'!$G$20*COS(RADIANS(F10))+'Geometry'!$F$20*SIN(RADIANS(F10))))</f>
        <v>600</v>
      </c>
      <c r="J10" s="11">
        <f>I10-H10*K10</f>
        <v>-1799.9999999999998</v>
      </c>
      <c r="K10" s="11">
        <f>I10-MIN(('Geometry'!$G$13*COS(RADIANS(F10))+'Geometry'!$F$13*SIN(RADIANS(F10))),('Geometry'!$G$14*COS(RADIANS(F10))+'Geometry'!$F$14*SIN(RADIANS(F10))),('Geometry'!$G$15*COS(RADIANS(F10))+'Geometry'!$F$15*SIN(RADIANS(F10))),('Geometry'!$G$16*COS(RADIANS(F10))+'Geometry'!$F$16*SIN(RADIANS(F10))),('Geometry'!$G$17*COS(RADIANS(F10))+'Geometry'!$F$17*SIN(RADIANS(F10))),('Geometry'!$G$18*COS(RADIANS(F10))+'Geometry'!$F$18*SIN(RADIANS(F10))),('Geometry'!$G$19*COS(RADIANS(F10))+'Geometry'!$F$19*SIN(RADIANS(F10))),('Geometry'!$G$20*COS(RADIANS(F10))+'Geometry'!$F$20*SIN(RADIANS(F10))))</f>
        <v>1200</v>
      </c>
      <c r="L10" s="16">
        <f>C_ecu</f>
        <v>0.0033</v>
      </c>
      <c r="M10" s="16">
        <f>0</f>
        <v>0</v>
      </c>
      <c r="N10" s="22">
        <f>IF(ABS(I10-J10)&lt;0.000000000001,0,(L10-M10)/(I10-J10))</f>
        <v>0.000001375</v>
      </c>
      <c r="O10" s="16">
        <f>L10-N10*I10</f>
        <v>0.0024749999999999998</v>
      </c>
      <c r="P10" s="22">
        <f>N10*COS(RADIANS(F10))</f>
        <v>0.000001375</v>
      </c>
      <c r="Q10" s="22">
        <f>N10*SIN(RADIANS(F10))</f>
        <v>0</v>
      </c>
      <c r="R10" s="11">
        <f>AP10</f>
        <v>15240.060530616256</v>
      </c>
      <c r="S10" s="11">
        <f>AQ10</f>
        <v>571.8930474649037</v>
      </c>
      <c r="T10" s="11">
        <f>AR10</f>
        <v>0.004296041295214019</v>
      </c>
      <c r="U10" s="11">
        <f>AS10</f>
        <v>2430.2850848669796</v>
      </c>
      <c r="V10" s="11">
        <f>AT10</f>
        <v>186.8850835700327</v>
      </c>
      <c r="W10" s="11">
        <f>AU10</f>
        <v>1.175844989206659e-15</v>
      </c>
      <c r="X10" s="11">
        <f>AM10</f>
        <v>17670.345615483235</v>
      </c>
      <c r="Y10" s="11">
        <f>AN10</f>
        <v>758.7781310349363</v>
      </c>
      <c r="Z10" s="11">
        <f>AO10</f>
        <v>0.004296041295215195</v>
      </c>
      <c r="AA10" s="7">
        <v>1</v>
      </c>
      <c r="AB10" s="7">
        <v>1</v>
      </c>
      <c r="AC10" s="7">
        <v>1</v>
      </c>
      <c r="AD10" s="11">
        <f>X10*AA10</f>
        <v>17670.345615483235</v>
      </c>
      <c r="AE10" s="11">
        <f>Y10*AB10</f>
        <v>758.7781310349363</v>
      </c>
      <c r="AF10" s="11">
        <f>Z10*AC10</f>
        <v>0.004296041295215195</v>
      </c>
      <c r="AG10" s="7">
        <v>17670.345615483235</v>
      </c>
      <c r="AH10" s="7">
        <v>758.7781310349363</v>
      </c>
      <c r="AI10" s="7">
        <v>0.004296041295215195</v>
      </c>
      <c r="AJ10" s="16">
        <f>AD10-AG10</f>
        <v>0</v>
      </c>
      <c r="AK10" s="16">
        <f>SQRT((AE10-AH10)^2+(AF10-AI10)^2)</f>
        <v>0</v>
      </c>
      <c r="AL10" s="7" t="s">
        <v>190</v>
      </c>
      <c r="AM10" s="7">
        <v>17670.345615483235</v>
      </c>
      <c r="AN10" s="7">
        <v>758.7781310349363</v>
      </c>
      <c r="AO10" s="7">
        <v>0.004296041295215195</v>
      </c>
      <c r="AP10" s="7">
        <v>15240.060530616256</v>
      </c>
      <c r="AQ10" s="7">
        <v>571.8930474649037</v>
      </c>
      <c r="AR10" s="7">
        <v>0.004296041295214019</v>
      </c>
      <c r="AS10" s="7">
        <v>2430.2850848669796</v>
      </c>
      <c r="AT10" s="7">
        <v>186.8850835700327</v>
      </c>
      <c r="AU10" s="7">
        <v>1.175844989206659e-15</v>
      </c>
    </row>
    <row r="11" spans="1:47" x14ac:dyDescent="0.25">
      <c r="A11" s="7" t="s">
        <v>198</v>
      </c>
      <c r="B11" s="7">
        <v>4</v>
      </c>
      <c r="C11" s="19">
        <v>0</v>
      </c>
      <c r="D11" s="7" t="s">
        <v>199</v>
      </c>
      <c r="E11" s="7" t="s">
        <v>200</v>
      </c>
      <c r="F11" s="20">
        <v>0</v>
      </c>
      <c r="G11" s="7" t="s">
        <v>194</v>
      </c>
      <c r="H11" s="21">
        <v>1.4999999999999998</v>
      </c>
      <c r="I11" s="11">
        <f>MAX(('Geometry'!$G$13*COS(RADIANS(F11))+'Geometry'!$F$13*SIN(RADIANS(F11))),('Geometry'!$G$14*COS(RADIANS(F11))+'Geometry'!$F$14*SIN(RADIANS(F11))),('Geometry'!$G$15*COS(RADIANS(F11))+'Geometry'!$F$15*SIN(RADIANS(F11))),('Geometry'!$G$16*COS(RADIANS(F11))+'Geometry'!$F$16*SIN(RADIANS(F11))),('Geometry'!$G$17*COS(RADIANS(F11))+'Geometry'!$F$17*SIN(RADIANS(F11))),('Geometry'!$G$18*COS(RADIANS(F11))+'Geometry'!$F$18*SIN(RADIANS(F11))),('Geometry'!$G$19*COS(RADIANS(F11))+'Geometry'!$F$19*SIN(RADIANS(F11))),('Geometry'!$G$20*COS(RADIANS(F11))+'Geometry'!$F$20*SIN(RADIANS(F11))))</f>
        <v>600</v>
      </c>
      <c r="J11" s="11">
        <f>I11-H11*K11</f>
        <v>-1199.9999999999998</v>
      </c>
      <c r="K11" s="11">
        <f>I11-MIN(('Geometry'!$G$13*COS(RADIANS(F11))+'Geometry'!$F$13*SIN(RADIANS(F11))),('Geometry'!$G$14*COS(RADIANS(F11))+'Geometry'!$F$14*SIN(RADIANS(F11))),('Geometry'!$G$15*COS(RADIANS(F11))+'Geometry'!$F$15*SIN(RADIANS(F11))),('Geometry'!$G$16*COS(RADIANS(F11))+'Geometry'!$F$16*SIN(RADIANS(F11))),('Geometry'!$G$17*COS(RADIANS(F11))+'Geometry'!$F$17*SIN(RADIANS(F11))),('Geometry'!$G$18*COS(RADIANS(F11))+'Geometry'!$F$18*SIN(RADIANS(F11))),('Geometry'!$G$19*COS(RADIANS(F11))+'Geometry'!$F$19*SIN(RADIANS(F11))),('Geometry'!$G$20*COS(RADIANS(F11))+'Geometry'!$F$20*SIN(RADIANS(F11))))</f>
        <v>1200</v>
      </c>
      <c r="L11" s="16">
        <f>C_ecu</f>
        <v>0.0033</v>
      </c>
      <c r="M11" s="16">
        <f>0</f>
        <v>0</v>
      </c>
      <c r="N11" s="22">
        <f>IF(ABS(I11-J11)&lt;0.000000000001,0,(L11-M11)/(I11-J11))</f>
        <v>0.0000018333333333333333</v>
      </c>
      <c r="O11" s="16">
        <f>L11-N11*I11</f>
        <v>0.0021999999999999997</v>
      </c>
      <c r="P11" s="22">
        <f>N11*COS(RADIANS(F11))</f>
        <v>0.0000018333333333333333</v>
      </c>
      <c r="Q11" s="22">
        <f>N11*SIN(RADIANS(F11))</f>
        <v>0</v>
      </c>
      <c r="R11" s="11">
        <f>AP11</f>
        <v>15240.060530616256</v>
      </c>
      <c r="S11" s="11">
        <f>AQ11</f>
        <v>857.8395711973557</v>
      </c>
      <c r="T11" s="11">
        <f>AR11</f>
        <v>0.006444061942821029</v>
      </c>
      <c r="U11" s="11">
        <f>AS11</f>
        <v>2430.2850848669796</v>
      </c>
      <c r="V11" s="11">
        <f>AT11</f>
        <v>280.32762535504907</v>
      </c>
      <c r="W11" s="11">
        <f>AU11</f>
        <v>1.7637674838099887e-15</v>
      </c>
      <c r="X11" s="11">
        <f>AM11</f>
        <v>17670.345615483235</v>
      </c>
      <c r="Y11" s="11">
        <f>AN11</f>
        <v>1138.1671965524047</v>
      </c>
      <c r="Z11" s="11">
        <f>AO11</f>
        <v>0.006444061942822793</v>
      </c>
      <c r="AA11" s="7">
        <v>1</v>
      </c>
      <c r="AB11" s="7">
        <v>1</v>
      </c>
      <c r="AC11" s="7">
        <v>1</v>
      </c>
      <c r="AD11" s="11">
        <f>X11*AA11</f>
        <v>17670.345615483235</v>
      </c>
      <c r="AE11" s="11">
        <f>Y11*AB11</f>
        <v>1138.1671965524047</v>
      </c>
      <c r="AF11" s="11">
        <f>Z11*AC11</f>
        <v>0.006444061942822793</v>
      </c>
      <c r="AG11" s="7">
        <v>17670.345615483235</v>
      </c>
      <c r="AH11" s="7">
        <v>1138.1671965524047</v>
      </c>
      <c r="AI11" s="7">
        <v>0.006444061942822793</v>
      </c>
      <c r="AJ11" s="16">
        <f>AD11-AG11</f>
        <v>0</v>
      </c>
      <c r="AK11" s="16">
        <f>SQRT((AE11-AH11)^2+(AF11-AI11)^2)</f>
        <v>0</v>
      </c>
      <c r="AL11" s="7" t="s">
        <v>190</v>
      </c>
      <c r="AM11" s="7">
        <v>17670.345615483235</v>
      </c>
      <c r="AN11" s="7">
        <v>1138.1671965524047</v>
      </c>
      <c r="AO11" s="7">
        <v>0.006444061942822793</v>
      </c>
      <c r="AP11" s="7">
        <v>15240.060530616256</v>
      </c>
      <c r="AQ11" s="7">
        <v>857.8395711973557</v>
      </c>
      <c r="AR11" s="7">
        <v>0.006444061942821029</v>
      </c>
      <c r="AS11" s="7">
        <v>2430.2850848669796</v>
      </c>
      <c r="AT11" s="7">
        <v>280.32762535504907</v>
      </c>
      <c r="AU11" s="7">
        <v>1.7637674838099887e-15</v>
      </c>
    </row>
    <row r="12" spans="1:47" x14ac:dyDescent="0.25">
      <c r="A12" s="7" t="s">
        <v>201</v>
      </c>
      <c r="B12" s="7">
        <v>5</v>
      </c>
      <c r="C12" s="19">
        <v>0</v>
      </c>
      <c r="D12" s="7" t="s">
        <v>202</v>
      </c>
      <c r="E12" s="7" t="s">
        <v>203</v>
      </c>
      <c r="F12" s="20">
        <v>0</v>
      </c>
      <c r="G12" s="7" t="s">
        <v>194</v>
      </c>
      <c r="H12" s="21">
        <v>1.2</v>
      </c>
      <c r="I12" s="11">
        <f>MAX(('Geometry'!$G$13*COS(RADIANS(F12))+'Geometry'!$F$13*SIN(RADIANS(F12))),('Geometry'!$G$14*COS(RADIANS(F12))+'Geometry'!$F$14*SIN(RADIANS(F12))),('Geometry'!$G$15*COS(RADIANS(F12))+'Geometry'!$F$15*SIN(RADIANS(F12))),('Geometry'!$G$16*COS(RADIANS(F12))+'Geometry'!$F$16*SIN(RADIANS(F12))),('Geometry'!$G$17*COS(RADIANS(F12))+'Geometry'!$F$17*SIN(RADIANS(F12))),('Geometry'!$G$18*COS(RADIANS(F12))+'Geometry'!$F$18*SIN(RADIANS(F12))),('Geometry'!$G$19*COS(RADIANS(F12))+'Geometry'!$F$19*SIN(RADIANS(F12))),('Geometry'!$G$20*COS(RADIANS(F12))+'Geometry'!$F$20*SIN(RADIANS(F12))))</f>
        <v>600</v>
      </c>
      <c r="J12" s="11">
        <f>I12-H12*K12</f>
        <v>-840</v>
      </c>
      <c r="K12" s="11">
        <f>I12-MIN(('Geometry'!$G$13*COS(RADIANS(F12))+'Geometry'!$F$13*SIN(RADIANS(F12))),('Geometry'!$G$14*COS(RADIANS(F12))+'Geometry'!$F$14*SIN(RADIANS(F12))),('Geometry'!$G$15*COS(RADIANS(F12))+'Geometry'!$F$15*SIN(RADIANS(F12))),('Geometry'!$G$16*COS(RADIANS(F12))+'Geometry'!$F$16*SIN(RADIANS(F12))),('Geometry'!$G$17*COS(RADIANS(F12))+'Geometry'!$F$17*SIN(RADIANS(F12))),('Geometry'!$G$18*COS(RADIANS(F12))+'Geometry'!$F$18*SIN(RADIANS(F12))),('Geometry'!$G$19*COS(RADIANS(F12))+'Geometry'!$F$19*SIN(RADIANS(F12))),('Geometry'!$G$20*COS(RADIANS(F12))+'Geometry'!$F$20*SIN(RADIANS(F12))))</f>
        <v>1200</v>
      </c>
      <c r="L12" s="16">
        <f>C_ecu</f>
        <v>0.0033</v>
      </c>
      <c r="M12" s="16">
        <f>0</f>
        <v>0</v>
      </c>
      <c r="N12" s="22">
        <f>IF(ABS(I12-J12)&lt;0.000000000001,0,(L12-M12)/(I12-J12))</f>
        <v>0.0000022916666666666666</v>
      </c>
      <c r="O12" s="16">
        <f>L12-N12*I12</f>
        <v>0.001925</v>
      </c>
      <c r="P12" s="22">
        <f>N12*COS(RADIANS(F12))</f>
        <v>0.0000022916666666666666</v>
      </c>
      <c r="Q12" s="22">
        <f>N12*SIN(RADIANS(F12))</f>
        <v>0</v>
      </c>
      <c r="R12" s="11">
        <f>AP12</f>
        <v>15240.060530616256</v>
      </c>
      <c r="S12" s="11">
        <f>AQ12</f>
        <v>1143.7860949298074</v>
      </c>
      <c r="T12" s="11">
        <f>AR12</f>
        <v>0.008592082590428037</v>
      </c>
      <c r="U12" s="11">
        <f>AS12</f>
        <v>2430.2850848669796</v>
      </c>
      <c r="V12" s="11">
        <f>AT12</f>
        <v>373.7701671400654</v>
      </c>
      <c r="W12" s="11">
        <f>AU12</f>
        <v>2.351689978413318e-15</v>
      </c>
      <c r="X12" s="11">
        <f>AM12</f>
        <v>17670.345615483235</v>
      </c>
      <c r="Y12" s="11">
        <f>AN12</f>
        <v>1517.5562620698727</v>
      </c>
      <c r="Z12" s="11">
        <f>AO12</f>
        <v>0.00859208259043039</v>
      </c>
      <c r="AA12" s="7">
        <v>1</v>
      </c>
      <c r="AB12" s="7">
        <v>1</v>
      </c>
      <c r="AC12" s="7">
        <v>1</v>
      </c>
      <c r="AD12" s="11">
        <f>X12*AA12</f>
        <v>17670.345615483235</v>
      </c>
      <c r="AE12" s="11">
        <f>Y12*AB12</f>
        <v>1517.5562620698727</v>
      </c>
      <c r="AF12" s="11">
        <f>Z12*AC12</f>
        <v>0.00859208259043039</v>
      </c>
      <c r="AG12" s="7">
        <v>17670.345615483235</v>
      </c>
      <c r="AH12" s="7">
        <v>1517.5562620698727</v>
      </c>
      <c r="AI12" s="7">
        <v>0.00859208259043039</v>
      </c>
      <c r="AJ12" s="16">
        <f>AD12-AG12</f>
        <v>0</v>
      </c>
      <c r="AK12" s="16">
        <f>SQRT((AE12-AH12)^2+(AF12-AI12)^2)</f>
        <v>0</v>
      </c>
      <c r="AL12" s="7" t="s">
        <v>190</v>
      </c>
      <c r="AM12" s="7">
        <v>17670.345615483235</v>
      </c>
      <c r="AN12" s="7">
        <v>1517.5562620698727</v>
      </c>
      <c r="AO12" s="7">
        <v>0.00859208259043039</v>
      </c>
      <c r="AP12" s="7">
        <v>15240.060530616256</v>
      </c>
      <c r="AQ12" s="7">
        <v>1143.7860949298074</v>
      </c>
      <c r="AR12" s="7">
        <v>0.008592082590428037</v>
      </c>
      <c r="AS12" s="7">
        <v>2430.2850848669796</v>
      </c>
      <c r="AT12" s="7">
        <v>373.7701671400654</v>
      </c>
      <c r="AU12" s="7">
        <v>2.351689978413318e-15</v>
      </c>
    </row>
    <row r="13" spans="1:47" x14ac:dyDescent="0.25">
      <c r="A13" s="7" t="s">
        <v>204</v>
      </c>
      <c r="B13" s="7">
        <v>6</v>
      </c>
      <c r="C13" s="19">
        <v>0</v>
      </c>
      <c r="D13" s="7" t="s">
        <v>205</v>
      </c>
      <c r="E13" s="7" t="s">
        <v>206</v>
      </c>
      <c r="F13" s="20">
        <v>0</v>
      </c>
      <c r="G13" s="7" t="s">
        <v>194</v>
      </c>
      <c r="H13" s="21">
        <v>1.1</v>
      </c>
      <c r="I13" s="11">
        <f>MAX(('Geometry'!$G$13*COS(RADIANS(F13))+'Geometry'!$F$13*SIN(RADIANS(F13))),('Geometry'!$G$14*COS(RADIANS(F13))+'Geometry'!$F$14*SIN(RADIANS(F13))),('Geometry'!$G$15*COS(RADIANS(F13))+'Geometry'!$F$15*SIN(RADIANS(F13))),('Geometry'!$G$16*COS(RADIANS(F13))+'Geometry'!$F$16*SIN(RADIANS(F13))),('Geometry'!$G$17*COS(RADIANS(F13))+'Geometry'!$F$17*SIN(RADIANS(F13))),('Geometry'!$G$18*COS(RADIANS(F13))+'Geometry'!$F$18*SIN(RADIANS(F13))),('Geometry'!$G$19*COS(RADIANS(F13))+'Geometry'!$F$19*SIN(RADIANS(F13))),('Geometry'!$G$20*COS(RADIANS(F13))+'Geometry'!$F$20*SIN(RADIANS(F13))))</f>
        <v>600</v>
      </c>
      <c r="J13" s="11">
        <f>I13-H13*K13</f>
        <v>-720.0000000000001</v>
      </c>
      <c r="K13" s="11">
        <f>I13-MIN(('Geometry'!$G$13*COS(RADIANS(F13))+'Geometry'!$F$13*SIN(RADIANS(F13))),('Geometry'!$G$14*COS(RADIANS(F13))+'Geometry'!$F$14*SIN(RADIANS(F13))),('Geometry'!$G$15*COS(RADIANS(F13))+'Geometry'!$F$15*SIN(RADIANS(F13))),('Geometry'!$G$16*COS(RADIANS(F13))+'Geometry'!$F$16*SIN(RADIANS(F13))),('Geometry'!$G$17*COS(RADIANS(F13))+'Geometry'!$F$17*SIN(RADIANS(F13))),('Geometry'!$G$18*COS(RADIANS(F13))+'Geometry'!$F$18*SIN(RADIANS(F13))),('Geometry'!$G$19*COS(RADIANS(F13))+'Geometry'!$F$19*SIN(RADIANS(F13))),('Geometry'!$G$20*COS(RADIANS(F13))+'Geometry'!$F$20*SIN(RADIANS(F13))))</f>
        <v>1200</v>
      </c>
      <c r="L13" s="16">
        <f>C_ecu</f>
        <v>0.0033</v>
      </c>
      <c r="M13" s="16">
        <f>0</f>
        <v>0</v>
      </c>
      <c r="N13" s="22">
        <f>IF(ABS(I13-J13)&lt;0.000000000001,0,(L13-M13)/(I13-J13))</f>
        <v>0.0000024999999999999998</v>
      </c>
      <c r="O13" s="16">
        <f>L13-N13*I13</f>
        <v>0.0018000000000000002</v>
      </c>
      <c r="P13" s="22">
        <f>N13*COS(RADIANS(F13))</f>
        <v>0.0000024999999999999998</v>
      </c>
      <c r="Q13" s="22">
        <f>N13*SIN(RADIANS(F13))</f>
        <v>0</v>
      </c>
      <c r="R13" s="11">
        <f>AP13</f>
        <v>15240.060530616256</v>
      </c>
      <c r="S13" s="11">
        <f>AQ13</f>
        <v>1429.732618662259</v>
      </c>
      <c r="T13" s="11">
        <f>AR13</f>
        <v>0.010740103238035047</v>
      </c>
      <c r="U13" s="11">
        <f>AS13</f>
        <v>2430.2850848669796</v>
      </c>
      <c r="V13" s="11">
        <f>AT13</f>
        <v>467.21270892508176</v>
      </c>
      <c r="W13" s="11">
        <f>AU13</f>
        <v>2.9396124730166475e-15</v>
      </c>
      <c r="X13" s="11">
        <f>AM13</f>
        <v>17670.345615483235</v>
      </c>
      <c r="Y13" s="11">
        <f>AN13</f>
        <v>1896.945327587341</v>
      </c>
      <c r="Z13" s="11">
        <f>AO13</f>
        <v>0.010740103238037988</v>
      </c>
      <c r="AA13" s="7">
        <v>1</v>
      </c>
      <c r="AB13" s="7">
        <v>1</v>
      </c>
      <c r="AC13" s="7">
        <v>1</v>
      </c>
      <c r="AD13" s="11">
        <f>X13*AA13</f>
        <v>17670.345615483235</v>
      </c>
      <c r="AE13" s="11">
        <f>Y13*AB13</f>
        <v>1896.945327587341</v>
      </c>
      <c r="AF13" s="11">
        <f>Z13*AC13</f>
        <v>0.010740103238037988</v>
      </c>
      <c r="AG13" s="7">
        <v>17670.345615483235</v>
      </c>
      <c r="AH13" s="7">
        <v>1896.945327587341</v>
      </c>
      <c r="AI13" s="7">
        <v>0.010740103238037988</v>
      </c>
      <c r="AJ13" s="16">
        <f>AD13-AG13</f>
        <v>0</v>
      </c>
      <c r="AK13" s="16">
        <f>SQRT((AE13-AH13)^2+(AF13-AI13)^2)</f>
        <v>0</v>
      </c>
      <c r="AL13" s="7" t="s">
        <v>190</v>
      </c>
      <c r="AM13" s="7">
        <v>17670.345615483235</v>
      </c>
      <c r="AN13" s="7">
        <v>1896.945327587341</v>
      </c>
      <c r="AO13" s="7">
        <v>0.010740103238037988</v>
      </c>
      <c r="AP13" s="7">
        <v>15240.060530616256</v>
      </c>
      <c r="AQ13" s="7">
        <v>1429.732618662259</v>
      </c>
      <c r="AR13" s="7">
        <v>0.010740103238035047</v>
      </c>
      <c r="AS13" s="7">
        <v>2430.2850848669796</v>
      </c>
      <c r="AT13" s="7">
        <v>467.21270892508176</v>
      </c>
      <c r="AU13" s="7">
        <v>2.9396124730166475e-15</v>
      </c>
    </row>
    <row r="14" spans="1:47" x14ac:dyDescent="0.25">
      <c r="A14" s="7" t="s">
        <v>207</v>
      </c>
      <c r="B14" s="7">
        <v>1</v>
      </c>
      <c r="C14" s="19">
        <v>10</v>
      </c>
      <c r="D14" s="7" t="s">
        <v>208</v>
      </c>
      <c r="E14" s="7" t="s">
        <v>193</v>
      </c>
      <c r="F14" s="20">
        <v>10</v>
      </c>
      <c r="G14" s="7" t="s">
        <v>194</v>
      </c>
      <c r="H14" s="21">
        <v>3</v>
      </c>
      <c r="I14" s="11">
        <f>MAX(('Geometry'!$G$13*COS(RADIANS(F14))+'Geometry'!$F$13*SIN(RADIANS(F14))),('Geometry'!$G$14*COS(RADIANS(F14))+'Geometry'!$F$14*SIN(RADIANS(F14))),('Geometry'!$G$15*COS(RADIANS(F14))+'Geometry'!$F$15*SIN(RADIANS(F14))),('Geometry'!$G$16*COS(RADIANS(F14))+'Geometry'!$F$16*SIN(RADIANS(F14))),('Geometry'!$G$17*COS(RADIANS(F14))+'Geometry'!$F$17*SIN(RADIANS(F14))),('Geometry'!$G$18*COS(RADIANS(F14))+'Geometry'!$F$18*SIN(RADIANS(F14))),('Geometry'!$G$19*COS(RADIANS(F14))+'Geometry'!$F$19*SIN(RADIANS(F14))),('Geometry'!$G$20*COS(RADIANS(F14))+'Geometry'!$F$20*SIN(RADIANS(F14))))</f>
        <v>686.3911495241364</v>
      </c>
      <c r="J14" s="11">
        <f>I14-H14*K14</f>
        <v>-3431.9557476206824</v>
      </c>
      <c r="K14" s="11">
        <f>I14-MIN(('Geometry'!$G$13*COS(RADIANS(F14))+'Geometry'!$F$13*SIN(RADIANS(F14))),('Geometry'!$G$14*COS(RADIANS(F14))+'Geometry'!$F$14*SIN(RADIANS(F14))),('Geometry'!$G$15*COS(RADIANS(F14))+'Geometry'!$F$15*SIN(RADIANS(F14))),('Geometry'!$G$16*COS(RADIANS(F14))+'Geometry'!$F$16*SIN(RADIANS(F14))),('Geometry'!$G$17*COS(RADIANS(F14))+'Geometry'!$F$17*SIN(RADIANS(F14))),('Geometry'!$G$18*COS(RADIANS(F14))+'Geometry'!$F$18*SIN(RADIANS(F14))),('Geometry'!$G$19*COS(RADIANS(F14))+'Geometry'!$F$19*SIN(RADIANS(F14))),('Geometry'!$G$20*COS(RADIANS(F14))+'Geometry'!$F$20*SIN(RADIANS(F14))))</f>
        <v>1372.7822990482728</v>
      </c>
      <c r="L14" s="16">
        <f>C_ecu</f>
        <v>0.0033</v>
      </c>
      <c r="M14" s="16">
        <f>0</f>
        <v>0</v>
      </c>
      <c r="N14" s="22">
        <f>IF(ABS(I14-J14)&lt;0.000000000001,0,(L14-M14)/(I14-J14))</f>
        <v>8.012923831860388e-7</v>
      </c>
      <c r="O14" s="16">
        <f>L14-N14*I14</f>
        <v>0.00275</v>
      </c>
      <c r="P14" s="22">
        <f>N14*COS(RADIANS(F14))</f>
        <v>7.891189513912401e-7</v>
      </c>
      <c r="Q14" s="22">
        <f>N14*SIN(RADIANS(F14))</f>
        <v>1.391429621186473e-7</v>
      </c>
      <c r="R14" s="11">
        <f>AP14</f>
        <v>15258.271318017763</v>
      </c>
      <c r="S14" s="11">
        <f>AQ14</f>
        <v>251.17873171548482</v>
      </c>
      <c r="T14" s="11">
        <f>AR14</f>
        <v>67.96911836108701</v>
      </c>
      <c r="U14" s="11">
        <f>AS14</f>
        <v>2412.074297465474</v>
      </c>
      <c r="V14" s="11">
        <f>AT14</f>
        <v>82.35856180427704</v>
      </c>
      <c r="W14" s="11">
        <f>AU14</f>
        <v>20.101443696223427</v>
      </c>
      <c r="X14" s="11">
        <f>AM14</f>
        <v>17670.345615483235</v>
      </c>
      <c r="Y14" s="11">
        <f>AN14</f>
        <v>333.53729351976193</v>
      </c>
      <c r="Z14" s="11">
        <f>AO14</f>
        <v>88.07056205731041</v>
      </c>
      <c r="AA14" s="7">
        <v>1</v>
      </c>
      <c r="AB14" s="7">
        <v>1</v>
      </c>
      <c r="AC14" s="7">
        <v>1</v>
      </c>
      <c r="AD14" s="11">
        <f>X14*AA14</f>
        <v>17670.345615483235</v>
      </c>
      <c r="AE14" s="11">
        <f>Y14*AB14</f>
        <v>333.53729351976193</v>
      </c>
      <c r="AF14" s="11">
        <f>Z14*AC14</f>
        <v>88.07056205731041</v>
      </c>
      <c r="AG14" s="7">
        <v>17670.345615483235</v>
      </c>
      <c r="AH14" s="7">
        <v>333.53729351976193</v>
      </c>
      <c r="AI14" s="7">
        <v>88.07056205731041</v>
      </c>
      <c r="AJ14" s="16">
        <f>AD14-AG14</f>
        <v>0</v>
      </c>
      <c r="AK14" s="16">
        <f>SQRT((AE14-AH14)^2+(AF14-AI14)^2)</f>
        <v>0</v>
      </c>
      <c r="AL14" s="7" t="s">
        <v>190</v>
      </c>
      <c r="AM14" s="7">
        <v>17670.345615483235</v>
      </c>
      <c r="AN14" s="7">
        <v>333.53729351976193</v>
      </c>
      <c r="AO14" s="7">
        <v>88.07056205731041</v>
      </c>
      <c r="AP14" s="7">
        <v>15258.271318017763</v>
      </c>
      <c r="AQ14" s="7">
        <v>251.17873171548482</v>
      </c>
      <c r="AR14" s="7">
        <v>67.96911836108701</v>
      </c>
      <c r="AS14" s="7">
        <v>2412.074297465474</v>
      </c>
      <c r="AT14" s="7">
        <v>82.35856180427704</v>
      </c>
      <c r="AU14" s="7">
        <v>20.101443696223427</v>
      </c>
    </row>
    <row r="15" spans="1:47" x14ac:dyDescent="0.25">
      <c r="A15" s="7" t="s">
        <v>209</v>
      </c>
      <c r="B15" s="7">
        <v>2</v>
      </c>
      <c r="C15" s="19">
        <v>10</v>
      </c>
      <c r="D15" s="7" t="s">
        <v>210</v>
      </c>
      <c r="E15" s="7" t="s">
        <v>197</v>
      </c>
      <c r="F15" s="20">
        <v>10</v>
      </c>
      <c r="G15" s="7" t="s">
        <v>194</v>
      </c>
      <c r="H15" s="21">
        <v>2</v>
      </c>
      <c r="I15" s="11">
        <f>MAX(('Geometry'!$G$13*COS(RADIANS(F15))+'Geometry'!$F$13*SIN(RADIANS(F15))),('Geometry'!$G$14*COS(RADIANS(F15))+'Geometry'!$F$14*SIN(RADIANS(F15))),('Geometry'!$G$15*COS(RADIANS(F15))+'Geometry'!$F$15*SIN(RADIANS(F15))),('Geometry'!$G$16*COS(RADIANS(F15))+'Geometry'!$F$16*SIN(RADIANS(F15))),('Geometry'!$G$17*COS(RADIANS(F15))+'Geometry'!$F$17*SIN(RADIANS(F15))),('Geometry'!$G$18*COS(RADIANS(F15))+'Geometry'!$F$18*SIN(RADIANS(F15))),('Geometry'!$G$19*COS(RADIANS(F15))+'Geometry'!$F$19*SIN(RADIANS(F15))),('Geometry'!$G$20*COS(RADIANS(F15))+'Geometry'!$F$20*SIN(RADIANS(F15))))</f>
        <v>686.3911495241364</v>
      </c>
      <c r="J15" s="11">
        <f>I15-H15*K15</f>
        <v>-2059.173448572409</v>
      </c>
      <c r="K15" s="11">
        <f>I15-MIN(('Geometry'!$G$13*COS(RADIANS(F15))+'Geometry'!$F$13*SIN(RADIANS(F15))),('Geometry'!$G$14*COS(RADIANS(F15))+'Geometry'!$F$14*SIN(RADIANS(F15))),('Geometry'!$G$15*COS(RADIANS(F15))+'Geometry'!$F$15*SIN(RADIANS(F15))),('Geometry'!$G$16*COS(RADIANS(F15))+'Geometry'!$F$16*SIN(RADIANS(F15))),('Geometry'!$G$17*COS(RADIANS(F15))+'Geometry'!$F$17*SIN(RADIANS(F15))),('Geometry'!$G$18*COS(RADIANS(F15))+'Geometry'!$F$18*SIN(RADIANS(F15))),('Geometry'!$G$19*COS(RADIANS(F15))+'Geometry'!$F$19*SIN(RADIANS(F15))),('Geometry'!$G$20*COS(RADIANS(F15))+'Geometry'!$F$20*SIN(RADIANS(F15))))</f>
        <v>1372.7822990482728</v>
      </c>
      <c r="L15" s="16">
        <f>C_ecu</f>
        <v>0.0032999999999999995</v>
      </c>
      <c r="M15" s="16">
        <f>0</f>
        <v>0</v>
      </c>
      <c r="N15" s="22">
        <f>IF(ABS(I15-J15)&lt;0.000000000001,0,(L15-M15)/(I15-J15))</f>
        <v>0.0000012019385747790582</v>
      </c>
      <c r="O15" s="16">
        <f>L15-N15*I15</f>
        <v>0.0024749999999999998</v>
      </c>
      <c r="P15" s="22">
        <f>N15*COS(RADIANS(F15))</f>
        <v>0.0000011836784270868602</v>
      </c>
      <c r="Q15" s="22">
        <f>N15*SIN(RADIANS(F15))</f>
        <v>2.0871444317797096e-7</v>
      </c>
      <c r="R15" s="11">
        <f>AP15</f>
        <v>15258.271318017763</v>
      </c>
      <c r="S15" s="11">
        <f>AQ15</f>
        <v>502.35746343096963</v>
      </c>
      <c r="T15" s="11">
        <f>AR15</f>
        <v>135.93823672217403</v>
      </c>
      <c r="U15" s="11">
        <f>AS15</f>
        <v>2412.074297465474</v>
      </c>
      <c r="V15" s="11">
        <f>AT15</f>
        <v>164.7171236085541</v>
      </c>
      <c r="W15" s="11">
        <f>AU15</f>
        <v>40.202887392446854</v>
      </c>
      <c r="X15" s="11">
        <f>AM15</f>
        <v>17670.345615483235</v>
      </c>
      <c r="Y15" s="11">
        <f>AN15</f>
        <v>667.0745870395239</v>
      </c>
      <c r="Z15" s="11">
        <f>AO15</f>
        <v>176.14112411462082</v>
      </c>
      <c r="AA15" s="7">
        <v>1</v>
      </c>
      <c r="AB15" s="7">
        <v>1</v>
      </c>
      <c r="AC15" s="7">
        <v>1</v>
      </c>
      <c r="AD15" s="11">
        <f>X15*AA15</f>
        <v>17670.345615483235</v>
      </c>
      <c r="AE15" s="11">
        <f>Y15*AB15</f>
        <v>667.0745870395239</v>
      </c>
      <c r="AF15" s="11">
        <f>Z15*AC15</f>
        <v>176.14112411462082</v>
      </c>
      <c r="AG15" s="7">
        <v>17670.345615483235</v>
      </c>
      <c r="AH15" s="7">
        <v>667.0745870395239</v>
      </c>
      <c r="AI15" s="7">
        <v>176.14112411462082</v>
      </c>
      <c r="AJ15" s="16">
        <f>AD15-AG15</f>
        <v>0</v>
      </c>
      <c r="AK15" s="16">
        <f>SQRT((AE15-AH15)^2+(AF15-AI15)^2)</f>
        <v>0</v>
      </c>
      <c r="AL15" s="7" t="s">
        <v>190</v>
      </c>
      <c r="AM15" s="7">
        <v>17670.345615483235</v>
      </c>
      <c r="AN15" s="7">
        <v>667.0745870395239</v>
      </c>
      <c r="AO15" s="7">
        <v>176.14112411462082</v>
      </c>
      <c r="AP15" s="7">
        <v>15258.271318017763</v>
      </c>
      <c r="AQ15" s="7">
        <v>502.35746343096963</v>
      </c>
      <c r="AR15" s="7">
        <v>135.93823672217403</v>
      </c>
      <c r="AS15" s="7">
        <v>2412.074297465474</v>
      </c>
      <c r="AT15" s="7">
        <v>164.7171236085541</v>
      </c>
      <c r="AU15" s="7">
        <v>40.202887392446854</v>
      </c>
    </row>
    <row r="16" spans="1:47" x14ac:dyDescent="0.25">
      <c r="A16" s="7" t="s">
        <v>211</v>
      </c>
      <c r="B16" s="7">
        <v>3</v>
      </c>
      <c r="C16" s="19">
        <v>10</v>
      </c>
      <c r="D16" s="7" t="s">
        <v>212</v>
      </c>
      <c r="E16" s="7" t="s">
        <v>200</v>
      </c>
      <c r="F16" s="20">
        <v>10</v>
      </c>
      <c r="G16" s="7" t="s">
        <v>194</v>
      </c>
      <c r="H16" s="21">
        <v>1.5</v>
      </c>
      <c r="I16" s="11">
        <f>MAX(('Geometry'!$G$13*COS(RADIANS(F16))+'Geometry'!$F$13*SIN(RADIANS(F16))),('Geometry'!$G$14*COS(RADIANS(F16))+'Geometry'!$F$14*SIN(RADIANS(F16))),('Geometry'!$G$15*COS(RADIANS(F16))+'Geometry'!$F$15*SIN(RADIANS(F16))),('Geometry'!$G$16*COS(RADIANS(F16))+'Geometry'!$F$16*SIN(RADIANS(F16))),('Geometry'!$G$17*COS(RADIANS(F16))+'Geometry'!$F$17*SIN(RADIANS(F16))),('Geometry'!$G$18*COS(RADIANS(F16))+'Geometry'!$F$18*SIN(RADIANS(F16))),('Geometry'!$G$19*COS(RADIANS(F16))+'Geometry'!$F$19*SIN(RADIANS(F16))),('Geometry'!$G$20*COS(RADIANS(F16))+'Geometry'!$F$20*SIN(RADIANS(F16))))</f>
        <v>686.3911495241364</v>
      </c>
      <c r="J16" s="11">
        <f>I16-H16*K16</f>
        <v>-1372.7822990482728</v>
      </c>
      <c r="K16" s="11">
        <f>I16-MIN(('Geometry'!$G$13*COS(RADIANS(F16))+'Geometry'!$F$13*SIN(RADIANS(F16))),('Geometry'!$G$14*COS(RADIANS(F16))+'Geometry'!$F$14*SIN(RADIANS(F16))),('Geometry'!$G$15*COS(RADIANS(F16))+'Geometry'!$F$15*SIN(RADIANS(F16))),('Geometry'!$G$16*COS(RADIANS(F16))+'Geometry'!$F$16*SIN(RADIANS(F16))),('Geometry'!$G$17*COS(RADIANS(F16))+'Geometry'!$F$17*SIN(RADIANS(F16))),('Geometry'!$G$18*COS(RADIANS(F16))+'Geometry'!$F$18*SIN(RADIANS(F16))),('Geometry'!$G$19*COS(RADIANS(F16))+'Geometry'!$F$19*SIN(RADIANS(F16))),('Geometry'!$G$20*COS(RADIANS(F16))+'Geometry'!$F$20*SIN(RADIANS(F16))))</f>
        <v>1372.7822990482728</v>
      </c>
      <c r="L16" s="16">
        <f>C_ecu</f>
        <v>0.0032999999999999995</v>
      </c>
      <c r="M16" s="16">
        <f>0</f>
        <v>0</v>
      </c>
      <c r="N16" s="22">
        <f>IF(ABS(I16-J16)&lt;0.000000000001,0,(L16-M16)/(I16-J16))</f>
        <v>0.0000016025847663720776</v>
      </c>
      <c r="O16" s="16">
        <f>L16-N16*I16</f>
        <v>0.0021999999999999997</v>
      </c>
      <c r="P16" s="22">
        <f>N16*COS(RADIANS(F16))</f>
        <v>0.0000015782379027824802</v>
      </c>
      <c r="Q16" s="22">
        <f>N16*SIN(RADIANS(F16))</f>
        <v>2.782859242372946e-7</v>
      </c>
      <c r="R16" s="11">
        <f>AP16</f>
        <v>15258.271318017763</v>
      </c>
      <c r="S16" s="11">
        <f>AQ16</f>
        <v>753.5361951464545</v>
      </c>
      <c r="T16" s="11">
        <f>AR16</f>
        <v>203.90735508326105</v>
      </c>
      <c r="U16" s="11">
        <f>AS16</f>
        <v>2412.074297465474</v>
      </c>
      <c r="V16" s="11">
        <f>AT16</f>
        <v>247.07568541283112</v>
      </c>
      <c r="W16" s="11">
        <f>AU16</f>
        <v>60.304331088670274</v>
      </c>
      <c r="X16" s="11">
        <f>AM16</f>
        <v>17670.345615483235</v>
      </c>
      <c r="Y16" s="11">
        <f>AN16</f>
        <v>1000.6118805592857</v>
      </c>
      <c r="Z16" s="11">
        <f>AO16</f>
        <v>264.21168617193126</v>
      </c>
      <c r="AA16" s="7">
        <v>1</v>
      </c>
      <c r="AB16" s="7">
        <v>1</v>
      </c>
      <c r="AC16" s="7">
        <v>1</v>
      </c>
      <c r="AD16" s="11">
        <f>X16*AA16</f>
        <v>17670.345615483235</v>
      </c>
      <c r="AE16" s="11">
        <f>Y16*AB16</f>
        <v>1000.6118805592857</v>
      </c>
      <c r="AF16" s="11">
        <f>Z16*AC16</f>
        <v>264.21168617193126</v>
      </c>
      <c r="AG16" s="7">
        <v>17670.345615483235</v>
      </c>
      <c r="AH16" s="7">
        <v>1000.6118805592857</v>
      </c>
      <c r="AI16" s="7">
        <v>264.21168617193126</v>
      </c>
      <c r="AJ16" s="16">
        <f>AD16-AG16</f>
        <v>0</v>
      </c>
      <c r="AK16" s="16">
        <f>SQRT((AE16-AH16)^2+(AF16-AI16)^2)</f>
        <v>0</v>
      </c>
      <c r="AL16" s="7" t="s">
        <v>190</v>
      </c>
      <c r="AM16" s="7">
        <v>17670.345615483235</v>
      </c>
      <c r="AN16" s="7">
        <v>1000.6118805592857</v>
      </c>
      <c r="AO16" s="7">
        <v>264.21168617193126</v>
      </c>
      <c r="AP16" s="7">
        <v>15258.271318017763</v>
      </c>
      <c r="AQ16" s="7">
        <v>753.5361951464545</v>
      </c>
      <c r="AR16" s="7">
        <v>203.90735508326105</v>
      </c>
      <c r="AS16" s="7">
        <v>2412.074297465474</v>
      </c>
      <c r="AT16" s="7">
        <v>247.07568541283112</v>
      </c>
      <c r="AU16" s="7">
        <v>60.304331088670274</v>
      </c>
    </row>
    <row r="17" spans="1:47" x14ac:dyDescent="0.25">
      <c r="A17" s="7" t="s">
        <v>213</v>
      </c>
      <c r="B17" s="7">
        <v>4</v>
      </c>
      <c r="C17" s="19">
        <v>10</v>
      </c>
      <c r="D17" s="7" t="s">
        <v>214</v>
      </c>
      <c r="E17" s="7" t="s">
        <v>203</v>
      </c>
      <c r="F17" s="20">
        <v>10</v>
      </c>
      <c r="G17" s="7" t="s">
        <v>194</v>
      </c>
      <c r="H17" s="21">
        <v>1.2000000000000002</v>
      </c>
      <c r="I17" s="11">
        <f>MAX(('Geometry'!$G$13*COS(RADIANS(F17))+'Geometry'!$F$13*SIN(RADIANS(F17))),('Geometry'!$G$14*COS(RADIANS(F17))+'Geometry'!$F$14*SIN(RADIANS(F17))),('Geometry'!$G$15*COS(RADIANS(F17))+'Geometry'!$F$15*SIN(RADIANS(F17))),('Geometry'!$G$16*COS(RADIANS(F17))+'Geometry'!$F$16*SIN(RADIANS(F17))),('Geometry'!$G$17*COS(RADIANS(F17))+'Geometry'!$F$17*SIN(RADIANS(F17))),('Geometry'!$G$18*COS(RADIANS(F17))+'Geometry'!$F$18*SIN(RADIANS(F17))),('Geometry'!$G$19*COS(RADIANS(F17))+'Geometry'!$F$19*SIN(RADIANS(F17))),('Geometry'!$G$20*COS(RADIANS(F17))+'Geometry'!$F$20*SIN(RADIANS(F17))))</f>
        <v>686.3911495241364</v>
      </c>
      <c r="J17" s="11">
        <f>I17-H17*K17</f>
        <v>-960.9476093337912</v>
      </c>
      <c r="K17" s="11">
        <f>I17-MIN(('Geometry'!$G$13*COS(RADIANS(F17))+'Geometry'!$F$13*SIN(RADIANS(F17))),('Geometry'!$G$14*COS(RADIANS(F17))+'Geometry'!$F$14*SIN(RADIANS(F17))),('Geometry'!$G$15*COS(RADIANS(F17))+'Geometry'!$F$15*SIN(RADIANS(F17))),('Geometry'!$G$16*COS(RADIANS(F17))+'Geometry'!$F$16*SIN(RADIANS(F17))),('Geometry'!$G$17*COS(RADIANS(F17))+'Geometry'!$F$17*SIN(RADIANS(F17))),('Geometry'!$G$18*COS(RADIANS(F17))+'Geometry'!$F$18*SIN(RADIANS(F17))),('Geometry'!$G$19*COS(RADIANS(F17))+'Geometry'!$F$19*SIN(RADIANS(F17))),('Geometry'!$G$20*COS(RADIANS(F17))+'Geometry'!$F$20*SIN(RADIANS(F17))))</f>
        <v>1372.7822990482728</v>
      </c>
      <c r="L17" s="16">
        <f>C_ecu</f>
        <v>0.0033</v>
      </c>
      <c r="M17" s="16">
        <f>0</f>
        <v>0</v>
      </c>
      <c r="N17" s="22">
        <f>IF(ABS(I17-J17)&lt;0.000000000001,0,(L17-M17)/(I17-J17))</f>
        <v>0.0000020032309579650967</v>
      </c>
      <c r="O17" s="16">
        <f>L17-N17*I17</f>
        <v>0.001925</v>
      </c>
      <c r="P17" s="22">
        <f>N17*COS(RADIANS(F17))</f>
        <v>0.0000019727973784781</v>
      </c>
      <c r="Q17" s="22">
        <f>N17*SIN(RADIANS(F17))</f>
        <v>3.4785740529661824e-7</v>
      </c>
      <c r="R17" s="11">
        <f>AP17</f>
        <v>15258.271318017763</v>
      </c>
      <c r="S17" s="11">
        <f>AQ17</f>
        <v>1004.7149268619393</v>
      </c>
      <c r="T17" s="11">
        <f>AR17</f>
        <v>271.87647344434805</v>
      </c>
      <c r="U17" s="11">
        <f>AS17</f>
        <v>2412.074297465474</v>
      </c>
      <c r="V17" s="11">
        <f>AT17</f>
        <v>329.4342472171082</v>
      </c>
      <c r="W17" s="11">
        <f>AU17</f>
        <v>80.40577478489371</v>
      </c>
      <c r="X17" s="11">
        <f>AM17</f>
        <v>17670.345615483235</v>
      </c>
      <c r="Y17" s="11">
        <f>AN17</f>
        <v>1334.1491740790477</v>
      </c>
      <c r="Z17" s="11">
        <f>AO17</f>
        <v>352.28224822924165</v>
      </c>
      <c r="AA17" s="7">
        <v>1</v>
      </c>
      <c r="AB17" s="7">
        <v>1</v>
      </c>
      <c r="AC17" s="7">
        <v>1</v>
      </c>
      <c r="AD17" s="11">
        <f>X17*AA17</f>
        <v>17670.345615483235</v>
      </c>
      <c r="AE17" s="11">
        <f>Y17*AB17</f>
        <v>1334.1491740790477</v>
      </c>
      <c r="AF17" s="11">
        <f>Z17*AC17</f>
        <v>352.28224822924165</v>
      </c>
      <c r="AG17" s="7">
        <v>17670.345615483235</v>
      </c>
      <c r="AH17" s="7">
        <v>1334.1491740790477</v>
      </c>
      <c r="AI17" s="7">
        <v>352.28224822924165</v>
      </c>
      <c r="AJ17" s="16">
        <f>AD17-AG17</f>
        <v>0</v>
      </c>
      <c r="AK17" s="16">
        <f>SQRT((AE17-AH17)^2+(AF17-AI17)^2)</f>
        <v>0</v>
      </c>
      <c r="AL17" s="7" t="s">
        <v>190</v>
      </c>
      <c r="AM17" s="7">
        <v>17670.345615483235</v>
      </c>
      <c r="AN17" s="7">
        <v>1334.1491740790477</v>
      </c>
      <c r="AO17" s="7">
        <v>352.28224822924165</v>
      </c>
      <c r="AP17" s="7">
        <v>15258.271318017763</v>
      </c>
      <c r="AQ17" s="7">
        <v>1004.7149268619393</v>
      </c>
      <c r="AR17" s="7">
        <v>271.87647344434805</v>
      </c>
      <c r="AS17" s="7">
        <v>2412.074297465474</v>
      </c>
      <c r="AT17" s="7">
        <v>329.4342472171082</v>
      </c>
      <c r="AU17" s="7">
        <v>80.40577478489371</v>
      </c>
    </row>
    <row r="18" spans="1:47" x14ac:dyDescent="0.25">
      <c r="A18" s="7" t="s">
        <v>215</v>
      </c>
      <c r="B18" s="7">
        <v>5</v>
      </c>
      <c r="C18" s="19">
        <v>10</v>
      </c>
      <c r="D18" s="7" t="s">
        <v>216</v>
      </c>
      <c r="E18" s="7" t="s">
        <v>206</v>
      </c>
      <c r="F18" s="20">
        <v>10</v>
      </c>
      <c r="G18" s="7" t="s">
        <v>194</v>
      </c>
      <c r="H18" s="21">
        <v>1.1000000000000003</v>
      </c>
      <c r="I18" s="11">
        <f>MAX(('Geometry'!$G$13*COS(RADIANS(F18))+'Geometry'!$F$13*SIN(RADIANS(F18))),('Geometry'!$G$14*COS(RADIANS(F18))+'Geometry'!$F$14*SIN(RADIANS(F18))),('Geometry'!$G$15*COS(RADIANS(F18))+'Geometry'!$F$15*SIN(RADIANS(F18))),('Geometry'!$G$16*COS(RADIANS(F18))+'Geometry'!$F$16*SIN(RADIANS(F18))),('Geometry'!$G$17*COS(RADIANS(F18))+'Geometry'!$F$17*SIN(RADIANS(F18))),('Geometry'!$G$18*COS(RADIANS(F18))+'Geometry'!$F$18*SIN(RADIANS(F18))),('Geometry'!$G$19*COS(RADIANS(F18))+'Geometry'!$F$19*SIN(RADIANS(F18))),('Geometry'!$G$20*COS(RADIANS(F18))+'Geometry'!$F$20*SIN(RADIANS(F18))))</f>
        <v>686.3911495241364</v>
      </c>
      <c r="J18" s="11">
        <f>I18-H18*K18</f>
        <v>-823.669379428964</v>
      </c>
      <c r="K18" s="11">
        <f>I18-MIN(('Geometry'!$G$13*COS(RADIANS(F18))+'Geometry'!$F$13*SIN(RADIANS(F18))),('Geometry'!$G$14*COS(RADIANS(F18))+'Geometry'!$F$14*SIN(RADIANS(F18))),('Geometry'!$G$15*COS(RADIANS(F18))+'Geometry'!$F$15*SIN(RADIANS(F18))),('Geometry'!$G$16*COS(RADIANS(F18))+'Geometry'!$F$16*SIN(RADIANS(F18))),('Geometry'!$G$17*COS(RADIANS(F18))+'Geometry'!$F$17*SIN(RADIANS(F18))),('Geometry'!$G$18*COS(RADIANS(F18))+'Geometry'!$F$18*SIN(RADIANS(F18))),('Geometry'!$G$19*COS(RADIANS(F18))+'Geometry'!$F$19*SIN(RADIANS(F18))),('Geometry'!$G$20*COS(RADIANS(F18))+'Geometry'!$F$20*SIN(RADIANS(F18))))</f>
        <v>1372.7822990482728</v>
      </c>
      <c r="L18" s="16">
        <f>C_ecu</f>
        <v>0.0033</v>
      </c>
      <c r="M18" s="16">
        <f>0</f>
        <v>0</v>
      </c>
      <c r="N18" s="22">
        <f>IF(ABS(I18-J18)&lt;0.000000000001,0,(L18-M18)/(I18-J18))</f>
        <v>0.000002185342863234651</v>
      </c>
      <c r="O18" s="16">
        <f>L18-N18*I18</f>
        <v>0.0018000000000000002</v>
      </c>
      <c r="P18" s="22">
        <f>N18*COS(RADIANS(F18))</f>
        <v>0.000002152142594703382</v>
      </c>
      <c r="Q18" s="22">
        <f>N18*SIN(RADIANS(F18))</f>
        <v>3.7948080577812895e-7</v>
      </c>
      <c r="R18" s="11">
        <f>AP18</f>
        <v>15258.271318017763</v>
      </c>
      <c r="S18" s="11">
        <f>AQ18</f>
        <v>1255.893658577424</v>
      </c>
      <c r="T18" s="11">
        <f>AR18</f>
        <v>339.845591805435</v>
      </c>
      <c r="U18" s="11">
        <f>AS18</f>
        <v>2412.074297465474</v>
      </c>
      <c r="V18" s="11">
        <f>AT18</f>
        <v>411.79280902138515</v>
      </c>
      <c r="W18" s="11">
        <f>AU18</f>
        <v>100.50721848111712</v>
      </c>
      <c r="X18" s="11">
        <f>AM18</f>
        <v>17670.345615483235</v>
      </c>
      <c r="Y18" s="11">
        <f>AN18</f>
        <v>1667.6864675988093</v>
      </c>
      <c r="Z18" s="11">
        <f>AO18</f>
        <v>440.3528102865521</v>
      </c>
      <c r="AA18" s="7">
        <v>1</v>
      </c>
      <c r="AB18" s="7">
        <v>1</v>
      </c>
      <c r="AC18" s="7">
        <v>1</v>
      </c>
      <c r="AD18" s="11">
        <f>X18*AA18</f>
        <v>17670.345615483235</v>
      </c>
      <c r="AE18" s="11">
        <f>Y18*AB18</f>
        <v>1667.6864675988093</v>
      </c>
      <c r="AF18" s="11">
        <f>Z18*AC18</f>
        <v>440.3528102865521</v>
      </c>
      <c r="AG18" s="7">
        <v>17670.345615483235</v>
      </c>
      <c r="AH18" s="7">
        <v>1667.6864675988093</v>
      </c>
      <c r="AI18" s="7">
        <v>440.3528102865521</v>
      </c>
      <c r="AJ18" s="16">
        <f>AD18-AG18</f>
        <v>0</v>
      </c>
      <c r="AK18" s="16">
        <f>SQRT((AE18-AH18)^2+(AF18-AI18)^2)</f>
        <v>0</v>
      </c>
      <c r="AL18" s="7" t="s">
        <v>190</v>
      </c>
      <c r="AM18" s="7">
        <v>17670.345615483235</v>
      </c>
      <c r="AN18" s="7">
        <v>1667.6864675988093</v>
      </c>
      <c r="AO18" s="7">
        <v>440.3528102865521</v>
      </c>
      <c r="AP18" s="7">
        <v>15258.271318017763</v>
      </c>
      <c r="AQ18" s="7">
        <v>1255.893658577424</v>
      </c>
      <c r="AR18" s="7">
        <v>339.845591805435</v>
      </c>
      <c r="AS18" s="7">
        <v>2412.074297465474</v>
      </c>
      <c r="AT18" s="7">
        <v>411.79280902138515</v>
      </c>
      <c r="AU18" s="7">
        <v>100.50721848111712</v>
      </c>
    </row>
    <row r="19" spans="1:47" x14ac:dyDescent="0.25">
      <c r="A19" s="7" t="s">
        <v>217</v>
      </c>
      <c r="B19" s="7">
        <v>1</v>
      </c>
      <c r="C19" s="19">
        <v>20</v>
      </c>
      <c r="D19" s="7" t="s">
        <v>218</v>
      </c>
      <c r="E19" s="7" t="s">
        <v>193</v>
      </c>
      <c r="F19" s="20">
        <v>20</v>
      </c>
      <c r="G19" s="7" t="s">
        <v>194</v>
      </c>
      <c r="H19" s="21">
        <v>3.0000000000000004</v>
      </c>
      <c r="I19" s="11">
        <f>MAX(('Geometry'!$G$13*COS(RADIANS(F19))+'Geometry'!$F$13*SIN(RADIANS(F19))),('Geometry'!$G$14*COS(RADIANS(F19))+'Geometry'!$F$14*SIN(RADIANS(F19))),('Geometry'!$G$15*COS(RADIANS(F19))+'Geometry'!$F$15*SIN(RADIANS(F19))),('Geometry'!$G$16*COS(RADIANS(F19))+'Geometry'!$F$16*SIN(RADIANS(F19))),('Geometry'!$G$17*COS(RADIANS(F19))+'Geometry'!$F$17*SIN(RADIANS(F19))),('Geometry'!$G$18*COS(RADIANS(F19))+'Geometry'!$F$18*SIN(RADIANS(F19))),('Geometry'!$G$19*COS(RADIANS(F19))+'Geometry'!$F$19*SIN(RADIANS(F19))),('Geometry'!$G$20*COS(RADIANS(F19))+'Geometry'!$F$20*SIN(RADIANS(F19))))</f>
        <v>751.9266513006628</v>
      </c>
      <c r="J19" s="11">
        <f>I19-H19*K19</f>
        <v>-3759.6332565033144</v>
      </c>
      <c r="K19" s="11">
        <f>I19-MIN(('Geometry'!$G$13*COS(RADIANS(F19))+'Geometry'!$F$13*SIN(RADIANS(F19))),('Geometry'!$G$14*COS(RADIANS(F19))+'Geometry'!$F$14*SIN(RADIANS(F19))),('Geometry'!$G$15*COS(RADIANS(F19))+'Geometry'!$F$15*SIN(RADIANS(F19))),('Geometry'!$G$16*COS(RADIANS(F19))+'Geometry'!$F$16*SIN(RADIANS(F19))),('Geometry'!$G$17*COS(RADIANS(F19))+'Geometry'!$F$17*SIN(RADIANS(F19))),('Geometry'!$G$18*COS(RADIANS(F19))+'Geometry'!$F$18*SIN(RADIANS(F19))),('Geometry'!$G$19*COS(RADIANS(F19))+'Geometry'!$F$19*SIN(RADIANS(F19))),('Geometry'!$G$20*COS(RADIANS(F19))+'Geometry'!$F$20*SIN(RADIANS(F19))))</f>
        <v>1503.8533026013256</v>
      </c>
      <c r="L19" s="16">
        <f>C_ecu</f>
        <v>0.0033</v>
      </c>
      <c r="M19" s="16">
        <f>0</f>
        <v>0</v>
      </c>
      <c r="N19" s="22">
        <f>IF(ABS(I19-J19)&lt;0.000000000001,0,(L19-M19)/(I19-J19))</f>
        <v>7.314543234351708e-7</v>
      </c>
      <c r="O19" s="16">
        <f>L19-N19*I19</f>
        <v>0.00275</v>
      </c>
      <c r="P19" s="22">
        <f>N19*COS(RADIANS(F19))</f>
        <v>6.873422301739792e-7</v>
      </c>
      <c r="Q19" s="22">
        <f>N19*SIN(RADIANS(F19))</f>
        <v>2.501721125374772e-7</v>
      </c>
      <c r="R19" s="11">
        <f>AP19</f>
        <v>15275.58244515503</v>
      </c>
      <c r="S19" s="11">
        <f>AQ19</f>
        <v>223.9435719499115</v>
      </c>
      <c r="T19" s="11">
        <f>AR19</f>
        <v>120.08369561781502</v>
      </c>
      <c r="U19" s="11">
        <f>AS19</f>
        <v>2394.7631703282073</v>
      </c>
      <c r="V19" s="11">
        <f>AT19</f>
        <v>72.67207667951573</v>
      </c>
      <c r="W19" s="11">
        <f>AU19</f>
        <v>38.14046368789903</v>
      </c>
      <c r="X19" s="11">
        <f>AM19</f>
        <v>17670.345615483235</v>
      </c>
      <c r="Y19" s="11">
        <f>AN19</f>
        <v>296.61564862942726</v>
      </c>
      <c r="Z19" s="11">
        <f>AO19</f>
        <v>158.22415930571404</v>
      </c>
      <c r="AA19" s="7">
        <v>1</v>
      </c>
      <c r="AB19" s="7">
        <v>1</v>
      </c>
      <c r="AC19" s="7">
        <v>1</v>
      </c>
      <c r="AD19" s="11">
        <f>X19*AA19</f>
        <v>17670.345615483235</v>
      </c>
      <c r="AE19" s="11">
        <f>Y19*AB19</f>
        <v>296.61564862942726</v>
      </c>
      <c r="AF19" s="11">
        <f>Z19*AC19</f>
        <v>158.22415930571404</v>
      </c>
      <c r="AG19" s="7">
        <v>17670.345615483235</v>
      </c>
      <c r="AH19" s="7">
        <v>296.61564862942726</v>
      </c>
      <c r="AI19" s="7">
        <v>158.22415930571404</v>
      </c>
      <c r="AJ19" s="16">
        <f>AD19-AG19</f>
        <v>0</v>
      </c>
      <c r="AK19" s="16">
        <f>SQRT((AE19-AH19)^2+(AF19-AI19)^2)</f>
        <v>0</v>
      </c>
      <c r="AL19" s="7" t="s">
        <v>190</v>
      </c>
      <c r="AM19" s="7">
        <v>17670.345615483235</v>
      </c>
      <c r="AN19" s="7">
        <v>296.61564862942726</v>
      </c>
      <c r="AO19" s="7">
        <v>158.22415930571404</v>
      </c>
      <c r="AP19" s="7">
        <v>15275.58244515503</v>
      </c>
      <c r="AQ19" s="7">
        <v>223.9435719499115</v>
      </c>
      <c r="AR19" s="7">
        <v>120.08369561781502</v>
      </c>
      <c r="AS19" s="7">
        <v>2394.7631703282073</v>
      </c>
      <c r="AT19" s="7">
        <v>72.67207667951573</v>
      </c>
      <c r="AU19" s="7">
        <v>38.14046368789903</v>
      </c>
    </row>
    <row r="20" spans="1:47" x14ac:dyDescent="0.25">
      <c r="A20" s="7" t="s">
        <v>219</v>
      </c>
      <c r="B20" s="7">
        <v>2</v>
      </c>
      <c r="C20" s="19">
        <v>20</v>
      </c>
      <c r="D20" s="7" t="s">
        <v>220</v>
      </c>
      <c r="E20" s="7" t="s">
        <v>197</v>
      </c>
      <c r="F20" s="20">
        <v>20</v>
      </c>
      <c r="G20" s="7" t="s">
        <v>194</v>
      </c>
      <c r="H20" s="21">
        <v>2</v>
      </c>
      <c r="I20" s="11">
        <f>MAX(('Geometry'!$G$13*COS(RADIANS(F20))+'Geometry'!$F$13*SIN(RADIANS(F20))),('Geometry'!$G$14*COS(RADIANS(F20))+'Geometry'!$F$14*SIN(RADIANS(F20))),('Geometry'!$G$15*COS(RADIANS(F20))+'Geometry'!$F$15*SIN(RADIANS(F20))),('Geometry'!$G$16*COS(RADIANS(F20))+'Geometry'!$F$16*SIN(RADIANS(F20))),('Geometry'!$G$17*COS(RADIANS(F20))+'Geometry'!$F$17*SIN(RADIANS(F20))),('Geometry'!$G$18*COS(RADIANS(F20))+'Geometry'!$F$18*SIN(RADIANS(F20))),('Geometry'!$G$19*COS(RADIANS(F20))+'Geometry'!$F$19*SIN(RADIANS(F20))),('Geometry'!$G$20*COS(RADIANS(F20))+'Geometry'!$F$20*SIN(RADIANS(F20))))</f>
        <v>751.9266513006628</v>
      </c>
      <c r="J20" s="11">
        <f>I20-H20*K20</f>
        <v>-2255.7799539019884</v>
      </c>
      <c r="K20" s="11">
        <f>I20-MIN(('Geometry'!$G$13*COS(RADIANS(F20))+'Geometry'!$F$13*SIN(RADIANS(F20))),('Geometry'!$G$14*COS(RADIANS(F20))+'Geometry'!$F$14*SIN(RADIANS(F20))),('Geometry'!$G$15*COS(RADIANS(F20))+'Geometry'!$F$15*SIN(RADIANS(F20))),('Geometry'!$G$16*COS(RADIANS(F20))+'Geometry'!$F$16*SIN(RADIANS(F20))),('Geometry'!$G$17*COS(RADIANS(F20))+'Geometry'!$F$17*SIN(RADIANS(F20))),('Geometry'!$G$18*COS(RADIANS(F20))+'Geometry'!$F$18*SIN(RADIANS(F20))),('Geometry'!$G$19*COS(RADIANS(F20))+'Geometry'!$F$19*SIN(RADIANS(F20))),('Geometry'!$G$20*COS(RADIANS(F20))+'Geometry'!$F$20*SIN(RADIANS(F20))))</f>
        <v>1503.8533026013256</v>
      </c>
      <c r="L20" s="16">
        <f>C_ecu</f>
        <v>0.0033</v>
      </c>
      <c r="M20" s="16">
        <f>0</f>
        <v>0</v>
      </c>
      <c r="N20" s="22">
        <f>IF(ABS(I20-J20)&lt;0.000000000001,0,(L20-M20)/(I20-J20))</f>
        <v>0.0000010971814851527564</v>
      </c>
      <c r="O20" s="16">
        <f>L20-N20*I20</f>
        <v>0.0024749999999999998</v>
      </c>
      <c r="P20" s="22">
        <f>N20*COS(RADIANS(F20))</f>
        <v>0.000001031013345260969</v>
      </c>
      <c r="Q20" s="22">
        <f>N20*SIN(RADIANS(F20))</f>
        <v>3.752581688062158e-7</v>
      </c>
      <c r="R20" s="11">
        <f>AP20</f>
        <v>15275.58244515503</v>
      </c>
      <c r="S20" s="11">
        <f>AQ20</f>
        <v>447.887143899823</v>
      </c>
      <c r="T20" s="11">
        <f>AR20</f>
        <v>240.16739123563005</v>
      </c>
      <c r="U20" s="11">
        <f>AS20</f>
        <v>2394.7631703282073</v>
      </c>
      <c r="V20" s="11">
        <f>AT20</f>
        <v>145.34415335903145</v>
      </c>
      <c r="W20" s="11">
        <f>AU20</f>
        <v>76.28092737579806</v>
      </c>
      <c r="X20" s="11">
        <f>AM20</f>
        <v>17670.345615483235</v>
      </c>
      <c r="Y20" s="11">
        <f>AN20</f>
        <v>593.2312972588545</v>
      </c>
      <c r="Z20" s="11">
        <f>AO20</f>
        <v>316.4483186114281</v>
      </c>
      <c r="AA20" s="7">
        <v>1</v>
      </c>
      <c r="AB20" s="7">
        <v>1</v>
      </c>
      <c r="AC20" s="7">
        <v>1</v>
      </c>
      <c r="AD20" s="11">
        <f>X20*AA20</f>
        <v>17670.345615483235</v>
      </c>
      <c r="AE20" s="11">
        <f>Y20*AB20</f>
        <v>593.2312972588545</v>
      </c>
      <c r="AF20" s="11">
        <f>Z20*AC20</f>
        <v>316.4483186114281</v>
      </c>
      <c r="AG20" s="7">
        <v>17670.345615483235</v>
      </c>
      <c r="AH20" s="7">
        <v>593.2312972588545</v>
      </c>
      <c r="AI20" s="7">
        <v>316.4483186114281</v>
      </c>
      <c r="AJ20" s="16">
        <f>AD20-AG20</f>
        <v>0</v>
      </c>
      <c r="AK20" s="16">
        <f>SQRT((AE20-AH20)^2+(AF20-AI20)^2)</f>
        <v>0</v>
      </c>
      <c r="AL20" s="7" t="s">
        <v>190</v>
      </c>
      <c r="AM20" s="7">
        <v>17670.345615483235</v>
      </c>
      <c r="AN20" s="7">
        <v>593.2312972588545</v>
      </c>
      <c r="AO20" s="7">
        <v>316.4483186114281</v>
      </c>
      <c r="AP20" s="7">
        <v>15275.58244515503</v>
      </c>
      <c r="AQ20" s="7">
        <v>447.887143899823</v>
      </c>
      <c r="AR20" s="7">
        <v>240.16739123563005</v>
      </c>
      <c r="AS20" s="7">
        <v>2394.7631703282073</v>
      </c>
      <c r="AT20" s="7">
        <v>145.34415335903145</v>
      </c>
      <c r="AU20" s="7">
        <v>76.28092737579806</v>
      </c>
    </row>
    <row r="21" spans="1:47" x14ac:dyDescent="0.25">
      <c r="A21" s="7" t="s">
        <v>221</v>
      </c>
      <c r="B21" s="7">
        <v>3</v>
      </c>
      <c r="C21" s="19">
        <v>20</v>
      </c>
      <c r="D21" s="7" t="s">
        <v>222</v>
      </c>
      <c r="E21" s="7" t="s">
        <v>200</v>
      </c>
      <c r="F21" s="20">
        <v>20</v>
      </c>
      <c r="G21" s="7" t="s">
        <v>194</v>
      </c>
      <c r="H21" s="21">
        <v>1.5</v>
      </c>
      <c r="I21" s="11">
        <f>MAX(('Geometry'!$G$13*COS(RADIANS(F21))+'Geometry'!$F$13*SIN(RADIANS(F21))),('Geometry'!$G$14*COS(RADIANS(F21))+'Geometry'!$F$14*SIN(RADIANS(F21))),('Geometry'!$G$15*COS(RADIANS(F21))+'Geometry'!$F$15*SIN(RADIANS(F21))),('Geometry'!$G$16*COS(RADIANS(F21))+'Geometry'!$F$16*SIN(RADIANS(F21))),('Geometry'!$G$17*COS(RADIANS(F21))+'Geometry'!$F$17*SIN(RADIANS(F21))),('Geometry'!$G$18*COS(RADIANS(F21))+'Geometry'!$F$18*SIN(RADIANS(F21))),('Geometry'!$G$19*COS(RADIANS(F21))+'Geometry'!$F$19*SIN(RADIANS(F21))),('Geometry'!$G$20*COS(RADIANS(F21))+'Geometry'!$F$20*SIN(RADIANS(F21))))</f>
        <v>751.9266513006628</v>
      </c>
      <c r="J21" s="11">
        <f>I21-H21*K21</f>
        <v>-1503.8533026013256</v>
      </c>
      <c r="K21" s="11">
        <f>I21-MIN(('Geometry'!$G$13*COS(RADIANS(F21))+'Geometry'!$F$13*SIN(RADIANS(F21))),('Geometry'!$G$14*COS(RADIANS(F21))+'Geometry'!$F$14*SIN(RADIANS(F21))),('Geometry'!$G$15*COS(RADIANS(F21))+'Geometry'!$F$15*SIN(RADIANS(F21))),('Geometry'!$G$16*COS(RADIANS(F21))+'Geometry'!$F$16*SIN(RADIANS(F21))),('Geometry'!$G$17*COS(RADIANS(F21))+'Geometry'!$F$17*SIN(RADIANS(F21))),('Geometry'!$G$18*COS(RADIANS(F21))+'Geometry'!$F$18*SIN(RADIANS(F21))),('Geometry'!$G$19*COS(RADIANS(F21))+'Geometry'!$F$19*SIN(RADIANS(F21))),('Geometry'!$G$20*COS(RADIANS(F21))+'Geometry'!$F$20*SIN(RADIANS(F21))))</f>
        <v>1503.8533026013256</v>
      </c>
      <c r="L21" s="16">
        <f>C_ecu</f>
        <v>0.0032999999999999995</v>
      </c>
      <c r="M21" s="16">
        <f>0</f>
        <v>0</v>
      </c>
      <c r="N21" s="22">
        <f>IF(ABS(I21-J21)&lt;0.000000000001,0,(L21-M21)/(I21-J21))</f>
        <v>0.0000014629086468703416</v>
      </c>
      <c r="O21" s="16">
        <f>L21-N21*I21</f>
        <v>0.0021999999999999997</v>
      </c>
      <c r="P21" s="22">
        <f>N21*COS(RADIANS(F21))</f>
        <v>0.0000013746844603479585</v>
      </c>
      <c r="Q21" s="22">
        <f>N21*SIN(RADIANS(F21))</f>
        <v>5.003442250749544e-7</v>
      </c>
      <c r="R21" s="11">
        <f>AP21</f>
        <v>15275.58244515503</v>
      </c>
      <c r="S21" s="11">
        <f>AQ21</f>
        <v>671.8307158497345</v>
      </c>
      <c r="T21" s="11">
        <f>AR21</f>
        <v>360.25108685344503</v>
      </c>
      <c r="U21" s="11">
        <f>AS21</f>
        <v>2394.7631703282073</v>
      </c>
      <c r="V21" s="11">
        <f>AT21</f>
        <v>218.01623003854712</v>
      </c>
      <c r="W21" s="11">
        <f>AU21</f>
        <v>114.42139106369709</v>
      </c>
      <c r="X21" s="11">
        <f>AM21</f>
        <v>17670.345615483235</v>
      </c>
      <c r="Y21" s="11">
        <f>AN21</f>
        <v>889.8469458882817</v>
      </c>
      <c r="Z21" s="11">
        <f>AO21</f>
        <v>474.6724779171421</v>
      </c>
      <c r="AA21" s="7">
        <v>1</v>
      </c>
      <c r="AB21" s="7">
        <v>1</v>
      </c>
      <c r="AC21" s="7">
        <v>1</v>
      </c>
      <c r="AD21" s="11">
        <f>X21*AA21</f>
        <v>17670.345615483235</v>
      </c>
      <c r="AE21" s="11">
        <f>Y21*AB21</f>
        <v>889.8469458882817</v>
      </c>
      <c r="AF21" s="11">
        <f>Z21*AC21</f>
        <v>474.6724779171421</v>
      </c>
      <c r="AG21" s="7">
        <v>17670.345615483235</v>
      </c>
      <c r="AH21" s="7">
        <v>889.8469458882817</v>
      </c>
      <c r="AI21" s="7">
        <v>474.6724779171421</v>
      </c>
      <c r="AJ21" s="16">
        <f>AD21-AG21</f>
        <v>0</v>
      </c>
      <c r="AK21" s="16">
        <f>SQRT((AE21-AH21)^2+(AF21-AI21)^2)</f>
        <v>0</v>
      </c>
      <c r="AL21" s="7" t="s">
        <v>190</v>
      </c>
      <c r="AM21" s="7">
        <v>17670.345615483235</v>
      </c>
      <c r="AN21" s="7">
        <v>889.8469458882817</v>
      </c>
      <c r="AO21" s="7">
        <v>474.6724779171421</v>
      </c>
      <c r="AP21" s="7">
        <v>15275.58244515503</v>
      </c>
      <c r="AQ21" s="7">
        <v>671.8307158497345</v>
      </c>
      <c r="AR21" s="7">
        <v>360.25108685344503</v>
      </c>
      <c r="AS21" s="7">
        <v>2394.7631703282073</v>
      </c>
      <c r="AT21" s="7">
        <v>218.01623003854712</v>
      </c>
      <c r="AU21" s="7">
        <v>114.42139106369709</v>
      </c>
    </row>
    <row r="22" spans="1:47" x14ac:dyDescent="0.25">
      <c r="A22" s="7" t="s">
        <v>223</v>
      </c>
      <c r="B22" s="7">
        <v>4</v>
      </c>
      <c r="C22" s="19">
        <v>20</v>
      </c>
      <c r="D22" s="7" t="s">
        <v>224</v>
      </c>
      <c r="E22" s="7" t="s">
        <v>203</v>
      </c>
      <c r="F22" s="20">
        <v>20</v>
      </c>
      <c r="G22" s="7" t="s">
        <v>194</v>
      </c>
      <c r="H22" s="21">
        <v>1.2</v>
      </c>
      <c r="I22" s="11">
        <f>MAX(('Geometry'!$G$13*COS(RADIANS(F22))+'Geometry'!$F$13*SIN(RADIANS(F22))),('Geometry'!$G$14*COS(RADIANS(F22))+'Geometry'!$F$14*SIN(RADIANS(F22))),('Geometry'!$G$15*COS(RADIANS(F22))+'Geometry'!$F$15*SIN(RADIANS(F22))),('Geometry'!$G$16*COS(RADIANS(F22))+'Geometry'!$F$16*SIN(RADIANS(F22))),('Geometry'!$G$17*COS(RADIANS(F22))+'Geometry'!$F$17*SIN(RADIANS(F22))),('Geometry'!$G$18*COS(RADIANS(F22))+'Geometry'!$F$18*SIN(RADIANS(F22))),('Geometry'!$G$19*COS(RADIANS(F22))+'Geometry'!$F$19*SIN(RADIANS(F22))),('Geometry'!$G$20*COS(RADIANS(F22))+'Geometry'!$F$20*SIN(RADIANS(F22))))</f>
        <v>751.9266513006628</v>
      </c>
      <c r="J22" s="11">
        <f>I22-H22*K22</f>
        <v>-1052.6973118209278</v>
      </c>
      <c r="K22" s="11">
        <f>I22-MIN(('Geometry'!$G$13*COS(RADIANS(F22))+'Geometry'!$F$13*SIN(RADIANS(F22))),('Geometry'!$G$14*COS(RADIANS(F22))+'Geometry'!$F$14*SIN(RADIANS(F22))),('Geometry'!$G$15*COS(RADIANS(F22))+'Geometry'!$F$15*SIN(RADIANS(F22))),('Geometry'!$G$16*COS(RADIANS(F22))+'Geometry'!$F$16*SIN(RADIANS(F22))),('Geometry'!$G$17*COS(RADIANS(F22))+'Geometry'!$F$17*SIN(RADIANS(F22))),('Geometry'!$G$18*COS(RADIANS(F22))+'Geometry'!$F$18*SIN(RADIANS(F22))),('Geometry'!$G$19*COS(RADIANS(F22))+'Geometry'!$F$19*SIN(RADIANS(F22))),('Geometry'!$G$20*COS(RADIANS(F22))+'Geometry'!$F$20*SIN(RADIANS(F22))))</f>
        <v>1503.8533026013256</v>
      </c>
      <c r="L22" s="16">
        <f>C_ecu</f>
        <v>0.0033</v>
      </c>
      <c r="M22" s="16">
        <f>0</f>
        <v>0</v>
      </c>
      <c r="N22" s="22">
        <f>IF(ABS(I22-J22)&lt;0.000000000001,0,(L22-M22)/(I22-J22))</f>
        <v>0.0000018286358085879275</v>
      </c>
      <c r="O22" s="16">
        <f>L22-N22*I22</f>
        <v>0.0019249999999999998</v>
      </c>
      <c r="P22" s="22">
        <f>N22*COS(RADIANS(F22))</f>
        <v>0.0000017183555754349485</v>
      </c>
      <c r="Q22" s="22">
        <f>N22*SIN(RADIANS(F22))</f>
        <v>6.254302813436931e-7</v>
      </c>
      <c r="R22" s="11">
        <f>AP22</f>
        <v>15275.58244515503</v>
      </c>
      <c r="S22" s="11">
        <f>AQ22</f>
        <v>895.774287799646</v>
      </c>
      <c r="T22" s="11">
        <f>AR22</f>
        <v>480.3347824712601</v>
      </c>
      <c r="U22" s="11">
        <f>AS22</f>
        <v>2394.7631703282073</v>
      </c>
      <c r="V22" s="11">
        <f>AT22</f>
        <v>290.6883067180629</v>
      </c>
      <c r="W22" s="11">
        <f>AU22</f>
        <v>152.56185475159612</v>
      </c>
      <c r="X22" s="11">
        <f>AM22</f>
        <v>17670.345615483235</v>
      </c>
      <c r="Y22" s="11">
        <f>AN22</f>
        <v>1186.462594517709</v>
      </c>
      <c r="Z22" s="11">
        <f>AO22</f>
        <v>632.8966372228562</v>
      </c>
      <c r="AA22" s="7">
        <v>1</v>
      </c>
      <c r="AB22" s="7">
        <v>1</v>
      </c>
      <c r="AC22" s="7">
        <v>1</v>
      </c>
      <c r="AD22" s="11">
        <f>X22*AA22</f>
        <v>17670.345615483235</v>
      </c>
      <c r="AE22" s="11">
        <f>Y22*AB22</f>
        <v>1186.462594517709</v>
      </c>
      <c r="AF22" s="11">
        <f>Z22*AC22</f>
        <v>632.8966372228562</v>
      </c>
      <c r="AG22" s="7">
        <v>17670.345615483235</v>
      </c>
      <c r="AH22" s="7">
        <v>1186.462594517709</v>
      </c>
      <c r="AI22" s="7">
        <v>632.8966372228562</v>
      </c>
      <c r="AJ22" s="16">
        <f>AD22-AG22</f>
        <v>0</v>
      </c>
      <c r="AK22" s="16">
        <f>SQRT((AE22-AH22)^2+(AF22-AI22)^2)</f>
        <v>0</v>
      </c>
      <c r="AL22" s="7" t="s">
        <v>190</v>
      </c>
      <c r="AM22" s="7">
        <v>17670.345615483235</v>
      </c>
      <c r="AN22" s="7">
        <v>1186.462594517709</v>
      </c>
      <c r="AO22" s="7">
        <v>632.8966372228562</v>
      </c>
      <c r="AP22" s="7">
        <v>15275.58244515503</v>
      </c>
      <c r="AQ22" s="7">
        <v>895.774287799646</v>
      </c>
      <c r="AR22" s="7">
        <v>480.3347824712601</v>
      </c>
      <c r="AS22" s="7">
        <v>2394.7631703282073</v>
      </c>
      <c r="AT22" s="7">
        <v>290.6883067180629</v>
      </c>
      <c r="AU22" s="7">
        <v>152.56185475159612</v>
      </c>
    </row>
    <row r="23" spans="1:47" x14ac:dyDescent="0.25">
      <c r="A23" s="7" t="s">
        <v>225</v>
      </c>
      <c r="B23" s="7">
        <v>5</v>
      </c>
      <c r="C23" s="19">
        <v>20</v>
      </c>
      <c r="D23" s="7" t="s">
        <v>226</v>
      </c>
      <c r="E23" s="7" t="s">
        <v>206</v>
      </c>
      <c r="F23" s="20">
        <v>20</v>
      </c>
      <c r="G23" s="7" t="s">
        <v>194</v>
      </c>
      <c r="H23" s="21">
        <v>1.1</v>
      </c>
      <c r="I23" s="11">
        <f>MAX(('Geometry'!$G$13*COS(RADIANS(F23))+'Geometry'!$F$13*SIN(RADIANS(F23))),('Geometry'!$G$14*COS(RADIANS(F23))+'Geometry'!$F$14*SIN(RADIANS(F23))),('Geometry'!$G$15*COS(RADIANS(F23))+'Geometry'!$F$15*SIN(RADIANS(F23))),('Geometry'!$G$16*COS(RADIANS(F23))+'Geometry'!$F$16*SIN(RADIANS(F23))),('Geometry'!$G$17*COS(RADIANS(F23))+'Geometry'!$F$17*SIN(RADIANS(F23))),('Geometry'!$G$18*COS(RADIANS(F23))+'Geometry'!$F$18*SIN(RADIANS(F23))),('Geometry'!$G$19*COS(RADIANS(F23))+'Geometry'!$F$19*SIN(RADIANS(F23))),('Geometry'!$G$20*COS(RADIANS(F23))+'Geometry'!$F$20*SIN(RADIANS(F23))))</f>
        <v>751.9266513006628</v>
      </c>
      <c r="J23" s="11">
        <f>I23-H23*K23</f>
        <v>-902.3119815607955</v>
      </c>
      <c r="K23" s="11">
        <f>I23-MIN(('Geometry'!$G$13*COS(RADIANS(F23))+'Geometry'!$F$13*SIN(RADIANS(F23))),('Geometry'!$G$14*COS(RADIANS(F23))+'Geometry'!$F$14*SIN(RADIANS(F23))),('Geometry'!$G$15*COS(RADIANS(F23))+'Geometry'!$F$15*SIN(RADIANS(F23))),('Geometry'!$G$16*COS(RADIANS(F23))+'Geometry'!$F$16*SIN(RADIANS(F23))),('Geometry'!$G$17*COS(RADIANS(F23))+'Geometry'!$F$17*SIN(RADIANS(F23))),('Geometry'!$G$18*COS(RADIANS(F23))+'Geometry'!$F$18*SIN(RADIANS(F23))),('Geometry'!$G$19*COS(RADIANS(F23))+'Geometry'!$F$19*SIN(RADIANS(F23))),('Geometry'!$G$20*COS(RADIANS(F23))+'Geometry'!$F$20*SIN(RADIANS(F23))))</f>
        <v>1503.8533026013256</v>
      </c>
      <c r="L23" s="16">
        <f>C_ecu</f>
        <v>0.0033</v>
      </c>
      <c r="M23" s="16">
        <f>0</f>
        <v>0</v>
      </c>
      <c r="N23" s="22">
        <f>IF(ABS(I23-J23)&lt;0.000000000001,0,(L23-M23)/(I23-J23))</f>
        <v>0.000001994875427550466</v>
      </c>
      <c r="O23" s="16">
        <f>L23-N23*I23</f>
        <v>0.0018000000000000002</v>
      </c>
      <c r="P23" s="22">
        <f>N23*COS(RADIANS(F23))</f>
        <v>0.000001874569718656307</v>
      </c>
      <c r="Q23" s="22">
        <f>N23*SIN(RADIANS(F23))</f>
        <v>6.822875796476651e-7</v>
      </c>
      <c r="R23" s="11">
        <f>AP23</f>
        <v>15275.58244515503</v>
      </c>
      <c r="S23" s="11">
        <f>AQ23</f>
        <v>1119.7178597495574</v>
      </c>
      <c r="T23" s="11">
        <f>AR23</f>
        <v>600.418478089075</v>
      </c>
      <c r="U23" s="11">
        <f>AS23</f>
        <v>2394.7631703282073</v>
      </c>
      <c r="V23" s="11">
        <f>AT23</f>
        <v>363.3603833975786</v>
      </c>
      <c r="W23" s="11">
        <f>AU23</f>
        <v>190.70231843949517</v>
      </c>
      <c r="X23" s="11">
        <f>AM23</f>
        <v>17670.345615483235</v>
      </c>
      <c r="Y23" s="11">
        <f>AN23</f>
        <v>1483.0782431471362</v>
      </c>
      <c r="Z23" s="11">
        <f>AO23</f>
        <v>791.1207965285702</v>
      </c>
      <c r="AA23" s="7">
        <v>1</v>
      </c>
      <c r="AB23" s="7">
        <v>1</v>
      </c>
      <c r="AC23" s="7">
        <v>1</v>
      </c>
      <c r="AD23" s="11">
        <f>X23*AA23</f>
        <v>17670.345615483235</v>
      </c>
      <c r="AE23" s="11">
        <f>Y23*AB23</f>
        <v>1483.0782431471362</v>
      </c>
      <c r="AF23" s="11">
        <f>Z23*AC23</f>
        <v>791.1207965285702</v>
      </c>
      <c r="AG23" s="7">
        <v>17670.345615483235</v>
      </c>
      <c r="AH23" s="7">
        <v>1483.0782431471362</v>
      </c>
      <c r="AI23" s="7">
        <v>791.1207965285702</v>
      </c>
      <c r="AJ23" s="16">
        <f>AD23-AG23</f>
        <v>0</v>
      </c>
      <c r="AK23" s="16">
        <f>SQRT((AE23-AH23)^2+(AF23-AI23)^2)</f>
        <v>0</v>
      </c>
      <c r="AL23" s="7" t="s">
        <v>190</v>
      </c>
      <c r="AM23" s="7">
        <v>17670.345615483235</v>
      </c>
      <c r="AN23" s="7">
        <v>1483.0782431471362</v>
      </c>
      <c r="AO23" s="7">
        <v>791.1207965285702</v>
      </c>
      <c r="AP23" s="7">
        <v>15275.58244515503</v>
      </c>
      <c r="AQ23" s="7">
        <v>1119.7178597495574</v>
      </c>
      <c r="AR23" s="7">
        <v>600.418478089075</v>
      </c>
      <c r="AS23" s="7">
        <v>2394.7631703282073</v>
      </c>
      <c r="AT23" s="7">
        <v>363.3603833975786</v>
      </c>
      <c r="AU23" s="7">
        <v>190.70231843949517</v>
      </c>
    </row>
    <row r="24" spans="1:47" x14ac:dyDescent="0.25">
      <c r="A24" s="7" t="s">
        <v>227</v>
      </c>
      <c r="B24" s="7">
        <v>6</v>
      </c>
      <c r="C24" s="19">
        <v>20</v>
      </c>
      <c r="D24" s="7" t="s">
        <v>228</v>
      </c>
      <c r="E24" s="7" t="s">
        <v>229</v>
      </c>
      <c r="F24" s="20">
        <v>20</v>
      </c>
      <c r="G24" s="7" t="s">
        <v>194</v>
      </c>
      <c r="H24" s="21">
        <v>1</v>
      </c>
      <c r="I24" s="11">
        <f>MAX(('Geometry'!$G$13*COS(RADIANS(F24))+'Geometry'!$F$13*SIN(RADIANS(F24))),('Geometry'!$G$14*COS(RADIANS(F24))+'Geometry'!$F$14*SIN(RADIANS(F24))),('Geometry'!$G$15*COS(RADIANS(F24))+'Geometry'!$F$15*SIN(RADIANS(F24))),('Geometry'!$G$16*COS(RADIANS(F24))+'Geometry'!$F$16*SIN(RADIANS(F24))),('Geometry'!$G$17*COS(RADIANS(F24))+'Geometry'!$F$17*SIN(RADIANS(F24))),('Geometry'!$G$18*COS(RADIANS(F24))+'Geometry'!$F$18*SIN(RADIANS(F24))),('Geometry'!$G$19*COS(RADIANS(F24))+'Geometry'!$F$19*SIN(RADIANS(F24))),('Geometry'!$G$20*COS(RADIANS(F24))+'Geometry'!$F$20*SIN(RADIANS(F24))))</f>
        <v>751.9266513006628</v>
      </c>
      <c r="J24" s="11">
        <f>I24-H24*K24</f>
        <v>-751.9266513006628</v>
      </c>
      <c r="K24" s="11">
        <f>I24-MIN(('Geometry'!$G$13*COS(RADIANS(F24))+'Geometry'!$F$13*SIN(RADIANS(F24))),('Geometry'!$G$14*COS(RADIANS(F24))+'Geometry'!$F$14*SIN(RADIANS(F24))),('Geometry'!$G$15*COS(RADIANS(F24))+'Geometry'!$F$15*SIN(RADIANS(F24))),('Geometry'!$G$16*COS(RADIANS(F24))+'Geometry'!$F$16*SIN(RADIANS(F24))),('Geometry'!$G$17*COS(RADIANS(F24))+'Geometry'!$F$17*SIN(RADIANS(F24))),('Geometry'!$G$18*COS(RADIANS(F24))+'Geometry'!$F$18*SIN(RADIANS(F24))),('Geometry'!$G$19*COS(RADIANS(F24))+'Geometry'!$F$19*SIN(RADIANS(F24))),('Geometry'!$G$20*COS(RADIANS(F24))+'Geometry'!$F$20*SIN(RADIANS(F24))))</f>
        <v>1503.8533026013256</v>
      </c>
      <c r="L24" s="16">
        <f>C_ecu</f>
        <v>0.0033</v>
      </c>
      <c r="M24" s="16">
        <f>0</f>
        <v>0</v>
      </c>
      <c r="N24" s="22">
        <f>IF(ABS(I24-J24)&lt;0.000000000001,0,(L24-M24)/(I24-J24))</f>
        <v>0.0000021943629703055128</v>
      </c>
      <c r="O24" s="16">
        <f>L24-N24*I24</f>
        <v>0.00165</v>
      </c>
      <c r="P24" s="22">
        <f>N24*COS(RADIANS(F24))</f>
        <v>0.000002062026690521938</v>
      </c>
      <c r="Q24" s="22">
        <f>N24*SIN(RADIANS(F24))</f>
        <v>7.505163376124316e-7</v>
      </c>
      <c r="R24" s="11">
        <f>AP24</f>
        <v>15275.58244515503</v>
      </c>
      <c r="S24" s="11">
        <f>AQ24</f>
        <v>1343.661431699469</v>
      </c>
      <c r="T24" s="11">
        <f>AR24</f>
        <v>720.5021737068901</v>
      </c>
      <c r="U24" s="11">
        <f>AS24</f>
        <v>2394.7631703282073</v>
      </c>
      <c r="V24" s="11">
        <f>AT24</f>
        <v>436.03246007709424</v>
      </c>
      <c r="W24" s="11">
        <f>AU24</f>
        <v>228.84278212739417</v>
      </c>
      <c r="X24" s="11">
        <f>AM24</f>
        <v>17670.345615483235</v>
      </c>
      <c r="Y24" s="11">
        <f>AN24</f>
        <v>1779.6938917765633</v>
      </c>
      <c r="Z24" s="11">
        <f>AO24</f>
        <v>949.3449558342842</v>
      </c>
      <c r="AA24" s="7">
        <v>1</v>
      </c>
      <c r="AB24" s="7">
        <v>1</v>
      </c>
      <c r="AC24" s="7">
        <v>1</v>
      </c>
      <c r="AD24" s="11">
        <f>X24*AA24</f>
        <v>17670.345615483235</v>
      </c>
      <c r="AE24" s="11">
        <f>Y24*AB24</f>
        <v>1779.6938917765633</v>
      </c>
      <c r="AF24" s="11">
        <f>Z24*AC24</f>
        <v>949.3449558342842</v>
      </c>
      <c r="AG24" s="7">
        <v>17670.345615483235</v>
      </c>
      <c r="AH24" s="7">
        <v>1779.6938917765633</v>
      </c>
      <c r="AI24" s="7">
        <v>949.3449558342842</v>
      </c>
      <c r="AJ24" s="16">
        <f>AD24-AG24</f>
        <v>0</v>
      </c>
      <c r="AK24" s="16">
        <f>SQRT((AE24-AH24)^2+(AF24-AI24)^2)</f>
        <v>0</v>
      </c>
      <c r="AL24" s="7" t="s">
        <v>190</v>
      </c>
      <c r="AM24" s="7">
        <v>17670.345615483235</v>
      </c>
      <c r="AN24" s="7">
        <v>1779.6938917765633</v>
      </c>
      <c r="AO24" s="7">
        <v>949.3449558342842</v>
      </c>
      <c r="AP24" s="7">
        <v>15275.58244515503</v>
      </c>
      <c r="AQ24" s="7">
        <v>1343.661431699469</v>
      </c>
      <c r="AR24" s="7">
        <v>720.5021737068901</v>
      </c>
      <c r="AS24" s="7">
        <v>2394.7631703282073</v>
      </c>
      <c r="AT24" s="7">
        <v>436.03246007709424</v>
      </c>
      <c r="AU24" s="7">
        <v>228.84278212739417</v>
      </c>
    </row>
    <row r="25" spans="1:47" x14ac:dyDescent="0.25">
      <c r="A25" s="7" t="s">
        <v>230</v>
      </c>
      <c r="B25" s="7">
        <v>1</v>
      </c>
      <c r="C25" s="19">
        <v>30</v>
      </c>
      <c r="D25" s="7" t="s">
        <v>231</v>
      </c>
      <c r="E25" s="7" t="s">
        <v>193</v>
      </c>
      <c r="F25" s="20">
        <v>30</v>
      </c>
      <c r="G25" s="7" t="s">
        <v>194</v>
      </c>
      <c r="H25" s="21">
        <v>3</v>
      </c>
      <c r="I25" s="11">
        <f>MAX(('Geometry'!$G$13*COS(RADIANS(F25))+'Geometry'!$F$13*SIN(RADIANS(F25))),('Geometry'!$G$14*COS(RADIANS(F25))+'Geometry'!$F$14*SIN(RADIANS(F25))),('Geometry'!$G$15*COS(RADIANS(F25))+'Geometry'!$F$15*SIN(RADIANS(F25))),('Geometry'!$G$16*COS(RADIANS(F25))+'Geometry'!$F$16*SIN(RADIANS(F25))),('Geometry'!$G$17*COS(RADIANS(F25))+'Geometry'!$F$17*SIN(RADIANS(F25))),('Geometry'!$G$18*COS(RADIANS(F25))+'Geometry'!$F$18*SIN(RADIANS(F25))),('Geometry'!$G$19*COS(RADIANS(F25))+'Geometry'!$F$19*SIN(RADIANS(F25))),('Geometry'!$G$20*COS(RADIANS(F25))+'Geometry'!$F$20*SIN(RADIANS(F25))))</f>
        <v>794.6152422706632</v>
      </c>
      <c r="J25" s="11">
        <f>I25-H25*K25</f>
        <v>-3973.076211353316</v>
      </c>
      <c r="K25" s="11">
        <f>I25-MIN(('Geometry'!$G$13*COS(RADIANS(F25))+'Geometry'!$F$13*SIN(RADIANS(F25))),('Geometry'!$G$14*COS(RADIANS(F25))+'Geometry'!$F$14*SIN(RADIANS(F25))),('Geometry'!$G$15*COS(RADIANS(F25))+'Geometry'!$F$15*SIN(RADIANS(F25))),('Geometry'!$G$16*COS(RADIANS(F25))+'Geometry'!$F$16*SIN(RADIANS(F25))),('Geometry'!$G$17*COS(RADIANS(F25))+'Geometry'!$F$17*SIN(RADIANS(F25))),('Geometry'!$G$18*COS(RADIANS(F25))+'Geometry'!$F$18*SIN(RADIANS(F25))),('Geometry'!$G$19*COS(RADIANS(F25))+'Geometry'!$F$19*SIN(RADIANS(F25))),('Geometry'!$G$20*COS(RADIANS(F25))+'Geometry'!$F$20*SIN(RADIANS(F25))))</f>
        <v>1589.2304845413264</v>
      </c>
      <c r="L25" s="16">
        <f>C_ecu</f>
        <v>0.0033</v>
      </c>
      <c r="M25" s="16">
        <f>0</f>
        <v>0</v>
      </c>
      <c r="N25" s="22">
        <f>IF(ABS(I25-J25)&lt;0.000000000001,0,(L25-M25)/(I25-J25))</f>
        <v>6.921588848816193e-7</v>
      </c>
      <c r="O25" s="16">
        <f>L25-N25*I25</f>
        <v>0.00275</v>
      </c>
      <c r="P25" s="22">
        <f>N25*COS(RADIANS(F25))</f>
        <v>5.994271777625911e-7</v>
      </c>
      <c r="Q25" s="22">
        <f>N25*SIN(RADIANS(F25))</f>
        <v>3.460794424408096e-7</v>
      </c>
      <c r="R25" s="11">
        <f>AP25</f>
        <v>15282.052731639913</v>
      </c>
      <c r="S25" s="11">
        <f>AQ25</f>
        <v>200.48928456405176</v>
      </c>
      <c r="T25" s="11">
        <f>AR25</f>
        <v>163.91371833168776</v>
      </c>
      <c r="U25" s="11">
        <f>AS25</f>
        <v>2388.292883843323</v>
      </c>
      <c r="V25" s="11">
        <f>AT25</f>
        <v>64.45717625332233</v>
      </c>
      <c r="W25" s="11">
        <f>AU25</f>
        <v>52.54386419193534</v>
      </c>
      <c r="X25" s="11">
        <f>AM25</f>
        <v>17670.345615483235</v>
      </c>
      <c r="Y25" s="11">
        <f>AN25</f>
        <v>264.9464608173741</v>
      </c>
      <c r="Z25" s="11">
        <f>AO25</f>
        <v>216.45758252362307</v>
      </c>
      <c r="AA25" s="7">
        <v>1</v>
      </c>
      <c r="AB25" s="7">
        <v>1</v>
      </c>
      <c r="AC25" s="7">
        <v>1</v>
      </c>
      <c r="AD25" s="11">
        <f>X25*AA25</f>
        <v>17670.345615483235</v>
      </c>
      <c r="AE25" s="11">
        <f>Y25*AB25</f>
        <v>264.9464608173741</v>
      </c>
      <c r="AF25" s="11">
        <f>Z25*AC25</f>
        <v>216.45758252362307</v>
      </c>
      <c r="AG25" s="7">
        <v>17670.345615483235</v>
      </c>
      <c r="AH25" s="7">
        <v>264.9464608173741</v>
      </c>
      <c r="AI25" s="7">
        <v>216.45758252362307</v>
      </c>
      <c r="AJ25" s="16">
        <f>AD25-AG25</f>
        <v>0</v>
      </c>
      <c r="AK25" s="16">
        <f>SQRT((AE25-AH25)^2+(AF25-AI25)^2)</f>
        <v>0</v>
      </c>
      <c r="AL25" s="7" t="s">
        <v>190</v>
      </c>
      <c r="AM25" s="7">
        <v>17670.345615483235</v>
      </c>
      <c r="AN25" s="7">
        <v>264.9464608173741</v>
      </c>
      <c r="AO25" s="7">
        <v>216.45758252362307</v>
      </c>
      <c r="AP25" s="7">
        <v>15282.052731639913</v>
      </c>
      <c r="AQ25" s="7">
        <v>200.48928456405176</v>
      </c>
      <c r="AR25" s="7">
        <v>163.91371833168776</v>
      </c>
      <c r="AS25" s="7">
        <v>2388.292883843323</v>
      </c>
      <c r="AT25" s="7">
        <v>64.45717625332233</v>
      </c>
      <c r="AU25" s="7">
        <v>52.54386419193534</v>
      </c>
    </row>
    <row r="26" spans="1:47" x14ac:dyDescent="0.25">
      <c r="A26" s="7" t="s">
        <v>232</v>
      </c>
      <c r="B26" s="7">
        <v>2</v>
      </c>
      <c r="C26" s="19">
        <v>30</v>
      </c>
      <c r="D26" s="7" t="s">
        <v>233</v>
      </c>
      <c r="E26" s="7" t="s">
        <v>197</v>
      </c>
      <c r="F26" s="20">
        <v>30</v>
      </c>
      <c r="G26" s="7" t="s">
        <v>194</v>
      </c>
      <c r="H26" s="21">
        <v>2</v>
      </c>
      <c r="I26" s="11">
        <f>MAX(('Geometry'!$G$13*COS(RADIANS(F26))+'Geometry'!$F$13*SIN(RADIANS(F26))),('Geometry'!$G$14*COS(RADIANS(F26))+'Geometry'!$F$14*SIN(RADIANS(F26))),('Geometry'!$G$15*COS(RADIANS(F26))+'Geometry'!$F$15*SIN(RADIANS(F26))),('Geometry'!$G$16*COS(RADIANS(F26))+'Geometry'!$F$16*SIN(RADIANS(F26))),('Geometry'!$G$17*COS(RADIANS(F26))+'Geometry'!$F$17*SIN(RADIANS(F26))),('Geometry'!$G$18*COS(RADIANS(F26))+'Geometry'!$F$18*SIN(RADIANS(F26))),('Geometry'!$G$19*COS(RADIANS(F26))+'Geometry'!$F$19*SIN(RADIANS(F26))),('Geometry'!$G$20*COS(RADIANS(F26))+'Geometry'!$F$20*SIN(RADIANS(F26))))</f>
        <v>794.6152422706632</v>
      </c>
      <c r="J26" s="11">
        <f>I26-H26*K26</f>
        <v>-2383.8457268119896</v>
      </c>
      <c r="K26" s="11">
        <f>I26-MIN(('Geometry'!$G$13*COS(RADIANS(F26))+'Geometry'!$F$13*SIN(RADIANS(F26))),('Geometry'!$G$14*COS(RADIANS(F26))+'Geometry'!$F$14*SIN(RADIANS(F26))),('Geometry'!$G$15*COS(RADIANS(F26))+'Geometry'!$F$15*SIN(RADIANS(F26))),('Geometry'!$G$16*COS(RADIANS(F26))+'Geometry'!$F$16*SIN(RADIANS(F26))),('Geometry'!$G$17*COS(RADIANS(F26))+'Geometry'!$F$17*SIN(RADIANS(F26))),('Geometry'!$G$18*COS(RADIANS(F26))+'Geometry'!$F$18*SIN(RADIANS(F26))),('Geometry'!$G$19*COS(RADIANS(F26))+'Geometry'!$F$19*SIN(RADIANS(F26))),('Geometry'!$G$20*COS(RADIANS(F26))+'Geometry'!$F$20*SIN(RADIANS(F26))))</f>
        <v>1589.2304845413264</v>
      </c>
      <c r="L26" s="16">
        <f>C_ecu</f>
        <v>0.0033</v>
      </c>
      <c r="M26" s="16">
        <f>0</f>
        <v>0</v>
      </c>
      <c r="N26" s="22">
        <f>IF(ABS(I26-J26)&lt;0.000000000001,0,(L26-M26)/(I26-J26))</f>
        <v>0.0000010382383273224289</v>
      </c>
      <c r="O26" s="16">
        <f>L26-N26*I26</f>
        <v>0.0024749999999999998</v>
      </c>
      <c r="P26" s="22">
        <f>N26*COS(RADIANS(F26))</f>
        <v>8.991407666438868e-7</v>
      </c>
      <c r="Q26" s="22">
        <f>N26*SIN(RADIANS(F26))</f>
        <v>5.191191636612143e-7</v>
      </c>
      <c r="R26" s="11">
        <f>AP26</f>
        <v>15282.052731639913</v>
      </c>
      <c r="S26" s="11">
        <f>AQ26</f>
        <v>400.9785691281035</v>
      </c>
      <c r="T26" s="11">
        <f>AR26</f>
        <v>327.8274366633755</v>
      </c>
      <c r="U26" s="11">
        <f>AS26</f>
        <v>2388.292883843323</v>
      </c>
      <c r="V26" s="11">
        <f>AT26</f>
        <v>128.91435250664466</v>
      </c>
      <c r="W26" s="11">
        <f>AU26</f>
        <v>105.08772838387068</v>
      </c>
      <c r="X26" s="11">
        <f>AM26</f>
        <v>17670.345615483235</v>
      </c>
      <c r="Y26" s="11">
        <f>AN26</f>
        <v>529.8929216347482</v>
      </c>
      <c r="Z26" s="11">
        <f>AO26</f>
        <v>432.91516504724615</v>
      </c>
      <c r="AA26" s="7">
        <v>1</v>
      </c>
      <c r="AB26" s="7">
        <v>1</v>
      </c>
      <c r="AC26" s="7">
        <v>1</v>
      </c>
      <c r="AD26" s="11">
        <f>X26*AA26</f>
        <v>17670.345615483235</v>
      </c>
      <c r="AE26" s="11">
        <f>Y26*AB26</f>
        <v>529.8929216347482</v>
      </c>
      <c r="AF26" s="11">
        <f>Z26*AC26</f>
        <v>432.91516504724615</v>
      </c>
      <c r="AG26" s="7">
        <v>17670.345615483235</v>
      </c>
      <c r="AH26" s="7">
        <v>529.8929216347482</v>
      </c>
      <c r="AI26" s="7">
        <v>432.91516504724615</v>
      </c>
      <c r="AJ26" s="16">
        <f>AD26-AG26</f>
        <v>0</v>
      </c>
      <c r="AK26" s="16">
        <f>SQRT((AE26-AH26)^2+(AF26-AI26)^2)</f>
        <v>0</v>
      </c>
      <c r="AL26" s="7" t="s">
        <v>190</v>
      </c>
      <c r="AM26" s="7">
        <v>17670.345615483235</v>
      </c>
      <c r="AN26" s="7">
        <v>529.8929216347482</v>
      </c>
      <c r="AO26" s="7">
        <v>432.91516504724615</v>
      </c>
      <c r="AP26" s="7">
        <v>15282.052731639913</v>
      </c>
      <c r="AQ26" s="7">
        <v>400.9785691281035</v>
      </c>
      <c r="AR26" s="7">
        <v>327.8274366633755</v>
      </c>
      <c r="AS26" s="7">
        <v>2388.292883843323</v>
      </c>
      <c r="AT26" s="7">
        <v>128.91435250664466</v>
      </c>
      <c r="AU26" s="7">
        <v>105.08772838387068</v>
      </c>
    </row>
    <row r="27" spans="1:47" x14ac:dyDescent="0.25">
      <c r="A27" s="7" t="s">
        <v>234</v>
      </c>
      <c r="B27" s="7">
        <v>3</v>
      </c>
      <c r="C27" s="19">
        <v>30</v>
      </c>
      <c r="D27" s="7" t="s">
        <v>235</v>
      </c>
      <c r="E27" s="7" t="s">
        <v>200</v>
      </c>
      <c r="F27" s="20">
        <v>30</v>
      </c>
      <c r="G27" s="7" t="s">
        <v>194</v>
      </c>
      <c r="H27" s="21">
        <v>1.5000000000000002</v>
      </c>
      <c r="I27" s="11">
        <f>MAX(('Geometry'!$G$13*COS(RADIANS(F27))+'Geometry'!$F$13*SIN(RADIANS(F27))),('Geometry'!$G$14*COS(RADIANS(F27))+'Geometry'!$F$14*SIN(RADIANS(F27))),('Geometry'!$G$15*COS(RADIANS(F27))+'Geometry'!$F$15*SIN(RADIANS(F27))),('Geometry'!$G$16*COS(RADIANS(F27))+'Geometry'!$F$16*SIN(RADIANS(F27))),('Geometry'!$G$17*COS(RADIANS(F27))+'Geometry'!$F$17*SIN(RADIANS(F27))),('Geometry'!$G$18*COS(RADIANS(F27))+'Geometry'!$F$18*SIN(RADIANS(F27))),('Geometry'!$G$19*COS(RADIANS(F27))+'Geometry'!$F$19*SIN(RADIANS(F27))),('Geometry'!$G$20*COS(RADIANS(F27))+'Geometry'!$F$20*SIN(RADIANS(F27))))</f>
        <v>794.6152422706632</v>
      </c>
      <c r="J27" s="11">
        <f>I27-H27*K27</f>
        <v>-1589.2304845413266</v>
      </c>
      <c r="K27" s="11">
        <f>I27-MIN(('Geometry'!$G$13*COS(RADIANS(F27))+'Geometry'!$F$13*SIN(RADIANS(F27))),('Geometry'!$G$14*COS(RADIANS(F27))+'Geometry'!$F$14*SIN(RADIANS(F27))),('Geometry'!$G$15*COS(RADIANS(F27))+'Geometry'!$F$15*SIN(RADIANS(F27))),('Geometry'!$G$16*COS(RADIANS(F27))+'Geometry'!$F$16*SIN(RADIANS(F27))),('Geometry'!$G$17*COS(RADIANS(F27))+'Geometry'!$F$17*SIN(RADIANS(F27))),('Geometry'!$G$18*COS(RADIANS(F27))+'Geometry'!$F$18*SIN(RADIANS(F27))),('Geometry'!$G$19*COS(RADIANS(F27))+'Geometry'!$F$19*SIN(RADIANS(F27))),('Geometry'!$G$20*COS(RADIANS(F27))+'Geometry'!$F$20*SIN(RADIANS(F27))))</f>
        <v>1589.2304845413264</v>
      </c>
      <c r="L27" s="16">
        <f>C_ecu</f>
        <v>0.0033</v>
      </c>
      <c r="M27" s="16">
        <f>0</f>
        <v>0</v>
      </c>
      <c r="N27" s="22">
        <f>IF(ABS(I27-J27)&lt;0.000000000001,0,(L27-M27)/(I27-J27))</f>
        <v>0.0000013843177697632385</v>
      </c>
      <c r="O27" s="16">
        <f>L27-N27*I27</f>
        <v>0.0022</v>
      </c>
      <c r="P27" s="22">
        <f>N27*COS(RADIANS(F27))</f>
        <v>0.0000011988543555251822</v>
      </c>
      <c r="Q27" s="22">
        <f>N27*SIN(RADIANS(F27))</f>
        <v>6.921588848816192e-7</v>
      </c>
      <c r="R27" s="11">
        <f>AP27</f>
        <v>15282.052731639913</v>
      </c>
      <c r="S27" s="11">
        <f>AQ27</f>
        <v>601.4678536921552</v>
      </c>
      <c r="T27" s="11">
        <f>AR27</f>
        <v>491.74115499506325</v>
      </c>
      <c r="U27" s="11">
        <f>AS27</f>
        <v>2388.292883843323</v>
      </c>
      <c r="V27" s="11">
        <f>AT27</f>
        <v>193.371528759967</v>
      </c>
      <c r="W27" s="11">
        <f>AU27</f>
        <v>157.63159257580602</v>
      </c>
      <c r="X27" s="11">
        <f>AM27</f>
        <v>17670.345615483235</v>
      </c>
      <c r="Y27" s="11">
        <f>AN27</f>
        <v>794.8393824521222</v>
      </c>
      <c r="Z27" s="11">
        <f>AO27</f>
        <v>649.3727475708693</v>
      </c>
      <c r="AA27" s="7">
        <v>1</v>
      </c>
      <c r="AB27" s="7">
        <v>1</v>
      </c>
      <c r="AC27" s="7">
        <v>1</v>
      </c>
      <c r="AD27" s="11">
        <f>X27*AA27</f>
        <v>17670.345615483235</v>
      </c>
      <c r="AE27" s="11">
        <f>Y27*AB27</f>
        <v>794.8393824521222</v>
      </c>
      <c r="AF27" s="11">
        <f>Z27*AC27</f>
        <v>649.3727475708693</v>
      </c>
      <c r="AG27" s="7">
        <v>17670.345615483235</v>
      </c>
      <c r="AH27" s="7">
        <v>794.8393824521222</v>
      </c>
      <c r="AI27" s="7">
        <v>649.3727475708693</v>
      </c>
      <c r="AJ27" s="16">
        <f>AD27-AG27</f>
        <v>0</v>
      </c>
      <c r="AK27" s="16">
        <f>SQRT((AE27-AH27)^2+(AF27-AI27)^2)</f>
        <v>0</v>
      </c>
      <c r="AL27" s="7" t="s">
        <v>190</v>
      </c>
      <c r="AM27" s="7">
        <v>17670.345615483235</v>
      </c>
      <c r="AN27" s="7">
        <v>794.8393824521222</v>
      </c>
      <c r="AO27" s="7">
        <v>649.3727475708693</v>
      </c>
      <c r="AP27" s="7">
        <v>15282.052731639913</v>
      </c>
      <c r="AQ27" s="7">
        <v>601.4678536921552</v>
      </c>
      <c r="AR27" s="7">
        <v>491.74115499506325</v>
      </c>
      <c r="AS27" s="7">
        <v>2388.292883843323</v>
      </c>
      <c r="AT27" s="7">
        <v>193.371528759967</v>
      </c>
      <c r="AU27" s="7">
        <v>157.63159257580602</v>
      </c>
    </row>
    <row r="28" spans="1:47" x14ac:dyDescent="0.25">
      <c r="A28" s="7" t="s">
        <v>236</v>
      </c>
      <c r="B28" s="7">
        <v>4</v>
      </c>
      <c r="C28" s="19">
        <v>30</v>
      </c>
      <c r="D28" s="7" t="s">
        <v>237</v>
      </c>
      <c r="E28" s="7" t="s">
        <v>203</v>
      </c>
      <c r="F28" s="20">
        <v>30</v>
      </c>
      <c r="G28" s="7" t="s">
        <v>194</v>
      </c>
      <c r="H28" s="21">
        <v>1.2</v>
      </c>
      <c r="I28" s="11">
        <f>MAX(('Geometry'!$G$13*COS(RADIANS(F28))+'Geometry'!$F$13*SIN(RADIANS(F28))),('Geometry'!$G$14*COS(RADIANS(F28))+'Geometry'!$F$14*SIN(RADIANS(F28))),('Geometry'!$G$15*COS(RADIANS(F28))+'Geometry'!$F$15*SIN(RADIANS(F28))),('Geometry'!$G$16*COS(RADIANS(F28))+'Geometry'!$F$16*SIN(RADIANS(F28))),('Geometry'!$G$17*COS(RADIANS(F28))+'Geometry'!$F$17*SIN(RADIANS(F28))),('Geometry'!$G$18*COS(RADIANS(F28))+'Geometry'!$F$18*SIN(RADIANS(F28))),('Geometry'!$G$19*COS(RADIANS(F28))+'Geometry'!$F$19*SIN(RADIANS(F28))),('Geometry'!$G$20*COS(RADIANS(F28))+'Geometry'!$F$20*SIN(RADIANS(F28))))</f>
        <v>794.6152422706632</v>
      </c>
      <c r="J28" s="11">
        <f>I28-H28*K28</f>
        <v>-1112.4613391789285</v>
      </c>
      <c r="K28" s="11">
        <f>I28-MIN(('Geometry'!$G$13*COS(RADIANS(F28))+'Geometry'!$F$13*SIN(RADIANS(F28))),('Geometry'!$G$14*COS(RADIANS(F28))+'Geometry'!$F$14*SIN(RADIANS(F28))),('Geometry'!$G$15*COS(RADIANS(F28))+'Geometry'!$F$15*SIN(RADIANS(F28))),('Geometry'!$G$16*COS(RADIANS(F28))+'Geometry'!$F$16*SIN(RADIANS(F28))),('Geometry'!$G$17*COS(RADIANS(F28))+'Geometry'!$F$17*SIN(RADIANS(F28))),('Geometry'!$G$18*COS(RADIANS(F28))+'Geometry'!$F$18*SIN(RADIANS(F28))),('Geometry'!$G$19*COS(RADIANS(F28))+'Geometry'!$F$19*SIN(RADIANS(F28))),('Geometry'!$G$20*COS(RADIANS(F28))+'Geometry'!$F$20*SIN(RADIANS(F28))))</f>
        <v>1589.2304845413264</v>
      </c>
      <c r="L28" s="16">
        <f>C_ecu</f>
        <v>0.0033</v>
      </c>
      <c r="M28" s="16">
        <f>0</f>
        <v>0</v>
      </c>
      <c r="N28" s="22">
        <f>IF(ABS(I28-J28)&lt;0.000000000001,0,(L28-M28)/(I28-J28))</f>
        <v>0.0000017303972122040482</v>
      </c>
      <c r="O28" s="16">
        <f>L28-N28*I28</f>
        <v>0.001925</v>
      </c>
      <c r="P28" s="22">
        <f>N28*COS(RADIANS(F28))</f>
        <v>0.0000014985679444064779</v>
      </c>
      <c r="Q28" s="22">
        <f>N28*SIN(RADIANS(F28))</f>
        <v>8.65198606102024e-7</v>
      </c>
      <c r="R28" s="11">
        <f>AP28</f>
        <v>15282.052731639913</v>
      </c>
      <c r="S28" s="11">
        <f>AQ28</f>
        <v>801.957138256207</v>
      </c>
      <c r="T28" s="11">
        <f>AR28</f>
        <v>655.654873326751</v>
      </c>
      <c r="U28" s="11">
        <f>AS28</f>
        <v>2388.292883843323</v>
      </c>
      <c r="V28" s="11">
        <f>AT28</f>
        <v>257.8287050132893</v>
      </c>
      <c r="W28" s="11">
        <f>AU28</f>
        <v>210.17545676774137</v>
      </c>
      <c r="X28" s="11">
        <f>AM28</f>
        <v>17670.345615483235</v>
      </c>
      <c r="Y28" s="11">
        <f>AN28</f>
        <v>1059.7858432694964</v>
      </c>
      <c r="Z28" s="11">
        <f>AO28</f>
        <v>865.8303300944923</v>
      </c>
      <c r="AA28" s="7">
        <v>1</v>
      </c>
      <c r="AB28" s="7">
        <v>1</v>
      </c>
      <c r="AC28" s="7">
        <v>1</v>
      </c>
      <c r="AD28" s="11">
        <f>X28*AA28</f>
        <v>17670.345615483235</v>
      </c>
      <c r="AE28" s="11">
        <f>Y28*AB28</f>
        <v>1059.7858432694964</v>
      </c>
      <c r="AF28" s="11">
        <f>Z28*AC28</f>
        <v>865.8303300944923</v>
      </c>
      <c r="AG28" s="7">
        <v>17670.345615483235</v>
      </c>
      <c r="AH28" s="7">
        <v>1059.7858432694964</v>
      </c>
      <c r="AI28" s="7">
        <v>865.8303300944923</v>
      </c>
      <c r="AJ28" s="16">
        <f>AD28-AG28</f>
        <v>0</v>
      </c>
      <c r="AK28" s="16">
        <f>SQRT((AE28-AH28)^2+(AF28-AI28)^2)</f>
        <v>0</v>
      </c>
      <c r="AL28" s="7" t="s">
        <v>190</v>
      </c>
      <c r="AM28" s="7">
        <v>17670.345615483235</v>
      </c>
      <c r="AN28" s="7">
        <v>1059.7858432694964</v>
      </c>
      <c r="AO28" s="7">
        <v>865.8303300944923</v>
      </c>
      <c r="AP28" s="7">
        <v>15282.052731639913</v>
      </c>
      <c r="AQ28" s="7">
        <v>801.957138256207</v>
      </c>
      <c r="AR28" s="7">
        <v>655.654873326751</v>
      </c>
      <c r="AS28" s="7">
        <v>2388.292883843323</v>
      </c>
      <c r="AT28" s="7">
        <v>257.8287050132893</v>
      </c>
      <c r="AU28" s="7">
        <v>210.17545676774137</v>
      </c>
    </row>
    <row r="29" spans="1:47" x14ac:dyDescent="0.25">
      <c r="A29" s="7" t="s">
        <v>238</v>
      </c>
      <c r="B29" s="7">
        <v>5</v>
      </c>
      <c r="C29" s="19">
        <v>30</v>
      </c>
      <c r="D29" s="7" t="s">
        <v>239</v>
      </c>
      <c r="E29" s="7" t="s">
        <v>206</v>
      </c>
      <c r="F29" s="20">
        <v>30</v>
      </c>
      <c r="G29" s="7" t="s">
        <v>194</v>
      </c>
      <c r="H29" s="21">
        <v>1.1</v>
      </c>
      <c r="I29" s="11">
        <f>MAX(('Geometry'!$G$13*COS(RADIANS(F29))+'Geometry'!$F$13*SIN(RADIANS(F29))),('Geometry'!$G$14*COS(RADIANS(F29))+'Geometry'!$F$14*SIN(RADIANS(F29))),('Geometry'!$G$15*COS(RADIANS(F29))+'Geometry'!$F$15*SIN(RADIANS(F29))),('Geometry'!$G$16*COS(RADIANS(F29))+'Geometry'!$F$16*SIN(RADIANS(F29))),('Geometry'!$G$17*COS(RADIANS(F29))+'Geometry'!$F$17*SIN(RADIANS(F29))),('Geometry'!$G$18*COS(RADIANS(F29))+'Geometry'!$F$18*SIN(RADIANS(F29))),('Geometry'!$G$19*COS(RADIANS(F29))+'Geometry'!$F$19*SIN(RADIANS(F29))),('Geometry'!$G$20*COS(RADIANS(F29))+'Geometry'!$F$20*SIN(RADIANS(F29))))</f>
        <v>794.6152422706632</v>
      </c>
      <c r="J29" s="11">
        <f>I29-H29*K29</f>
        <v>-953.5382907247961</v>
      </c>
      <c r="K29" s="11">
        <f>I29-MIN(('Geometry'!$G$13*COS(RADIANS(F29))+'Geometry'!$F$13*SIN(RADIANS(F29))),('Geometry'!$G$14*COS(RADIANS(F29))+'Geometry'!$F$14*SIN(RADIANS(F29))),('Geometry'!$G$15*COS(RADIANS(F29))+'Geometry'!$F$15*SIN(RADIANS(F29))),('Geometry'!$G$16*COS(RADIANS(F29))+'Geometry'!$F$16*SIN(RADIANS(F29))),('Geometry'!$G$17*COS(RADIANS(F29))+'Geometry'!$F$17*SIN(RADIANS(F29))),('Geometry'!$G$18*COS(RADIANS(F29))+'Geometry'!$F$18*SIN(RADIANS(F29))),('Geometry'!$G$19*COS(RADIANS(F29))+'Geometry'!$F$19*SIN(RADIANS(F29))),('Geometry'!$G$20*COS(RADIANS(F29))+'Geometry'!$F$20*SIN(RADIANS(F29))))</f>
        <v>1589.2304845413264</v>
      </c>
      <c r="L29" s="16">
        <f>C_ecu</f>
        <v>0.0033</v>
      </c>
      <c r="M29" s="16">
        <f>0</f>
        <v>0</v>
      </c>
      <c r="N29" s="22">
        <f>IF(ABS(I29-J29)&lt;0.000000000001,0,(L29-M29)/(I29-J29))</f>
        <v>0.0000018877060496771433</v>
      </c>
      <c r="O29" s="16">
        <f>L29-N29*I29</f>
        <v>0.0018000000000000002</v>
      </c>
      <c r="P29" s="22">
        <f>N29*COS(RADIANS(F29))</f>
        <v>0.0000016348013938979757</v>
      </c>
      <c r="Q29" s="22">
        <f>N29*SIN(RADIANS(F29))</f>
        <v>9.438530248385715e-7</v>
      </c>
      <c r="R29" s="11">
        <f>AP29</f>
        <v>15282.052731639913</v>
      </c>
      <c r="S29" s="11">
        <f>AQ29</f>
        <v>1002.4464228202587</v>
      </c>
      <c r="T29" s="11">
        <f>AR29</f>
        <v>819.5685916584388</v>
      </c>
      <c r="U29" s="11">
        <f>AS29</f>
        <v>2388.292883843323</v>
      </c>
      <c r="V29" s="11">
        <f>AT29</f>
        <v>322.2858812666116</v>
      </c>
      <c r="W29" s="11">
        <f>AU29</f>
        <v>262.7193209596767</v>
      </c>
      <c r="X29" s="11">
        <f>AM29</f>
        <v>17670.345615483235</v>
      </c>
      <c r="Y29" s="11">
        <f>AN29</f>
        <v>1324.7323040868705</v>
      </c>
      <c r="Z29" s="11">
        <f>AO29</f>
        <v>1082.2879126181153</v>
      </c>
      <c r="AA29" s="7">
        <v>1</v>
      </c>
      <c r="AB29" s="7">
        <v>1</v>
      </c>
      <c r="AC29" s="7">
        <v>1</v>
      </c>
      <c r="AD29" s="11">
        <f>X29*AA29</f>
        <v>17670.345615483235</v>
      </c>
      <c r="AE29" s="11">
        <f>Y29*AB29</f>
        <v>1324.7323040868705</v>
      </c>
      <c r="AF29" s="11">
        <f>Z29*AC29</f>
        <v>1082.2879126181153</v>
      </c>
      <c r="AG29" s="7">
        <v>17670.345615483235</v>
      </c>
      <c r="AH29" s="7">
        <v>1324.7323040868705</v>
      </c>
      <c r="AI29" s="7">
        <v>1082.2879126181153</v>
      </c>
      <c r="AJ29" s="16">
        <f>AD29-AG29</f>
        <v>0</v>
      </c>
      <c r="AK29" s="16">
        <f>SQRT((AE29-AH29)^2+(AF29-AI29)^2)</f>
        <v>0</v>
      </c>
      <c r="AL29" s="7" t="s">
        <v>190</v>
      </c>
      <c r="AM29" s="7">
        <v>17670.345615483235</v>
      </c>
      <c r="AN29" s="7">
        <v>1324.7323040868705</v>
      </c>
      <c r="AO29" s="7">
        <v>1082.2879126181153</v>
      </c>
      <c r="AP29" s="7">
        <v>15282.052731639913</v>
      </c>
      <c r="AQ29" s="7">
        <v>1002.4464228202587</v>
      </c>
      <c r="AR29" s="7">
        <v>819.5685916584388</v>
      </c>
      <c r="AS29" s="7">
        <v>2388.292883843323</v>
      </c>
      <c r="AT29" s="7">
        <v>322.2858812666116</v>
      </c>
      <c r="AU29" s="7">
        <v>262.7193209596767</v>
      </c>
    </row>
    <row r="30" spans="1:47" x14ac:dyDescent="0.25">
      <c r="A30" s="7" t="s">
        <v>240</v>
      </c>
      <c r="B30" s="7">
        <v>6</v>
      </c>
      <c r="C30" s="19">
        <v>30</v>
      </c>
      <c r="D30" s="7" t="s">
        <v>241</v>
      </c>
      <c r="E30" s="7" t="s">
        <v>229</v>
      </c>
      <c r="F30" s="20">
        <v>30</v>
      </c>
      <c r="G30" s="7" t="s">
        <v>194</v>
      </c>
      <c r="H30" s="21">
        <v>1</v>
      </c>
      <c r="I30" s="11">
        <f>MAX(('Geometry'!$G$13*COS(RADIANS(F30))+'Geometry'!$F$13*SIN(RADIANS(F30))),('Geometry'!$G$14*COS(RADIANS(F30))+'Geometry'!$F$14*SIN(RADIANS(F30))),('Geometry'!$G$15*COS(RADIANS(F30))+'Geometry'!$F$15*SIN(RADIANS(F30))),('Geometry'!$G$16*COS(RADIANS(F30))+'Geometry'!$F$16*SIN(RADIANS(F30))),('Geometry'!$G$17*COS(RADIANS(F30))+'Geometry'!$F$17*SIN(RADIANS(F30))),('Geometry'!$G$18*COS(RADIANS(F30))+'Geometry'!$F$18*SIN(RADIANS(F30))),('Geometry'!$G$19*COS(RADIANS(F30))+'Geometry'!$F$19*SIN(RADIANS(F30))),('Geometry'!$G$20*COS(RADIANS(F30))+'Geometry'!$F$20*SIN(RADIANS(F30))))</f>
        <v>794.6152422706632</v>
      </c>
      <c r="J30" s="11">
        <f>I30-H30*K30</f>
        <v>-794.6152422706632</v>
      </c>
      <c r="K30" s="11">
        <f>I30-MIN(('Geometry'!$G$13*COS(RADIANS(F30))+'Geometry'!$F$13*SIN(RADIANS(F30))),('Geometry'!$G$14*COS(RADIANS(F30))+'Geometry'!$F$14*SIN(RADIANS(F30))),('Geometry'!$G$15*COS(RADIANS(F30))+'Geometry'!$F$15*SIN(RADIANS(F30))),('Geometry'!$G$16*COS(RADIANS(F30))+'Geometry'!$F$16*SIN(RADIANS(F30))),('Geometry'!$G$17*COS(RADIANS(F30))+'Geometry'!$F$17*SIN(RADIANS(F30))),('Geometry'!$G$18*COS(RADIANS(F30))+'Geometry'!$F$18*SIN(RADIANS(F30))),('Geometry'!$G$19*COS(RADIANS(F30))+'Geometry'!$F$19*SIN(RADIANS(F30))),('Geometry'!$G$20*COS(RADIANS(F30))+'Geometry'!$F$20*SIN(RADIANS(F30))))</f>
        <v>1589.2304845413264</v>
      </c>
      <c r="L30" s="16">
        <f>C_ecu</f>
        <v>0.0033</v>
      </c>
      <c r="M30" s="16">
        <f>0</f>
        <v>0</v>
      </c>
      <c r="N30" s="22">
        <f>IF(ABS(I30-J30)&lt;0.000000000001,0,(L30-M30)/(I30-J30))</f>
        <v>0.0000020764766546448578</v>
      </c>
      <c r="O30" s="16">
        <f>L30-N30*I30</f>
        <v>0.00165</v>
      </c>
      <c r="P30" s="22">
        <f>N30*COS(RADIANS(F30))</f>
        <v>0.0000017982815332877735</v>
      </c>
      <c r="Q30" s="22">
        <f>N30*SIN(RADIANS(F30))</f>
        <v>0.0000010382383273224287</v>
      </c>
      <c r="R30" s="11">
        <f>AP30</f>
        <v>15282.052731639913</v>
      </c>
      <c r="S30" s="11">
        <f>AQ30</f>
        <v>1202.9357073843105</v>
      </c>
      <c r="T30" s="11">
        <f>AR30</f>
        <v>983.4823099901265</v>
      </c>
      <c r="U30" s="11">
        <f>AS30</f>
        <v>2388.292883843323</v>
      </c>
      <c r="V30" s="11">
        <f>AT30</f>
        <v>386.743057519934</v>
      </c>
      <c r="W30" s="11">
        <f>AU30</f>
        <v>315.26318515161205</v>
      </c>
      <c r="X30" s="11">
        <f>AM30</f>
        <v>17670.345615483235</v>
      </c>
      <c r="Y30" s="11">
        <f>AN30</f>
        <v>1589.6787649042444</v>
      </c>
      <c r="Z30" s="11">
        <f>AO30</f>
        <v>1298.7454951417385</v>
      </c>
      <c r="AA30" s="7">
        <v>1</v>
      </c>
      <c r="AB30" s="7">
        <v>1</v>
      </c>
      <c r="AC30" s="7">
        <v>1</v>
      </c>
      <c r="AD30" s="11">
        <f>X30*AA30</f>
        <v>17670.345615483235</v>
      </c>
      <c r="AE30" s="11">
        <f>Y30*AB30</f>
        <v>1589.6787649042444</v>
      </c>
      <c r="AF30" s="11">
        <f>Z30*AC30</f>
        <v>1298.7454951417385</v>
      </c>
      <c r="AG30" s="7">
        <v>17670.345615483235</v>
      </c>
      <c r="AH30" s="7">
        <v>1589.6787649042444</v>
      </c>
      <c r="AI30" s="7">
        <v>1298.7454951417385</v>
      </c>
      <c r="AJ30" s="16">
        <f>AD30-AG30</f>
        <v>0</v>
      </c>
      <c r="AK30" s="16">
        <f>SQRT((AE30-AH30)^2+(AF30-AI30)^2)</f>
        <v>0</v>
      </c>
      <c r="AL30" s="7" t="s">
        <v>190</v>
      </c>
      <c r="AM30" s="7">
        <v>17670.345615483235</v>
      </c>
      <c r="AN30" s="7">
        <v>1589.6787649042444</v>
      </c>
      <c r="AO30" s="7">
        <v>1298.7454951417385</v>
      </c>
      <c r="AP30" s="7">
        <v>15282.052731639913</v>
      </c>
      <c r="AQ30" s="7">
        <v>1202.9357073843105</v>
      </c>
      <c r="AR30" s="7">
        <v>983.4823099901265</v>
      </c>
      <c r="AS30" s="7">
        <v>2388.292883843323</v>
      </c>
      <c r="AT30" s="7">
        <v>386.743057519934</v>
      </c>
      <c r="AU30" s="7">
        <v>315.26318515161205</v>
      </c>
    </row>
    <row r="31" spans="1:47" x14ac:dyDescent="0.25">
      <c r="A31" s="7" t="s">
        <v>242</v>
      </c>
      <c r="B31" s="7">
        <v>1</v>
      </c>
      <c r="C31" s="19">
        <v>40</v>
      </c>
      <c r="D31" s="7" t="s">
        <v>243</v>
      </c>
      <c r="E31" s="7" t="s">
        <v>193</v>
      </c>
      <c r="F31" s="20">
        <v>40</v>
      </c>
      <c r="G31" s="7" t="s">
        <v>194</v>
      </c>
      <c r="H31" s="21">
        <v>3.0000000000000004</v>
      </c>
      <c r="I31" s="11">
        <f>MAX(('Geometry'!$G$13*COS(RADIANS(F31))+'Geometry'!$F$13*SIN(RADIANS(F31))),('Geometry'!$G$14*COS(RADIANS(F31))+'Geometry'!$F$14*SIN(RADIANS(F31))),('Geometry'!$G$15*COS(RADIANS(F31))+'Geometry'!$F$15*SIN(RADIANS(F31))),('Geometry'!$G$16*COS(RADIANS(F31))+'Geometry'!$F$16*SIN(RADIANS(F31))),('Geometry'!$G$17*COS(RADIANS(F31))+'Geometry'!$F$17*SIN(RADIANS(F31))),('Geometry'!$G$18*COS(RADIANS(F31))+'Geometry'!$F$18*SIN(RADIANS(F31))),('Geometry'!$G$19*COS(RADIANS(F31))+'Geometry'!$F$19*SIN(RADIANS(F31))),('Geometry'!$G$20*COS(RADIANS(F31))+'Geometry'!$F$20*SIN(RADIANS(F31))))</f>
        <v>813.1598511989835</v>
      </c>
      <c r="J31" s="11">
        <f>I31-H31*K31</f>
        <v>-4065.799255994918</v>
      </c>
      <c r="K31" s="11">
        <f>I31-MIN(('Geometry'!$G$13*COS(RADIANS(F31))+'Geometry'!$F$13*SIN(RADIANS(F31))),('Geometry'!$G$14*COS(RADIANS(F31))+'Geometry'!$F$14*SIN(RADIANS(F31))),('Geometry'!$G$15*COS(RADIANS(F31))+'Geometry'!$F$15*SIN(RADIANS(F31))),('Geometry'!$G$16*COS(RADIANS(F31))+'Geometry'!$F$16*SIN(RADIANS(F31))),('Geometry'!$G$17*COS(RADIANS(F31))+'Geometry'!$F$17*SIN(RADIANS(F31))),('Geometry'!$G$18*COS(RADIANS(F31))+'Geometry'!$F$18*SIN(RADIANS(F31))),('Geometry'!$G$19*COS(RADIANS(F31))+'Geometry'!$F$19*SIN(RADIANS(F31))),('Geometry'!$G$20*COS(RADIANS(F31))+'Geometry'!$F$20*SIN(RADIANS(F31))))</f>
        <v>1626.319702397967</v>
      </c>
      <c r="L31" s="16">
        <f>C_ecu</f>
        <v>0.0032999999999999995</v>
      </c>
      <c r="M31" s="16">
        <f>0</f>
        <v>0</v>
      </c>
      <c r="N31" s="22">
        <f>IF(ABS(I31-J31)&lt;0.000000000001,0,(L31-M31)/(I31-J31))</f>
        <v>6.76373777171904e-7</v>
      </c>
      <c r="O31" s="16">
        <f>L31-N31*I31</f>
        <v>0.00275</v>
      </c>
      <c r="P31" s="22">
        <f>N31*COS(RADIANS(F31))</f>
        <v>5.18132373473931e-7</v>
      </c>
      <c r="Q31" s="22">
        <f>N31*SIN(RADIANS(F31))</f>
        <v>4.3476468348298417e-7</v>
      </c>
      <c r="R31" s="11">
        <f>AP31</f>
        <v>15280.236471834909</v>
      </c>
      <c r="S31" s="11">
        <f>AQ31</f>
        <v>177.1658175430916</v>
      </c>
      <c r="T31" s="11">
        <f>AR31</f>
        <v>203.47264405075333</v>
      </c>
      <c r="U31" s="11">
        <f>AS31</f>
        <v>2390.1091436483266</v>
      </c>
      <c r="V31" s="11">
        <f>AT31</f>
        <v>56.58765267920388</v>
      </c>
      <c r="W31" s="11">
        <f>AU31</f>
        <v>65.06431860061777</v>
      </c>
      <c r="X31" s="11">
        <f>AM31</f>
        <v>17670.345615483235</v>
      </c>
      <c r="Y31" s="11">
        <f>AN31</f>
        <v>233.7534702222955</v>
      </c>
      <c r="Z31" s="11">
        <f>AO31</f>
        <v>268.5369626513711</v>
      </c>
      <c r="AA31" s="7">
        <v>1</v>
      </c>
      <c r="AB31" s="7">
        <v>1</v>
      </c>
      <c r="AC31" s="7">
        <v>1</v>
      </c>
      <c r="AD31" s="11">
        <f>X31*AA31</f>
        <v>17670.345615483235</v>
      </c>
      <c r="AE31" s="11">
        <f>Y31*AB31</f>
        <v>233.7534702222955</v>
      </c>
      <c r="AF31" s="11">
        <f>Z31*AC31</f>
        <v>268.5369626513711</v>
      </c>
      <c r="AG31" s="7">
        <v>17670.345615483235</v>
      </c>
      <c r="AH31" s="7">
        <v>233.7534702222955</v>
      </c>
      <c r="AI31" s="7">
        <v>268.5369626513711</v>
      </c>
      <c r="AJ31" s="16">
        <f>AD31-AG31</f>
        <v>0</v>
      </c>
      <c r="AK31" s="16">
        <f>SQRT((AE31-AH31)^2+(AF31-AI31)^2)</f>
        <v>0</v>
      </c>
      <c r="AL31" s="7" t="s">
        <v>190</v>
      </c>
      <c r="AM31" s="7">
        <v>17670.345615483235</v>
      </c>
      <c r="AN31" s="7">
        <v>233.7534702222955</v>
      </c>
      <c r="AO31" s="7">
        <v>268.5369626513711</v>
      </c>
      <c r="AP31" s="7">
        <v>15280.236471834909</v>
      </c>
      <c r="AQ31" s="7">
        <v>177.1658175430916</v>
      </c>
      <c r="AR31" s="7">
        <v>203.47264405075333</v>
      </c>
      <c r="AS31" s="7">
        <v>2390.1091436483266</v>
      </c>
      <c r="AT31" s="7">
        <v>56.58765267920388</v>
      </c>
      <c r="AU31" s="7">
        <v>65.06431860061777</v>
      </c>
    </row>
    <row r="32" spans="1:47" x14ac:dyDescent="0.25">
      <c r="A32" s="7" t="s">
        <v>244</v>
      </c>
      <c r="B32" s="7">
        <v>2</v>
      </c>
      <c r="C32" s="19">
        <v>40</v>
      </c>
      <c r="D32" s="7" t="s">
        <v>245</v>
      </c>
      <c r="E32" s="7" t="s">
        <v>197</v>
      </c>
      <c r="F32" s="20">
        <v>40</v>
      </c>
      <c r="G32" s="7" t="s">
        <v>194</v>
      </c>
      <c r="H32" s="21">
        <v>2</v>
      </c>
      <c r="I32" s="11">
        <f>MAX(('Geometry'!$G$13*COS(RADIANS(F32))+'Geometry'!$F$13*SIN(RADIANS(F32))),('Geometry'!$G$14*COS(RADIANS(F32))+'Geometry'!$F$14*SIN(RADIANS(F32))),('Geometry'!$G$15*COS(RADIANS(F32))+'Geometry'!$F$15*SIN(RADIANS(F32))),('Geometry'!$G$16*COS(RADIANS(F32))+'Geometry'!$F$16*SIN(RADIANS(F32))),('Geometry'!$G$17*COS(RADIANS(F32))+'Geometry'!$F$17*SIN(RADIANS(F32))),('Geometry'!$G$18*COS(RADIANS(F32))+'Geometry'!$F$18*SIN(RADIANS(F32))),('Geometry'!$G$19*COS(RADIANS(F32))+'Geometry'!$F$19*SIN(RADIANS(F32))),('Geometry'!$G$20*COS(RADIANS(F32))+'Geometry'!$F$20*SIN(RADIANS(F32))))</f>
        <v>813.1598511989835</v>
      </c>
      <c r="J32" s="11">
        <f>I32-H32*K32</f>
        <v>-2439.4795535969506</v>
      </c>
      <c r="K32" s="11">
        <f>I32-MIN(('Geometry'!$G$13*COS(RADIANS(F32))+'Geometry'!$F$13*SIN(RADIANS(F32))),('Geometry'!$G$14*COS(RADIANS(F32))+'Geometry'!$F$14*SIN(RADIANS(F32))),('Geometry'!$G$15*COS(RADIANS(F32))+'Geometry'!$F$15*SIN(RADIANS(F32))),('Geometry'!$G$16*COS(RADIANS(F32))+'Geometry'!$F$16*SIN(RADIANS(F32))),('Geometry'!$G$17*COS(RADIANS(F32))+'Geometry'!$F$17*SIN(RADIANS(F32))),('Geometry'!$G$18*COS(RADIANS(F32))+'Geometry'!$F$18*SIN(RADIANS(F32))),('Geometry'!$G$19*COS(RADIANS(F32))+'Geometry'!$F$19*SIN(RADIANS(F32))),('Geometry'!$G$20*COS(RADIANS(F32))+'Geometry'!$F$20*SIN(RADIANS(F32))))</f>
        <v>1626.319702397967</v>
      </c>
      <c r="L32" s="16">
        <f>C_ecu</f>
        <v>0.0033</v>
      </c>
      <c r="M32" s="16">
        <f>0</f>
        <v>0</v>
      </c>
      <c r="N32" s="22">
        <f>IF(ABS(I32-J32)&lt;0.000000000001,0,(L32-M32)/(I32-J32))</f>
        <v>0.0000010145606657578562</v>
      </c>
      <c r="O32" s="16">
        <f>L32-N32*I32</f>
        <v>0.002475</v>
      </c>
      <c r="P32" s="22">
        <f>N32*COS(RADIANS(F32))</f>
        <v>7.771985602108965e-7</v>
      </c>
      <c r="Q32" s="22">
        <f>N32*SIN(RADIANS(F32))</f>
        <v>6.521470252244763e-7</v>
      </c>
      <c r="R32" s="11">
        <f>AP32</f>
        <v>15280.236471834909</v>
      </c>
      <c r="S32" s="11">
        <f>AQ32</f>
        <v>354.3316350861832</v>
      </c>
      <c r="T32" s="11">
        <f>AR32</f>
        <v>406.94528810150666</v>
      </c>
      <c r="U32" s="11">
        <f>AS32</f>
        <v>2390.1091436483266</v>
      </c>
      <c r="V32" s="11">
        <f>AT32</f>
        <v>113.17530535840775</v>
      </c>
      <c r="W32" s="11">
        <f>AU32</f>
        <v>130.12863720123553</v>
      </c>
      <c r="X32" s="11">
        <f>AM32</f>
        <v>17670.345615483235</v>
      </c>
      <c r="Y32" s="11">
        <f>AN32</f>
        <v>467.506940444591</v>
      </c>
      <c r="Z32" s="11">
        <f>AO32</f>
        <v>537.0739253027422</v>
      </c>
      <c r="AA32" s="7">
        <v>1</v>
      </c>
      <c r="AB32" s="7">
        <v>1</v>
      </c>
      <c r="AC32" s="7">
        <v>1</v>
      </c>
      <c r="AD32" s="11">
        <f>X32*AA32</f>
        <v>17670.345615483235</v>
      </c>
      <c r="AE32" s="11">
        <f>Y32*AB32</f>
        <v>467.506940444591</v>
      </c>
      <c r="AF32" s="11">
        <f>Z32*AC32</f>
        <v>537.0739253027422</v>
      </c>
      <c r="AG32" s="7">
        <v>17670.345615483235</v>
      </c>
      <c r="AH32" s="7">
        <v>467.506940444591</v>
      </c>
      <c r="AI32" s="7">
        <v>537.0739253027422</v>
      </c>
      <c r="AJ32" s="16">
        <f>AD32-AG32</f>
        <v>0</v>
      </c>
      <c r="AK32" s="16">
        <f>SQRT((AE32-AH32)^2+(AF32-AI32)^2)</f>
        <v>0</v>
      </c>
      <c r="AL32" s="7" t="s">
        <v>190</v>
      </c>
      <c r="AM32" s="7">
        <v>17670.345615483235</v>
      </c>
      <c r="AN32" s="7">
        <v>467.506940444591</v>
      </c>
      <c r="AO32" s="7">
        <v>537.0739253027422</v>
      </c>
      <c r="AP32" s="7">
        <v>15280.236471834909</v>
      </c>
      <c r="AQ32" s="7">
        <v>354.3316350861832</v>
      </c>
      <c r="AR32" s="7">
        <v>406.94528810150666</v>
      </c>
      <c r="AS32" s="7">
        <v>2390.1091436483266</v>
      </c>
      <c r="AT32" s="7">
        <v>113.17530535840775</v>
      </c>
      <c r="AU32" s="7">
        <v>130.12863720123553</v>
      </c>
    </row>
    <row r="33" spans="1:47" x14ac:dyDescent="0.25">
      <c r="A33" s="7" t="s">
        <v>246</v>
      </c>
      <c r="B33" s="7">
        <v>3</v>
      </c>
      <c r="C33" s="19">
        <v>40</v>
      </c>
      <c r="D33" s="7" t="s">
        <v>247</v>
      </c>
      <c r="E33" s="7" t="s">
        <v>200</v>
      </c>
      <c r="F33" s="20">
        <v>40</v>
      </c>
      <c r="G33" s="7" t="s">
        <v>194</v>
      </c>
      <c r="H33" s="21">
        <v>1.5000000000000002</v>
      </c>
      <c r="I33" s="11">
        <f>MAX(('Geometry'!$G$13*COS(RADIANS(F33))+'Geometry'!$F$13*SIN(RADIANS(F33))),('Geometry'!$G$14*COS(RADIANS(F33))+'Geometry'!$F$14*SIN(RADIANS(F33))),('Geometry'!$G$15*COS(RADIANS(F33))+'Geometry'!$F$15*SIN(RADIANS(F33))),('Geometry'!$G$16*COS(RADIANS(F33))+'Geometry'!$F$16*SIN(RADIANS(F33))),('Geometry'!$G$17*COS(RADIANS(F33))+'Geometry'!$F$17*SIN(RADIANS(F33))),('Geometry'!$G$18*COS(RADIANS(F33))+'Geometry'!$F$18*SIN(RADIANS(F33))),('Geometry'!$G$19*COS(RADIANS(F33))+'Geometry'!$F$19*SIN(RADIANS(F33))),('Geometry'!$G$20*COS(RADIANS(F33))+'Geometry'!$F$20*SIN(RADIANS(F33))))</f>
        <v>813.1598511989835</v>
      </c>
      <c r="J33" s="11">
        <f>I33-H33*K33</f>
        <v>-1626.3197023979674</v>
      </c>
      <c r="K33" s="11">
        <f>I33-MIN(('Geometry'!$G$13*COS(RADIANS(F33))+'Geometry'!$F$13*SIN(RADIANS(F33))),('Geometry'!$G$14*COS(RADIANS(F33))+'Geometry'!$F$14*SIN(RADIANS(F33))),('Geometry'!$G$15*COS(RADIANS(F33))+'Geometry'!$F$15*SIN(RADIANS(F33))),('Geometry'!$G$16*COS(RADIANS(F33))+'Geometry'!$F$16*SIN(RADIANS(F33))),('Geometry'!$G$17*COS(RADIANS(F33))+'Geometry'!$F$17*SIN(RADIANS(F33))),('Geometry'!$G$18*COS(RADIANS(F33))+'Geometry'!$F$18*SIN(RADIANS(F33))),('Geometry'!$G$19*COS(RADIANS(F33))+'Geometry'!$F$19*SIN(RADIANS(F33))),('Geometry'!$G$20*COS(RADIANS(F33))+'Geometry'!$F$20*SIN(RADIANS(F33))))</f>
        <v>1626.319702397967</v>
      </c>
      <c r="L33" s="16">
        <f>C_ecu</f>
        <v>0.0033</v>
      </c>
      <c r="M33" s="16">
        <f>0</f>
        <v>0</v>
      </c>
      <c r="N33" s="22">
        <f>IF(ABS(I33-J33)&lt;0.000000000001,0,(L33-M33)/(I33-J33))</f>
        <v>0.000001352747554343808</v>
      </c>
      <c r="O33" s="16">
        <f>L33-N33*I33</f>
        <v>0.0022</v>
      </c>
      <c r="P33" s="22">
        <f>N33*COS(RADIANS(F33))</f>
        <v>0.000001036264746947862</v>
      </c>
      <c r="Q33" s="22">
        <f>N33*SIN(RADIANS(F33))</f>
        <v>8.695293669659683e-7</v>
      </c>
      <c r="R33" s="11">
        <f>AP33</f>
        <v>15280.236471834909</v>
      </c>
      <c r="S33" s="11">
        <f>AQ33</f>
        <v>531.4974526292748</v>
      </c>
      <c r="T33" s="11">
        <f>AR33</f>
        <v>610.4179321522599</v>
      </c>
      <c r="U33" s="11">
        <f>AS33</f>
        <v>2390.1091436483266</v>
      </c>
      <c r="V33" s="11">
        <f>AT33</f>
        <v>169.76295803761164</v>
      </c>
      <c r="W33" s="11">
        <f>AU33</f>
        <v>195.19295580185332</v>
      </c>
      <c r="X33" s="11">
        <f>AM33</f>
        <v>17670.345615483235</v>
      </c>
      <c r="Y33" s="11">
        <f>AN33</f>
        <v>701.2604106668864</v>
      </c>
      <c r="Z33" s="11">
        <f>AO33</f>
        <v>805.6108879541132</v>
      </c>
      <c r="AA33" s="7">
        <v>1</v>
      </c>
      <c r="AB33" s="7">
        <v>1</v>
      </c>
      <c r="AC33" s="7">
        <v>1</v>
      </c>
      <c r="AD33" s="11">
        <f>X33*AA33</f>
        <v>17670.345615483235</v>
      </c>
      <c r="AE33" s="11">
        <f>Y33*AB33</f>
        <v>701.2604106668864</v>
      </c>
      <c r="AF33" s="11">
        <f>Z33*AC33</f>
        <v>805.6108879541132</v>
      </c>
      <c r="AG33" s="7">
        <v>17670.345615483235</v>
      </c>
      <c r="AH33" s="7">
        <v>701.2604106668864</v>
      </c>
      <c r="AI33" s="7">
        <v>805.6108879541132</v>
      </c>
      <c r="AJ33" s="16">
        <f>AD33-AG33</f>
        <v>0</v>
      </c>
      <c r="AK33" s="16">
        <f>SQRT((AE33-AH33)^2+(AF33-AI33)^2)</f>
        <v>0</v>
      </c>
      <c r="AL33" s="7" t="s">
        <v>190</v>
      </c>
      <c r="AM33" s="7">
        <v>17670.345615483235</v>
      </c>
      <c r="AN33" s="7">
        <v>701.2604106668864</v>
      </c>
      <c r="AO33" s="7">
        <v>805.6108879541132</v>
      </c>
      <c r="AP33" s="7">
        <v>15280.236471834909</v>
      </c>
      <c r="AQ33" s="7">
        <v>531.4974526292748</v>
      </c>
      <c r="AR33" s="7">
        <v>610.4179321522599</v>
      </c>
      <c r="AS33" s="7">
        <v>2390.1091436483266</v>
      </c>
      <c r="AT33" s="7">
        <v>169.76295803761164</v>
      </c>
      <c r="AU33" s="7">
        <v>195.19295580185332</v>
      </c>
    </row>
    <row r="34" spans="1:47" x14ac:dyDescent="0.25">
      <c r="A34" s="7" t="s">
        <v>248</v>
      </c>
      <c r="B34" s="7">
        <v>4</v>
      </c>
      <c r="C34" s="19">
        <v>40</v>
      </c>
      <c r="D34" s="7" t="s">
        <v>249</v>
      </c>
      <c r="E34" s="7" t="s">
        <v>203</v>
      </c>
      <c r="F34" s="20">
        <v>40</v>
      </c>
      <c r="G34" s="7" t="s">
        <v>194</v>
      </c>
      <c r="H34" s="21">
        <v>1.2</v>
      </c>
      <c r="I34" s="11">
        <f>MAX(('Geometry'!$G$13*COS(RADIANS(F34))+'Geometry'!$F$13*SIN(RADIANS(F34))),('Geometry'!$G$14*COS(RADIANS(F34))+'Geometry'!$F$14*SIN(RADIANS(F34))),('Geometry'!$G$15*COS(RADIANS(F34))+'Geometry'!$F$15*SIN(RADIANS(F34))),('Geometry'!$G$16*COS(RADIANS(F34))+'Geometry'!$F$16*SIN(RADIANS(F34))),('Geometry'!$G$17*COS(RADIANS(F34))+'Geometry'!$F$17*SIN(RADIANS(F34))),('Geometry'!$G$18*COS(RADIANS(F34))+'Geometry'!$F$18*SIN(RADIANS(F34))),('Geometry'!$G$19*COS(RADIANS(F34))+'Geometry'!$F$19*SIN(RADIANS(F34))),('Geometry'!$G$20*COS(RADIANS(F34))+'Geometry'!$F$20*SIN(RADIANS(F34))))</f>
        <v>813.1598511989835</v>
      </c>
      <c r="J34" s="11">
        <f>I34-H34*K34</f>
        <v>-1138.423791678577</v>
      </c>
      <c r="K34" s="11">
        <f>I34-MIN(('Geometry'!$G$13*COS(RADIANS(F34))+'Geometry'!$F$13*SIN(RADIANS(F34))),('Geometry'!$G$14*COS(RADIANS(F34))+'Geometry'!$F$14*SIN(RADIANS(F34))),('Geometry'!$G$15*COS(RADIANS(F34))+'Geometry'!$F$15*SIN(RADIANS(F34))),('Geometry'!$G$16*COS(RADIANS(F34))+'Geometry'!$F$16*SIN(RADIANS(F34))),('Geometry'!$G$17*COS(RADIANS(F34))+'Geometry'!$F$17*SIN(RADIANS(F34))),('Geometry'!$G$18*COS(RADIANS(F34))+'Geometry'!$F$18*SIN(RADIANS(F34))),('Geometry'!$G$19*COS(RADIANS(F34))+'Geometry'!$F$19*SIN(RADIANS(F34))),('Geometry'!$G$20*COS(RADIANS(F34))+'Geometry'!$F$20*SIN(RADIANS(F34))))</f>
        <v>1626.319702397967</v>
      </c>
      <c r="L34" s="16">
        <f>C_ecu</f>
        <v>0.0033</v>
      </c>
      <c r="M34" s="16">
        <f>0</f>
        <v>0</v>
      </c>
      <c r="N34" s="22">
        <f>IF(ABS(I34-J34)&lt;0.000000000001,0,(L34-M34)/(I34-J34))</f>
        <v>0.0000016909344429297603</v>
      </c>
      <c r="O34" s="16">
        <f>L34-N34*I34</f>
        <v>0.0019249999999999998</v>
      </c>
      <c r="P34" s="22">
        <f>N34*COS(RADIANS(F34))</f>
        <v>0.0000012953309336848276</v>
      </c>
      <c r="Q34" s="22">
        <f>N34*SIN(RADIANS(F34))</f>
        <v>0.0000010869117087074606</v>
      </c>
      <c r="R34" s="11">
        <f>AP34</f>
        <v>15280.236471834909</v>
      </c>
      <c r="S34" s="11">
        <f>AQ34</f>
        <v>708.6632701723664</v>
      </c>
      <c r="T34" s="11">
        <f>AR34</f>
        <v>813.8905762030133</v>
      </c>
      <c r="U34" s="11">
        <f>AS34</f>
        <v>2390.1091436483266</v>
      </c>
      <c r="V34" s="11">
        <f>AT34</f>
        <v>226.3506107168155</v>
      </c>
      <c r="W34" s="11">
        <f>AU34</f>
        <v>260.25727440247107</v>
      </c>
      <c r="X34" s="11">
        <f>AM34</f>
        <v>17670.345615483235</v>
      </c>
      <c r="Y34" s="11">
        <f>AN34</f>
        <v>935.013880889182</v>
      </c>
      <c r="Z34" s="11">
        <f>AO34</f>
        <v>1074.1478506054843</v>
      </c>
      <c r="AA34" s="7">
        <v>1</v>
      </c>
      <c r="AB34" s="7">
        <v>1</v>
      </c>
      <c r="AC34" s="7">
        <v>1</v>
      </c>
      <c r="AD34" s="11">
        <f>X34*AA34</f>
        <v>17670.345615483235</v>
      </c>
      <c r="AE34" s="11">
        <f>Y34*AB34</f>
        <v>935.013880889182</v>
      </c>
      <c r="AF34" s="11">
        <f>Z34*AC34</f>
        <v>1074.1478506054843</v>
      </c>
      <c r="AG34" s="7">
        <v>17670.345615483235</v>
      </c>
      <c r="AH34" s="7">
        <v>935.013880889182</v>
      </c>
      <c r="AI34" s="7">
        <v>1074.1478506054843</v>
      </c>
      <c r="AJ34" s="16">
        <f>AD34-AG34</f>
        <v>0</v>
      </c>
      <c r="AK34" s="16">
        <f>SQRT((AE34-AH34)^2+(AF34-AI34)^2)</f>
        <v>0</v>
      </c>
      <c r="AL34" s="7" t="s">
        <v>190</v>
      </c>
      <c r="AM34" s="7">
        <v>17670.345615483235</v>
      </c>
      <c r="AN34" s="7">
        <v>935.013880889182</v>
      </c>
      <c r="AO34" s="7">
        <v>1074.1478506054843</v>
      </c>
      <c r="AP34" s="7">
        <v>15280.236471834909</v>
      </c>
      <c r="AQ34" s="7">
        <v>708.6632701723664</v>
      </c>
      <c r="AR34" s="7">
        <v>813.8905762030133</v>
      </c>
      <c r="AS34" s="7">
        <v>2390.1091436483266</v>
      </c>
      <c r="AT34" s="7">
        <v>226.3506107168155</v>
      </c>
      <c r="AU34" s="7">
        <v>260.25727440247107</v>
      </c>
    </row>
    <row r="35" spans="1:47" x14ac:dyDescent="0.25">
      <c r="A35" s="7" t="s">
        <v>250</v>
      </c>
      <c r="B35" s="7">
        <v>5</v>
      </c>
      <c r="C35" s="19">
        <v>40</v>
      </c>
      <c r="D35" s="7" t="s">
        <v>251</v>
      </c>
      <c r="E35" s="7" t="s">
        <v>206</v>
      </c>
      <c r="F35" s="20">
        <v>40</v>
      </c>
      <c r="G35" s="7" t="s">
        <v>194</v>
      </c>
      <c r="H35" s="21">
        <v>1.1</v>
      </c>
      <c r="I35" s="11">
        <f>MAX(('Geometry'!$G$13*COS(RADIANS(F35))+'Geometry'!$F$13*SIN(RADIANS(F35))),('Geometry'!$G$14*COS(RADIANS(F35))+'Geometry'!$F$14*SIN(RADIANS(F35))),('Geometry'!$G$15*COS(RADIANS(F35))+'Geometry'!$F$15*SIN(RADIANS(F35))),('Geometry'!$G$16*COS(RADIANS(F35))+'Geometry'!$F$16*SIN(RADIANS(F35))),('Geometry'!$G$17*COS(RADIANS(F35))+'Geometry'!$F$17*SIN(RADIANS(F35))),('Geometry'!$G$18*COS(RADIANS(F35))+'Geometry'!$F$18*SIN(RADIANS(F35))),('Geometry'!$G$19*COS(RADIANS(F35))+'Geometry'!$F$19*SIN(RADIANS(F35))),('Geometry'!$G$20*COS(RADIANS(F35))+'Geometry'!$F$20*SIN(RADIANS(F35))))</f>
        <v>813.1598511989835</v>
      </c>
      <c r="J35" s="11">
        <f>I35-H35*K35</f>
        <v>-975.7918214387803</v>
      </c>
      <c r="K35" s="11">
        <f>I35-MIN(('Geometry'!$G$13*COS(RADIANS(F35))+'Geometry'!$F$13*SIN(RADIANS(F35))),('Geometry'!$G$14*COS(RADIANS(F35))+'Geometry'!$F$14*SIN(RADIANS(F35))),('Geometry'!$G$15*COS(RADIANS(F35))+'Geometry'!$F$15*SIN(RADIANS(F35))),('Geometry'!$G$16*COS(RADIANS(F35))+'Geometry'!$F$16*SIN(RADIANS(F35))),('Geometry'!$G$17*COS(RADIANS(F35))+'Geometry'!$F$17*SIN(RADIANS(F35))),('Geometry'!$G$18*COS(RADIANS(F35))+'Geometry'!$F$18*SIN(RADIANS(F35))),('Geometry'!$G$19*COS(RADIANS(F35))+'Geometry'!$F$19*SIN(RADIANS(F35))),('Geometry'!$G$20*COS(RADIANS(F35))+'Geometry'!$F$20*SIN(RADIANS(F35))))</f>
        <v>1626.319702397967</v>
      </c>
      <c r="L35" s="16">
        <f>C_ecu</f>
        <v>0.0033</v>
      </c>
      <c r="M35" s="16">
        <f>0</f>
        <v>0</v>
      </c>
      <c r="N35" s="22">
        <f>IF(ABS(I35-J35)&lt;0.000000000001,0,(L35-M35)/(I35-J35))</f>
        <v>0.0000018446557559233748</v>
      </c>
      <c r="O35" s="16">
        <f>L35-N35*I35</f>
        <v>0.0018</v>
      </c>
      <c r="P35" s="22">
        <f>N35*COS(RADIANS(F35))</f>
        <v>0.0000014130882912925392</v>
      </c>
      <c r="Q35" s="22">
        <f>N35*SIN(RADIANS(F35))</f>
        <v>0.0000011857218640445023</v>
      </c>
      <c r="R35" s="11">
        <f>AP35</f>
        <v>15280.236471834909</v>
      </c>
      <c r="S35" s="11">
        <f>AQ35</f>
        <v>885.8290877154581</v>
      </c>
      <c r="T35" s="11">
        <f>AR35</f>
        <v>1017.3632202537667</v>
      </c>
      <c r="U35" s="11">
        <f>AS35</f>
        <v>2390.1091436483266</v>
      </c>
      <c r="V35" s="11">
        <f>AT35</f>
        <v>282.9382633960194</v>
      </c>
      <c r="W35" s="11">
        <f>AU35</f>
        <v>325.3215930030889</v>
      </c>
      <c r="X35" s="11">
        <f>AM35</f>
        <v>17670.345615483235</v>
      </c>
      <c r="Y35" s="11">
        <f>AN35</f>
        <v>1168.7673511114776</v>
      </c>
      <c r="Z35" s="11">
        <f>AO35</f>
        <v>1342.6848132568555</v>
      </c>
      <c r="AA35" s="7">
        <v>1</v>
      </c>
      <c r="AB35" s="7">
        <v>1</v>
      </c>
      <c r="AC35" s="7">
        <v>1</v>
      </c>
      <c r="AD35" s="11">
        <f>X35*AA35</f>
        <v>17670.345615483235</v>
      </c>
      <c r="AE35" s="11">
        <f>Y35*AB35</f>
        <v>1168.7673511114776</v>
      </c>
      <c r="AF35" s="11">
        <f>Z35*AC35</f>
        <v>1342.6848132568555</v>
      </c>
      <c r="AG35" s="7">
        <v>17670.345615483235</v>
      </c>
      <c r="AH35" s="7">
        <v>1168.7673511114776</v>
      </c>
      <c r="AI35" s="7">
        <v>1342.6848132568555</v>
      </c>
      <c r="AJ35" s="16">
        <f>AD35-AG35</f>
        <v>0</v>
      </c>
      <c r="AK35" s="16">
        <f>SQRT((AE35-AH35)^2+(AF35-AI35)^2)</f>
        <v>0</v>
      </c>
      <c r="AL35" s="7" t="s">
        <v>190</v>
      </c>
      <c r="AM35" s="7">
        <v>17670.345615483235</v>
      </c>
      <c r="AN35" s="7">
        <v>1168.7673511114776</v>
      </c>
      <c r="AO35" s="7">
        <v>1342.6848132568555</v>
      </c>
      <c r="AP35" s="7">
        <v>15280.236471834909</v>
      </c>
      <c r="AQ35" s="7">
        <v>885.8290877154581</v>
      </c>
      <c r="AR35" s="7">
        <v>1017.3632202537667</v>
      </c>
      <c r="AS35" s="7">
        <v>2390.1091436483266</v>
      </c>
      <c r="AT35" s="7">
        <v>282.9382633960194</v>
      </c>
      <c r="AU35" s="7">
        <v>325.3215930030889</v>
      </c>
    </row>
    <row r="36" spans="1:47" x14ac:dyDescent="0.25">
      <c r="A36" s="7" t="s">
        <v>252</v>
      </c>
      <c r="B36" s="7">
        <v>6</v>
      </c>
      <c r="C36" s="19">
        <v>40</v>
      </c>
      <c r="D36" s="7" t="s">
        <v>253</v>
      </c>
      <c r="E36" s="7" t="s">
        <v>229</v>
      </c>
      <c r="F36" s="20">
        <v>40</v>
      </c>
      <c r="G36" s="7" t="s">
        <v>194</v>
      </c>
      <c r="H36" s="21">
        <v>1.0000000000000002</v>
      </c>
      <c r="I36" s="11">
        <f>MAX(('Geometry'!$G$13*COS(RADIANS(F36))+'Geometry'!$F$13*SIN(RADIANS(F36))),('Geometry'!$G$14*COS(RADIANS(F36))+'Geometry'!$F$14*SIN(RADIANS(F36))),('Geometry'!$G$15*COS(RADIANS(F36))+'Geometry'!$F$15*SIN(RADIANS(F36))),('Geometry'!$G$16*COS(RADIANS(F36))+'Geometry'!$F$16*SIN(RADIANS(F36))),('Geometry'!$G$17*COS(RADIANS(F36))+'Geometry'!$F$17*SIN(RADIANS(F36))),('Geometry'!$G$18*COS(RADIANS(F36))+'Geometry'!$F$18*SIN(RADIANS(F36))),('Geometry'!$G$19*COS(RADIANS(F36))+'Geometry'!$F$19*SIN(RADIANS(F36))),('Geometry'!$G$20*COS(RADIANS(F36))+'Geometry'!$F$20*SIN(RADIANS(F36))))</f>
        <v>813.1598511989835</v>
      </c>
      <c r="J36" s="11">
        <f>I36-H36*K36</f>
        <v>-813.1598511989837</v>
      </c>
      <c r="K36" s="11">
        <f>I36-MIN(('Geometry'!$G$13*COS(RADIANS(F36))+'Geometry'!$F$13*SIN(RADIANS(F36))),('Geometry'!$G$14*COS(RADIANS(F36))+'Geometry'!$F$14*SIN(RADIANS(F36))),('Geometry'!$G$15*COS(RADIANS(F36))+'Geometry'!$F$15*SIN(RADIANS(F36))),('Geometry'!$G$16*COS(RADIANS(F36))+'Geometry'!$F$16*SIN(RADIANS(F36))),('Geometry'!$G$17*COS(RADIANS(F36))+'Geometry'!$F$17*SIN(RADIANS(F36))),('Geometry'!$G$18*COS(RADIANS(F36))+'Geometry'!$F$18*SIN(RADIANS(F36))),('Geometry'!$G$19*COS(RADIANS(F36))+'Geometry'!$F$19*SIN(RADIANS(F36))),('Geometry'!$G$20*COS(RADIANS(F36))+'Geometry'!$F$20*SIN(RADIANS(F36))))</f>
        <v>1626.319702397967</v>
      </c>
      <c r="L36" s="16">
        <f>C_ecu</f>
        <v>0.0033</v>
      </c>
      <c r="M36" s="16">
        <f>0</f>
        <v>0</v>
      </c>
      <c r="N36" s="22">
        <f>IF(ABS(I36-J36)&lt;0.000000000001,0,(L36-M36)/(I36-J36))</f>
        <v>0.0000020291213315157124</v>
      </c>
      <c r="O36" s="16">
        <f>L36-N36*I36</f>
        <v>0.0016500000000000002</v>
      </c>
      <c r="P36" s="22">
        <f>N36*COS(RADIANS(F36))</f>
        <v>0.000001554397120421793</v>
      </c>
      <c r="Q36" s="22">
        <f>N36*SIN(RADIANS(F36))</f>
        <v>0.0000013042940504489526</v>
      </c>
      <c r="R36" s="11">
        <f>AP36</f>
        <v>15280.236471834909</v>
      </c>
      <c r="S36" s="11">
        <f>AQ36</f>
        <v>1062.9949052585496</v>
      </c>
      <c r="T36" s="11">
        <f>AR36</f>
        <v>1220.8358643045199</v>
      </c>
      <c r="U36" s="11">
        <f>AS36</f>
        <v>2390.1091436483266</v>
      </c>
      <c r="V36" s="11">
        <f>AT36</f>
        <v>339.5259160752233</v>
      </c>
      <c r="W36" s="11">
        <f>AU36</f>
        <v>390.38591160370663</v>
      </c>
      <c r="X36" s="11">
        <f>AM36</f>
        <v>17670.345615483235</v>
      </c>
      <c r="Y36" s="11">
        <f>AN36</f>
        <v>1402.5208213337728</v>
      </c>
      <c r="Z36" s="11">
        <f>AO36</f>
        <v>1611.2217759082264</v>
      </c>
      <c r="AA36" s="7">
        <v>1</v>
      </c>
      <c r="AB36" s="7">
        <v>1</v>
      </c>
      <c r="AC36" s="7">
        <v>1</v>
      </c>
      <c r="AD36" s="11">
        <f>X36*AA36</f>
        <v>17670.345615483235</v>
      </c>
      <c r="AE36" s="11">
        <f>Y36*AB36</f>
        <v>1402.5208213337728</v>
      </c>
      <c r="AF36" s="11">
        <f>Z36*AC36</f>
        <v>1611.2217759082264</v>
      </c>
      <c r="AG36" s="7">
        <v>17670.345615483235</v>
      </c>
      <c r="AH36" s="7">
        <v>1402.5208213337728</v>
      </c>
      <c r="AI36" s="7">
        <v>1611.2217759082264</v>
      </c>
      <c r="AJ36" s="16">
        <f>AD36-AG36</f>
        <v>0</v>
      </c>
      <c r="AK36" s="16">
        <f>SQRT((AE36-AH36)^2+(AF36-AI36)^2)</f>
        <v>0</v>
      </c>
      <c r="AL36" s="7" t="s">
        <v>190</v>
      </c>
      <c r="AM36" s="7">
        <v>17670.345615483235</v>
      </c>
      <c r="AN36" s="7">
        <v>1402.5208213337728</v>
      </c>
      <c r="AO36" s="7">
        <v>1611.2217759082264</v>
      </c>
      <c r="AP36" s="7">
        <v>15280.236471834909</v>
      </c>
      <c r="AQ36" s="7">
        <v>1062.9949052585496</v>
      </c>
      <c r="AR36" s="7">
        <v>1220.8358643045199</v>
      </c>
      <c r="AS36" s="7">
        <v>2390.1091436483266</v>
      </c>
      <c r="AT36" s="7">
        <v>339.5259160752233</v>
      </c>
      <c r="AU36" s="7">
        <v>390.38591160370663</v>
      </c>
    </row>
    <row r="37" spans="1:47" x14ac:dyDescent="0.25">
      <c r="A37" s="7" t="s">
        <v>254</v>
      </c>
      <c r="B37" s="7">
        <v>1</v>
      </c>
      <c r="C37" s="19">
        <v>50</v>
      </c>
      <c r="D37" s="7" t="s">
        <v>255</v>
      </c>
      <c r="E37" s="7" t="s">
        <v>193</v>
      </c>
      <c r="F37" s="20">
        <v>50</v>
      </c>
      <c r="G37" s="7" t="s">
        <v>194</v>
      </c>
      <c r="H37" s="21">
        <v>2.9999999999999996</v>
      </c>
      <c r="I37" s="11">
        <f>MAX(('Geometry'!$G$13*COS(RADIANS(F37))+'Geometry'!$F$13*SIN(RADIANS(F37))),('Geometry'!$G$14*COS(RADIANS(F37))+'Geometry'!$F$14*SIN(RADIANS(F37))),('Geometry'!$G$15*COS(RADIANS(F37))+'Geometry'!$F$15*SIN(RADIANS(F37))),('Geometry'!$G$16*COS(RADIANS(F37))+'Geometry'!$F$16*SIN(RADIANS(F37))),('Geometry'!$G$17*COS(RADIANS(F37))+'Geometry'!$F$17*SIN(RADIANS(F37))),('Geometry'!$G$18*COS(RADIANS(F37))+'Geometry'!$F$18*SIN(RADIANS(F37))),('Geometry'!$G$19*COS(RADIANS(F37))+'Geometry'!$F$19*SIN(RADIANS(F37))),('Geometry'!$G$20*COS(RADIANS(F37))+'Geometry'!$F$20*SIN(RADIANS(F37))))</f>
        <v>831.6483762138494</v>
      </c>
      <c r="J37" s="11">
        <f>I37-H37*K37</f>
        <v>-4158.241881069246</v>
      </c>
      <c r="K37" s="11">
        <f>I37-MIN(('Geometry'!$G$13*COS(RADIANS(F37))+'Geometry'!$F$13*SIN(RADIANS(F37))),('Geometry'!$G$14*COS(RADIANS(F37))+'Geometry'!$F$14*SIN(RADIANS(F37))),('Geometry'!$G$15*COS(RADIANS(F37))+'Geometry'!$F$15*SIN(RADIANS(F37))),('Geometry'!$G$16*COS(RADIANS(F37))+'Geometry'!$F$16*SIN(RADIANS(F37))),('Geometry'!$G$17*COS(RADIANS(F37))+'Geometry'!$F$17*SIN(RADIANS(F37))),('Geometry'!$G$18*COS(RADIANS(F37))+'Geometry'!$F$18*SIN(RADIANS(F37))),('Geometry'!$G$19*COS(RADIANS(F37))+'Geometry'!$F$19*SIN(RADIANS(F37))),('Geometry'!$G$20*COS(RADIANS(F37))+'Geometry'!$F$20*SIN(RADIANS(F37))))</f>
        <v>1663.2967524276987</v>
      </c>
      <c r="L37" s="16">
        <f>C_ecu</f>
        <v>0.0033</v>
      </c>
      <c r="M37" s="16">
        <f>0</f>
        <v>0</v>
      </c>
      <c r="N37" s="22">
        <f>IF(ABS(I37-J37)&lt;0.000000000001,0,(L37-M37)/(I37-J37))</f>
        <v>6.613371897675341e-7</v>
      </c>
      <c r="O37" s="16">
        <f>L37-N37*I37</f>
        <v>0.00275</v>
      </c>
      <c r="P37" s="22">
        <f>N37*COS(RADIANS(F37))</f>
        <v>4.250993514074865e-7</v>
      </c>
      <c r="Q37" s="22">
        <f>N37*SIN(RADIANS(F37))</f>
        <v>5.066136792493406e-7</v>
      </c>
      <c r="R37" s="11">
        <f>AP37</f>
        <v>15287.791798119022</v>
      </c>
      <c r="S37" s="11">
        <f>AQ37</f>
        <v>147.1002304996231</v>
      </c>
      <c r="T37" s="11">
        <f>AR37</f>
        <v>232.76860759196776</v>
      </c>
      <c r="U37" s="11">
        <f>AS37</f>
        <v>2382.553817364214</v>
      </c>
      <c r="V37" s="11">
        <f>AT37</f>
        <v>46.6018297344042</v>
      </c>
      <c r="W37" s="11">
        <f>AU37</f>
        <v>73.95867242573082</v>
      </c>
      <c r="X37" s="11">
        <f>AM37</f>
        <v>17670.345615483235</v>
      </c>
      <c r="Y37" s="11">
        <f>AN37</f>
        <v>193.7020602340273</v>
      </c>
      <c r="Z37" s="11">
        <f>AO37</f>
        <v>306.7272800176986</v>
      </c>
      <c r="AA37" s="7">
        <v>1</v>
      </c>
      <c r="AB37" s="7">
        <v>1</v>
      </c>
      <c r="AC37" s="7">
        <v>1</v>
      </c>
      <c r="AD37" s="11">
        <f>X37*AA37</f>
        <v>17670.345615483235</v>
      </c>
      <c r="AE37" s="11">
        <f>Y37*AB37</f>
        <v>193.7020602340273</v>
      </c>
      <c r="AF37" s="11">
        <f>Z37*AC37</f>
        <v>306.7272800176986</v>
      </c>
      <c r="AG37" s="7">
        <v>17670.345615483235</v>
      </c>
      <c r="AH37" s="7">
        <v>193.7020602340273</v>
      </c>
      <c r="AI37" s="7">
        <v>306.7272800176986</v>
      </c>
      <c r="AJ37" s="16">
        <f>AD37-AG37</f>
        <v>0</v>
      </c>
      <c r="AK37" s="16">
        <f>SQRT((AE37-AH37)^2+(AF37-AI37)^2)</f>
        <v>0</v>
      </c>
      <c r="AL37" s="7" t="s">
        <v>190</v>
      </c>
      <c r="AM37" s="7">
        <v>17670.345615483235</v>
      </c>
      <c r="AN37" s="7">
        <v>193.7020602340273</v>
      </c>
      <c r="AO37" s="7">
        <v>306.7272800176986</v>
      </c>
      <c r="AP37" s="7">
        <v>15287.791798119022</v>
      </c>
      <c r="AQ37" s="7">
        <v>147.1002304996231</v>
      </c>
      <c r="AR37" s="7">
        <v>232.76860759196776</v>
      </c>
      <c r="AS37" s="7">
        <v>2382.553817364214</v>
      </c>
      <c r="AT37" s="7">
        <v>46.6018297344042</v>
      </c>
      <c r="AU37" s="7">
        <v>73.95867242573082</v>
      </c>
    </row>
    <row r="38" spans="1:47" x14ac:dyDescent="0.25">
      <c r="A38" s="7" t="s">
        <v>256</v>
      </c>
      <c r="B38" s="7">
        <v>2</v>
      </c>
      <c r="C38" s="19">
        <v>50</v>
      </c>
      <c r="D38" s="7" t="s">
        <v>257</v>
      </c>
      <c r="E38" s="7" t="s">
        <v>197</v>
      </c>
      <c r="F38" s="20">
        <v>50</v>
      </c>
      <c r="G38" s="7" t="s">
        <v>194</v>
      </c>
      <c r="H38" s="21">
        <v>2</v>
      </c>
      <c r="I38" s="11">
        <f>MAX(('Geometry'!$G$13*COS(RADIANS(F38))+'Geometry'!$F$13*SIN(RADIANS(F38))),('Geometry'!$G$14*COS(RADIANS(F38))+'Geometry'!$F$14*SIN(RADIANS(F38))),('Geometry'!$G$15*COS(RADIANS(F38))+'Geometry'!$F$15*SIN(RADIANS(F38))),('Geometry'!$G$16*COS(RADIANS(F38))+'Geometry'!$F$16*SIN(RADIANS(F38))),('Geometry'!$G$17*COS(RADIANS(F38))+'Geometry'!$F$17*SIN(RADIANS(F38))),('Geometry'!$G$18*COS(RADIANS(F38))+'Geometry'!$F$18*SIN(RADIANS(F38))),('Geometry'!$G$19*COS(RADIANS(F38))+'Geometry'!$F$19*SIN(RADIANS(F38))),('Geometry'!$G$20*COS(RADIANS(F38))+'Geometry'!$F$20*SIN(RADIANS(F38))))</f>
        <v>831.6483762138494</v>
      </c>
      <c r="J38" s="11">
        <f>I38-H38*K38</f>
        <v>-2494.945128641548</v>
      </c>
      <c r="K38" s="11">
        <f>I38-MIN(('Geometry'!$G$13*COS(RADIANS(F38))+'Geometry'!$F$13*SIN(RADIANS(F38))),('Geometry'!$G$14*COS(RADIANS(F38))+'Geometry'!$F$14*SIN(RADIANS(F38))),('Geometry'!$G$15*COS(RADIANS(F38))+'Geometry'!$F$15*SIN(RADIANS(F38))),('Geometry'!$G$16*COS(RADIANS(F38))+'Geometry'!$F$16*SIN(RADIANS(F38))),('Geometry'!$G$17*COS(RADIANS(F38))+'Geometry'!$F$17*SIN(RADIANS(F38))),('Geometry'!$G$18*COS(RADIANS(F38))+'Geometry'!$F$18*SIN(RADIANS(F38))),('Geometry'!$G$19*COS(RADIANS(F38))+'Geometry'!$F$19*SIN(RADIANS(F38))),('Geometry'!$G$20*COS(RADIANS(F38))+'Geometry'!$F$20*SIN(RADIANS(F38))))</f>
        <v>1663.2967524276987</v>
      </c>
      <c r="L38" s="16">
        <f>C_ecu</f>
        <v>0.0033</v>
      </c>
      <c r="M38" s="16">
        <f>0</f>
        <v>0</v>
      </c>
      <c r="N38" s="22">
        <f>IF(ABS(I38-J38)&lt;0.000000000001,0,(L38-M38)/(I38-J38))</f>
        <v>9.92005784651301e-7</v>
      </c>
      <c r="O38" s="16">
        <f>L38-N38*I38</f>
        <v>0.0024749999999999998</v>
      </c>
      <c r="P38" s="22">
        <f>N38*COS(RADIANS(F38))</f>
        <v>6.376490271112297e-7</v>
      </c>
      <c r="Q38" s="22">
        <f>N38*SIN(RADIANS(F38))</f>
        <v>7.599205188740108e-7</v>
      </c>
      <c r="R38" s="11">
        <f>AP38</f>
        <v>15287.791798119022</v>
      </c>
      <c r="S38" s="11">
        <f>AQ38</f>
        <v>294.2004609992462</v>
      </c>
      <c r="T38" s="11">
        <f>AR38</f>
        <v>465.53721518393553</v>
      </c>
      <c r="U38" s="11">
        <f>AS38</f>
        <v>2382.553817364214</v>
      </c>
      <c r="V38" s="11">
        <f>AT38</f>
        <v>93.2036594688084</v>
      </c>
      <c r="W38" s="11">
        <f>AU38</f>
        <v>147.91734485146165</v>
      </c>
      <c r="X38" s="11">
        <f>AM38</f>
        <v>17670.345615483235</v>
      </c>
      <c r="Y38" s="11">
        <f>AN38</f>
        <v>387.4041204680546</v>
      </c>
      <c r="Z38" s="11">
        <f>AO38</f>
        <v>613.4545600353972</v>
      </c>
      <c r="AA38" s="7">
        <v>1</v>
      </c>
      <c r="AB38" s="7">
        <v>1</v>
      </c>
      <c r="AC38" s="7">
        <v>1</v>
      </c>
      <c r="AD38" s="11">
        <f>X38*AA38</f>
        <v>17670.345615483235</v>
      </c>
      <c r="AE38" s="11">
        <f>Y38*AB38</f>
        <v>387.4041204680546</v>
      </c>
      <c r="AF38" s="11">
        <f>Z38*AC38</f>
        <v>613.4545600353972</v>
      </c>
      <c r="AG38" s="7">
        <v>17670.345615483235</v>
      </c>
      <c r="AH38" s="7">
        <v>387.4041204680546</v>
      </c>
      <c r="AI38" s="7">
        <v>613.4545600353972</v>
      </c>
      <c r="AJ38" s="16">
        <f>AD38-AG38</f>
        <v>0</v>
      </c>
      <c r="AK38" s="16">
        <f>SQRT((AE38-AH38)^2+(AF38-AI38)^2)</f>
        <v>0</v>
      </c>
      <c r="AL38" s="7" t="s">
        <v>190</v>
      </c>
      <c r="AM38" s="7">
        <v>17670.345615483235</v>
      </c>
      <c r="AN38" s="7">
        <v>387.4041204680546</v>
      </c>
      <c r="AO38" s="7">
        <v>613.4545600353972</v>
      </c>
      <c r="AP38" s="7">
        <v>15287.791798119022</v>
      </c>
      <c r="AQ38" s="7">
        <v>294.2004609992462</v>
      </c>
      <c r="AR38" s="7">
        <v>465.53721518393553</v>
      </c>
      <c r="AS38" s="7">
        <v>2382.553817364214</v>
      </c>
      <c r="AT38" s="7">
        <v>93.2036594688084</v>
      </c>
      <c r="AU38" s="7">
        <v>147.91734485146165</v>
      </c>
    </row>
    <row r="39" spans="1:47" x14ac:dyDescent="0.25">
      <c r="A39" s="7" t="s">
        <v>258</v>
      </c>
      <c r="B39" s="7">
        <v>3</v>
      </c>
      <c r="C39" s="19">
        <v>50</v>
      </c>
      <c r="D39" s="7" t="s">
        <v>259</v>
      </c>
      <c r="E39" s="7" t="s">
        <v>200</v>
      </c>
      <c r="F39" s="20">
        <v>50</v>
      </c>
      <c r="G39" s="7" t="s">
        <v>194</v>
      </c>
      <c r="H39" s="21">
        <v>1.4999999999999998</v>
      </c>
      <c r="I39" s="11">
        <f>MAX(('Geometry'!$G$13*COS(RADIANS(F39))+'Geometry'!$F$13*SIN(RADIANS(F39))),('Geometry'!$G$14*COS(RADIANS(F39))+'Geometry'!$F$14*SIN(RADIANS(F39))),('Geometry'!$G$15*COS(RADIANS(F39))+'Geometry'!$F$15*SIN(RADIANS(F39))),('Geometry'!$G$16*COS(RADIANS(F39))+'Geometry'!$F$16*SIN(RADIANS(F39))),('Geometry'!$G$17*COS(RADIANS(F39))+'Geometry'!$F$17*SIN(RADIANS(F39))),('Geometry'!$G$18*COS(RADIANS(F39))+'Geometry'!$F$18*SIN(RADIANS(F39))),('Geometry'!$G$19*COS(RADIANS(F39))+'Geometry'!$F$19*SIN(RADIANS(F39))),('Geometry'!$G$20*COS(RADIANS(F39))+'Geometry'!$F$20*SIN(RADIANS(F39))))</f>
        <v>831.6483762138494</v>
      </c>
      <c r="J39" s="11">
        <f>I39-H39*K39</f>
        <v>-1663.2967524276983</v>
      </c>
      <c r="K39" s="11">
        <f>I39-MIN(('Geometry'!$G$13*COS(RADIANS(F39))+'Geometry'!$F$13*SIN(RADIANS(F39))),('Geometry'!$G$14*COS(RADIANS(F39))+'Geometry'!$F$14*SIN(RADIANS(F39))),('Geometry'!$G$15*COS(RADIANS(F39))+'Geometry'!$F$15*SIN(RADIANS(F39))),('Geometry'!$G$16*COS(RADIANS(F39))+'Geometry'!$F$16*SIN(RADIANS(F39))),('Geometry'!$G$17*COS(RADIANS(F39))+'Geometry'!$F$17*SIN(RADIANS(F39))),('Geometry'!$G$18*COS(RADIANS(F39))+'Geometry'!$F$18*SIN(RADIANS(F39))),('Geometry'!$G$19*COS(RADIANS(F39))+'Geometry'!$F$19*SIN(RADIANS(F39))),('Geometry'!$G$20*COS(RADIANS(F39))+'Geometry'!$F$20*SIN(RADIANS(F39))))</f>
        <v>1663.2967524276987</v>
      </c>
      <c r="L39" s="16">
        <f>C_ecu</f>
        <v>0.0033</v>
      </c>
      <c r="M39" s="16">
        <f>0</f>
        <v>0</v>
      </c>
      <c r="N39" s="22">
        <f>IF(ABS(I39-J39)&lt;0.000000000001,0,(L39-M39)/(I39-J39))</f>
        <v>0.0000013226743795350681</v>
      </c>
      <c r="O39" s="16">
        <f>L39-N39*I39</f>
        <v>0.0021999999999999997</v>
      </c>
      <c r="P39" s="22">
        <f>N39*COS(RADIANS(F39))</f>
        <v>8.50198702814973e-7</v>
      </c>
      <c r="Q39" s="22">
        <f>N39*SIN(RADIANS(F39))</f>
        <v>0.0000010132273584986811</v>
      </c>
      <c r="R39" s="11">
        <f>AP39</f>
        <v>15287.791798119022</v>
      </c>
      <c r="S39" s="11">
        <f>AQ39</f>
        <v>441.30069149886936</v>
      </c>
      <c r="T39" s="11">
        <f>AR39</f>
        <v>698.3058227759034</v>
      </c>
      <c r="U39" s="11">
        <f>AS39</f>
        <v>2382.553817364214</v>
      </c>
      <c r="V39" s="11">
        <f>AT39</f>
        <v>139.80548920321263</v>
      </c>
      <c r="W39" s="11">
        <f>AU39</f>
        <v>221.87601727719246</v>
      </c>
      <c r="X39" s="11">
        <f>AM39</f>
        <v>17670.345615483235</v>
      </c>
      <c r="Y39" s="11">
        <f>AN39</f>
        <v>581.106180702082</v>
      </c>
      <c r="Z39" s="11">
        <f>AO39</f>
        <v>920.1818400530958</v>
      </c>
      <c r="AA39" s="7">
        <v>1</v>
      </c>
      <c r="AB39" s="7">
        <v>1</v>
      </c>
      <c r="AC39" s="7">
        <v>1</v>
      </c>
      <c r="AD39" s="11">
        <f>X39*AA39</f>
        <v>17670.345615483235</v>
      </c>
      <c r="AE39" s="11">
        <f>Y39*AB39</f>
        <v>581.106180702082</v>
      </c>
      <c r="AF39" s="11">
        <f>Z39*AC39</f>
        <v>920.1818400530958</v>
      </c>
      <c r="AG39" s="7">
        <v>17670.345615483235</v>
      </c>
      <c r="AH39" s="7">
        <v>581.106180702082</v>
      </c>
      <c r="AI39" s="7">
        <v>920.1818400530958</v>
      </c>
      <c r="AJ39" s="16">
        <f>AD39-AG39</f>
        <v>0</v>
      </c>
      <c r="AK39" s="16">
        <f>SQRT((AE39-AH39)^2+(AF39-AI39)^2)</f>
        <v>0</v>
      </c>
      <c r="AL39" s="7" t="s">
        <v>190</v>
      </c>
      <c r="AM39" s="7">
        <v>17670.345615483235</v>
      </c>
      <c r="AN39" s="7">
        <v>581.106180702082</v>
      </c>
      <c r="AO39" s="7">
        <v>920.1818400530958</v>
      </c>
      <c r="AP39" s="7">
        <v>15287.791798119022</v>
      </c>
      <c r="AQ39" s="7">
        <v>441.30069149886936</v>
      </c>
      <c r="AR39" s="7">
        <v>698.3058227759034</v>
      </c>
      <c r="AS39" s="7">
        <v>2382.553817364214</v>
      </c>
      <c r="AT39" s="7">
        <v>139.80548920321263</v>
      </c>
      <c r="AU39" s="7">
        <v>221.87601727719246</v>
      </c>
    </row>
    <row r="40" spans="1:47" x14ac:dyDescent="0.25">
      <c r="A40" s="7" t="s">
        <v>260</v>
      </c>
      <c r="B40" s="7">
        <v>4</v>
      </c>
      <c r="C40" s="19">
        <v>50</v>
      </c>
      <c r="D40" s="7" t="s">
        <v>261</v>
      </c>
      <c r="E40" s="7" t="s">
        <v>203</v>
      </c>
      <c r="F40" s="20">
        <v>50</v>
      </c>
      <c r="G40" s="7" t="s">
        <v>194</v>
      </c>
      <c r="H40" s="21">
        <v>1.2</v>
      </c>
      <c r="I40" s="11">
        <f>MAX(('Geometry'!$G$13*COS(RADIANS(F40))+'Geometry'!$F$13*SIN(RADIANS(F40))),('Geometry'!$G$14*COS(RADIANS(F40))+'Geometry'!$F$14*SIN(RADIANS(F40))),('Geometry'!$G$15*COS(RADIANS(F40))+'Geometry'!$F$15*SIN(RADIANS(F40))),('Geometry'!$G$16*COS(RADIANS(F40))+'Geometry'!$F$16*SIN(RADIANS(F40))),('Geometry'!$G$17*COS(RADIANS(F40))+'Geometry'!$F$17*SIN(RADIANS(F40))),('Geometry'!$G$18*COS(RADIANS(F40))+'Geometry'!$F$18*SIN(RADIANS(F40))),('Geometry'!$G$19*COS(RADIANS(F40))+'Geometry'!$F$19*SIN(RADIANS(F40))),('Geometry'!$G$20*COS(RADIANS(F40))+'Geometry'!$F$20*SIN(RADIANS(F40))))</f>
        <v>831.6483762138494</v>
      </c>
      <c r="J40" s="11">
        <f>I40-H40*K40</f>
        <v>-1164.307726699389</v>
      </c>
      <c r="K40" s="11">
        <f>I40-MIN(('Geometry'!$G$13*COS(RADIANS(F40))+'Geometry'!$F$13*SIN(RADIANS(F40))),('Geometry'!$G$14*COS(RADIANS(F40))+'Geometry'!$F$14*SIN(RADIANS(F40))),('Geometry'!$G$15*COS(RADIANS(F40))+'Geometry'!$F$15*SIN(RADIANS(F40))),('Geometry'!$G$16*COS(RADIANS(F40))+'Geometry'!$F$16*SIN(RADIANS(F40))),('Geometry'!$G$17*COS(RADIANS(F40))+'Geometry'!$F$17*SIN(RADIANS(F40))),('Geometry'!$G$18*COS(RADIANS(F40))+'Geometry'!$F$18*SIN(RADIANS(F40))),('Geometry'!$G$19*COS(RADIANS(F40))+'Geometry'!$F$19*SIN(RADIANS(F40))),('Geometry'!$G$20*COS(RADIANS(F40))+'Geometry'!$F$20*SIN(RADIANS(F40))))</f>
        <v>1663.2967524276987</v>
      </c>
      <c r="L40" s="16">
        <f>C_ecu</f>
        <v>0.0033</v>
      </c>
      <c r="M40" s="16">
        <f>0</f>
        <v>0</v>
      </c>
      <c r="N40" s="22">
        <f>IF(ABS(I40-J40)&lt;0.000000000001,0,(L40-M40)/(I40-J40))</f>
        <v>0.000001653342974418835</v>
      </c>
      <c r="O40" s="16">
        <f>L40-N40*I40</f>
        <v>0.0019249999999999998</v>
      </c>
      <c r="P40" s="22">
        <f>N40*COS(RADIANS(F40))</f>
        <v>0.0000010627483785187162</v>
      </c>
      <c r="Q40" s="22">
        <f>N40*SIN(RADIANS(F40))</f>
        <v>0.0000012665341981233513</v>
      </c>
      <c r="R40" s="11">
        <f>AP40</f>
        <v>15287.791798119022</v>
      </c>
      <c r="S40" s="11">
        <f>AQ40</f>
        <v>588.4009219984924</v>
      </c>
      <c r="T40" s="11">
        <f>AR40</f>
        <v>931.0744303678711</v>
      </c>
      <c r="U40" s="11">
        <f>AS40</f>
        <v>2382.553817364214</v>
      </c>
      <c r="V40" s="11">
        <f>AT40</f>
        <v>186.4073189376168</v>
      </c>
      <c r="W40" s="11">
        <f>AU40</f>
        <v>295.8346897029233</v>
      </c>
      <c r="X40" s="11">
        <f>AM40</f>
        <v>17670.345615483235</v>
      </c>
      <c r="Y40" s="11">
        <f>AN40</f>
        <v>774.8082409361092</v>
      </c>
      <c r="Z40" s="11">
        <f>AO40</f>
        <v>1226.9091200707944</v>
      </c>
      <c r="AA40" s="7">
        <v>1</v>
      </c>
      <c r="AB40" s="7">
        <v>1</v>
      </c>
      <c r="AC40" s="7">
        <v>1</v>
      </c>
      <c r="AD40" s="11">
        <f>X40*AA40</f>
        <v>17670.345615483235</v>
      </c>
      <c r="AE40" s="11">
        <f>Y40*AB40</f>
        <v>774.8082409361092</v>
      </c>
      <c r="AF40" s="11">
        <f>Z40*AC40</f>
        <v>1226.9091200707944</v>
      </c>
      <c r="AG40" s="7">
        <v>17670.345615483235</v>
      </c>
      <c r="AH40" s="7">
        <v>774.8082409361092</v>
      </c>
      <c r="AI40" s="7">
        <v>1226.9091200707944</v>
      </c>
      <c r="AJ40" s="16">
        <f>AD40-AG40</f>
        <v>0</v>
      </c>
      <c r="AK40" s="16">
        <f>SQRT((AE40-AH40)^2+(AF40-AI40)^2)</f>
        <v>0</v>
      </c>
      <c r="AL40" s="7" t="s">
        <v>190</v>
      </c>
      <c r="AM40" s="7">
        <v>17670.345615483235</v>
      </c>
      <c r="AN40" s="7">
        <v>774.8082409361092</v>
      </c>
      <c r="AO40" s="7">
        <v>1226.9091200707944</v>
      </c>
      <c r="AP40" s="7">
        <v>15287.791798119022</v>
      </c>
      <c r="AQ40" s="7">
        <v>588.4009219984924</v>
      </c>
      <c r="AR40" s="7">
        <v>931.0744303678711</v>
      </c>
      <c r="AS40" s="7">
        <v>2382.553817364214</v>
      </c>
      <c r="AT40" s="7">
        <v>186.4073189376168</v>
      </c>
      <c r="AU40" s="7">
        <v>295.8346897029233</v>
      </c>
    </row>
    <row r="41" spans="1:47" x14ac:dyDescent="0.25">
      <c r="A41" s="7" t="s">
        <v>262</v>
      </c>
      <c r="B41" s="7">
        <v>5</v>
      </c>
      <c r="C41" s="19">
        <v>50</v>
      </c>
      <c r="D41" s="7" t="s">
        <v>263</v>
      </c>
      <c r="E41" s="7" t="s">
        <v>206</v>
      </c>
      <c r="F41" s="20">
        <v>50</v>
      </c>
      <c r="G41" s="7" t="s">
        <v>194</v>
      </c>
      <c r="H41" s="21">
        <v>1.1000000000000003</v>
      </c>
      <c r="I41" s="11">
        <f>MAX(('Geometry'!$G$13*COS(RADIANS(F41))+'Geometry'!$F$13*SIN(RADIANS(F41))),('Geometry'!$G$14*COS(RADIANS(F41))+'Geometry'!$F$14*SIN(RADIANS(F41))),('Geometry'!$G$15*COS(RADIANS(F41))+'Geometry'!$F$15*SIN(RADIANS(F41))),('Geometry'!$G$16*COS(RADIANS(F41))+'Geometry'!$F$16*SIN(RADIANS(F41))),('Geometry'!$G$17*COS(RADIANS(F41))+'Geometry'!$F$17*SIN(RADIANS(F41))),('Geometry'!$G$18*COS(RADIANS(F41))+'Geometry'!$F$18*SIN(RADIANS(F41))),('Geometry'!$G$19*COS(RADIANS(F41))+'Geometry'!$F$19*SIN(RADIANS(F41))),('Geometry'!$G$20*COS(RADIANS(F41))+'Geometry'!$F$20*SIN(RADIANS(F41))))</f>
        <v>831.6483762138494</v>
      </c>
      <c r="J41" s="11">
        <f>I41-H41*K41</f>
        <v>-997.9780514566196</v>
      </c>
      <c r="K41" s="11">
        <f>I41-MIN(('Geometry'!$G$13*COS(RADIANS(F41))+'Geometry'!$F$13*SIN(RADIANS(F41))),('Geometry'!$G$14*COS(RADIANS(F41))+'Geometry'!$F$14*SIN(RADIANS(F41))),('Geometry'!$G$15*COS(RADIANS(F41))+'Geometry'!$F$15*SIN(RADIANS(F41))),('Geometry'!$G$16*COS(RADIANS(F41))+'Geometry'!$F$16*SIN(RADIANS(F41))),('Geometry'!$G$17*COS(RADIANS(F41))+'Geometry'!$F$17*SIN(RADIANS(F41))),('Geometry'!$G$18*COS(RADIANS(F41))+'Geometry'!$F$18*SIN(RADIANS(F41))),('Geometry'!$G$19*COS(RADIANS(F41))+'Geometry'!$F$19*SIN(RADIANS(F41))),('Geometry'!$G$20*COS(RADIANS(F41))+'Geometry'!$F$20*SIN(RADIANS(F41))))</f>
        <v>1663.2967524276987</v>
      </c>
      <c r="L41" s="16">
        <f>C_ecu</f>
        <v>0.0033</v>
      </c>
      <c r="M41" s="16">
        <f>0</f>
        <v>0</v>
      </c>
      <c r="N41" s="22">
        <f>IF(ABS(I41-J41)&lt;0.000000000001,0,(L41-M41)/(I41-J41))</f>
        <v>0.0000018036468811841832</v>
      </c>
      <c r="O41" s="16">
        <f>L41-N41*I41</f>
        <v>0.0018000000000000002</v>
      </c>
      <c r="P41" s="22">
        <f>N41*COS(RADIANS(F41))</f>
        <v>0.0000011593618674749628</v>
      </c>
      <c r="Q41" s="22">
        <f>N41*SIN(RADIANS(F41))</f>
        <v>0.0000013816736706800193</v>
      </c>
      <c r="R41" s="11">
        <f>AP41</f>
        <v>15287.791798119022</v>
      </c>
      <c r="S41" s="11">
        <f>AQ41</f>
        <v>735.5011524981156</v>
      </c>
      <c r="T41" s="11">
        <f>AR41</f>
        <v>1163.843037959839</v>
      </c>
      <c r="U41" s="11">
        <f>AS41</f>
        <v>2382.553817364214</v>
      </c>
      <c r="V41" s="11">
        <f>AT41</f>
        <v>233.009148672021</v>
      </c>
      <c r="W41" s="11">
        <f>AU41</f>
        <v>369.7933621286541</v>
      </c>
      <c r="X41" s="11">
        <f>AM41</f>
        <v>17670.345615483235</v>
      </c>
      <c r="Y41" s="11">
        <f>AN41</f>
        <v>968.5103011701367</v>
      </c>
      <c r="Z41" s="11">
        <f>AO41</f>
        <v>1533.636400088493</v>
      </c>
      <c r="AA41" s="7">
        <v>1</v>
      </c>
      <c r="AB41" s="7">
        <v>1</v>
      </c>
      <c r="AC41" s="7">
        <v>1</v>
      </c>
      <c r="AD41" s="11">
        <f>X41*AA41</f>
        <v>17670.345615483235</v>
      </c>
      <c r="AE41" s="11">
        <f>Y41*AB41</f>
        <v>968.5103011701367</v>
      </c>
      <c r="AF41" s="11">
        <f>Z41*AC41</f>
        <v>1533.636400088493</v>
      </c>
      <c r="AG41" s="7">
        <v>17670.345615483235</v>
      </c>
      <c r="AH41" s="7">
        <v>968.5103011701367</v>
      </c>
      <c r="AI41" s="7">
        <v>1533.636400088493</v>
      </c>
      <c r="AJ41" s="16">
        <f>AD41-AG41</f>
        <v>0</v>
      </c>
      <c r="AK41" s="16">
        <f>SQRT((AE41-AH41)^2+(AF41-AI41)^2)</f>
        <v>0</v>
      </c>
      <c r="AL41" s="7" t="s">
        <v>190</v>
      </c>
      <c r="AM41" s="7">
        <v>17670.345615483235</v>
      </c>
      <c r="AN41" s="7">
        <v>968.5103011701367</v>
      </c>
      <c r="AO41" s="7">
        <v>1533.636400088493</v>
      </c>
      <c r="AP41" s="7">
        <v>15287.791798119022</v>
      </c>
      <c r="AQ41" s="7">
        <v>735.5011524981156</v>
      </c>
      <c r="AR41" s="7">
        <v>1163.843037959839</v>
      </c>
      <c r="AS41" s="7">
        <v>2382.553817364214</v>
      </c>
      <c r="AT41" s="7">
        <v>233.009148672021</v>
      </c>
      <c r="AU41" s="7">
        <v>369.7933621286541</v>
      </c>
    </row>
    <row r="42" spans="1:47" x14ac:dyDescent="0.25">
      <c r="A42" s="7" t="s">
        <v>264</v>
      </c>
      <c r="B42" s="7">
        <v>6</v>
      </c>
      <c r="C42" s="19">
        <v>50</v>
      </c>
      <c r="D42" s="7" t="s">
        <v>265</v>
      </c>
      <c r="E42" s="7" t="s">
        <v>229</v>
      </c>
      <c r="F42" s="20">
        <v>50</v>
      </c>
      <c r="G42" s="7" t="s">
        <v>194</v>
      </c>
      <c r="H42" s="21">
        <v>1</v>
      </c>
      <c r="I42" s="11">
        <f>MAX(('Geometry'!$G$13*COS(RADIANS(F42))+'Geometry'!$F$13*SIN(RADIANS(F42))),('Geometry'!$G$14*COS(RADIANS(F42))+'Geometry'!$F$14*SIN(RADIANS(F42))),('Geometry'!$G$15*COS(RADIANS(F42))+'Geometry'!$F$15*SIN(RADIANS(F42))),('Geometry'!$G$16*COS(RADIANS(F42))+'Geometry'!$F$16*SIN(RADIANS(F42))),('Geometry'!$G$17*COS(RADIANS(F42))+'Geometry'!$F$17*SIN(RADIANS(F42))),('Geometry'!$G$18*COS(RADIANS(F42))+'Geometry'!$F$18*SIN(RADIANS(F42))),('Geometry'!$G$19*COS(RADIANS(F42))+'Geometry'!$F$19*SIN(RADIANS(F42))),('Geometry'!$G$20*COS(RADIANS(F42))+'Geometry'!$F$20*SIN(RADIANS(F42))))</f>
        <v>831.6483762138494</v>
      </c>
      <c r="J42" s="11">
        <f>I42-H42*K42</f>
        <v>-831.6483762138494</v>
      </c>
      <c r="K42" s="11">
        <f>I42-MIN(('Geometry'!$G$13*COS(RADIANS(F42))+'Geometry'!$F$13*SIN(RADIANS(F42))),('Geometry'!$G$14*COS(RADIANS(F42))+'Geometry'!$F$14*SIN(RADIANS(F42))),('Geometry'!$G$15*COS(RADIANS(F42))+'Geometry'!$F$15*SIN(RADIANS(F42))),('Geometry'!$G$16*COS(RADIANS(F42))+'Geometry'!$F$16*SIN(RADIANS(F42))),('Geometry'!$G$17*COS(RADIANS(F42))+'Geometry'!$F$17*SIN(RADIANS(F42))),('Geometry'!$G$18*COS(RADIANS(F42))+'Geometry'!$F$18*SIN(RADIANS(F42))),('Geometry'!$G$19*COS(RADIANS(F42))+'Geometry'!$F$19*SIN(RADIANS(F42))),('Geometry'!$G$20*COS(RADIANS(F42))+'Geometry'!$F$20*SIN(RADIANS(F42))))</f>
        <v>1663.2967524276987</v>
      </c>
      <c r="L42" s="16">
        <f>C_ecu</f>
        <v>0.0033</v>
      </c>
      <c r="M42" s="16">
        <f>0</f>
        <v>0</v>
      </c>
      <c r="N42" s="22">
        <f>IF(ABS(I42-J42)&lt;0.000000000001,0,(L42-M42)/(I42-J42))</f>
        <v>0.000001984011569302602</v>
      </c>
      <c r="O42" s="16">
        <f>L42-N42*I42</f>
        <v>0.00165</v>
      </c>
      <c r="P42" s="22">
        <f>N42*COS(RADIANS(F42))</f>
        <v>0.0000012752980542224595</v>
      </c>
      <c r="Q42" s="22">
        <f>N42*SIN(RADIANS(F42))</f>
        <v>0.0000015198410377480215</v>
      </c>
      <c r="R42" s="11">
        <f>AP42</f>
        <v>15287.791798119022</v>
      </c>
      <c r="S42" s="11">
        <f>AQ42</f>
        <v>882.6013829977387</v>
      </c>
      <c r="T42" s="11">
        <f>AR42</f>
        <v>1396.6116455518068</v>
      </c>
      <c r="U42" s="11">
        <f>AS42</f>
        <v>2382.553817364214</v>
      </c>
      <c r="V42" s="11">
        <f>AT42</f>
        <v>279.61097840642526</v>
      </c>
      <c r="W42" s="11">
        <f>AU42</f>
        <v>443.7520345543849</v>
      </c>
      <c r="X42" s="11">
        <f>AM42</f>
        <v>17670.345615483235</v>
      </c>
      <c r="Y42" s="11">
        <f>AN42</f>
        <v>1162.212361404164</v>
      </c>
      <c r="Z42" s="11">
        <f>AO42</f>
        <v>1840.3636801061916</v>
      </c>
      <c r="AA42" s="7">
        <v>1</v>
      </c>
      <c r="AB42" s="7">
        <v>1</v>
      </c>
      <c r="AC42" s="7">
        <v>1</v>
      </c>
      <c r="AD42" s="11">
        <f>X42*AA42</f>
        <v>17670.345615483235</v>
      </c>
      <c r="AE42" s="11">
        <f>Y42*AB42</f>
        <v>1162.212361404164</v>
      </c>
      <c r="AF42" s="11">
        <f>Z42*AC42</f>
        <v>1840.3636801061916</v>
      </c>
      <c r="AG42" s="7">
        <v>17670.345615483235</v>
      </c>
      <c r="AH42" s="7">
        <v>1162.212361404164</v>
      </c>
      <c r="AI42" s="7">
        <v>1840.3636801061916</v>
      </c>
      <c r="AJ42" s="16">
        <f>AD42-AG42</f>
        <v>0</v>
      </c>
      <c r="AK42" s="16">
        <f>SQRT((AE42-AH42)^2+(AF42-AI42)^2)</f>
        <v>0</v>
      </c>
      <c r="AL42" s="7" t="s">
        <v>190</v>
      </c>
      <c r="AM42" s="7">
        <v>17670.345615483235</v>
      </c>
      <c r="AN42" s="7">
        <v>1162.212361404164</v>
      </c>
      <c r="AO42" s="7">
        <v>1840.3636801061916</v>
      </c>
      <c r="AP42" s="7">
        <v>15287.791798119022</v>
      </c>
      <c r="AQ42" s="7">
        <v>882.6013829977387</v>
      </c>
      <c r="AR42" s="7">
        <v>1396.6116455518068</v>
      </c>
      <c r="AS42" s="7">
        <v>2382.553817364214</v>
      </c>
      <c r="AT42" s="7">
        <v>279.61097840642526</v>
      </c>
      <c r="AU42" s="7">
        <v>443.7520345543849</v>
      </c>
    </row>
    <row r="43" spans="1:47" x14ac:dyDescent="0.25">
      <c r="A43" s="7" t="s">
        <v>266</v>
      </c>
      <c r="B43" s="7">
        <v>1</v>
      </c>
      <c r="C43" s="19">
        <v>60</v>
      </c>
      <c r="D43" s="7" t="s">
        <v>267</v>
      </c>
      <c r="E43" s="7" t="s">
        <v>193</v>
      </c>
      <c r="F43" s="20">
        <v>60</v>
      </c>
      <c r="G43" s="7" t="s">
        <v>194</v>
      </c>
      <c r="H43" s="21">
        <v>3</v>
      </c>
      <c r="I43" s="11">
        <f>MAX(('Geometry'!$G$13*COS(RADIANS(F43))+'Geometry'!$F$13*SIN(RADIANS(F43))),('Geometry'!$G$14*COS(RADIANS(F43))+'Geometry'!$F$14*SIN(RADIANS(F43))),('Geometry'!$G$15*COS(RADIANS(F43))+'Geometry'!$F$15*SIN(RADIANS(F43))),('Geometry'!$G$16*COS(RADIANS(F43))+'Geometry'!$F$16*SIN(RADIANS(F43))),('Geometry'!$G$17*COS(RADIANS(F43))+'Geometry'!$F$17*SIN(RADIANS(F43))),('Geometry'!$G$18*COS(RADIANS(F43))+'Geometry'!$F$18*SIN(RADIANS(F43))),('Geometry'!$G$19*COS(RADIANS(F43))+'Geometry'!$F$19*SIN(RADIANS(F43))),('Geometry'!$G$20*COS(RADIANS(F43))+'Geometry'!$F$20*SIN(RADIANS(F43))))</f>
        <v>849.5190528383291</v>
      </c>
      <c r="J43" s="11">
        <f>I43-H43*K43</f>
        <v>-4247.595264191646</v>
      </c>
      <c r="K43" s="11">
        <f>I43-MIN(('Geometry'!$G$13*COS(RADIANS(F43))+'Geometry'!$F$13*SIN(RADIANS(F43))),('Geometry'!$G$14*COS(RADIANS(F43))+'Geometry'!$F$14*SIN(RADIANS(F43))),('Geometry'!$G$15*COS(RADIANS(F43))+'Geometry'!$F$15*SIN(RADIANS(F43))),('Geometry'!$G$16*COS(RADIANS(F43))+'Geometry'!$F$16*SIN(RADIANS(F43))),('Geometry'!$G$17*COS(RADIANS(F43))+'Geometry'!$F$17*SIN(RADIANS(F43))),('Geometry'!$G$18*COS(RADIANS(F43))+'Geometry'!$F$18*SIN(RADIANS(F43))),('Geometry'!$G$19*COS(RADIANS(F43))+'Geometry'!$F$19*SIN(RADIANS(F43))),('Geometry'!$G$20*COS(RADIANS(F43))+'Geometry'!$F$20*SIN(RADIANS(F43))))</f>
        <v>1699.0381056766582</v>
      </c>
      <c r="L43" s="16">
        <f>C_ecu</f>
        <v>0.0033</v>
      </c>
      <c r="M43" s="16">
        <f>0</f>
        <v>0</v>
      </c>
      <c r="N43" s="22">
        <f>IF(ABS(I43-J43)&lt;0.000000000001,0,(L43-M43)/(I43-J43))</f>
        <v>6.474251497507847e-7</v>
      </c>
      <c r="O43" s="16">
        <f>L43-N43*I43</f>
        <v>0.00275</v>
      </c>
      <c r="P43" s="22">
        <f>N43*COS(RADIANS(F43))</f>
        <v>3.237125748753924e-7</v>
      </c>
      <c r="Q43" s="22">
        <f>N43*SIN(RADIANS(F43))</f>
        <v>5.606866267331239e-7</v>
      </c>
      <c r="R43" s="11">
        <f>AP43</f>
        <v>15289.892011223284</v>
      </c>
      <c r="S43" s="11">
        <f>AQ43</f>
        <v>113.8022906208376</v>
      </c>
      <c r="T43" s="11">
        <f>AR43</f>
        <v>254.99857144061852</v>
      </c>
      <c r="U43" s="11">
        <f>AS43</f>
        <v>2380.4536042599534</v>
      </c>
      <c r="V43" s="11">
        <f>AT43</f>
        <v>35.05098578453965</v>
      </c>
      <c r="W43" s="11">
        <f>AU43</f>
        <v>81.631067219369</v>
      </c>
      <c r="X43" s="11">
        <f>AM43</f>
        <v>17670.345615483235</v>
      </c>
      <c r="Y43" s="11">
        <f>AN43</f>
        <v>148.85327640537727</v>
      </c>
      <c r="Z43" s="11">
        <f>AO43</f>
        <v>336.62963865998745</v>
      </c>
      <c r="AA43" s="7">
        <v>1</v>
      </c>
      <c r="AB43" s="7">
        <v>1</v>
      </c>
      <c r="AC43" s="7">
        <v>1</v>
      </c>
      <c r="AD43" s="11">
        <f>X43*AA43</f>
        <v>17670.345615483235</v>
      </c>
      <c r="AE43" s="11">
        <f>Y43*AB43</f>
        <v>148.85327640537727</v>
      </c>
      <c r="AF43" s="11">
        <f>Z43*AC43</f>
        <v>336.62963865998745</v>
      </c>
      <c r="AG43" s="7">
        <v>17670.345615483235</v>
      </c>
      <c r="AH43" s="7">
        <v>148.85327640537727</v>
      </c>
      <c r="AI43" s="7">
        <v>336.62963865998745</v>
      </c>
      <c r="AJ43" s="16">
        <f>AD43-AG43</f>
        <v>0</v>
      </c>
      <c r="AK43" s="16">
        <f>SQRT((AE43-AH43)^2+(AF43-AI43)^2)</f>
        <v>0</v>
      </c>
      <c r="AL43" s="7" t="s">
        <v>190</v>
      </c>
      <c r="AM43" s="7">
        <v>17670.345615483235</v>
      </c>
      <c r="AN43" s="7">
        <v>148.85327640537727</v>
      </c>
      <c r="AO43" s="7">
        <v>336.62963865998745</v>
      </c>
      <c r="AP43" s="7">
        <v>15289.892011223284</v>
      </c>
      <c r="AQ43" s="7">
        <v>113.8022906208376</v>
      </c>
      <c r="AR43" s="7">
        <v>254.99857144061852</v>
      </c>
      <c r="AS43" s="7">
        <v>2380.4536042599534</v>
      </c>
      <c r="AT43" s="7">
        <v>35.05098578453965</v>
      </c>
      <c r="AU43" s="7">
        <v>81.631067219369</v>
      </c>
    </row>
    <row r="44" spans="1:47" x14ac:dyDescent="0.25">
      <c r="A44" s="7" t="s">
        <v>268</v>
      </c>
      <c r="B44" s="7">
        <v>2</v>
      </c>
      <c r="C44" s="19">
        <v>60</v>
      </c>
      <c r="D44" s="7" t="s">
        <v>269</v>
      </c>
      <c r="E44" s="7" t="s">
        <v>197</v>
      </c>
      <c r="F44" s="20">
        <v>60</v>
      </c>
      <c r="G44" s="7" t="s">
        <v>194</v>
      </c>
      <c r="H44" s="21">
        <v>1.9999999999999998</v>
      </c>
      <c r="I44" s="11">
        <f>MAX(('Geometry'!$G$13*COS(RADIANS(F44))+'Geometry'!$F$13*SIN(RADIANS(F44))),('Geometry'!$G$14*COS(RADIANS(F44))+'Geometry'!$F$14*SIN(RADIANS(F44))),('Geometry'!$G$15*COS(RADIANS(F44))+'Geometry'!$F$15*SIN(RADIANS(F44))),('Geometry'!$G$16*COS(RADIANS(F44))+'Geometry'!$F$16*SIN(RADIANS(F44))),('Geometry'!$G$17*COS(RADIANS(F44))+'Geometry'!$F$17*SIN(RADIANS(F44))),('Geometry'!$G$18*COS(RADIANS(F44))+'Geometry'!$F$18*SIN(RADIANS(F44))),('Geometry'!$G$19*COS(RADIANS(F44))+'Geometry'!$F$19*SIN(RADIANS(F44))),('Geometry'!$G$20*COS(RADIANS(F44))+'Geometry'!$F$20*SIN(RADIANS(F44))))</f>
        <v>849.5190528383291</v>
      </c>
      <c r="J44" s="11">
        <f>I44-H44*K44</f>
        <v>-2548.557158514987</v>
      </c>
      <c r="K44" s="11">
        <f>I44-MIN(('Geometry'!$G$13*COS(RADIANS(F44))+'Geometry'!$F$13*SIN(RADIANS(F44))),('Geometry'!$G$14*COS(RADIANS(F44))+'Geometry'!$F$14*SIN(RADIANS(F44))),('Geometry'!$G$15*COS(RADIANS(F44))+'Geometry'!$F$15*SIN(RADIANS(F44))),('Geometry'!$G$16*COS(RADIANS(F44))+'Geometry'!$F$16*SIN(RADIANS(F44))),('Geometry'!$G$17*COS(RADIANS(F44))+'Geometry'!$F$17*SIN(RADIANS(F44))),('Geometry'!$G$18*COS(RADIANS(F44))+'Geometry'!$F$18*SIN(RADIANS(F44))),('Geometry'!$G$19*COS(RADIANS(F44))+'Geometry'!$F$19*SIN(RADIANS(F44))),('Geometry'!$G$20*COS(RADIANS(F44))+'Geometry'!$F$20*SIN(RADIANS(F44))))</f>
        <v>1699.0381056766582</v>
      </c>
      <c r="L44" s="16">
        <f>C_ecu</f>
        <v>0.0033</v>
      </c>
      <c r="M44" s="16">
        <f>0</f>
        <v>0</v>
      </c>
      <c r="N44" s="22">
        <f>IF(ABS(I44-J44)&lt;0.000000000001,0,(L44-M44)/(I44-J44))</f>
        <v>9.71137724626177e-7</v>
      </c>
      <c r="O44" s="16">
        <f>L44-N44*I44</f>
        <v>0.0024749999999999998</v>
      </c>
      <c r="P44" s="22">
        <f>N44*COS(RADIANS(F44))</f>
        <v>4.855688623130887e-7</v>
      </c>
      <c r="Q44" s="22">
        <f>N44*SIN(RADIANS(F44))</f>
        <v>8.41029940099686e-7</v>
      </c>
      <c r="R44" s="11">
        <f>AP44</f>
        <v>15289.892011223284</v>
      </c>
      <c r="S44" s="11">
        <f>AQ44</f>
        <v>227.6045812416752</v>
      </c>
      <c r="T44" s="11">
        <f>AR44</f>
        <v>509.99714288123704</v>
      </c>
      <c r="U44" s="11">
        <f>AS44</f>
        <v>2380.4536042599534</v>
      </c>
      <c r="V44" s="11">
        <f>AT44</f>
        <v>70.1019715690793</v>
      </c>
      <c r="W44" s="11">
        <f>AU44</f>
        <v>163.262134438738</v>
      </c>
      <c r="X44" s="11">
        <f>AM44</f>
        <v>17670.345615483235</v>
      </c>
      <c r="Y44" s="11">
        <f>AN44</f>
        <v>297.70655281075454</v>
      </c>
      <c r="Z44" s="11">
        <f>AO44</f>
        <v>673.2592773199749</v>
      </c>
      <c r="AA44" s="7">
        <v>1</v>
      </c>
      <c r="AB44" s="7">
        <v>1</v>
      </c>
      <c r="AC44" s="7">
        <v>1</v>
      </c>
      <c r="AD44" s="11">
        <f>X44*AA44</f>
        <v>17670.345615483235</v>
      </c>
      <c r="AE44" s="11">
        <f>Y44*AB44</f>
        <v>297.70655281075454</v>
      </c>
      <c r="AF44" s="11">
        <f>Z44*AC44</f>
        <v>673.2592773199749</v>
      </c>
      <c r="AG44" s="7">
        <v>17670.345615483235</v>
      </c>
      <c r="AH44" s="7">
        <v>297.70655281075454</v>
      </c>
      <c r="AI44" s="7">
        <v>673.2592773199749</v>
      </c>
      <c r="AJ44" s="16">
        <f>AD44-AG44</f>
        <v>0</v>
      </c>
      <c r="AK44" s="16">
        <f>SQRT((AE44-AH44)^2+(AF44-AI44)^2)</f>
        <v>0</v>
      </c>
      <c r="AL44" s="7" t="s">
        <v>190</v>
      </c>
      <c r="AM44" s="7">
        <v>17670.345615483235</v>
      </c>
      <c r="AN44" s="7">
        <v>297.70655281075454</v>
      </c>
      <c r="AO44" s="7">
        <v>673.2592773199749</v>
      </c>
      <c r="AP44" s="7">
        <v>15289.892011223284</v>
      </c>
      <c r="AQ44" s="7">
        <v>227.6045812416752</v>
      </c>
      <c r="AR44" s="7">
        <v>509.99714288123704</v>
      </c>
      <c r="AS44" s="7">
        <v>2380.4536042599534</v>
      </c>
      <c r="AT44" s="7">
        <v>70.1019715690793</v>
      </c>
      <c r="AU44" s="7">
        <v>163.262134438738</v>
      </c>
    </row>
    <row r="45" spans="1:47" x14ac:dyDescent="0.25">
      <c r="A45" s="7" t="s">
        <v>270</v>
      </c>
      <c r="B45" s="7">
        <v>3</v>
      </c>
      <c r="C45" s="19">
        <v>60</v>
      </c>
      <c r="D45" s="7" t="s">
        <v>271</v>
      </c>
      <c r="E45" s="7" t="s">
        <v>200</v>
      </c>
      <c r="F45" s="20">
        <v>60</v>
      </c>
      <c r="G45" s="7" t="s">
        <v>194</v>
      </c>
      <c r="H45" s="21">
        <v>1.5</v>
      </c>
      <c r="I45" s="11">
        <f>MAX(('Geometry'!$G$13*COS(RADIANS(F45))+'Geometry'!$F$13*SIN(RADIANS(F45))),('Geometry'!$G$14*COS(RADIANS(F45))+'Geometry'!$F$14*SIN(RADIANS(F45))),('Geometry'!$G$15*COS(RADIANS(F45))+'Geometry'!$F$15*SIN(RADIANS(F45))),('Geometry'!$G$16*COS(RADIANS(F45))+'Geometry'!$F$16*SIN(RADIANS(F45))),('Geometry'!$G$17*COS(RADIANS(F45))+'Geometry'!$F$17*SIN(RADIANS(F45))),('Geometry'!$G$18*COS(RADIANS(F45))+'Geometry'!$F$18*SIN(RADIANS(F45))),('Geometry'!$G$19*COS(RADIANS(F45))+'Geometry'!$F$19*SIN(RADIANS(F45))),('Geometry'!$G$20*COS(RADIANS(F45))+'Geometry'!$F$20*SIN(RADIANS(F45))))</f>
        <v>849.5190528383291</v>
      </c>
      <c r="J45" s="11">
        <f>I45-H45*K45</f>
        <v>-1699.038105676658</v>
      </c>
      <c r="K45" s="11">
        <f>I45-MIN(('Geometry'!$G$13*COS(RADIANS(F45))+'Geometry'!$F$13*SIN(RADIANS(F45))),('Geometry'!$G$14*COS(RADIANS(F45))+'Geometry'!$F$14*SIN(RADIANS(F45))),('Geometry'!$G$15*COS(RADIANS(F45))+'Geometry'!$F$15*SIN(RADIANS(F45))),('Geometry'!$G$16*COS(RADIANS(F45))+'Geometry'!$F$16*SIN(RADIANS(F45))),('Geometry'!$G$17*COS(RADIANS(F45))+'Geometry'!$F$17*SIN(RADIANS(F45))),('Geometry'!$G$18*COS(RADIANS(F45))+'Geometry'!$F$18*SIN(RADIANS(F45))),('Geometry'!$G$19*COS(RADIANS(F45))+'Geometry'!$F$19*SIN(RADIANS(F45))),('Geometry'!$G$20*COS(RADIANS(F45))+'Geometry'!$F$20*SIN(RADIANS(F45))))</f>
        <v>1699.0381056766582</v>
      </c>
      <c r="L45" s="16">
        <f>C_ecu</f>
        <v>0.0033</v>
      </c>
      <c r="M45" s="16">
        <f>0</f>
        <v>0</v>
      </c>
      <c r="N45" s="22">
        <f>IF(ABS(I45-J45)&lt;0.000000000001,0,(L45-M45)/(I45-J45))</f>
        <v>0.0000012948502995015694</v>
      </c>
      <c r="O45" s="16">
        <f>L45-N45*I45</f>
        <v>0.0021999999999999997</v>
      </c>
      <c r="P45" s="22">
        <f>N45*COS(RADIANS(F45))</f>
        <v>6.474251497507848e-7</v>
      </c>
      <c r="Q45" s="22">
        <f>N45*SIN(RADIANS(F45))</f>
        <v>0.0000011213732534662478</v>
      </c>
      <c r="R45" s="11">
        <f>AP45</f>
        <v>15289.892011223284</v>
      </c>
      <c r="S45" s="11">
        <f>AQ45</f>
        <v>341.40687186251284</v>
      </c>
      <c r="T45" s="11">
        <f>AR45</f>
        <v>764.9957143218555</v>
      </c>
      <c r="U45" s="11">
        <f>AS45</f>
        <v>2380.4536042599534</v>
      </c>
      <c r="V45" s="11">
        <f>AT45</f>
        <v>105.15295735361896</v>
      </c>
      <c r="W45" s="11">
        <f>AU45</f>
        <v>244.89320165810702</v>
      </c>
      <c r="X45" s="11">
        <f>AM45</f>
        <v>17670.345615483235</v>
      </c>
      <c r="Y45" s="11">
        <f>AN45</f>
        <v>446.5598292161318</v>
      </c>
      <c r="Z45" s="11">
        <f>AO45</f>
        <v>1009.8889159799625</v>
      </c>
      <c r="AA45" s="7">
        <v>1</v>
      </c>
      <c r="AB45" s="7">
        <v>1</v>
      </c>
      <c r="AC45" s="7">
        <v>1</v>
      </c>
      <c r="AD45" s="11">
        <f>X45*AA45</f>
        <v>17670.345615483235</v>
      </c>
      <c r="AE45" s="11">
        <f>Y45*AB45</f>
        <v>446.5598292161318</v>
      </c>
      <c r="AF45" s="11">
        <f>Z45*AC45</f>
        <v>1009.8889159799625</v>
      </c>
      <c r="AG45" s="7">
        <v>17670.345615483235</v>
      </c>
      <c r="AH45" s="7">
        <v>446.5598292161318</v>
      </c>
      <c r="AI45" s="7">
        <v>1009.8889159799625</v>
      </c>
      <c r="AJ45" s="16">
        <f>AD45-AG45</f>
        <v>0</v>
      </c>
      <c r="AK45" s="16">
        <f>SQRT((AE45-AH45)^2+(AF45-AI45)^2)</f>
        <v>0</v>
      </c>
      <c r="AL45" s="7" t="s">
        <v>190</v>
      </c>
      <c r="AM45" s="7">
        <v>17670.345615483235</v>
      </c>
      <c r="AN45" s="7">
        <v>446.5598292161318</v>
      </c>
      <c r="AO45" s="7">
        <v>1009.8889159799625</v>
      </c>
      <c r="AP45" s="7">
        <v>15289.892011223284</v>
      </c>
      <c r="AQ45" s="7">
        <v>341.40687186251284</v>
      </c>
      <c r="AR45" s="7">
        <v>764.9957143218555</v>
      </c>
      <c r="AS45" s="7">
        <v>2380.4536042599534</v>
      </c>
      <c r="AT45" s="7">
        <v>105.15295735361896</v>
      </c>
      <c r="AU45" s="7">
        <v>244.89320165810702</v>
      </c>
    </row>
    <row r="46" spans="1:47" x14ac:dyDescent="0.25">
      <c r="A46" s="7" t="s">
        <v>272</v>
      </c>
      <c r="B46" s="7">
        <v>4</v>
      </c>
      <c r="C46" s="19">
        <v>60</v>
      </c>
      <c r="D46" s="7" t="s">
        <v>273</v>
      </c>
      <c r="E46" s="7" t="s">
        <v>203</v>
      </c>
      <c r="F46" s="20">
        <v>60</v>
      </c>
      <c r="G46" s="7" t="s">
        <v>194</v>
      </c>
      <c r="H46" s="21">
        <v>1.2</v>
      </c>
      <c r="I46" s="11">
        <f>MAX(('Geometry'!$G$13*COS(RADIANS(F46))+'Geometry'!$F$13*SIN(RADIANS(F46))),('Geometry'!$G$14*COS(RADIANS(F46))+'Geometry'!$F$14*SIN(RADIANS(F46))),('Geometry'!$G$15*COS(RADIANS(F46))+'Geometry'!$F$15*SIN(RADIANS(F46))),('Geometry'!$G$16*COS(RADIANS(F46))+'Geometry'!$F$16*SIN(RADIANS(F46))),('Geometry'!$G$17*COS(RADIANS(F46))+'Geometry'!$F$17*SIN(RADIANS(F46))),('Geometry'!$G$18*COS(RADIANS(F46))+'Geometry'!$F$18*SIN(RADIANS(F46))),('Geometry'!$G$19*COS(RADIANS(F46))+'Geometry'!$F$19*SIN(RADIANS(F46))),('Geometry'!$G$20*COS(RADIANS(F46))+'Geometry'!$F$20*SIN(RADIANS(F46))))</f>
        <v>849.5190528383291</v>
      </c>
      <c r="J46" s="11">
        <f>I46-H46*K46</f>
        <v>-1189.3266739736607</v>
      </c>
      <c r="K46" s="11">
        <f>I46-MIN(('Geometry'!$G$13*COS(RADIANS(F46))+'Geometry'!$F$13*SIN(RADIANS(F46))),('Geometry'!$G$14*COS(RADIANS(F46))+'Geometry'!$F$14*SIN(RADIANS(F46))),('Geometry'!$G$15*COS(RADIANS(F46))+'Geometry'!$F$15*SIN(RADIANS(F46))),('Geometry'!$G$16*COS(RADIANS(F46))+'Geometry'!$F$16*SIN(RADIANS(F46))),('Geometry'!$G$17*COS(RADIANS(F46))+'Geometry'!$F$17*SIN(RADIANS(F46))),('Geometry'!$G$18*COS(RADIANS(F46))+'Geometry'!$F$18*SIN(RADIANS(F46))),('Geometry'!$G$19*COS(RADIANS(F46))+'Geometry'!$F$19*SIN(RADIANS(F46))),('Geometry'!$G$20*COS(RADIANS(F46))+'Geometry'!$F$20*SIN(RADIANS(F46))))</f>
        <v>1699.0381056766582</v>
      </c>
      <c r="L46" s="16">
        <f>C_ecu</f>
        <v>0.0033</v>
      </c>
      <c r="M46" s="16">
        <f>0</f>
        <v>0</v>
      </c>
      <c r="N46" s="22">
        <f>IF(ABS(I46-J46)&lt;0.000000000001,0,(L46-M46)/(I46-J46))</f>
        <v>0.0000016185628743769617</v>
      </c>
      <c r="O46" s="16">
        <f>L46-N46*I46</f>
        <v>0.001925</v>
      </c>
      <c r="P46" s="22">
        <f>N46*COS(RADIANS(F46))</f>
        <v>8.092814371884811e-7</v>
      </c>
      <c r="Q46" s="22">
        <f>N46*SIN(RADIANS(F46))</f>
        <v>0.0000014017165668328098</v>
      </c>
      <c r="R46" s="11">
        <f>AP46</f>
        <v>15289.892011223284</v>
      </c>
      <c r="S46" s="11">
        <f>AQ46</f>
        <v>455.2091624833504</v>
      </c>
      <c r="T46" s="11">
        <f>AR46</f>
        <v>1019.9942857624741</v>
      </c>
      <c r="U46" s="11">
        <f>AS46</f>
        <v>2380.4536042599534</v>
      </c>
      <c r="V46" s="11">
        <f>AT46</f>
        <v>140.2039431381586</v>
      </c>
      <c r="W46" s="11">
        <f>AU46</f>
        <v>326.524268877476</v>
      </c>
      <c r="X46" s="11">
        <f>AM46</f>
        <v>17670.345615483235</v>
      </c>
      <c r="Y46" s="11">
        <f>AN46</f>
        <v>595.4131056215091</v>
      </c>
      <c r="Z46" s="11">
        <f>AO46</f>
        <v>1346.5185546399498</v>
      </c>
      <c r="AA46" s="7">
        <v>1</v>
      </c>
      <c r="AB46" s="7">
        <v>1</v>
      </c>
      <c r="AC46" s="7">
        <v>1</v>
      </c>
      <c r="AD46" s="11">
        <f>X46*AA46</f>
        <v>17670.345615483235</v>
      </c>
      <c r="AE46" s="11">
        <f>Y46*AB46</f>
        <v>595.4131056215091</v>
      </c>
      <c r="AF46" s="11">
        <f>Z46*AC46</f>
        <v>1346.5185546399498</v>
      </c>
      <c r="AG46" s="7">
        <v>17670.345615483235</v>
      </c>
      <c r="AH46" s="7">
        <v>595.4131056215091</v>
      </c>
      <c r="AI46" s="7">
        <v>1346.5185546399498</v>
      </c>
      <c r="AJ46" s="16">
        <f>AD46-AG46</f>
        <v>0</v>
      </c>
      <c r="AK46" s="16">
        <f>SQRT((AE46-AH46)^2+(AF46-AI46)^2)</f>
        <v>0</v>
      </c>
      <c r="AL46" s="7" t="s">
        <v>190</v>
      </c>
      <c r="AM46" s="7">
        <v>17670.345615483235</v>
      </c>
      <c r="AN46" s="7">
        <v>595.4131056215091</v>
      </c>
      <c r="AO46" s="7">
        <v>1346.5185546399498</v>
      </c>
      <c r="AP46" s="7">
        <v>15289.892011223284</v>
      </c>
      <c r="AQ46" s="7">
        <v>455.2091624833504</v>
      </c>
      <c r="AR46" s="7">
        <v>1019.9942857624741</v>
      </c>
      <c r="AS46" s="7">
        <v>2380.4536042599534</v>
      </c>
      <c r="AT46" s="7">
        <v>140.2039431381586</v>
      </c>
      <c r="AU46" s="7">
        <v>326.524268877476</v>
      </c>
    </row>
    <row r="47" spans="1:47" x14ac:dyDescent="0.25">
      <c r="A47" s="7" t="s">
        <v>274</v>
      </c>
      <c r="B47" s="7">
        <v>5</v>
      </c>
      <c r="C47" s="19">
        <v>60</v>
      </c>
      <c r="D47" s="7" t="s">
        <v>275</v>
      </c>
      <c r="E47" s="7" t="s">
        <v>206</v>
      </c>
      <c r="F47" s="20">
        <v>60</v>
      </c>
      <c r="G47" s="7" t="s">
        <v>194</v>
      </c>
      <c r="H47" s="21">
        <v>1.1</v>
      </c>
      <c r="I47" s="11">
        <f>MAX(('Geometry'!$G$13*COS(RADIANS(F47))+'Geometry'!$F$13*SIN(RADIANS(F47))),('Geometry'!$G$14*COS(RADIANS(F47))+'Geometry'!$F$14*SIN(RADIANS(F47))),('Geometry'!$G$15*COS(RADIANS(F47))+'Geometry'!$F$15*SIN(RADIANS(F47))),('Geometry'!$G$16*COS(RADIANS(F47))+'Geometry'!$F$16*SIN(RADIANS(F47))),('Geometry'!$G$17*COS(RADIANS(F47))+'Geometry'!$F$17*SIN(RADIANS(F47))),('Geometry'!$G$18*COS(RADIANS(F47))+'Geometry'!$F$18*SIN(RADIANS(F47))),('Geometry'!$G$19*COS(RADIANS(F47))+'Geometry'!$F$19*SIN(RADIANS(F47))),('Geometry'!$G$20*COS(RADIANS(F47))+'Geometry'!$F$20*SIN(RADIANS(F47))))</f>
        <v>849.5190528383291</v>
      </c>
      <c r="J47" s="11">
        <f>I47-H47*K47</f>
        <v>-1019.422863405995</v>
      </c>
      <c r="K47" s="11">
        <f>I47-MIN(('Geometry'!$G$13*COS(RADIANS(F47))+'Geometry'!$F$13*SIN(RADIANS(F47))),('Geometry'!$G$14*COS(RADIANS(F47))+'Geometry'!$F$14*SIN(RADIANS(F47))),('Geometry'!$G$15*COS(RADIANS(F47))+'Geometry'!$F$15*SIN(RADIANS(F47))),('Geometry'!$G$16*COS(RADIANS(F47))+'Geometry'!$F$16*SIN(RADIANS(F47))),('Geometry'!$G$17*COS(RADIANS(F47))+'Geometry'!$F$17*SIN(RADIANS(F47))),('Geometry'!$G$18*COS(RADIANS(F47))+'Geometry'!$F$18*SIN(RADIANS(F47))),('Geometry'!$G$19*COS(RADIANS(F47))+'Geometry'!$F$19*SIN(RADIANS(F47))),('Geometry'!$G$20*COS(RADIANS(F47))+'Geometry'!$F$20*SIN(RADIANS(F47))))</f>
        <v>1699.0381056766582</v>
      </c>
      <c r="L47" s="16">
        <f>C_ecu</f>
        <v>0.0033</v>
      </c>
      <c r="M47" s="16">
        <f>0</f>
        <v>0</v>
      </c>
      <c r="N47" s="22">
        <f>IF(ABS(I47-J47)&lt;0.000000000001,0,(L47-M47)/(I47-J47))</f>
        <v>0.0000017657049538657765</v>
      </c>
      <c r="O47" s="16">
        <f>L47-N47*I47</f>
        <v>0.0018000000000000002</v>
      </c>
      <c r="P47" s="22">
        <f>N47*COS(RADIANS(F47))</f>
        <v>8.828524769328883e-7</v>
      </c>
      <c r="Q47" s="22">
        <f>N47*SIN(RADIANS(F47))</f>
        <v>0.0000015291453456357924</v>
      </c>
      <c r="R47" s="11">
        <f>AP47</f>
        <v>15289.892011223284</v>
      </c>
      <c r="S47" s="11">
        <f>AQ47</f>
        <v>569.011453104188</v>
      </c>
      <c r="T47" s="11">
        <f>AR47</f>
        <v>1274.9928572030926</v>
      </c>
      <c r="U47" s="11">
        <f>AS47</f>
        <v>2380.4536042599534</v>
      </c>
      <c r="V47" s="11">
        <f>AT47</f>
        <v>175.25492892269827</v>
      </c>
      <c r="W47" s="11">
        <f>AU47</f>
        <v>408.155336096845</v>
      </c>
      <c r="X47" s="11">
        <f>AM47</f>
        <v>17670.345615483235</v>
      </c>
      <c r="Y47" s="11">
        <f>AN47</f>
        <v>744.2663820268864</v>
      </c>
      <c r="Z47" s="11">
        <f>AO47</f>
        <v>1683.1481932999375</v>
      </c>
      <c r="AA47" s="7">
        <v>1</v>
      </c>
      <c r="AB47" s="7">
        <v>1</v>
      </c>
      <c r="AC47" s="7">
        <v>1</v>
      </c>
      <c r="AD47" s="11">
        <f>X47*AA47</f>
        <v>17670.345615483235</v>
      </c>
      <c r="AE47" s="11">
        <f>Y47*AB47</f>
        <v>744.2663820268864</v>
      </c>
      <c r="AF47" s="11">
        <f>Z47*AC47</f>
        <v>1683.1481932999375</v>
      </c>
      <c r="AG47" s="7">
        <v>17670.345615483235</v>
      </c>
      <c r="AH47" s="7">
        <v>744.2663820268864</v>
      </c>
      <c r="AI47" s="7">
        <v>1683.1481932999375</v>
      </c>
      <c r="AJ47" s="16">
        <f>AD47-AG47</f>
        <v>0</v>
      </c>
      <c r="AK47" s="16">
        <f>SQRT((AE47-AH47)^2+(AF47-AI47)^2)</f>
        <v>0</v>
      </c>
      <c r="AL47" s="7" t="s">
        <v>190</v>
      </c>
      <c r="AM47" s="7">
        <v>17670.345615483235</v>
      </c>
      <c r="AN47" s="7">
        <v>744.2663820268864</v>
      </c>
      <c r="AO47" s="7">
        <v>1683.1481932999375</v>
      </c>
      <c r="AP47" s="7">
        <v>15289.892011223284</v>
      </c>
      <c r="AQ47" s="7">
        <v>569.011453104188</v>
      </c>
      <c r="AR47" s="7">
        <v>1274.9928572030926</v>
      </c>
      <c r="AS47" s="7">
        <v>2380.4536042599534</v>
      </c>
      <c r="AT47" s="7">
        <v>175.25492892269827</v>
      </c>
      <c r="AU47" s="7">
        <v>408.155336096845</v>
      </c>
    </row>
    <row r="48" spans="1:47" x14ac:dyDescent="0.25">
      <c r="A48" s="7" t="s">
        <v>276</v>
      </c>
      <c r="B48" s="7">
        <v>6</v>
      </c>
      <c r="C48" s="19">
        <v>60</v>
      </c>
      <c r="D48" s="7" t="s">
        <v>277</v>
      </c>
      <c r="E48" s="7" t="s">
        <v>229</v>
      </c>
      <c r="F48" s="20">
        <v>60</v>
      </c>
      <c r="G48" s="7" t="s">
        <v>194</v>
      </c>
      <c r="H48" s="21">
        <v>0.9999999999999999</v>
      </c>
      <c r="I48" s="11">
        <f>MAX(('Geometry'!$G$13*COS(RADIANS(F48))+'Geometry'!$F$13*SIN(RADIANS(F48))),('Geometry'!$G$14*COS(RADIANS(F48))+'Geometry'!$F$14*SIN(RADIANS(F48))),('Geometry'!$G$15*COS(RADIANS(F48))+'Geometry'!$F$15*SIN(RADIANS(F48))),('Geometry'!$G$16*COS(RADIANS(F48))+'Geometry'!$F$16*SIN(RADIANS(F48))),('Geometry'!$G$17*COS(RADIANS(F48))+'Geometry'!$F$17*SIN(RADIANS(F48))),('Geometry'!$G$18*COS(RADIANS(F48))+'Geometry'!$F$18*SIN(RADIANS(F48))),('Geometry'!$G$19*COS(RADIANS(F48))+'Geometry'!$F$19*SIN(RADIANS(F48))),('Geometry'!$G$20*COS(RADIANS(F48))+'Geometry'!$F$20*SIN(RADIANS(F48))))</f>
        <v>849.5190528383291</v>
      </c>
      <c r="J48" s="11">
        <f>I48-H48*K48</f>
        <v>-849.5190528383289</v>
      </c>
      <c r="K48" s="11">
        <f>I48-MIN(('Geometry'!$G$13*COS(RADIANS(F48))+'Geometry'!$F$13*SIN(RADIANS(F48))),('Geometry'!$G$14*COS(RADIANS(F48))+'Geometry'!$F$14*SIN(RADIANS(F48))),('Geometry'!$G$15*COS(RADIANS(F48))+'Geometry'!$F$15*SIN(RADIANS(F48))),('Geometry'!$G$16*COS(RADIANS(F48))+'Geometry'!$F$16*SIN(RADIANS(F48))),('Geometry'!$G$17*COS(RADIANS(F48))+'Geometry'!$F$17*SIN(RADIANS(F48))),('Geometry'!$G$18*COS(RADIANS(F48))+'Geometry'!$F$18*SIN(RADIANS(F48))),('Geometry'!$G$19*COS(RADIANS(F48))+'Geometry'!$F$19*SIN(RADIANS(F48))),('Geometry'!$G$20*COS(RADIANS(F48))+'Geometry'!$F$20*SIN(RADIANS(F48))))</f>
        <v>1699.0381056766582</v>
      </c>
      <c r="L48" s="16">
        <f>C_ecu</f>
        <v>0.0033</v>
      </c>
      <c r="M48" s="16">
        <f>0</f>
        <v>0</v>
      </c>
      <c r="N48" s="22">
        <f>IF(ABS(I48-J48)&lt;0.000000000001,0,(L48-M48)/(I48-J48))</f>
        <v>0.000001942275449252354</v>
      </c>
      <c r="O48" s="16">
        <f>L48-N48*I48</f>
        <v>0.0016499999999999998</v>
      </c>
      <c r="P48" s="22">
        <f>N48*COS(RADIANS(F48))</f>
        <v>9.711377246261773e-7</v>
      </c>
      <c r="Q48" s="22">
        <f>N48*SIN(RADIANS(F48))</f>
        <v>0.000001682059880199372</v>
      </c>
      <c r="R48" s="11">
        <f>AP48</f>
        <v>15289.892011223284</v>
      </c>
      <c r="S48" s="11">
        <f>AQ48</f>
        <v>682.8137437250257</v>
      </c>
      <c r="T48" s="11">
        <f>AR48</f>
        <v>1529.991428643711</v>
      </c>
      <c r="U48" s="11">
        <f>AS48</f>
        <v>2380.4536042599534</v>
      </c>
      <c r="V48" s="11">
        <f>AT48</f>
        <v>210.30591470723792</v>
      </c>
      <c r="W48" s="11">
        <f>AU48</f>
        <v>489.78640331621403</v>
      </c>
      <c r="X48" s="11">
        <f>AM48</f>
        <v>17670.345615483235</v>
      </c>
      <c r="Y48" s="11">
        <f>AN48</f>
        <v>893.1196584322636</v>
      </c>
      <c r="Z48" s="11">
        <f>AO48</f>
        <v>2019.777831959925</v>
      </c>
      <c r="AA48" s="7">
        <v>1</v>
      </c>
      <c r="AB48" s="7">
        <v>1</v>
      </c>
      <c r="AC48" s="7">
        <v>1</v>
      </c>
      <c r="AD48" s="11">
        <f>X48*AA48</f>
        <v>17670.345615483235</v>
      </c>
      <c r="AE48" s="11">
        <f>Y48*AB48</f>
        <v>893.1196584322636</v>
      </c>
      <c r="AF48" s="11">
        <f>Z48*AC48</f>
        <v>2019.777831959925</v>
      </c>
      <c r="AG48" s="7">
        <v>17670.345615483235</v>
      </c>
      <c r="AH48" s="7">
        <v>893.1196584322636</v>
      </c>
      <c r="AI48" s="7">
        <v>2019.777831959925</v>
      </c>
      <c r="AJ48" s="16">
        <f>AD48-AG48</f>
        <v>0</v>
      </c>
      <c r="AK48" s="16">
        <f>SQRT((AE48-AH48)^2+(AF48-AI48)^2)</f>
        <v>0</v>
      </c>
      <c r="AL48" s="7" t="s">
        <v>190</v>
      </c>
      <c r="AM48" s="7">
        <v>17670.345615483235</v>
      </c>
      <c r="AN48" s="7">
        <v>893.1196584322636</v>
      </c>
      <c r="AO48" s="7">
        <v>2019.777831959925</v>
      </c>
      <c r="AP48" s="7">
        <v>15289.892011223284</v>
      </c>
      <c r="AQ48" s="7">
        <v>682.8137437250257</v>
      </c>
      <c r="AR48" s="7">
        <v>1529.991428643711</v>
      </c>
      <c r="AS48" s="7">
        <v>2380.4536042599534</v>
      </c>
      <c r="AT48" s="7">
        <v>210.30591470723792</v>
      </c>
      <c r="AU48" s="7">
        <v>489.78640331621403</v>
      </c>
    </row>
    <row r="49" spans="1:47" x14ac:dyDescent="0.25">
      <c r="A49" s="7" t="s">
        <v>278</v>
      </c>
      <c r="B49" s="7">
        <v>1</v>
      </c>
      <c r="C49" s="19">
        <v>70</v>
      </c>
      <c r="D49" s="7" t="s">
        <v>279</v>
      </c>
      <c r="E49" s="7" t="s">
        <v>193</v>
      </c>
      <c r="F49" s="20">
        <v>70</v>
      </c>
      <c r="G49" s="7" t="s">
        <v>194</v>
      </c>
      <c r="H49" s="21">
        <v>3.0000000000000004</v>
      </c>
      <c r="I49" s="11">
        <f>MAX(('Geometry'!$G$13*COS(RADIANS(F49))+'Geometry'!$F$13*SIN(RADIANS(F49))),('Geometry'!$G$14*COS(RADIANS(F49))+'Geometry'!$F$14*SIN(RADIANS(F49))),('Geometry'!$G$15*COS(RADIANS(F49))+'Geometry'!$F$15*SIN(RADIANS(F49))),('Geometry'!$G$16*COS(RADIANS(F49))+'Geometry'!$F$16*SIN(RADIANS(F49))),('Geometry'!$G$17*COS(RADIANS(F49))+'Geometry'!$F$17*SIN(RADIANS(F49))),('Geometry'!$G$18*COS(RADIANS(F49))+'Geometry'!$F$18*SIN(RADIANS(F49))),('Geometry'!$G$19*COS(RADIANS(F49))+'Geometry'!$F$19*SIN(RADIANS(F49))),('Geometry'!$G$20*COS(RADIANS(F49))+'Geometry'!$F$20*SIN(RADIANS(F49))))</f>
        <v>841.5775229196987</v>
      </c>
      <c r="J49" s="11">
        <f>I49-H49*K49</f>
        <v>-4207.887614598494</v>
      </c>
      <c r="K49" s="11">
        <f>I49-MIN(('Geometry'!$G$13*COS(RADIANS(F49))+'Geometry'!$F$13*SIN(RADIANS(F49))),('Geometry'!$G$14*COS(RADIANS(F49))+'Geometry'!$F$14*SIN(RADIANS(F49))),('Geometry'!$G$15*COS(RADIANS(F49))+'Geometry'!$F$15*SIN(RADIANS(F49))),('Geometry'!$G$16*COS(RADIANS(F49))+'Geometry'!$F$16*SIN(RADIANS(F49))),('Geometry'!$G$17*COS(RADIANS(F49))+'Geometry'!$F$17*SIN(RADIANS(F49))),('Geometry'!$G$18*COS(RADIANS(F49))+'Geometry'!$F$18*SIN(RADIANS(F49))),('Geometry'!$G$19*COS(RADIANS(F49))+'Geometry'!$F$19*SIN(RADIANS(F49))),('Geometry'!$G$20*COS(RADIANS(F49))+'Geometry'!$F$20*SIN(RADIANS(F49))))</f>
        <v>1683.1550458393974</v>
      </c>
      <c r="L49" s="16">
        <f>C_ecu</f>
        <v>0.0033</v>
      </c>
      <c r="M49" s="16">
        <f>0</f>
        <v>0</v>
      </c>
      <c r="N49" s="22">
        <f>IF(ABS(I49-J49)&lt;0.000000000001,0,(L49-M49)/(I49-J49))</f>
        <v>6.535345645780508e-7</v>
      </c>
      <c r="O49" s="16">
        <f>L49-N49*I49</f>
        <v>0.00275</v>
      </c>
      <c r="P49" s="22">
        <f>N49*COS(RADIANS(F49))</f>
        <v>2.2352198544526355e-7</v>
      </c>
      <c r="Q49" s="22">
        <f>N49*SIN(RADIANS(F49))</f>
        <v>6.141216077625262e-7</v>
      </c>
      <c r="R49" s="11">
        <f>AP49</f>
        <v>15276.903228450983</v>
      </c>
      <c r="S49" s="11">
        <f>AQ49</f>
        <v>79.98232386213876</v>
      </c>
      <c r="T49" s="11">
        <f>AR49</f>
        <v>278.1058096425089</v>
      </c>
      <c r="U49" s="11">
        <f>AS49</f>
        <v>2393.442387032251</v>
      </c>
      <c r="V49" s="11">
        <f>AT49</f>
        <v>23.712611992106595</v>
      </c>
      <c r="W49" s="11">
        <f>AU49</f>
        <v>89.58151322519441</v>
      </c>
      <c r="X49" s="11">
        <f>AM49</f>
        <v>17670.345615483235</v>
      </c>
      <c r="Y49" s="11">
        <f>AN49</f>
        <v>103.69493585424533</v>
      </c>
      <c r="Z49" s="11">
        <f>AO49</f>
        <v>367.68732286770336</v>
      </c>
      <c r="AA49" s="7">
        <v>1</v>
      </c>
      <c r="AB49" s="7">
        <v>1</v>
      </c>
      <c r="AC49" s="7">
        <v>1</v>
      </c>
      <c r="AD49" s="11">
        <f>X49*AA49</f>
        <v>17670.345615483235</v>
      </c>
      <c r="AE49" s="11">
        <f>Y49*AB49</f>
        <v>103.69493585424533</v>
      </c>
      <c r="AF49" s="11">
        <f>Z49*AC49</f>
        <v>367.68732286770336</v>
      </c>
      <c r="AG49" s="7">
        <v>17670.345615483235</v>
      </c>
      <c r="AH49" s="7">
        <v>103.69493585424533</v>
      </c>
      <c r="AI49" s="7">
        <v>367.68732286770336</v>
      </c>
      <c r="AJ49" s="16">
        <f>AD49-AG49</f>
        <v>0</v>
      </c>
      <c r="AK49" s="16">
        <f>SQRT((AE49-AH49)^2+(AF49-AI49)^2)</f>
        <v>0</v>
      </c>
      <c r="AL49" s="7" t="s">
        <v>190</v>
      </c>
      <c r="AM49" s="7">
        <v>17670.345615483235</v>
      </c>
      <c r="AN49" s="7">
        <v>103.69493585424533</v>
      </c>
      <c r="AO49" s="7">
        <v>367.68732286770336</v>
      </c>
      <c r="AP49" s="7">
        <v>15276.903228450983</v>
      </c>
      <c r="AQ49" s="7">
        <v>79.98232386213876</v>
      </c>
      <c r="AR49" s="7">
        <v>278.1058096425089</v>
      </c>
      <c r="AS49" s="7">
        <v>2393.442387032251</v>
      </c>
      <c r="AT49" s="7">
        <v>23.712611992106595</v>
      </c>
      <c r="AU49" s="7">
        <v>89.58151322519441</v>
      </c>
    </row>
    <row r="50" spans="1:47" x14ac:dyDescent="0.25">
      <c r="A50" s="7" t="s">
        <v>280</v>
      </c>
      <c r="B50" s="7">
        <v>2</v>
      </c>
      <c r="C50" s="19">
        <v>70</v>
      </c>
      <c r="D50" s="7" t="s">
        <v>281</v>
      </c>
      <c r="E50" s="7" t="s">
        <v>197</v>
      </c>
      <c r="F50" s="20">
        <v>70</v>
      </c>
      <c r="G50" s="7" t="s">
        <v>194</v>
      </c>
      <c r="H50" s="21">
        <v>2.0000000000000004</v>
      </c>
      <c r="I50" s="11">
        <f>MAX(('Geometry'!$G$13*COS(RADIANS(F50))+'Geometry'!$F$13*SIN(RADIANS(F50))),('Geometry'!$G$14*COS(RADIANS(F50))+'Geometry'!$F$14*SIN(RADIANS(F50))),('Geometry'!$G$15*COS(RADIANS(F50))+'Geometry'!$F$15*SIN(RADIANS(F50))),('Geometry'!$G$16*COS(RADIANS(F50))+'Geometry'!$F$16*SIN(RADIANS(F50))),('Geometry'!$G$17*COS(RADIANS(F50))+'Geometry'!$F$17*SIN(RADIANS(F50))),('Geometry'!$G$18*COS(RADIANS(F50))+'Geometry'!$F$18*SIN(RADIANS(F50))),('Geometry'!$G$19*COS(RADIANS(F50))+'Geometry'!$F$19*SIN(RADIANS(F50))),('Geometry'!$G$20*COS(RADIANS(F50))+'Geometry'!$F$20*SIN(RADIANS(F50))))</f>
        <v>841.5775229196987</v>
      </c>
      <c r="J50" s="11">
        <f>I50-H50*K50</f>
        <v>-2524.7325687590965</v>
      </c>
      <c r="K50" s="11">
        <f>I50-MIN(('Geometry'!$G$13*COS(RADIANS(F50))+'Geometry'!$F$13*SIN(RADIANS(F50))),('Geometry'!$G$14*COS(RADIANS(F50))+'Geometry'!$F$14*SIN(RADIANS(F50))),('Geometry'!$G$15*COS(RADIANS(F50))+'Geometry'!$F$15*SIN(RADIANS(F50))),('Geometry'!$G$16*COS(RADIANS(F50))+'Geometry'!$F$16*SIN(RADIANS(F50))),('Geometry'!$G$17*COS(RADIANS(F50))+'Geometry'!$F$17*SIN(RADIANS(F50))),('Geometry'!$G$18*COS(RADIANS(F50))+'Geometry'!$F$18*SIN(RADIANS(F50))),('Geometry'!$G$19*COS(RADIANS(F50))+'Geometry'!$F$19*SIN(RADIANS(F50))),('Geometry'!$G$20*COS(RADIANS(F50))+'Geometry'!$F$20*SIN(RADIANS(F50))))</f>
        <v>1683.1550458393974</v>
      </c>
      <c r="L50" s="16">
        <f>C_ecu</f>
        <v>0.0032999999999999995</v>
      </c>
      <c r="M50" s="16">
        <f>0</f>
        <v>0</v>
      </c>
      <c r="N50" s="22">
        <f>IF(ABS(I50-J50)&lt;0.000000000001,0,(L50-M50)/(I50-J50))</f>
        <v>9.803018468670762e-7</v>
      </c>
      <c r="O50" s="16">
        <f>L50-N50*I50</f>
        <v>0.0024749999999999998</v>
      </c>
      <c r="P50" s="22">
        <f>N50*COS(RADIANS(F50))</f>
        <v>3.352829781678953e-7</v>
      </c>
      <c r="Q50" s="22">
        <f>N50*SIN(RADIANS(F50))</f>
        <v>9.211824116437892e-7</v>
      </c>
      <c r="R50" s="11">
        <f>AP50</f>
        <v>15276.903228450983</v>
      </c>
      <c r="S50" s="11">
        <f>AQ50</f>
        <v>159.9646477242775</v>
      </c>
      <c r="T50" s="11">
        <f>AR50</f>
        <v>556.2116192850178</v>
      </c>
      <c r="U50" s="11">
        <f>AS50</f>
        <v>2393.442387032251</v>
      </c>
      <c r="V50" s="11">
        <f>AT50</f>
        <v>47.42522398421319</v>
      </c>
      <c r="W50" s="11">
        <f>AU50</f>
        <v>179.16302645038883</v>
      </c>
      <c r="X50" s="11">
        <f>AM50</f>
        <v>17670.345615483235</v>
      </c>
      <c r="Y50" s="11">
        <f>AN50</f>
        <v>207.38987170849066</v>
      </c>
      <c r="Z50" s="11">
        <f>AO50</f>
        <v>735.3746457354067</v>
      </c>
      <c r="AA50" s="7">
        <v>1</v>
      </c>
      <c r="AB50" s="7">
        <v>1</v>
      </c>
      <c r="AC50" s="7">
        <v>1</v>
      </c>
      <c r="AD50" s="11">
        <f>X50*AA50</f>
        <v>17670.345615483235</v>
      </c>
      <c r="AE50" s="11">
        <f>Y50*AB50</f>
        <v>207.38987170849066</v>
      </c>
      <c r="AF50" s="11">
        <f>Z50*AC50</f>
        <v>735.3746457354067</v>
      </c>
      <c r="AG50" s="7">
        <v>17670.345615483235</v>
      </c>
      <c r="AH50" s="7">
        <v>207.38987170849066</v>
      </c>
      <c r="AI50" s="7">
        <v>735.3746457354067</v>
      </c>
      <c r="AJ50" s="16">
        <f>AD50-AG50</f>
        <v>0</v>
      </c>
      <c r="AK50" s="16">
        <f>SQRT((AE50-AH50)^2+(AF50-AI50)^2)</f>
        <v>0</v>
      </c>
      <c r="AL50" s="7" t="s">
        <v>190</v>
      </c>
      <c r="AM50" s="7">
        <v>17670.345615483235</v>
      </c>
      <c r="AN50" s="7">
        <v>207.38987170849066</v>
      </c>
      <c r="AO50" s="7">
        <v>735.3746457354067</v>
      </c>
      <c r="AP50" s="7">
        <v>15276.903228450983</v>
      </c>
      <c r="AQ50" s="7">
        <v>159.9646477242775</v>
      </c>
      <c r="AR50" s="7">
        <v>556.2116192850178</v>
      </c>
      <c r="AS50" s="7">
        <v>2393.442387032251</v>
      </c>
      <c r="AT50" s="7">
        <v>47.42522398421319</v>
      </c>
      <c r="AU50" s="7">
        <v>179.16302645038883</v>
      </c>
    </row>
    <row r="51" spans="1:47" x14ac:dyDescent="0.25">
      <c r="A51" s="7" t="s">
        <v>282</v>
      </c>
      <c r="B51" s="7">
        <v>3</v>
      </c>
      <c r="C51" s="19">
        <v>70</v>
      </c>
      <c r="D51" s="7" t="s">
        <v>283</v>
      </c>
      <c r="E51" s="7" t="s">
        <v>200</v>
      </c>
      <c r="F51" s="20">
        <v>70</v>
      </c>
      <c r="G51" s="7" t="s">
        <v>194</v>
      </c>
      <c r="H51" s="21">
        <v>1.5</v>
      </c>
      <c r="I51" s="11">
        <f>MAX(('Geometry'!$G$13*COS(RADIANS(F51))+'Geometry'!$F$13*SIN(RADIANS(F51))),('Geometry'!$G$14*COS(RADIANS(F51))+'Geometry'!$F$14*SIN(RADIANS(F51))),('Geometry'!$G$15*COS(RADIANS(F51))+'Geometry'!$F$15*SIN(RADIANS(F51))),('Geometry'!$G$16*COS(RADIANS(F51))+'Geometry'!$F$16*SIN(RADIANS(F51))),('Geometry'!$G$17*COS(RADIANS(F51))+'Geometry'!$F$17*SIN(RADIANS(F51))),('Geometry'!$G$18*COS(RADIANS(F51))+'Geometry'!$F$18*SIN(RADIANS(F51))),('Geometry'!$G$19*COS(RADIANS(F51))+'Geometry'!$F$19*SIN(RADIANS(F51))),('Geometry'!$G$20*COS(RADIANS(F51))+'Geometry'!$F$20*SIN(RADIANS(F51))))</f>
        <v>841.5775229196987</v>
      </c>
      <c r="J51" s="11">
        <f>I51-H51*K51</f>
        <v>-1683.1550458393974</v>
      </c>
      <c r="K51" s="11">
        <f>I51-MIN(('Geometry'!$G$13*COS(RADIANS(F51))+'Geometry'!$F$13*SIN(RADIANS(F51))),('Geometry'!$G$14*COS(RADIANS(F51))+'Geometry'!$F$14*SIN(RADIANS(F51))),('Geometry'!$G$15*COS(RADIANS(F51))+'Geometry'!$F$15*SIN(RADIANS(F51))),('Geometry'!$G$16*COS(RADIANS(F51))+'Geometry'!$F$16*SIN(RADIANS(F51))),('Geometry'!$G$17*COS(RADIANS(F51))+'Geometry'!$F$17*SIN(RADIANS(F51))),('Geometry'!$G$18*COS(RADIANS(F51))+'Geometry'!$F$18*SIN(RADIANS(F51))),('Geometry'!$G$19*COS(RADIANS(F51))+'Geometry'!$F$19*SIN(RADIANS(F51))),('Geometry'!$G$20*COS(RADIANS(F51))+'Geometry'!$F$20*SIN(RADIANS(F51))))</f>
        <v>1683.1550458393974</v>
      </c>
      <c r="L51" s="16">
        <f>C_ecu</f>
        <v>0.0032999999999999995</v>
      </c>
      <c r="M51" s="16">
        <f>0</f>
        <v>0</v>
      </c>
      <c r="N51" s="22">
        <f>IF(ABS(I51-J51)&lt;0.000000000001,0,(L51-M51)/(I51-J51))</f>
        <v>0.0000013070691291561017</v>
      </c>
      <c r="O51" s="16">
        <f>L51-N51*I51</f>
        <v>0.0021999999999999997</v>
      </c>
      <c r="P51" s="22">
        <f>N51*COS(RADIANS(F51))</f>
        <v>4.470439708905271e-7</v>
      </c>
      <c r="Q51" s="22">
        <f>N51*SIN(RADIANS(F51))</f>
        <v>0.0000012282432155250523</v>
      </c>
      <c r="R51" s="11">
        <f>AP51</f>
        <v>15276.903228450983</v>
      </c>
      <c r="S51" s="11">
        <f>AQ51</f>
        <v>239.94697158641625</v>
      </c>
      <c r="T51" s="11">
        <f>AR51</f>
        <v>834.3174289275267</v>
      </c>
      <c r="U51" s="11">
        <f>AS51</f>
        <v>2393.442387032251</v>
      </c>
      <c r="V51" s="11">
        <f>AT51</f>
        <v>71.13783597631978</v>
      </c>
      <c r="W51" s="11">
        <f>AU51</f>
        <v>268.7445396755832</v>
      </c>
      <c r="X51" s="11">
        <f>AM51</f>
        <v>17670.345615483235</v>
      </c>
      <c r="Y51" s="11">
        <f>AN51</f>
        <v>311.084807562736</v>
      </c>
      <c r="Z51" s="11">
        <f>AO51</f>
        <v>1103.0619686031098</v>
      </c>
      <c r="AA51" s="7">
        <v>1</v>
      </c>
      <c r="AB51" s="7">
        <v>1</v>
      </c>
      <c r="AC51" s="7">
        <v>1</v>
      </c>
      <c r="AD51" s="11">
        <f>X51*AA51</f>
        <v>17670.345615483235</v>
      </c>
      <c r="AE51" s="11">
        <f>Y51*AB51</f>
        <v>311.084807562736</v>
      </c>
      <c r="AF51" s="11">
        <f>Z51*AC51</f>
        <v>1103.0619686031098</v>
      </c>
      <c r="AG51" s="7">
        <v>17670.345615483235</v>
      </c>
      <c r="AH51" s="7">
        <v>311.084807562736</v>
      </c>
      <c r="AI51" s="7">
        <v>1103.0619686031098</v>
      </c>
      <c r="AJ51" s="16">
        <f>AD51-AG51</f>
        <v>0</v>
      </c>
      <c r="AK51" s="16">
        <f>SQRT((AE51-AH51)^2+(AF51-AI51)^2)</f>
        <v>0</v>
      </c>
      <c r="AL51" s="7" t="s">
        <v>190</v>
      </c>
      <c r="AM51" s="7">
        <v>17670.345615483235</v>
      </c>
      <c r="AN51" s="7">
        <v>311.084807562736</v>
      </c>
      <c r="AO51" s="7">
        <v>1103.0619686031098</v>
      </c>
      <c r="AP51" s="7">
        <v>15276.903228450983</v>
      </c>
      <c r="AQ51" s="7">
        <v>239.94697158641625</v>
      </c>
      <c r="AR51" s="7">
        <v>834.3174289275267</v>
      </c>
      <c r="AS51" s="7">
        <v>2393.442387032251</v>
      </c>
      <c r="AT51" s="7">
        <v>71.13783597631978</v>
      </c>
      <c r="AU51" s="7">
        <v>268.7445396755832</v>
      </c>
    </row>
    <row r="52" spans="1:47" x14ac:dyDescent="0.25">
      <c r="A52" s="7" t="s">
        <v>284</v>
      </c>
      <c r="B52" s="7">
        <v>4</v>
      </c>
      <c r="C52" s="19">
        <v>70</v>
      </c>
      <c r="D52" s="7" t="s">
        <v>285</v>
      </c>
      <c r="E52" s="7" t="s">
        <v>203</v>
      </c>
      <c r="F52" s="20">
        <v>70</v>
      </c>
      <c r="G52" s="7" t="s">
        <v>194</v>
      </c>
      <c r="H52" s="21">
        <v>1.2</v>
      </c>
      <c r="I52" s="11">
        <f>MAX(('Geometry'!$G$13*COS(RADIANS(F52))+'Geometry'!$F$13*SIN(RADIANS(F52))),('Geometry'!$G$14*COS(RADIANS(F52))+'Geometry'!$F$14*SIN(RADIANS(F52))),('Geometry'!$G$15*COS(RADIANS(F52))+'Geometry'!$F$15*SIN(RADIANS(F52))),('Geometry'!$G$16*COS(RADIANS(F52))+'Geometry'!$F$16*SIN(RADIANS(F52))),('Geometry'!$G$17*COS(RADIANS(F52))+'Geometry'!$F$17*SIN(RADIANS(F52))),('Geometry'!$G$18*COS(RADIANS(F52))+'Geometry'!$F$18*SIN(RADIANS(F52))),('Geometry'!$G$19*COS(RADIANS(F52))+'Geometry'!$F$19*SIN(RADIANS(F52))),('Geometry'!$G$20*COS(RADIANS(F52))+'Geometry'!$F$20*SIN(RADIANS(F52))))</f>
        <v>841.5775229196987</v>
      </c>
      <c r="J52" s="11">
        <f>I52-H52*K52</f>
        <v>-1178.2085320875783</v>
      </c>
      <c r="K52" s="11">
        <f>I52-MIN(('Geometry'!$G$13*COS(RADIANS(F52))+'Geometry'!$F$13*SIN(RADIANS(F52))),('Geometry'!$G$14*COS(RADIANS(F52))+'Geometry'!$F$14*SIN(RADIANS(F52))),('Geometry'!$G$15*COS(RADIANS(F52))+'Geometry'!$F$15*SIN(RADIANS(F52))),('Geometry'!$G$16*COS(RADIANS(F52))+'Geometry'!$F$16*SIN(RADIANS(F52))),('Geometry'!$G$17*COS(RADIANS(F52))+'Geometry'!$F$17*SIN(RADIANS(F52))),('Geometry'!$G$18*COS(RADIANS(F52))+'Geometry'!$F$18*SIN(RADIANS(F52))),('Geometry'!$G$19*COS(RADIANS(F52))+'Geometry'!$F$19*SIN(RADIANS(F52))),('Geometry'!$G$20*COS(RADIANS(F52))+'Geometry'!$F$20*SIN(RADIANS(F52))))</f>
        <v>1683.1550458393974</v>
      </c>
      <c r="L52" s="16">
        <f>C_ecu</f>
        <v>0.0033</v>
      </c>
      <c r="M52" s="16">
        <f>0</f>
        <v>0</v>
      </c>
      <c r="N52" s="22">
        <f>IF(ABS(I52-J52)&lt;0.000000000001,0,(L52-M52)/(I52-J52))</f>
        <v>0.0000016338364114451272</v>
      </c>
      <c r="O52" s="16">
        <f>L52-N52*I52</f>
        <v>0.001925</v>
      </c>
      <c r="P52" s="22">
        <f>N52*COS(RADIANS(F52))</f>
        <v>5.58804963613159e-7</v>
      </c>
      <c r="Q52" s="22">
        <f>N52*SIN(RADIANS(F52))</f>
        <v>0.0000015353040194063154</v>
      </c>
      <c r="R52" s="11">
        <f>AP52</f>
        <v>15276.903228450983</v>
      </c>
      <c r="S52" s="11">
        <f>AQ52</f>
        <v>319.929295448555</v>
      </c>
      <c r="T52" s="11">
        <f>AR52</f>
        <v>1112.4232385700357</v>
      </c>
      <c r="U52" s="11">
        <f>AS52</f>
        <v>2393.442387032251</v>
      </c>
      <c r="V52" s="11">
        <f>AT52</f>
        <v>94.85044796842638</v>
      </c>
      <c r="W52" s="11">
        <f>AU52</f>
        <v>358.32605290077765</v>
      </c>
      <c r="X52" s="11">
        <f>AM52</f>
        <v>17670.345615483235</v>
      </c>
      <c r="Y52" s="11">
        <f>AN52</f>
        <v>414.7797434169813</v>
      </c>
      <c r="Z52" s="11">
        <f>AO52</f>
        <v>1470.7492914708134</v>
      </c>
      <c r="AA52" s="7">
        <v>1</v>
      </c>
      <c r="AB52" s="7">
        <v>1</v>
      </c>
      <c r="AC52" s="7">
        <v>1</v>
      </c>
      <c r="AD52" s="11">
        <f>X52*AA52</f>
        <v>17670.345615483235</v>
      </c>
      <c r="AE52" s="11">
        <f>Y52*AB52</f>
        <v>414.7797434169813</v>
      </c>
      <c r="AF52" s="11">
        <f>Z52*AC52</f>
        <v>1470.7492914708134</v>
      </c>
      <c r="AG52" s="7">
        <v>17670.345615483235</v>
      </c>
      <c r="AH52" s="7">
        <v>414.7797434169813</v>
      </c>
      <c r="AI52" s="7">
        <v>1470.7492914708134</v>
      </c>
      <c r="AJ52" s="16">
        <f>AD52-AG52</f>
        <v>0</v>
      </c>
      <c r="AK52" s="16">
        <f>SQRT((AE52-AH52)^2+(AF52-AI52)^2)</f>
        <v>0</v>
      </c>
      <c r="AL52" s="7" t="s">
        <v>190</v>
      </c>
      <c r="AM52" s="7">
        <v>17670.345615483235</v>
      </c>
      <c r="AN52" s="7">
        <v>414.7797434169813</v>
      </c>
      <c r="AO52" s="7">
        <v>1470.7492914708134</v>
      </c>
      <c r="AP52" s="7">
        <v>15276.903228450983</v>
      </c>
      <c r="AQ52" s="7">
        <v>319.929295448555</v>
      </c>
      <c r="AR52" s="7">
        <v>1112.4232385700357</v>
      </c>
      <c r="AS52" s="7">
        <v>2393.442387032251</v>
      </c>
      <c r="AT52" s="7">
        <v>94.85044796842638</v>
      </c>
      <c r="AU52" s="7">
        <v>358.32605290077765</v>
      </c>
    </row>
    <row r="53" spans="1:47" x14ac:dyDescent="0.25">
      <c r="A53" s="7" t="s">
        <v>286</v>
      </c>
      <c r="B53" s="7">
        <v>5</v>
      </c>
      <c r="C53" s="19">
        <v>70</v>
      </c>
      <c r="D53" s="7" t="s">
        <v>287</v>
      </c>
      <c r="E53" s="7" t="s">
        <v>206</v>
      </c>
      <c r="F53" s="20">
        <v>70</v>
      </c>
      <c r="G53" s="7" t="s">
        <v>194</v>
      </c>
      <c r="H53" s="21">
        <v>1.1000000000000003</v>
      </c>
      <c r="I53" s="11">
        <f>MAX(('Geometry'!$G$13*COS(RADIANS(F53))+'Geometry'!$F$13*SIN(RADIANS(F53))),('Geometry'!$G$14*COS(RADIANS(F53))+'Geometry'!$F$14*SIN(RADIANS(F53))),('Geometry'!$G$15*COS(RADIANS(F53))+'Geometry'!$F$15*SIN(RADIANS(F53))),('Geometry'!$G$16*COS(RADIANS(F53))+'Geometry'!$F$16*SIN(RADIANS(F53))),('Geometry'!$G$17*COS(RADIANS(F53))+'Geometry'!$F$17*SIN(RADIANS(F53))),('Geometry'!$G$18*COS(RADIANS(F53))+'Geometry'!$F$18*SIN(RADIANS(F53))),('Geometry'!$G$19*COS(RADIANS(F53))+'Geometry'!$F$19*SIN(RADIANS(F53))),('Geometry'!$G$20*COS(RADIANS(F53))+'Geometry'!$F$20*SIN(RADIANS(F53))))</f>
        <v>841.5775229196987</v>
      </c>
      <c r="J53" s="11">
        <f>I53-H53*K53</f>
        <v>-1009.8930275036387</v>
      </c>
      <c r="K53" s="11">
        <f>I53-MIN(('Geometry'!$G$13*COS(RADIANS(F53))+'Geometry'!$F$13*SIN(RADIANS(F53))),('Geometry'!$G$14*COS(RADIANS(F53))+'Geometry'!$F$14*SIN(RADIANS(F53))),('Geometry'!$G$15*COS(RADIANS(F53))+'Geometry'!$F$15*SIN(RADIANS(F53))),('Geometry'!$G$16*COS(RADIANS(F53))+'Geometry'!$F$16*SIN(RADIANS(F53))),('Geometry'!$G$17*COS(RADIANS(F53))+'Geometry'!$F$17*SIN(RADIANS(F53))),('Geometry'!$G$18*COS(RADIANS(F53))+'Geometry'!$F$18*SIN(RADIANS(F53))),('Geometry'!$G$19*COS(RADIANS(F53))+'Geometry'!$F$19*SIN(RADIANS(F53))),('Geometry'!$G$20*COS(RADIANS(F53))+'Geometry'!$F$20*SIN(RADIANS(F53))))</f>
        <v>1683.1550458393974</v>
      </c>
      <c r="L53" s="16">
        <f>C_ecu</f>
        <v>0.0033</v>
      </c>
      <c r="M53" s="16">
        <f>0</f>
        <v>0</v>
      </c>
      <c r="N53" s="22">
        <f>IF(ABS(I53-J53)&lt;0.000000000001,0,(L53-M53)/(I53-J53))</f>
        <v>0.000001782366994303775</v>
      </c>
      <c r="O53" s="16">
        <f>L53-N53*I53</f>
        <v>0.0018000000000000002</v>
      </c>
      <c r="P53" s="22">
        <f>N53*COS(RADIANS(F53))</f>
        <v>6.096054148507187e-7</v>
      </c>
      <c r="Q53" s="22">
        <f>N53*SIN(RADIANS(F53))</f>
        <v>0.0000016748771120796167</v>
      </c>
      <c r="R53" s="11">
        <f>AP53</f>
        <v>15276.903228450983</v>
      </c>
      <c r="S53" s="11">
        <f>AQ53</f>
        <v>399.91161931069377</v>
      </c>
      <c r="T53" s="11">
        <f>AR53</f>
        <v>1390.5290482125445</v>
      </c>
      <c r="U53" s="11">
        <f>AS53</f>
        <v>2393.442387032251</v>
      </c>
      <c r="V53" s="11">
        <f>AT53</f>
        <v>118.56305996053297</v>
      </c>
      <c r="W53" s="11">
        <f>AU53</f>
        <v>447.907566125972</v>
      </c>
      <c r="X53" s="11">
        <f>AM53</f>
        <v>17670.345615483235</v>
      </c>
      <c r="Y53" s="11">
        <f>AN53</f>
        <v>518.4746792712266</v>
      </c>
      <c r="Z53" s="11">
        <f>AO53</f>
        <v>1838.4366143385164</v>
      </c>
      <c r="AA53" s="7">
        <v>1</v>
      </c>
      <c r="AB53" s="7">
        <v>1</v>
      </c>
      <c r="AC53" s="7">
        <v>1</v>
      </c>
      <c r="AD53" s="11">
        <f>X53*AA53</f>
        <v>17670.345615483235</v>
      </c>
      <c r="AE53" s="11">
        <f>Y53*AB53</f>
        <v>518.4746792712266</v>
      </c>
      <c r="AF53" s="11">
        <f>Z53*AC53</f>
        <v>1838.4366143385164</v>
      </c>
      <c r="AG53" s="7">
        <v>17670.345615483235</v>
      </c>
      <c r="AH53" s="7">
        <v>518.4746792712266</v>
      </c>
      <c r="AI53" s="7">
        <v>1838.4366143385164</v>
      </c>
      <c r="AJ53" s="16">
        <f>AD53-AG53</f>
        <v>0</v>
      </c>
      <c r="AK53" s="16">
        <f>SQRT((AE53-AH53)^2+(AF53-AI53)^2)</f>
        <v>0</v>
      </c>
      <c r="AL53" s="7" t="s">
        <v>190</v>
      </c>
      <c r="AM53" s="7">
        <v>17670.345615483235</v>
      </c>
      <c r="AN53" s="7">
        <v>518.4746792712266</v>
      </c>
      <c r="AO53" s="7">
        <v>1838.4366143385164</v>
      </c>
      <c r="AP53" s="7">
        <v>15276.903228450983</v>
      </c>
      <c r="AQ53" s="7">
        <v>399.91161931069377</v>
      </c>
      <c r="AR53" s="7">
        <v>1390.5290482125445</v>
      </c>
      <c r="AS53" s="7">
        <v>2393.442387032251</v>
      </c>
      <c r="AT53" s="7">
        <v>118.56305996053297</v>
      </c>
      <c r="AU53" s="7">
        <v>447.907566125972</v>
      </c>
    </row>
    <row r="54" spans="1:47" x14ac:dyDescent="0.25">
      <c r="A54" s="7" t="s">
        <v>288</v>
      </c>
      <c r="B54" s="7">
        <v>6</v>
      </c>
      <c r="C54" s="19">
        <v>70</v>
      </c>
      <c r="D54" s="7" t="s">
        <v>289</v>
      </c>
      <c r="E54" s="7" t="s">
        <v>229</v>
      </c>
      <c r="F54" s="20">
        <v>70</v>
      </c>
      <c r="G54" s="7" t="s">
        <v>194</v>
      </c>
      <c r="H54" s="21">
        <v>1.0000000000000002</v>
      </c>
      <c r="I54" s="11">
        <f>MAX(('Geometry'!$G$13*COS(RADIANS(F54))+'Geometry'!$F$13*SIN(RADIANS(F54))),('Geometry'!$G$14*COS(RADIANS(F54))+'Geometry'!$F$14*SIN(RADIANS(F54))),('Geometry'!$G$15*COS(RADIANS(F54))+'Geometry'!$F$15*SIN(RADIANS(F54))),('Geometry'!$G$16*COS(RADIANS(F54))+'Geometry'!$F$16*SIN(RADIANS(F54))),('Geometry'!$G$17*COS(RADIANS(F54))+'Geometry'!$F$17*SIN(RADIANS(F54))),('Geometry'!$G$18*COS(RADIANS(F54))+'Geometry'!$F$18*SIN(RADIANS(F54))),('Geometry'!$G$19*COS(RADIANS(F54))+'Geometry'!$F$19*SIN(RADIANS(F54))),('Geometry'!$G$20*COS(RADIANS(F54))+'Geometry'!$F$20*SIN(RADIANS(F54))))</f>
        <v>841.5775229196987</v>
      </c>
      <c r="J54" s="11">
        <f>I54-H54*K54</f>
        <v>-841.5775229196989</v>
      </c>
      <c r="K54" s="11">
        <f>I54-MIN(('Geometry'!$G$13*COS(RADIANS(F54))+'Geometry'!$F$13*SIN(RADIANS(F54))),('Geometry'!$G$14*COS(RADIANS(F54))+'Geometry'!$F$14*SIN(RADIANS(F54))),('Geometry'!$G$15*COS(RADIANS(F54))+'Geometry'!$F$15*SIN(RADIANS(F54))),('Geometry'!$G$16*COS(RADIANS(F54))+'Geometry'!$F$16*SIN(RADIANS(F54))),('Geometry'!$G$17*COS(RADIANS(F54))+'Geometry'!$F$17*SIN(RADIANS(F54))),('Geometry'!$G$18*COS(RADIANS(F54))+'Geometry'!$F$18*SIN(RADIANS(F54))),('Geometry'!$G$19*COS(RADIANS(F54))+'Geometry'!$F$19*SIN(RADIANS(F54))),('Geometry'!$G$20*COS(RADIANS(F54))+'Geometry'!$F$20*SIN(RADIANS(F54))))</f>
        <v>1683.1550458393974</v>
      </c>
      <c r="L54" s="16">
        <f>C_ecu</f>
        <v>0.0032999999999999995</v>
      </c>
      <c r="M54" s="16">
        <f>0</f>
        <v>0</v>
      </c>
      <c r="N54" s="22">
        <f>IF(ABS(I54-J54)&lt;0.000000000001,0,(L54-M54)/(I54-J54))</f>
        <v>0.0000019606036937341523</v>
      </c>
      <c r="O54" s="16">
        <f>L54-N54*I54</f>
        <v>0.00165</v>
      </c>
      <c r="P54" s="22">
        <f>N54*COS(RADIANS(F54))</f>
        <v>6.705659563357906e-7</v>
      </c>
      <c r="Q54" s="22">
        <f>N54*SIN(RADIANS(F54))</f>
        <v>0.0000018423648232875784</v>
      </c>
      <c r="R54" s="11">
        <f>AP54</f>
        <v>15276.903228450983</v>
      </c>
      <c r="S54" s="11">
        <f>AQ54</f>
        <v>479.8939431728325</v>
      </c>
      <c r="T54" s="11">
        <f>AR54</f>
        <v>1668.6348578550535</v>
      </c>
      <c r="U54" s="11">
        <f>AS54</f>
        <v>2393.442387032251</v>
      </c>
      <c r="V54" s="11">
        <f>AT54</f>
        <v>142.27567195263956</v>
      </c>
      <c r="W54" s="11">
        <f>AU54</f>
        <v>537.4890793511664</v>
      </c>
      <c r="X54" s="11">
        <f>AM54</f>
        <v>17670.345615483235</v>
      </c>
      <c r="Y54" s="11">
        <f>AN54</f>
        <v>622.169615125472</v>
      </c>
      <c r="Z54" s="11">
        <f>AO54</f>
        <v>2206.1239372062196</v>
      </c>
      <c r="AA54" s="7">
        <v>1</v>
      </c>
      <c r="AB54" s="7">
        <v>1</v>
      </c>
      <c r="AC54" s="7">
        <v>1</v>
      </c>
      <c r="AD54" s="11">
        <f>X54*AA54</f>
        <v>17670.345615483235</v>
      </c>
      <c r="AE54" s="11">
        <f>Y54*AB54</f>
        <v>622.169615125472</v>
      </c>
      <c r="AF54" s="11">
        <f>Z54*AC54</f>
        <v>2206.1239372062196</v>
      </c>
      <c r="AG54" s="7">
        <v>17670.345615483235</v>
      </c>
      <c r="AH54" s="7">
        <v>622.169615125472</v>
      </c>
      <c r="AI54" s="7">
        <v>2206.1239372062196</v>
      </c>
      <c r="AJ54" s="16">
        <f>AD54-AG54</f>
        <v>0</v>
      </c>
      <c r="AK54" s="16">
        <f>SQRT((AE54-AH54)^2+(AF54-AI54)^2)</f>
        <v>0</v>
      </c>
      <c r="AL54" s="7" t="s">
        <v>190</v>
      </c>
      <c r="AM54" s="7">
        <v>17670.345615483235</v>
      </c>
      <c r="AN54" s="7">
        <v>622.169615125472</v>
      </c>
      <c r="AO54" s="7">
        <v>2206.1239372062196</v>
      </c>
      <c r="AP54" s="7">
        <v>15276.903228450983</v>
      </c>
      <c r="AQ54" s="7">
        <v>479.8939431728325</v>
      </c>
      <c r="AR54" s="7">
        <v>1668.6348578550535</v>
      </c>
      <c r="AS54" s="7">
        <v>2393.442387032251</v>
      </c>
      <c r="AT54" s="7">
        <v>142.27567195263956</v>
      </c>
      <c r="AU54" s="7">
        <v>537.4890793511664</v>
      </c>
    </row>
    <row r="55" spans="1:47" x14ac:dyDescent="0.25">
      <c r="A55" s="7" t="s">
        <v>290</v>
      </c>
      <c r="B55" s="7">
        <v>1</v>
      </c>
      <c r="C55" s="19">
        <v>80</v>
      </c>
      <c r="D55" s="7" t="s">
        <v>291</v>
      </c>
      <c r="E55" s="7" t="s">
        <v>193</v>
      </c>
      <c r="F55" s="20">
        <v>80</v>
      </c>
      <c r="G55" s="7" t="s">
        <v>194</v>
      </c>
      <c r="H55" s="21">
        <v>3</v>
      </c>
      <c r="I55" s="11">
        <f>MAX(('Geometry'!$G$13*COS(RADIANS(F55))+'Geometry'!$F$13*SIN(RADIANS(F55))),('Geometry'!$G$14*COS(RADIANS(F55))+'Geometry'!$F$14*SIN(RADIANS(F55))),('Geometry'!$G$15*COS(RADIANS(F55))+'Geometry'!$F$15*SIN(RADIANS(F55))),('Geometry'!$G$16*COS(RADIANS(F55))+'Geometry'!$F$16*SIN(RADIANS(F55))),('Geometry'!$G$17*COS(RADIANS(F55))+'Geometry'!$F$17*SIN(RADIANS(F55))),('Geometry'!$G$18*COS(RADIANS(F55))+'Geometry'!$F$18*SIN(RADIANS(F55))),('Geometry'!$G$19*COS(RADIANS(F55))+'Geometry'!$F$19*SIN(RADIANS(F55))),('Geometry'!$G$20*COS(RADIANS(F55))+'Geometry'!$F$20*SIN(RADIANS(F55))))</f>
        <v>808.0650858259282</v>
      </c>
      <c r="J55" s="11">
        <f>I55-H55*K55</f>
        <v>-4040.325429129641</v>
      </c>
      <c r="K55" s="11">
        <f>I55-MIN(('Geometry'!$G$13*COS(RADIANS(F55))+'Geometry'!$F$13*SIN(RADIANS(F55))),('Geometry'!$G$14*COS(RADIANS(F55))+'Geometry'!$F$14*SIN(RADIANS(F55))),('Geometry'!$G$15*COS(RADIANS(F55))+'Geometry'!$F$15*SIN(RADIANS(F55))),('Geometry'!$G$16*COS(RADIANS(F55))+'Geometry'!$F$16*SIN(RADIANS(F55))),('Geometry'!$G$17*COS(RADIANS(F55))+'Geometry'!$F$17*SIN(RADIANS(F55))),('Geometry'!$G$18*COS(RADIANS(F55))+'Geometry'!$F$18*SIN(RADIANS(F55))),('Geometry'!$G$19*COS(RADIANS(F55))+'Geometry'!$F$19*SIN(RADIANS(F55))),('Geometry'!$G$20*COS(RADIANS(F55))+'Geometry'!$F$20*SIN(RADIANS(F55))))</f>
        <v>1616.1301716518565</v>
      </c>
      <c r="L55" s="16">
        <f>C_ecu</f>
        <v>0.0033</v>
      </c>
      <c r="M55" s="16">
        <f>0</f>
        <v>0</v>
      </c>
      <c r="N55" s="22">
        <f>IF(ABS(I55-J55)&lt;0.000000000001,0,(L55-M55)/(I55-J55))</f>
        <v>6.806382426953165e-7</v>
      </c>
      <c r="O55" s="16">
        <f>L55-N55*I55</f>
        <v>0.00275</v>
      </c>
      <c r="P55" s="22">
        <f>N55*COS(RADIANS(F55))</f>
        <v>1.1819159049446365e-7</v>
      </c>
      <c r="Q55" s="22">
        <f>N55*SIN(RADIANS(F55))</f>
        <v>6.702978184029527e-7</v>
      </c>
      <c r="R55" s="11">
        <f>AP55</f>
        <v>15273.41073119215</v>
      </c>
      <c r="S55" s="11">
        <f>AQ55</f>
        <v>43.04249985687842</v>
      </c>
      <c r="T55" s="11">
        <f>AR55</f>
        <v>303.4142337482788</v>
      </c>
      <c r="U55" s="11">
        <f>AS55</f>
        <v>2396.9348842910854</v>
      </c>
      <c r="V55" s="11">
        <f>AT55</f>
        <v>12.260077803650596</v>
      </c>
      <c r="W55" s="11">
        <f>AU55</f>
        <v>97.1405510214524</v>
      </c>
      <c r="X55" s="11">
        <f>AM55</f>
        <v>17670.345615483235</v>
      </c>
      <c r="Y55" s="11">
        <f>AN55</f>
        <v>55.30257766052902</v>
      </c>
      <c r="Z55" s="11">
        <f>AO55</f>
        <v>400.55478476973116</v>
      </c>
      <c r="AA55" s="7">
        <v>1</v>
      </c>
      <c r="AB55" s="7">
        <v>1</v>
      </c>
      <c r="AC55" s="7">
        <v>1</v>
      </c>
      <c r="AD55" s="11">
        <f>X55*AA55</f>
        <v>17670.345615483235</v>
      </c>
      <c r="AE55" s="11">
        <f>Y55*AB55</f>
        <v>55.30257766052902</v>
      </c>
      <c r="AF55" s="11">
        <f>Z55*AC55</f>
        <v>400.55478476973116</v>
      </c>
      <c r="AG55" s="7">
        <v>17670.345615483235</v>
      </c>
      <c r="AH55" s="7">
        <v>55.30257766052902</v>
      </c>
      <c r="AI55" s="7">
        <v>400.55478476973116</v>
      </c>
      <c r="AJ55" s="16">
        <f>AD55-AG55</f>
        <v>0</v>
      </c>
      <c r="AK55" s="16">
        <f>SQRT((AE55-AH55)^2+(AF55-AI55)^2)</f>
        <v>0</v>
      </c>
      <c r="AL55" s="7" t="s">
        <v>190</v>
      </c>
      <c r="AM55" s="7">
        <v>17670.345615483235</v>
      </c>
      <c r="AN55" s="7">
        <v>55.30257766052902</v>
      </c>
      <c r="AO55" s="7">
        <v>400.55478476973116</v>
      </c>
      <c r="AP55" s="7">
        <v>15273.41073119215</v>
      </c>
      <c r="AQ55" s="7">
        <v>43.04249985687842</v>
      </c>
      <c r="AR55" s="7">
        <v>303.4142337482788</v>
      </c>
      <c r="AS55" s="7">
        <v>2396.9348842910854</v>
      </c>
      <c r="AT55" s="7">
        <v>12.260077803650596</v>
      </c>
      <c r="AU55" s="7">
        <v>97.1405510214524</v>
      </c>
    </row>
    <row r="56" spans="1:47" x14ac:dyDescent="0.25">
      <c r="A56" s="7" t="s">
        <v>292</v>
      </c>
      <c r="B56" s="7">
        <v>2</v>
      </c>
      <c r="C56" s="19">
        <v>80</v>
      </c>
      <c r="D56" s="7" t="s">
        <v>293</v>
      </c>
      <c r="E56" s="7" t="s">
        <v>197</v>
      </c>
      <c r="F56" s="20">
        <v>80</v>
      </c>
      <c r="G56" s="7" t="s">
        <v>194</v>
      </c>
      <c r="H56" s="21">
        <v>2</v>
      </c>
      <c r="I56" s="11">
        <f>MAX(('Geometry'!$G$13*COS(RADIANS(F56))+'Geometry'!$F$13*SIN(RADIANS(F56))),('Geometry'!$G$14*COS(RADIANS(F56))+'Geometry'!$F$14*SIN(RADIANS(F56))),('Geometry'!$G$15*COS(RADIANS(F56))+'Geometry'!$F$15*SIN(RADIANS(F56))),('Geometry'!$G$16*COS(RADIANS(F56))+'Geometry'!$F$16*SIN(RADIANS(F56))),('Geometry'!$G$17*COS(RADIANS(F56))+'Geometry'!$F$17*SIN(RADIANS(F56))),('Geometry'!$G$18*COS(RADIANS(F56))+'Geometry'!$F$18*SIN(RADIANS(F56))),('Geometry'!$G$19*COS(RADIANS(F56))+'Geometry'!$F$19*SIN(RADIANS(F56))),('Geometry'!$G$20*COS(RADIANS(F56))+'Geometry'!$F$20*SIN(RADIANS(F56))))</f>
        <v>808.0650858259282</v>
      </c>
      <c r="J56" s="11">
        <f>I56-H56*K56</f>
        <v>-2424.1952574777847</v>
      </c>
      <c r="K56" s="11">
        <f>I56-MIN(('Geometry'!$G$13*COS(RADIANS(F56))+'Geometry'!$F$13*SIN(RADIANS(F56))),('Geometry'!$G$14*COS(RADIANS(F56))+'Geometry'!$F$14*SIN(RADIANS(F56))),('Geometry'!$G$15*COS(RADIANS(F56))+'Geometry'!$F$15*SIN(RADIANS(F56))),('Geometry'!$G$16*COS(RADIANS(F56))+'Geometry'!$F$16*SIN(RADIANS(F56))),('Geometry'!$G$17*COS(RADIANS(F56))+'Geometry'!$F$17*SIN(RADIANS(F56))),('Geometry'!$G$18*COS(RADIANS(F56))+'Geometry'!$F$18*SIN(RADIANS(F56))),('Geometry'!$G$19*COS(RADIANS(F56))+'Geometry'!$F$19*SIN(RADIANS(F56))),('Geometry'!$G$20*COS(RADIANS(F56))+'Geometry'!$F$20*SIN(RADIANS(F56))))</f>
        <v>1616.1301716518565</v>
      </c>
      <c r="L56" s="16">
        <f>C_ecu</f>
        <v>0.0032999999999999995</v>
      </c>
      <c r="M56" s="16">
        <f>0</f>
        <v>0</v>
      </c>
      <c r="N56" s="22">
        <f>IF(ABS(I56-J56)&lt;0.000000000001,0,(L56-M56)/(I56-J56))</f>
        <v>0.0000010209573640429748</v>
      </c>
      <c r="O56" s="16">
        <f>L56-N56*I56</f>
        <v>0.0024749999999999998</v>
      </c>
      <c r="P56" s="22">
        <f>N56*COS(RADIANS(F56))</f>
        <v>1.772873857416955e-7</v>
      </c>
      <c r="Q56" s="22">
        <f>N56*SIN(RADIANS(F56))</f>
        <v>0.000001005446727604429</v>
      </c>
      <c r="R56" s="11">
        <f>AP56</f>
        <v>15273.41073119215</v>
      </c>
      <c r="S56" s="11">
        <f>AQ56</f>
        <v>86.08499971375684</v>
      </c>
      <c r="T56" s="11">
        <f>AR56</f>
        <v>606.8284674965576</v>
      </c>
      <c r="U56" s="11">
        <f>AS56</f>
        <v>2396.9348842910854</v>
      </c>
      <c r="V56" s="11">
        <f>AT56</f>
        <v>24.52015560730119</v>
      </c>
      <c r="W56" s="11">
        <f>AU56</f>
        <v>194.2811020429048</v>
      </c>
      <c r="X56" s="11">
        <f>AM56</f>
        <v>17670.345615483235</v>
      </c>
      <c r="Y56" s="11">
        <f>AN56</f>
        <v>110.60515532105804</v>
      </c>
      <c r="Z56" s="11">
        <f>AO56</f>
        <v>801.1095695394623</v>
      </c>
      <c r="AA56" s="7">
        <v>1</v>
      </c>
      <c r="AB56" s="7">
        <v>1</v>
      </c>
      <c r="AC56" s="7">
        <v>1</v>
      </c>
      <c r="AD56" s="11">
        <f>X56*AA56</f>
        <v>17670.345615483235</v>
      </c>
      <c r="AE56" s="11">
        <f>Y56*AB56</f>
        <v>110.60515532105804</v>
      </c>
      <c r="AF56" s="11">
        <f>Z56*AC56</f>
        <v>801.1095695394623</v>
      </c>
      <c r="AG56" s="7">
        <v>17670.345615483235</v>
      </c>
      <c r="AH56" s="7">
        <v>110.60515532105804</v>
      </c>
      <c r="AI56" s="7">
        <v>801.1095695394623</v>
      </c>
      <c r="AJ56" s="16">
        <f>AD56-AG56</f>
        <v>0</v>
      </c>
      <c r="AK56" s="16">
        <f>SQRT((AE56-AH56)^2+(AF56-AI56)^2)</f>
        <v>0</v>
      </c>
      <c r="AL56" s="7" t="s">
        <v>190</v>
      </c>
      <c r="AM56" s="7">
        <v>17670.345615483235</v>
      </c>
      <c r="AN56" s="7">
        <v>110.60515532105804</v>
      </c>
      <c r="AO56" s="7">
        <v>801.1095695394623</v>
      </c>
      <c r="AP56" s="7">
        <v>15273.41073119215</v>
      </c>
      <c r="AQ56" s="7">
        <v>86.08499971375684</v>
      </c>
      <c r="AR56" s="7">
        <v>606.8284674965576</v>
      </c>
      <c r="AS56" s="7">
        <v>2396.9348842910854</v>
      </c>
      <c r="AT56" s="7">
        <v>24.52015560730119</v>
      </c>
      <c r="AU56" s="7">
        <v>194.2811020429048</v>
      </c>
    </row>
    <row r="57" spans="1:47" x14ac:dyDescent="0.25">
      <c r="A57" s="7" t="s">
        <v>294</v>
      </c>
      <c r="B57" s="7">
        <v>3</v>
      </c>
      <c r="C57" s="19">
        <v>80</v>
      </c>
      <c r="D57" s="7" t="s">
        <v>295</v>
      </c>
      <c r="E57" s="7" t="s">
        <v>200</v>
      </c>
      <c r="F57" s="20">
        <v>80</v>
      </c>
      <c r="G57" s="7" t="s">
        <v>194</v>
      </c>
      <c r="H57" s="21">
        <v>1.5</v>
      </c>
      <c r="I57" s="11">
        <f>MAX(('Geometry'!$G$13*COS(RADIANS(F57))+'Geometry'!$F$13*SIN(RADIANS(F57))),('Geometry'!$G$14*COS(RADIANS(F57))+'Geometry'!$F$14*SIN(RADIANS(F57))),('Geometry'!$G$15*COS(RADIANS(F57))+'Geometry'!$F$15*SIN(RADIANS(F57))),('Geometry'!$G$16*COS(RADIANS(F57))+'Geometry'!$F$16*SIN(RADIANS(F57))),('Geometry'!$G$17*COS(RADIANS(F57))+'Geometry'!$F$17*SIN(RADIANS(F57))),('Geometry'!$G$18*COS(RADIANS(F57))+'Geometry'!$F$18*SIN(RADIANS(F57))),('Geometry'!$G$19*COS(RADIANS(F57))+'Geometry'!$F$19*SIN(RADIANS(F57))),('Geometry'!$G$20*COS(RADIANS(F57))+'Geometry'!$F$20*SIN(RADIANS(F57))))</f>
        <v>808.0650858259282</v>
      </c>
      <c r="J57" s="11">
        <f>I57-H57*K57</f>
        <v>-1616.1301716518565</v>
      </c>
      <c r="K57" s="11">
        <f>I57-MIN(('Geometry'!$G$13*COS(RADIANS(F57))+'Geometry'!$F$13*SIN(RADIANS(F57))),('Geometry'!$G$14*COS(RADIANS(F57))+'Geometry'!$F$14*SIN(RADIANS(F57))),('Geometry'!$G$15*COS(RADIANS(F57))+'Geometry'!$F$15*SIN(RADIANS(F57))),('Geometry'!$G$16*COS(RADIANS(F57))+'Geometry'!$F$16*SIN(RADIANS(F57))),('Geometry'!$G$17*COS(RADIANS(F57))+'Geometry'!$F$17*SIN(RADIANS(F57))),('Geometry'!$G$18*COS(RADIANS(F57))+'Geometry'!$F$18*SIN(RADIANS(F57))),('Geometry'!$G$19*COS(RADIANS(F57))+'Geometry'!$F$19*SIN(RADIANS(F57))),('Geometry'!$G$20*COS(RADIANS(F57))+'Geometry'!$F$20*SIN(RADIANS(F57))))</f>
        <v>1616.1301716518565</v>
      </c>
      <c r="L57" s="16">
        <f>C_ecu</f>
        <v>0.0032999999999999995</v>
      </c>
      <c r="M57" s="16">
        <f>0</f>
        <v>0</v>
      </c>
      <c r="N57" s="22">
        <f>IF(ABS(I57-J57)&lt;0.000000000001,0,(L57-M57)/(I57-J57))</f>
        <v>0.000001361276485390633</v>
      </c>
      <c r="O57" s="16">
        <f>L57-N57*I57</f>
        <v>0.0021999999999999997</v>
      </c>
      <c r="P57" s="22">
        <f>N57*COS(RADIANS(F57))</f>
        <v>2.363831809889273e-7</v>
      </c>
      <c r="Q57" s="22">
        <f>N57*SIN(RADIANS(F57))</f>
        <v>0.0000013405956368059054</v>
      </c>
      <c r="R57" s="11">
        <f>AP57</f>
        <v>15273.41073119215</v>
      </c>
      <c r="S57" s="11">
        <f>AQ57</f>
        <v>129.12749957063528</v>
      </c>
      <c r="T57" s="11">
        <f>AR57</f>
        <v>910.2427012448364</v>
      </c>
      <c r="U57" s="11">
        <f>AS57</f>
        <v>2396.9348842910854</v>
      </c>
      <c r="V57" s="11">
        <f>AT57</f>
        <v>36.78023341095179</v>
      </c>
      <c r="W57" s="11">
        <f>AU57</f>
        <v>291.4216530643572</v>
      </c>
      <c r="X57" s="11">
        <f>AM57</f>
        <v>17670.345615483235</v>
      </c>
      <c r="Y57" s="11">
        <f>AN57</f>
        <v>165.90773298158706</v>
      </c>
      <c r="Z57" s="11">
        <f>AO57</f>
        <v>1201.6643543091936</v>
      </c>
      <c r="AA57" s="7">
        <v>1</v>
      </c>
      <c r="AB57" s="7">
        <v>1</v>
      </c>
      <c r="AC57" s="7">
        <v>1</v>
      </c>
      <c r="AD57" s="11">
        <f>X57*AA57</f>
        <v>17670.345615483235</v>
      </c>
      <c r="AE57" s="11">
        <f>Y57*AB57</f>
        <v>165.90773298158706</v>
      </c>
      <c r="AF57" s="11">
        <f>Z57*AC57</f>
        <v>1201.6643543091936</v>
      </c>
      <c r="AG57" s="7">
        <v>17670.345615483235</v>
      </c>
      <c r="AH57" s="7">
        <v>165.90773298158706</v>
      </c>
      <c r="AI57" s="7">
        <v>1201.6643543091936</v>
      </c>
      <c r="AJ57" s="16">
        <f>AD57-AG57</f>
        <v>0</v>
      </c>
      <c r="AK57" s="16">
        <f>SQRT((AE57-AH57)^2+(AF57-AI57)^2)</f>
        <v>0</v>
      </c>
      <c r="AL57" s="7" t="s">
        <v>190</v>
      </c>
      <c r="AM57" s="7">
        <v>17670.345615483235</v>
      </c>
      <c r="AN57" s="7">
        <v>165.90773298158706</v>
      </c>
      <c r="AO57" s="7">
        <v>1201.6643543091936</v>
      </c>
      <c r="AP57" s="7">
        <v>15273.41073119215</v>
      </c>
      <c r="AQ57" s="7">
        <v>129.12749957063528</v>
      </c>
      <c r="AR57" s="7">
        <v>910.2427012448364</v>
      </c>
      <c r="AS57" s="7">
        <v>2396.9348842910854</v>
      </c>
      <c r="AT57" s="7">
        <v>36.78023341095179</v>
      </c>
      <c r="AU57" s="7">
        <v>291.4216530643572</v>
      </c>
    </row>
    <row r="58" spans="1:47" x14ac:dyDescent="0.25">
      <c r="A58" s="7" t="s">
        <v>296</v>
      </c>
      <c r="B58" s="7">
        <v>4</v>
      </c>
      <c r="C58" s="19">
        <v>80</v>
      </c>
      <c r="D58" s="7" t="s">
        <v>297</v>
      </c>
      <c r="E58" s="7" t="s">
        <v>203</v>
      </c>
      <c r="F58" s="20">
        <v>80</v>
      </c>
      <c r="G58" s="7" t="s">
        <v>194</v>
      </c>
      <c r="H58" s="21">
        <v>1.2000000000000002</v>
      </c>
      <c r="I58" s="11">
        <f>MAX(('Geometry'!$G$13*COS(RADIANS(F58))+'Geometry'!$F$13*SIN(RADIANS(F58))),('Geometry'!$G$14*COS(RADIANS(F58))+'Geometry'!$F$14*SIN(RADIANS(F58))),('Geometry'!$G$15*COS(RADIANS(F58))+'Geometry'!$F$15*SIN(RADIANS(F58))),('Geometry'!$G$16*COS(RADIANS(F58))+'Geometry'!$F$16*SIN(RADIANS(F58))),('Geometry'!$G$17*COS(RADIANS(F58))+'Geometry'!$F$17*SIN(RADIANS(F58))),('Geometry'!$G$18*COS(RADIANS(F58))+'Geometry'!$F$18*SIN(RADIANS(F58))),('Geometry'!$G$19*COS(RADIANS(F58))+'Geometry'!$F$19*SIN(RADIANS(F58))),('Geometry'!$G$20*COS(RADIANS(F58))+'Geometry'!$F$20*SIN(RADIANS(F58))))</f>
        <v>808.0650858259282</v>
      </c>
      <c r="J58" s="11">
        <f>I58-H58*K58</f>
        <v>-1131.2911201562997</v>
      </c>
      <c r="K58" s="11">
        <f>I58-MIN(('Geometry'!$G$13*COS(RADIANS(F58))+'Geometry'!$F$13*SIN(RADIANS(F58))),('Geometry'!$G$14*COS(RADIANS(F58))+'Geometry'!$F$14*SIN(RADIANS(F58))),('Geometry'!$G$15*COS(RADIANS(F58))+'Geometry'!$F$15*SIN(RADIANS(F58))),('Geometry'!$G$16*COS(RADIANS(F58))+'Geometry'!$F$16*SIN(RADIANS(F58))),('Geometry'!$G$17*COS(RADIANS(F58))+'Geometry'!$F$17*SIN(RADIANS(F58))),('Geometry'!$G$18*COS(RADIANS(F58))+'Geometry'!$F$18*SIN(RADIANS(F58))),('Geometry'!$G$19*COS(RADIANS(F58))+'Geometry'!$F$19*SIN(RADIANS(F58))),('Geometry'!$G$20*COS(RADIANS(F58))+'Geometry'!$F$20*SIN(RADIANS(F58))))</f>
        <v>1616.1301716518565</v>
      </c>
      <c r="L58" s="16">
        <f>C_ecu</f>
        <v>0.0033</v>
      </c>
      <c r="M58" s="16">
        <f>0</f>
        <v>0</v>
      </c>
      <c r="N58" s="22">
        <f>IF(ABS(I58-J58)&lt;0.000000000001,0,(L58-M58)/(I58-J58))</f>
        <v>0.0000017015956067382914</v>
      </c>
      <c r="O58" s="16">
        <f>L58-N58*I58</f>
        <v>0.001925</v>
      </c>
      <c r="P58" s="22">
        <f>N58*COS(RADIANS(F58))</f>
        <v>2.954789762361591e-7</v>
      </c>
      <c r="Q58" s="22">
        <f>N58*SIN(RADIANS(F58))</f>
        <v>0.0000016757445460073818</v>
      </c>
      <c r="R58" s="11">
        <f>AP58</f>
        <v>15273.41073119215</v>
      </c>
      <c r="S58" s="11">
        <f>AQ58</f>
        <v>172.1699994275137</v>
      </c>
      <c r="T58" s="11">
        <f>AR58</f>
        <v>1213.656934993115</v>
      </c>
      <c r="U58" s="11">
        <f>AS58</f>
        <v>2396.9348842910854</v>
      </c>
      <c r="V58" s="11">
        <f>AT58</f>
        <v>49.04031121460238</v>
      </c>
      <c r="W58" s="11">
        <f>AU58</f>
        <v>388.5622040858096</v>
      </c>
      <c r="X58" s="11">
        <f>AM58</f>
        <v>17670.345615483235</v>
      </c>
      <c r="Y58" s="11">
        <f>AN58</f>
        <v>221.21031064211607</v>
      </c>
      <c r="Z58" s="11">
        <f>AO58</f>
        <v>1602.2191390789246</v>
      </c>
      <c r="AA58" s="7">
        <v>1</v>
      </c>
      <c r="AB58" s="7">
        <v>1</v>
      </c>
      <c r="AC58" s="7">
        <v>1</v>
      </c>
      <c r="AD58" s="11">
        <f>X58*AA58</f>
        <v>17670.345615483235</v>
      </c>
      <c r="AE58" s="11">
        <f>Y58*AB58</f>
        <v>221.21031064211607</v>
      </c>
      <c r="AF58" s="11">
        <f>Z58*AC58</f>
        <v>1602.2191390789246</v>
      </c>
      <c r="AG58" s="7">
        <v>17670.345615483235</v>
      </c>
      <c r="AH58" s="7">
        <v>221.21031064211607</v>
      </c>
      <c r="AI58" s="7">
        <v>1602.2191390789246</v>
      </c>
      <c r="AJ58" s="16">
        <f>AD58-AG58</f>
        <v>0</v>
      </c>
      <c r="AK58" s="16">
        <f>SQRT((AE58-AH58)^2+(AF58-AI58)^2)</f>
        <v>0</v>
      </c>
      <c r="AL58" s="7" t="s">
        <v>190</v>
      </c>
      <c r="AM58" s="7">
        <v>17670.345615483235</v>
      </c>
      <c r="AN58" s="7">
        <v>221.21031064211607</v>
      </c>
      <c r="AO58" s="7">
        <v>1602.2191390789246</v>
      </c>
      <c r="AP58" s="7">
        <v>15273.41073119215</v>
      </c>
      <c r="AQ58" s="7">
        <v>172.1699994275137</v>
      </c>
      <c r="AR58" s="7">
        <v>1213.656934993115</v>
      </c>
      <c r="AS58" s="7">
        <v>2396.9348842910854</v>
      </c>
      <c r="AT58" s="7">
        <v>49.04031121460238</v>
      </c>
      <c r="AU58" s="7">
        <v>388.5622040858096</v>
      </c>
    </row>
    <row r="59" spans="1:47" x14ac:dyDescent="0.25">
      <c r="A59" s="7" t="s">
        <v>298</v>
      </c>
      <c r="B59" s="7">
        <v>5</v>
      </c>
      <c r="C59" s="19">
        <v>80</v>
      </c>
      <c r="D59" s="7" t="s">
        <v>299</v>
      </c>
      <c r="E59" s="7" t="s">
        <v>206</v>
      </c>
      <c r="F59" s="20">
        <v>80</v>
      </c>
      <c r="G59" s="7" t="s">
        <v>194</v>
      </c>
      <c r="H59" s="21">
        <v>1.1</v>
      </c>
      <c r="I59" s="11">
        <f>MAX(('Geometry'!$G$13*COS(RADIANS(F59))+'Geometry'!$F$13*SIN(RADIANS(F59))),('Geometry'!$G$14*COS(RADIANS(F59))+'Geometry'!$F$14*SIN(RADIANS(F59))),('Geometry'!$G$15*COS(RADIANS(F59))+'Geometry'!$F$15*SIN(RADIANS(F59))),('Geometry'!$G$16*COS(RADIANS(F59))+'Geometry'!$F$16*SIN(RADIANS(F59))),('Geometry'!$G$17*COS(RADIANS(F59))+'Geometry'!$F$17*SIN(RADIANS(F59))),('Geometry'!$G$18*COS(RADIANS(F59))+'Geometry'!$F$18*SIN(RADIANS(F59))),('Geometry'!$G$19*COS(RADIANS(F59))+'Geometry'!$F$19*SIN(RADIANS(F59))),('Geometry'!$G$20*COS(RADIANS(F59))+'Geometry'!$F$20*SIN(RADIANS(F59))))</f>
        <v>808.0650858259282</v>
      </c>
      <c r="J59" s="11">
        <f>I59-H59*K59</f>
        <v>-969.678102991114</v>
      </c>
      <c r="K59" s="11">
        <f>I59-MIN(('Geometry'!$G$13*COS(RADIANS(F59))+'Geometry'!$F$13*SIN(RADIANS(F59))),('Geometry'!$G$14*COS(RADIANS(F59))+'Geometry'!$F$14*SIN(RADIANS(F59))),('Geometry'!$G$15*COS(RADIANS(F59))+'Geometry'!$F$15*SIN(RADIANS(F59))),('Geometry'!$G$16*COS(RADIANS(F59))+'Geometry'!$F$16*SIN(RADIANS(F59))),('Geometry'!$G$17*COS(RADIANS(F59))+'Geometry'!$F$17*SIN(RADIANS(F59))),('Geometry'!$G$18*COS(RADIANS(F59))+'Geometry'!$F$18*SIN(RADIANS(F59))),('Geometry'!$G$19*COS(RADIANS(F59))+'Geometry'!$F$19*SIN(RADIANS(F59))),('Geometry'!$G$20*COS(RADIANS(F59))+'Geometry'!$F$20*SIN(RADIANS(F59))))</f>
        <v>1616.1301716518565</v>
      </c>
      <c r="L59" s="16">
        <f>C_ecu</f>
        <v>0.0033</v>
      </c>
      <c r="M59" s="16">
        <f>0</f>
        <v>0</v>
      </c>
      <c r="N59" s="22">
        <f>IF(ABS(I59-J59)&lt;0.000000000001,0,(L59-M59)/(I59-J59))</f>
        <v>0.0000018562861164417723</v>
      </c>
      <c r="O59" s="16">
        <f>L59-N59*I59</f>
        <v>0.0018</v>
      </c>
      <c r="P59" s="22">
        <f>N59*COS(RADIANS(F59))</f>
        <v>3.223407013485372e-7</v>
      </c>
      <c r="Q59" s="22">
        <f>N59*SIN(RADIANS(F59))</f>
        <v>0.0000018280849592807799</v>
      </c>
      <c r="R59" s="11">
        <f>AP59</f>
        <v>15273.41073119215</v>
      </c>
      <c r="S59" s="11">
        <f>AQ59</f>
        <v>215.21249928439212</v>
      </c>
      <c r="T59" s="11">
        <f>AR59</f>
        <v>1517.0711687413943</v>
      </c>
      <c r="U59" s="11">
        <f>AS59</f>
        <v>2396.9348842910854</v>
      </c>
      <c r="V59" s="11">
        <f>AT59</f>
        <v>61.30038901825298</v>
      </c>
      <c r="W59" s="11">
        <f>AU59</f>
        <v>485.7027551072621</v>
      </c>
      <c r="X59" s="11">
        <f>AM59</f>
        <v>17670.345615483235</v>
      </c>
      <c r="Y59" s="11">
        <f>AN59</f>
        <v>276.5128883026451</v>
      </c>
      <c r="Z59" s="11">
        <f>AO59</f>
        <v>2002.773923848656</v>
      </c>
      <c r="AA59" s="7">
        <v>1</v>
      </c>
      <c r="AB59" s="7">
        <v>1</v>
      </c>
      <c r="AC59" s="7">
        <v>1</v>
      </c>
      <c r="AD59" s="11">
        <f>X59*AA59</f>
        <v>17670.345615483235</v>
      </c>
      <c r="AE59" s="11">
        <f>Y59*AB59</f>
        <v>276.5128883026451</v>
      </c>
      <c r="AF59" s="11">
        <f>Z59*AC59</f>
        <v>2002.773923848656</v>
      </c>
      <c r="AG59" s="7">
        <v>17670.345615483235</v>
      </c>
      <c r="AH59" s="7">
        <v>276.5128883026451</v>
      </c>
      <c r="AI59" s="7">
        <v>2002.773923848656</v>
      </c>
      <c r="AJ59" s="16">
        <f>AD59-AG59</f>
        <v>0</v>
      </c>
      <c r="AK59" s="16">
        <f>SQRT((AE59-AH59)^2+(AF59-AI59)^2)</f>
        <v>0</v>
      </c>
      <c r="AL59" s="7" t="s">
        <v>190</v>
      </c>
      <c r="AM59" s="7">
        <v>17670.345615483235</v>
      </c>
      <c r="AN59" s="7">
        <v>276.5128883026451</v>
      </c>
      <c r="AO59" s="7">
        <v>2002.773923848656</v>
      </c>
      <c r="AP59" s="7">
        <v>15273.41073119215</v>
      </c>
      <c r="AQ59" s="7">
        <v>215.21249928439212</v>
      </c>
      <c r="AR59" s="7">
        <v>1517.0711687413943</v>
      </c>
      <c r="AS59" s="7">
        <v>2396.9348842910854</v>
      </c>
      <c r="AT59" s="7">
        <v>61.30038901825298</v>
      </c>
      <c r="AU59" s="7">
        <v>485.7027551072621</v>
      </c>
    </row>
    <row r="60" spans="1:47" x14ac:dyDescent="0.25">
      <c r="A60" s="7" t="s">
        <v>300</v>
      </c>
      <c r="B60" s="7">
        <v>1</v>
      </c>
      <c r="C60" s="19">
        <v>90</v>
      </c>
      <c r="D60" s="7" t="s">
        <v>301</v>
      </c>
      <c r="E60" s="7" t="s">
        <v>193</v>
      </c>
      <c r="F60" s="20">
        <v>90</v>
      </c>
      <c r="G60" s="7" t="s">
        <v>194</v>
      </c>
      <c r="H60" s="21">
        <v>3</v>
      </c>
      <c r="I60" s="11">
        <f>MAX(('Geometry'!$G$13*COS(RADIANS(F60))+'Geometry'!$F$13*SIN(RADIANS(F60))),('Geometry'!$G$14*COS(RADIANS(F60))+'Geometry'!$F$14*SIN(RADIANS(F60))),('Geometry'!$G$15*COS(RADIANS(F60))+'Geometry'!$F$15*SIN(RADIANS(F60))),('Geometry'!$G$16*COS(RADIANS(F60))+'Geometry'!$F$16*SIN(RADIANS(F60))),('Geometry'!$G$17*COS(RADIANS(F60))+'Geometry'!$F$17*SIN(RADIANS(F60))),('Geometry'!$G$18*COS(RADIANS(F60))+'Geometry'!$F$18*SIN(RADIANS(F60))),('Geometry'!$G$19*COS(RADIANS(F60))+'Geometry'!$F$19*SIN(RADIANS(F60))),('Geometry'!$G$20*COS(RADIANS(F60))+'Geometry'!$F$20*SIN(RADIANS(F60))))</f>
        <v>750</v>
      </c>
      <c r="J60" s="11">
        <f>I60-H60*K60</f>
        <v>-3749.9999999999995</v>
      </c>
      <c r="K60" s="11">
        <f>I60-MIN(('Geometry'!$G$13*COS(RADIANS(F60))+'Geometry'!$F$13*SIN(RADIANS(F60))),('Geometry'!$G$14*COS(RADIANS(F60))+'Geometry'!$F$14*SIN(RADIANS(F60))),('Geometry'!$G$15*COS(RADIANS(F60))+'Geometry'!$F$15*SIN(RADIANS(F60))),('Geometry'!$G$16*COS(RADIANS(F60))+'Geometry'!$F$16*SIN(RADIANS(F60))),('Geometry'!$G$17*COS(RADIANS(F60))+'Geometry'!$F$17*SIN(RADIANS(F60))),('Geometry'!$G$18*COS(RADIANS(F60))+'Geometry'!$F$18*SIN(RADIANS(F60))),('Geometry'!$G$19*COS(RADIANS(F60))+'Geometry'!$F$19*SIN(RADIANS(F60))),('Geometry'!$G$20*COS(RADIANS(F60))+'Geometry'!$F$20*SIN(RADIANS(F60))))</f>
        <v>1500</v>
      </c>
      <c r="L60" s="16">
        <f>C_ecu</f>
        <v>0.0033</v>
      </c>
      <c r="M60" s="16">
        <f>0</f>
        <v>0</v>
      </c>
      <c r="N60" s="22">
        <f>IF(ABS(I60-J60)&lt;0.000000000001,0,(L60-M60)/(I60-J60))</f>
        <v>7.333333333333333e-7</v>
      </c>
      <c r="O60" s="16">
        <f>L60-N60*I60</f>
        <v>0.00275</v>
      </c>
      <c r="P60" s="22">
        <f>N60*COS(RADIANS(F60))</f>
        <v>4.4903715968736284e-23</v>
      </c>
      <c r="Q60" s="22">
        <f>N60*SIN(RADIANS(F60))</f>
        <v>7.333333333333333e-7</v>
      </c>
      <c r="R60" s="11">
        <f>AP60</f>
        <v>15260.444169480972</v>
      </c>
      <c r="S60" s="11">
        <f>AQ60</f>
        <v>0.00031436705836624887</v>
      </c>
      <c r="T60" s="11">
        <f>AR60</f>
        <v>330.4287217533079</v>
      </c>
      <c r="U60" s="11">
        <f>AS60</f>
        <v>2409.9014460022645</v>
      </c>
      <c r="V60" s="11">
        <f>AT60</f>
        <v>-6.262072502793731e-15</v>
      </c>
      <c r="W60" s="11">
        <f>AU60</f>
        <v>104.660375492688</v>
      </c>
      <c r="X60" s="11">
        <f>AM60</f>
        <v>17670.345615483235</v>
      </c>
      <c r="Y60" s="11">
        <f>AN60</f>
        <v>0.0003143670583599867</v>
      </c>
      <c r="Z60" s="11">
        <f>AO60</f>
        <v>435.08909724599596</v>
      </c>
      <c r="AA60" s="7">
        <v>1</v>
      </c>
      <c r="AB60" s="7">
        <v>1</v>
      </c>
      <c r="AC60" s="7">
        <v>1</v>
      </c>
      <c r="AD60" s="11">
        <f>X60*AA60</f>
        <v>17670.345615483235</v>
      </c>
      <c r="AE60" s="11">
        <f>Y60*AB60</f>
        <v>0.0003143670583599867</v>
      </c>
      <c r="AF60" s="11">
        <f>Z60*AC60</f>
        <v>435.08909724599596</v>
      </c>
      <c r="AG60" s="7">
        <v>17670.345615483235</v>
      </c>
      <c r="AH60" s="7">
        <v>0.0003143670583599867</v>
      </c>
      <c r="AI60" s="7">
        <v>435.08909724599596</v>
      </c>
      <c r="AJ60" s="16">
        <f>AD60-AG60</f>
        <v>0</v>
      </c>
      <c r="AK60" s="16">
        <f>SQRT((AE60-AH60)^2+(AF60-AI60)^2)</f>
        <v>0</v>
      </c>
      <c r="AL60" s="7" t="s">
        <v>190</v>
      </c>
      <c r="AM60" s="7">
        <v>17670.345615483235</v>
      </c>
      <c r="AN60" s="7">
        <v>0.0003143670583599867</v>
      </c>
      <c r="AO60" s="7">
        <v>435.08909724599596</v>
      </c>
      <c r="AP60" s="7">
        <v>15260.444169480972</v>
      </c>
      <c r="AQ60" s="7">
        <v>0.00031436705836624887</v>
      </c>
      <c r="AR60" s="7">
        <v>330.4287217533079</v>
      </c>
      <c r="AS60" s="7">
        <v>2409.9014460022645</v>
      </c>
      <c r="AT60" s="7">
        <v>-6.262072502793731e-15</v>
      </c>
      <c r="AU60" s="7">
        <v>104.660375492688</v>
      </c>
    </row>
    <row r="61" spans="1:47" x14ac:dyDescent="0.25">
      <c r="A61" s="7" t="s">
        <v>302</v>
      </c>
      <c r="B61" s="7">
        <v>2</v>
      </c>
      <c r="C61" s="19">
        <v>90</v>
      </c>
      <c r="D61" s="7" t="s">
        <v>303</v>
      </c>
      <c r="E61" s="7" t="s">
        <v>197</v>
      </c>
      <c r="F61" s="20">
        <v>90</v>
      </c>
      <c r="G61" s="7" t="s">
        <v>194</v>
      </c>
      <c r="H61" s="21">
        <v>1.9999999999999998</v>
      </c>
      <c r="I61" s="11">
        <f>MAX(('Geometry'!$G$13*COS(RADIANS(F61))+'Geometry'!$F$13*SIN(RADIANS(F61))),('Geometry'!$G$14*COS(RADIANS(F61))+'Geometry'!$F$14*SIN(RADIANS(F61))),('Geometry'!$G$15*COS(RADIANS(F61))+'Geometry'!$F$15*SIN(RADIANS(F61))),('Geometry'!$G$16*COS(RADIANS(F61))+'Geometry'!$F$16*SIN(RADIANS(F61))),('Geometry'!$G$17*COS(RADIANS(F61))+'Geometry'!$F$17*SIN(RADIANS(F61))),('Geometry'!$G$18*COS(RADIANS(F61))+'Geometry'!$F$18*SIN(RADIANS(F61))),('Geometry'!$G$19*COS(RADIANS(F61))+'Geometry'!$F$19*SIN(RADIANS(F61))),('Geometry'!$G$20*COS(RADIANS(F61))+'Geometry'!$F$20*SIN(RADIANS(F61))))</f>
        <v>750</v>
      </c>
      <c r="J61" s="11">
        <f>I61-H61*K61</f>
        <v>-2249.9999999999995</v>
      </c>
      <c r="K61" s="11">
        <f>I61-MIN(('Geometry'!$G$13*COS(RADIANS(F61))+'Geometry'!$F$13*SIN(RADIANS(F61))),('Geometry'!$G$14*COS(RADIANS(F61))+'Geometry'!$F$14*SIN(RADIANS(F61))),('Geometry'!$G$15*COS(RADIANS(F61))+'Geometry'!$F$15*SIN(RADIANS(F61))),('Geometry'!$G$16*COS(RADIANS(F61))+'Geometry'!$F$16*SIN(RADIANS(F61))),('Geometry'!$G$17*COS(RADIANS(F61))+'Geometry'!$F$17*SIN(RADIANS(F61))),('Geometry'!$G$18*COS(RADIANS(F61))+'Geometry'!$F$18*SIN(RADIANS(F61))),('Geometry'!$G$19*COS(RADIANS(F61))+'Geometry'!$F$19*SIN(RADIANS(F61))),('Geometry'!$G$20*COS(RADIANS(F61))+'Geometry'!$F$20*SIN(RADIANS(F61))))</f>
        <v>1500</v>
      </c>
      <c r="L61" s="16">
        <f>C_ecu</f>
        <v>0.0033</v>
      </c>
      <c r="M61" s="16">
        <f>0</f>
        <v>0</v>
      </c>
      <c r="N61" s="22">
        <f>IF(ABS(I61-J61)&lt;0.000000000001,0,(L61-M61)/(I61-J61))</f>
        <v>0.0000011</v>
      </c>
      <c r="O61" s="16">
        <f>L61-N61*I61</f>
        <v>0.0024749999999999998</v>
      </c>
      <c r="P61" s="22">
        <f>N61*COS(RADIANS(F61))</f>
        <v>6.735557395310443e-23</v>
      </c>
      <c r="Q61" s="22">
        <f>N61*SIN(RADIANS(F61))</f>
        <v>0.0000011</v>
      </c>
      <c r="R61" s="11">
        <f>AP61</f>
        <v>15260.444169480972</v>
      </c>
      <c r="S61" s="11">
        <f>AQ61</f>
        <v>0.0006287341167324977</v>
      </c>
      <c r="T61" s="11">
        <f>AR61</f>
        <v>660.8574435066158</v>
      </c>
      <c r="U61" s="11">
        <f>AS61</f>
        <v>2409.9014460022645</v>
      </c>
      <c r="V61" s="11">
        <f>AT61</f>
        <v>-1.2524145005587462e-14</v>
      </c>
      <c r="W61" s="11">
        <f>AU61</f>
        <v>209.320750985376</v>
      </c>
      <c r="X61" s="11">
        <f>AM61</f>
        <v>17670.345615483235</v>
      </c>
      <c r="Y61" s="11">
        <f>AN61</f>
        <v>0.0006287341167199734</v>
      </c>
      <c r="Z61" s="11">
        <f>AO61</f>
        <v>870.1781944919919</v>
      </c>
      <c r="AA61" s="7">
        <v>1</v>
      </c>
      <c r="AB61" s="7">
        <v>1</v>
      </c>
      <c r="AC61" s="7">
        <v>1</v>
      </c>
      <c r="AD61" s="11">
        <f>X61*AA61</f>
        <v>17670.345615483235</v>
      </c>
      <c r="AE61" s="11">
        <f>Y61*AB61</f>
        <v>0.0006287341167199734</v>
      </c>
      <c r="AF61" s="11">
        <f>Z61*AC61</f>
        <v>870.1781944919919</v>
      </c>
      <c r="AG61" s="7">
        <v>17670.345615483235</v>
      </c>
      <c r="AH61" s="7">
        <v>0.0006287341167199734</v>
      </c>
      <c r="AI61" s="7">
        <v>870.1781944919919</v>
      </c>
      <c r="AJ61" s="16">
        <f>AD61-AG61</f>
        <v>0</v>
      </c>
      <c r="AK61" s="16">
        <f>SQRT((AE61-AH61)^2+(AF61-AI61)^2)</f>
        <v>0</v>
      </c>
      <c r="AL61" s="7" t="s">
        <v>190</v>
      </c>
      <c r="AM61" s="7">
        <v>17670.345615483235</v>
      </c>
      <c r="AN61" s="7">
        <v>0.0006287341167199734</v>
      </c>
      <c r="AO61" s="7">
        <v>870.1781944919919</v>
      </c>
      <c r="AP61" s="7">
        <v>15260.444169480972</v>
      </c>
      <c r="AQ61" s="7">
        <v>0.0006287341167324977</v>
      </c>
      <c r="AR61" s="7">
        <v>660.8574435066158</v>
      </c>
      <c r="AS61" s="7">
        <v>2409.9014460022645</v>
      </c>
      <c r="AT61" s="7">
        <v>-1.2524145005587462e-14</v>
      </c>
      <c r="AU61" s="7">
        <v>209.320750985376</v>
      </c>
    </row>
    <row r="62" spans="1:47" x14ac:dyDescent="0.25">
      <c r="A62" s="7" t="s">
        <v>304</v>
      </c>
      <c r="B62" s="7">
        <v>3</v>
      </c>
      <c r="C62" s="19">
        <v>90</v>
      </c>
      <c r="D62" s="7" t="s">
        <v>305</v>
      </c>
      <c r="E62" s="7" t="s">
        <v>200</v>
      </c>
      <c r="F62" s="20">
        <v>90</v>
      </c>
      <c r="G62" s="7" t="s">
        <v>194</v>
      </c>
      <c r="H62" s="21">
        <v>1.5</v>
      </c>
      <c r="I62" s="11">
        <f>MAX(('Geometry'!$G$13*COS(RADIANS(F62))+'Geometry'!$F$13*SIN(RADIANS(F62))),('Geometry'!$G$14*COS(RADIANS(F62))+'Geometry'!$F$14*SIN(RADIANS(F62))),('Geometry'!$G$15*COS(RADIANS(F62))+'Geometry'!$F$15*SIN(RADIANS(F62))),('Geometry'!$G$16*COS(RADIANS(F62))+'Geometry'!$F$16*SIN(RADIANS(F62))),('Geometry'!$G$17*COS(RADIANS(F62))+'Geometry'!$F$17*SIN(RADIANS(F62))),('Geometry'!$G$18*COS(RADIANS(F62))+'Geometry'!$F$18*SIN(RADIANS(F62))),('Geometry'!$G$19*COS(RADIANS(F62))+'Geometry'!$F$19*SIN(RADIANS(F62))),('Geometry'!$G$20*COS(RADIANS(F62))+'Geometry'!$F$20*SIN(RADIANS(F62))))</f>
        <v>750</v>
      </c>
      <c r="J62" s="11">
        <f>I62-H62*K62</f>
        <v>-1499.9999999999998</v>
      </c>
      <c r="K62" s="11">
        <f>I62-MIN(('Geometry'!$G$13*COS(RADIANS(F62))+'Geometry'!$F$13*SIN(RADIANS(F62))),('Geometry'!$G$14*COS(RADIANS(F62))+'Geometry'!$F$14*SIN(RADIANS(F62))),('Geometry'!$G$15*COS(RADIANS(F62))+'Geometry'!$F$15*SIN(RADIANS(F62))),('Geometry'!$G$16*COS(RADIANS(F62))+'Geometry'!$F$16*SIN(RADIANS(F62))),('Geometry'!$G$17*COS(RADIANS(F62))+'Geometry'!$F$17*SIN(RADIANS(F62))),('Geometry'!$G$18*COS(RADIANS(F62))+'Geometry'!$F$18*SIN(RADIANS(F62))),('Geometry'!$G$19*COS(RADIANS(F62))+'Geometry'!$F$19*SIN(RADIANS(F62))),('Geometry'!$G$20*COS(RADIANS(F62))+'Geometry'!$F$20*SIN(RADIANS(F62))))</f>
        <v>1500</v>
      </c>
      <c r="L62" s="16">
        <f>C_ecu</f>
        <v>0.0033</v>
      </c>
      <c r="M62" s="16">
        <f>0</f>
        <v>0</v>
      </c>
      <c r="N62" s="22">
        <f>IF(ABS(I62-J62)&lt;0.000000000001,0,(L62-M62)/(I62-J62))</f>
        <v>0.0000014666666666666667</v>
      </c>
      <c r="O62" s="16">
        <f>L62-N62*I62</f>
        <v>0.0021999999999999997</v>
      </c>
      <c r="P62" s="22">
        <f>N62*COS(RADIANS(F62))</f>
        <v>8.980743193747257e-23</v>
      </c>
      <c r="Q62" s="22">
        <f>N62*SIN(RADIANS(F62))</f>
        <v>0.0000014666666666666667</v>
      </c>
      <c r="R62" s="11">
        <f>AP62</f>
        <v>15260.444169480972</v>
      </c>
      <c r="S62" s="11">
        <f>AQ62</f>
        <v>0.0009431011750987464</v>
      </c>
      <c r="T62" s="11">
        <f>AR62</f>
        <v>991.2861652599238</v>
      </c>
      <c r="U62" s="11">
        <f>AS62</f>
        <v>2409.9014460022645</v>
      </c>
      <c r="V62" s="11">
        <f>AT62</f>
        <v>-1.8786217508381193e-14</v>
      </c>
      <c r="W62" s="11">
        <f>AU62</f>
        <v>313.981126478064</v>
      </c>
      <c r="X62" s="11">
        <f>AM62</f>
        <v>17670.345615483235</v>
      </c>
      <c r="Y62" s="11">
        <f>AN62</f>
        <v>0.00094310117507996</v>
      </c>
      <c r="Z62" s="11">
        <f>AO62</f>
        <v>1305.2672917379878</v>
      </c>
      <c r="AA62" s="7">
        <v>1</v>
      </c>
      <c r="AB62" s="7">
        <v>1</v>
      </c>
      <c r="AC62" s="7">
        <v>1</v>
      </c>
      <c r="AD62" s="11">
        <f>X62*AA62</f>
        <v>17670.345615483235</v>
      </c>
      <c r="AE62" s="11">
        <f>Y62*AB62</f>
        <v>0.00094310117507996</v>
      </c>
      <c r="AF62" s="11">
        <f>Z62*AC62</f>
        <v>1305.2672917379878</v>
      </c>
      <c r="AG62" s="7">
        <v>17670.345615483235</v>
      </c>
      <c r="AH62" s="7">
        <v>0.00094310117507996</v>
      </c>
      <c r="AI62" s="7">
        <v>1305.2672917379878</v>
      </c>
      <c r="AJ62" s="16">
        <f>AD62-AG62</f>
        <v>0</v>
      </c>
      <c r="AK62" s="16">
        <f>SQRT((AE62-AH62)^2+(AF62-AI62)^2)</f>
        <v>0</v>
      </c>
      <c r="AL62" s="7" t="s">
        <v>190</v>
      </c>
      <c r="AM62" s="7">
        <v>17670.345615483235</v>
      </c>
      <c r="AN62" s="7">
        <v>0.00094310117507996</v>
      </c>
      <c r="AO62" s="7">
        <v>1305.2672917379878</v>
      </c>
      <c r="AP62" s="7">
        <v>15260.444169480972</v>
      </c>
      <c r="AQ62" s="7">
        <v>0.0009431011750987464</v>
      </c>
      <c r="AR62" s="7">
        <v>991.2861652599238</v>
      </c>
      <c r="AS62" s="7">
        <v>2409.9014460022645</v>
      </c>
      <c r="AT62" s="7">
        <v>-1.8786217508381193e-14</v>
      </c>
      <c r="AU62" s="7">
        <v>313.981126478064</v>
      </c>
    </row>
    <row r="63" spans="1:47" x14ac:dyDescent="0.25">
      <c r="A63" s="7" t="s">
        <v>306</v>
      </c>
      <c r="B63" s="7">
        <v>4</v>
      </c>
      <c r="C63" s="19">
        <v>90</v>
      </c>
      <c r="D63" s="7" t="s">
        <v>307</v>
      </c>
      <c r="E63" s="7" t="s">
        <v>203</v>
      </c>
      <c r="F63" s="20">
        <v>90</v>
      </c>
      <c r="G63" s="7" t="s">
        <v>194</v>
      </c>
      <c r="H63" s="21">
        <v>1.2</v>
      </c>
      <c r="I63" s="11">
        <f>MAX(('Geometry'!$G$13*COS(RADIANS(F63))+'Geometry'!$F$13*SIN(RADIANS(F63))),('Geometry'!$G$14*COS(RADIANS(F63))+'Geometry'!$F$14*SIN(RADIANS(F63))),('Geometry'!$G$15*COS(RADIANS(F63))+'Geometry'!$F$15*SIN(RADIANS(F63))),('Geometry'!$G$16*COS(RADIANS(F63))+'Geometry'!$F$16*SIN(RADIANS(F63))),('Geometry'!$G$17*COS(RADIANS(F63))+'Geometry'!$F$17*SIN(RADIANS(F63))),('Geometry'!$G$18*COS(RADIANS(F63))+'Geometry'!$F$18*SIN(RADIANS(F63))),('Geometry'!$G$19*COS(RADIANS(F63))+'Geometry'!$F$19*SIN(RADIANS(F63))),('Geometry'!$G$20*COS(RADIANS(F63))+'Geometry'!$F$20*SIN(RADIANS(F63))))</f>
        <v>750</v>
      </c>
      <c r="J63" s="11">
        <f>I63-H63*K63</f>
        <v>-1050</v>
      </c>
      <c r="K63" s="11">
        <f>I63-MIN(('Geometry'!$G$13*COS(RADIANS(F63))+'Geometry'!$F$13*SIN(RADIANS(F63))),('Geometry'!$G$14*COS(RADIANS(F63))+'Geometry'!$F$14*SIN(RADIANS(F63))),('Geometry'!$G$15*COS(RADIANS(F63))+'Geometry'!$F$15*SIN(RADIANS(F63))),('Geometry'!$G$16*COS(RADIANS(F63))+'Geometry'!$F$16*SIN(RADIANS(F63))),('Geometry'!$G$17*COS(RADIANS(F63))+'Geometry'!$F$17*SIN(RADIANS(F63))),('Geometry'!$G$18*COS(RADIANS(F63))+'Geometry'!$F$18*SIN(RADIANS(F63))),('Geometry'!$G$19*COS(RADIANS(F63))+'Geometry'!$F$19*SIN(RADIANS(F63))),('Geometry'!$G$20*COS(RADIANS(F63))+'Geometry'!$F$20*SIN(RADIANS(F63))))</f>
        <v>1500</v>
      </c>
      <c r="L63" s="16">
        <f>C_ecu</f>
        <v>0.0033</v>
      </c>
      <c r="M63" s="16">
        <f>0</f>
        <v>0</v>
      </c>
      <c r="N63" s="22">
        <f>IF(ABS(I63-J63)&lt;0.000000000001,0,(L63-M63)/(I63-J63))</f>
        <v>0.0000018333333333333333</v>
      </c>
      <c r="O63" s="16">
        <f>L63-N63*I63</f>
        <v>0.001925</v>
      </c>
      <c r="P63" s="22">
        <f>N63*COS(RADIANS(F63))</f>
        <v>1.122592899218407e-22</v>
      </c>
      <c r="Q63" s="22">
        <f>N63*SIN(RADIANS(F63))</f>
        <v>0.0000018333333333333333</v>
      </c>
      <c r="R63" s="11">
        <f>AP63</f>
        <v>15260.444169480972</v>
      </c>
      <c r="S63" s="11">
        <f>AQ63</f>
        <v>0.0012574682334649955</v>
      </c>
      <c r="T63" s="11">
        <f>AR63</f>
        <v>1321.7148870132316</v>
      </c>
      <c r="U63" s="11">
        <f>AS63</f>
        <v>2409.9014460022645</v>
      </c>
      <c r="V63" s="11">
        <f>AT63</f>
        <v>-2.5048290011174925e-14</v>
      </c>
      <c r="W63" s="11">
        <f>AU63</f>
        <v>418.641501970752</v>
      </c>
      <c r="X63" s="11">
        <f>AM63</f>
        <v>17670.345615483235</v>
      </c>
      <c r="Y63" s="11">
        <f>AN63</f>
        <v>0.0012574682334399467</v>
      </c>
      <c r="Z63" s="11">
        <f>AO63</f>
        <v>1740.3563889839838</v>
      </c>
      <c r="AA63" s="7">
        <v>1</v>
      </c>
      <c r="AB63" s="7">
        <v>1</v>
      </c>
      <c r="AC63" s="7">
        <v>1</v>
      </c>
      <c r="AD63" s="11">
        <f>X63*AA63</f>
        <v>17670.345615483235</v>
      </c>
      <c r="AE63" s="11">
        <f>Y63*AB63</f>
        <v>0.0012574682334399467</v>
      </c>
      <c r="AF63" s="11">
        <f>Z63*AC63</f>
        <v>1740.3563889839838</v>
      </c>
      <c r="AG63" s="7">
        <v>17670.345615483235</v>
      </c>
      <c r="AH63" s="7">
        <v>0.0012574682334399467</v>
      </c>
      <c r="AI63" s="7">
        <v>1740.3563889839838</v>
      </c>
      <c r="AJ63" s="16">
        <f>AD63-AG63</f>
        <v>0</v>
      </c>
      <c r="AK63" s="16">
        <f>SQRT((AE63-AH63)^2+(AF63-AI63)^2)</f>
        <v>0</v>
      </c>
      <c r="AL63" s="7" t="s">
        <v>190</v>
      </c>
      <c r="AM63" s="7">
        <v>17670.345615483235</v>
      </c>
      <c r="AN63" s="7">
        <v>0.0012574682334399467</v>
      </c>
      <c r="AO63" s="7">
        <v>1740.3563889839838</v>
      </c>
      <c r="AP63" s="7">
        <v>15260.444169480972</v>
      </c>
      <c r="AQ63" s="7">
        <v>0.0012574682334649955</v>
      </c>
      <c r="AR63" s="7">
        <v>1321.7148870132316</v>
      </c>
      <c r="AS63" s="7">
        <v>2409.9014460022645</v>
      </c>
      <c r="AT63" s="7">
        <v>-2.5048290011174925e-14</v>
      </c>
      <c r="AU63" s="7">
        <v>418.641501970752</v>
      </c>
    </row>
    <row r="64" spans="1:47" x14ac:dyDescent="0.25">
      <c r="A64" s="7" t="s">
        <v>308</v>
      </c>
      <c r="B64" s="7">
        <v>5</v>
      </c>
      <c r="C64" s="19">
        <v>90</v>
      </c>
      <c r="D64" s="7" t="s">
        <v>309</v>
      </c>
      <c r="E64" s="7" t="s">
        <v>206</v>
      </c>
      <c r="F64" s="20">
        <v>90</v>
      </c>
      <c r="G64" s="7" t="s">
        <v>194</v>
      </c>
      <c r="H64" s="21">
        <v>1.1</v>
      </c>
      <c r="I64" s="11">
        <f>MAX(('Geometry'!$G$13*COS(RADIANS(F64))+'Geometry'!$F$13*SIN(RADIANS(F64))),('Geometry'!$G$14*COS(RADIANS(F64))+'Geometry'!$F$14*SIN(RADIANS(F64))),('Geometry'!$G$15*COS(RADIANS(F64))+'Geometry'!$F$15*SIN(RADIANS(F64))),('Geometry'!$G$16*COS(RADIANS(F64))+'Geometry'!$F$16*SIN(RADIANS(F64))),('Geometry'!$G$17*COS(RADIANS(F64))+'Geometry'!$F$17*SIN(RADIANS(F64))),('Geometry'!$G$18*COS(RADIANS(F64))+'Geometry'!$F$18*SIN(RADIANS(F64))),('Geometry'!$G$19*COS(RADIANS(F64))+'Geometry'!$F$19*SIN(RADIANS(F64))),('Geometry'!$G$20*COS(RADIANS(F64))+'Geometry'!$F$20*SIN(RADIANS(F64))))</f>
        <v>750</v>
      </c>
      <c r="J64" s="11">
        <f>I64-H64*K64</f>
        <v>-900</v>
      </c>
      <c r="K64" s="11">
        <f>I64-MIN(('Geometry'!$G$13*COS(RADIANS(F64))+'Geometry'!$F$13*SIN(RADIANS(F64))),('Geometry'!$G$14*COS(RADIANS(F64))+'Geometry'!$F$14*SIN(RADIANS(F64))),('Geometry'!$G$15*COS(RADIANS(F64))+'Geometry'!$F$15*SIN(RADIANS(F64))),('Geometry'!$G$16*COS(RADIANS(F64))+'Geometry'!$F$16*SIN(RADIANS(F64))),('Geometry'!$G$17*COS(RADIANS(F64))+'Geometry'!$F$17*SIN(RADIANS(F64))),('Geometry'!$G$18*COS(RADIANS(F64))+'Geometry'!$F$18*SIN(RADIANS(F64))),('Geometry'!$G$19*COS(RADIANS(F64))+'Geometry'!$F$19*SIN(RADIANS(F64))),('Geometry'!$G$20*COS(RADIANS(F64))+'Geometry'!$F$20*SIN(RADIANS(F64))))</f>
        <v>1500</v>
      </c>
      <c r="L64" s="16">
        <f>C_ecu</f>
        <v>0.0033</v>
      </c>
      <c r="M64" s="16">
        <f>0</f>
        <v>0</v>
      </c>
      <c r="N64" s="22">
        <f>IF(ABS(I64-J64)&lt;0.000000000001,0,(L64-M64)/(I64-J64))</f>
        <v>0.000002</v>
      </c>
      <c r="O64" s="16">
        <f>L64-N64*I64</f>
        <v>0.0018</v>
      </c>
      <c r="P64" s="22">
        <f>N64*COS(RADIANS(F64))</f>
        <v>1.2246467991473532e-22</v>
      </c>
      <c r="Q64" s="22">
        <f>N64*SIN(RADIANS(F64))</f>
        <v>0.000002</v>
      </c>
      <c r="R64" s="11">
        <f>AP64</f>
        <v>15260.444169480972</v>
      </c>
      <c r="S64" s="11">
        <f>AQ64</f>
        <v>0.0015718352918312442</v>
      </c>
      <c r="T64" s="11">
        <f>AR64</f>
        <v>1652.1436087665397</v>
      </c>
      <c r="U64" s="11">
        <f>AS64</f>
        <v>2409.9014460022645</v>
      </c>
      <c r="V64" s="11">
        <f>AT64</f>
        <v>-3.131036251396866e-14</v>
      </c>
      <c r="W64" s="11">
        <f>AU64</f>
        <v>523.30187746344</v>
      </c>
      <c r="X64" s="11">
        <f>AM64</f>
        <v>17670.345615483235</v>
      </c>
      <c r="Y64" s="11">
        <f>AN64</f>
        <v>0.0015718352917999333</v>
      </c>
      <c r="Z64" s="11">
        <f>AO64</f>
        <v>2175.4454862299795</v>
      </c>
      <c r="AA64" s="7">
        <v>1</v>
      </c>
      <c r="AB64" s="7">
        <v>1</v>
      </c>
      <c r="AC64" s="7">
        <v>1</v>
      </c>
      <c r="AD64" s="11">
        <f>X64*AA64</f>
        <v>17670.345615483235</v>
      </c>
      <c r="AE64" s="11">
        <f>Y64*AB64</f>
        <v>0.0015718352917999333</v>
      </c>
      <c r="AF64" s="11">
        <f>Z64*AC64</f>
        <v>2175.4454862299795</v>
      </c>
      <c r="AG64" s="7">
        <v>17670.345615483235</v>
      </c>
      <c r="AH64" s="7">
        <v>0.0015718352917999333</v>
      </c>
      <c r="AI64" s="7">
        <v>2175.4454862299795</v>
      </c>
      <c r="AJ64" s="16">
        <f>AD64-AG64</f>
        <v>0</v>
      </c>
      <c r="AK64" s="16">
        <f>SQRT((AE64-AH64)^2+(AF64-AI64)^2)</f>
        <v>0</v>
      </c>
      <c r="AL64" s="7" t="s">
        <v>190</v>
      </c>
      <c r="AM64" s="7">
        <v>17670.345615483235</v>
      </c>
      <c r="AN64" s="7">
        <v>0.0015718352917999333</v>
      </c>
      <c r="AO64" s="7">
        <v>2175.4454862299795</v>
      </c>
      <c r="AP64" s="7">
        <v>15260.444169480972</v>
      </c>
      <c r="AQ64" s="7">
        <v>0.0015718352918312442</v>
      </c>
      <c r="AR64" s="7">
        <v>1652.1436087665397</v>
      </c>
      <c r="AS64" s="7">
        <v>2409.9014460022645</v>
      </c>
      <c r="AT64" s="7">
        <v>-3.131036251396866e-14</v>
      </c>
      <c r="AU64" s="7">
        <v>523.30187746344</v>
      </c>
    </row>
    <row r="65" spans="1:47" x14ac:dyDescent="0.25">
      <c r="A65" s="7" t="s">
        <v>310</v>
      </c>
      <c r="B65" s="7">
        <v>1</v>
      </c>
      <c r="C65" s="19">
        <v>100</v>
      </c>
      <c r="D65" s="7" t="s">
        <v>311</v>
      </c>
      <c r="E65" s="7" t="s">
        <v>193</v>
      </c>
      <c r="F65" s="20">
        <v>100</v>
      </c>
      <c r="G65" s="7" t="s">
        <v>194</v>
      </c>
      <c r="H65" s="21">
        <v>3</v>
      </c>
      <c r="I65" s="11">
        <f>MAX(('Geometry'!$G$13*COS(RADIANS(F65))+'Geometry'!$F$13*SIN(RADIANS(F65))),('Geometry'!$G$14*COS(RADIANS(F65))+'Geometry'!$F$14*SIN(RADIANS(F65))),('Geometry'!$G$15*COS(RADIANS(F65))+'Geometry'!$F$15*SIN(RADIANS(F65))),('Geometry'!$G$16*COS(RADIANS(F65))+'Geometry'!$F$16*SIN(RADIANS(F65))),('Geometry'!$G$17*COS(RADIANS(F65))+'Geometry'!$F$17*SIN(RADIANS(F65))),('Geometry'!$G$18*COS(RADIANS(F65))+'Geometry'!$F$18*SIN(RADIANS(F65))),('Geometry'!$G$19*COS(RADIANS(F65))+'Geometry'!$F$19*SIN(RADIANS(F65))),('Geometry'!$G$20*COS(RADIANS(F65))+'Geometry'!$F$20*SIN(RADIANS(F65))))</f>
        <v>808.0650858259281</v>
      </c>
      <c r="J65" s="11">
        <f>I65-H65*K65</f>
        <v>-4040.3254291296407</v>
      </c>
      <c r="K65" s="11">
        <f>I65-MIN(('Geometry'!$G$13*COS(RADIANS(F65))+'Geometry'!$F$13*SIN(RADIANS(F65))),('Geometry'!$G$14*COS(RADIANS(F65))+'Geometry'!$F$14*SIN(RADIANS(F65))),('Geometry'!$G$15*COS(RADIANS(F65))+'Geometry'!$F$15*SIN(RADIANS(F65))),('Geometry'!$G$16*COS(RADIANS(F65))+'Geometry'!$F$16*SIN(RADIANS(F65))),('Geometry'!$G$17*COS(RADIANS(F65))+'Geometry'!$F$17*SIN(RADIANS(F65))),('Geometry'!$G$18*COS(RADIANS(F65))+'Geometry'!$F$18*SIN(RADIANS(F65))),('Geometry'!$G$19*COS(RADIANS(F65))+'Geometry'!$F$19*SIN(RADIANS(F65))),('Geometry'!$G$20*COS(RADIANS(F65))+'Geometry'!$F$20*SIN(RADIANS(F65))))</f>
        <v>1616.1301716518562</v>
      </c>
      <c r="L65" s="16">
        <f>C_ecu</f>
        <v>0.0033</v>
      </c>
      <c r="M65" s="16">
        <f>0</f>
        <v>0</v>
      </c>
      <c r="N65" s="22">
        <f>IF(ABS(I65-J65)&lt;0.000000000001,0,(L65-M65)/(I65-J65))</f>
        <v>6.806382426953167e-7</v>
      </c>
      <c r="O65" s="16">
        <f>L65-N65*I65</f>
        <v>0.00275</v>
      </c>
      <c r="P65" s="22">
        <f>N65*COS(RADIANS(F65))</f>
        <v>-1.181915904944636e-7</v>
      </c>
      <c r="Q65" s="22">
        <f>N65*SIN(RADIANS(F65))</f>
        <v>6.702978184029528e-7</v>
      </c>
      <c r="R65" s="11">
        <f>AP65</f>
        <v>15273.405703020671</v>
      </c>
      <c r="S65" s="11">
        <f>AQ65</f>
        <v>-43.04084195864466</v>
      </c>
      <c r="T65" s="11">
        <f>AR65</f>
        <v>303.41236678719736</v>
      </c>
      <c r="U65" s="11">
        <f>AS65</f>
        <v>2396.939912462562</v>
      </c>
      <c r="V65" s="11">
        <f>AT65</f>
        <v>-12.260077226664565</v>
      </c>
      <c r="W65" s="11">
        <f>AU65</f>
        <v>97.1405691168391</v>
      </c>
      <c r="X65" s="11">
        <f>AM65</f>
        <v>17670.345615483235</v>
      </c>
      <c r="Y65" s="11">
        <f>AN65</f>
        <v>-55.30091918530923</v>
      </c>
      <c r="Z65" s="11">
        <f>AO65</f>
        <v>400.5529359040365</v>
      </c>
      <c r="AA65" s="7">
        <v>1</v>
      </c>
      <c r="AB65" s="7">
        <v>1</v>
      </c>
      <c r="AC65" s="7">
        <v>1</v>
      </c>
      <c r="AD65" s="11">
        <f>X65*AA65</f>
        <v>17670.345615483235</v>
      </c>
      <c r="AE65" s="11">
        <f>Y65*AB65</f>
        <v>-55.30091918530923</v>
      </c>
      <c r="AF65" s="11">
        <f>Z65*AC65</f>
        <v>400.5529359040365</v>
      </c>
      <c r="AG65" s="7">
        <v>17670.345615483235</v>
      </c>
      <c r="AH65" s="7">
        <v>-55.30091918530923</v>
      </c>
      <c r="AI65" s="7">
        <v>400.5529359040365</v>
      </c>
      <c r="AJ65" s="16">
        <f>AD65-AG65</f>
        <v>0</v>
      </c>
      <c r="AK65" s="16">
        <f>SQRT((AE65-AH65)^2+(AF65-AI65)^2)</f>
        <v>0</v>
      </c>
      <c r="AL65" s="7" t="s">
        <v>190</v>
      </c>
      <c r="AM65" s="7">
        <v>17670.345615483235</v>
      </c>
      <c r="AN65" s="7">
        <v>-55.30091918530923</v>
      </c>
      <c r="AO65" s="7">
        <v>400.5529359040365</v>
      </c>
      <c r="AP65" s="7">
        <v>15273.405703020671</v>
      </c>
      <c r="AQ65" s="7">
        <v>-43.04084195864466</v>
      </c>
      <c r="AR65" s="7">
        <v>303.41236678719736</v>
      </c>
      <c r="AS65" s="7">
        <v>2396.939912462562</v>
      </c>
      <c r="AT65" s="7">
        <v>-12.260077226664565</v>
      </c>
      <c r="AU65" s="7">
        <v>97.1405691168391</v>
      </c>
    </row>
    <row r="66" spans="1:47" x14ac:dyDescent="0.25">
      <c r="A66" s="7" t="s">
        <v>312</v>
      </c>
      <c r="B66" s="7">
        <v>2</v>
      </c>
      <c r="C66" s="19">
        <v>100</v>
      </c>
      <c r="D66" s="7" t="s">
        <v>313</v>
      </c>
      <c r="E66" s="7" t="s">
        <v>197</v>
      </c>
      <c r="F66" s="20">
        <v>100</v>
      </c>
      <c r="G66" s="7" t="s">
        <v>194</v>
      </c>
      <c r="H66" s="21">
        <v>2.0000000000000004</v>
      </c>
      <c r="I66" s="11">
        <f>MAX(('Geometry'!$G$13*COS(RADIANS(F66))+'Geometry'!$F$13*SIN(RADIANS(F66))),('Geometry'!$G$14*COS(RADIANS(F66))+'Geometry'!$F$14*SIN(RADIANS(F66))),('Geometry'!$G$15*COS(RADIANS(F66))+'Geometry'!$F$15*SIN(RADIANS(F66))),('Geometry'!$G$16*COS(RADIANS(F66))+'Geometry'!$F$16*SIN(RADIANS(F66))),('Geometry'!$G$17*COS(RADIANS(F66))+'Geometry'!$F$17*SIN(RADIANS(F66))),('Geometry'!$G$18*COS(RADIANS(F66))+'Geometry'!$F$18*SIN(RADIANS(F66))),('Geometry'!$G$19*COS(RADIANS(F66))+'Geometry'!$F$19*SIN(RADIANS(F66))),('Geometry'!$G$20*COS(RADIANS(F66))+'Geometry'!$F$20*SIN(RADIANS(F66))))</f>
        <v>808.0650858259281</v>
      </c>
      <c r="J66" s="11">
        <f>I66-H66*K66</f>
        <v>-2424.1952574777847</v>
      </c>
      <c r="K66" s="11">
        <f>I66-MIN(('Geometry'!$G$13*COS(RADIANS(F66))+'Geometry'!$F$13*SIN(RADIANS(F66))),('Geometry'!$G$14*COS(RADIANS(F66))+'Geometry'!$F$14*SIN(RADIANS(F66))),('Geometry'!$G$15*COS(RADIANS(F66))+'Geometry'!$F$15*SIN(RADIANS(F66))),('Geometry'!$G$16*COS(RADIANS(F66))+'Geometry'!$F$16*SIN(RADIANS(F66))),('Geometry'!$G$17*COS(RADIANS(F66))+'Geometry'!$F$17*SIN(RADIANS(F66))),('Geometry'!$G$18*COS(RADIANS(F66))+'Geometry'!$F$18*SIN(RADIANS(F66))),('Geometry'!$G$19*COS(RADIANS(F66))+'Geometry'!$F$19*SIN(RADIANS(F66))),('Geometry'!$G$20*COS(RADIANS(F66))+'Geometry'!$F$20*SIN(RADIANS(F66))))</f>
        <v>1616.1301716518562</v>
      </c>
      <c r="L66" s="16">
        <f>C_ecu</f>
        <v>0.0032999999999999995</v>
      </c>
      <c r="M66" s="16">
        <f>0</f>
        <v>0</v>
      </c>
      <c r="N66" s="22">
        <f>IF(ABS(I66-J66)&lt;0.000000000001,0,(L66-M66)/(I66-J66))</f>
        <v>0.0000010209573640429748</v>
      </c>
      <c r="O66" s="16">
        <f>L66-N66*I66</f>
        <v>0.0024749999999999998</v>
      </c>
      <c r="P66" s="22">
        <f>N66*COS(RADIANS(F66))</f>
        <v>-1.7728738574169536e-7</v>
      </c>
      <c r="Q66" s="22">
        <f>N66*SIN(RADIANS(F66))</f>
        <v>0.000001005446727604429</v>
      </c>
      <c r="R66" s="11">
        <f>AP66</f>
        <v>15273.405703020671</v>
      </c>
      <c r="S66" s="11">
        <f>AQ66</f>
        <v>-86.08168391728933</v>
      </c>
      <c r="T66" s="11">
        <f>AR66</f>
        <v>606.8247335743947</v>
      </c>
      <c r="U66" s="11">
        <f>AS66</f>
        <v>2396.939912462562</v>
      </c>
      <c r="V66" s="11">
        <f>AT66</f>
        <v>-24.52015445332913</v>
      </c>
      <c r="W66" s="11">
        <f>AU66</f>
        <v>194.2811382336782</v>
      </c>
      <c r="X66" s="11">
        <f>AM66</f>
        <v>17670.345615483235</v>
      </c>
      <c r="Y66" s="11">
        <f>AN66</f>
        <v>-110.60183837061847</v>
      </c>
      <c r="Z66" s="11">
        <f>AO66</f>
        <v>801.105871808073</v>
      </c>
      <c r="AA66" s="7">
        <v>1</v>
      </c>
      <c r="AB66" s="7">
        <v>1</v>
      </c>
      <c r="AC66" s="7">
        <v>1</v>
      </c>
      <c r="AD66" s="11">
        <f>X66*AA66</f>
        <v>17670.345615483235</v>
      </c>
      <c r="AE66" s="11">
        <f>Y66*AB66</f>
        <v>-110.60183837061847</v>
      </c>
      <c r="AF66" s="11">
        <f>Z66*AC66</f>
        <v>801.105871808073</v>
      </c>
      <c r="AG66" s="7">
        <v>17670.345615483235</v>
      </c>
      <c r="AH66" s="7">
        <v>-110.60183837061847</v>
      </c>
      <c r="AI66" s="7">
        <v>801.105871808073</v>
      </c>
      <c r="AJ66" s="16">
        <f>AD66-AG66</f>
        <v>0</v>
      </c>
      <c r="AK66" s="16">
        <f>SQRT((AE66-AH66)^2+(AF66-AI66)^2)</f>
        <v>0</v>
      </c>
      <c r="AL66" s="7" t="s">
        <v>190</v>
      </c>
      <c r="AM66" s="7">
        <v>17670.345615483235</v>
      </c>
      <c r="AN66" s="7">
        <v>-110.60183837061847</v>
      </c>
      <c r="AO66" s="7">
        <v>801.105871808073</v>
      </c>
      <c r="AP66" s="7">
        <v>15273.405703020671</v>
      </c>
      <c r="AQ66" s="7">
        <v>-86.08168391728933</v>
      </c>
      <c r="AR66" s="7">
        <v>606.8247335743947</v>
      </c>
      <c r="AS66" s="7">
        <v>2396.939912462562</v>
      </c>
      <c r="AT66" s="7">
        <v>-24.52015445332913</v>
      </c>
      <c r="AU66" s="7">
        <v>194.2811382336782</v>
      </c>
    </row>
    <row r="67" spans="1:47" x14ac:dyDescent="0.25">
      <c r="A67" s="7" t="s">
        <v>314</v>
      </c>
      <c r="B67" s="7">
        <v>3</v>
      </c>
      <c r="C67" s="19">
        <v>100</v>
      </c>
      <c r="D67" s="7" t="s">
        <v>315</v>
      </c>
      <c r="E67" s="7" t="s">
        <v>200</v>
      </c>
      <c r="F67" s="20">
        <v>100</v>
      </c>
      <c r="G67" s="7" t="s">
        <v>194</v>
      </c>
      <c r="H67" s="21">
        <v>1.5</v>
      </c>
      <c r="I67" s="11">
        <f>MAX(('Geometry'!$G$13*COS(RADIANS(F67))+'Geometry'!$F$13*SIN(RADIANS(F67))),('Geometry'!$G$14*COS(RADIANS(F67))+'Geometry'!$F$14*SIN(RADIANS(F67))),('Geometry'!$G$15*COS(RADIANS(F67))+'Geometry'!$F$15*SIN(RADIANS(F67))),('Geometry'!$G$16*COS(RADIANS(F67))+'Geometry'!$F$16*SIN(RADIANS(F67))),('Geometry'!$G$17*COS(RADIANS(F67))+'Geometry'!$F$17*SIN(RADIANS(F67))),('Geometry'!$G$18*COS(RADIANS(F67))+'Geometry'!$F$18*SIN(RADIANS(F67))),('Geometry'!$G$19*COS(RADIANS(F67))+'Geometry'!$F$19*SIN(RADIANS(F67))),('Geometry'!$G$20*COS(RADIANS(F67))+'Geometry'!$F$20*SIN(RADIANS(F67))))</f>
        <v>808.0650858259281</v>
      </c>
      <c r="J67" s="11">
        <f>I67-H67*K67</f>
        <v>-1616.1301716518562</v>
      </c>
      <c r="K67" s="11">
        <f>I67-MIN(('Geometry'!$G$13*COS(RADIANS(F67))+'Geometry'!$F$13*SIN(RADIANS(F67))),('Geometry'!$G$14*COS(RADIANS(F67))+'Geometry'!$F$14*SIN(RADIANS(F67))),('Geometry'!$G$15*COS(RADIANS(F67))+'Geometry'!$F$15*SIN(RADIANS(F67))),('Geometry'!$G$16*COS(RADIANS(F67))+'Geometry'!$F$16*SIN(RADIANS(F67))),('Geometry'!$G$17*COS(RADIANS(F67))+'Geometry'!$F$17*SIN(RADIANS(F67))),('Geometry'!$G$18*COS(RADIANS(F67))+'Geometry'!$F$18*SIN(RADIANS(F67))),('Geometry'!$G$19*COS(RADIANS(F67))+'Geometry'!$F$19*SIN(RADIANS(F67))),('Geometry'!$G$20*COS(RADIANS(F67))+'Geometry'!$F$20*SIN(RADIANS(F67))))</f>
        <v>1616.1301716518562</v>
      </c>
      <c r="L67" s="16">
        <f>C_ecu</f>
        <v>0.0032999999999999995</v>
      </c>
      <c r="M67" s="16">
        <f>0</f>
        <v>0</v>
      </c>
      <c r="N67" s="22">
        <f>IF(ABS(I67-J67)&lt;0.000000000001,0,(L67-M67)/(I67-J67))</f>
        <v>0.0000013612764853906333</v>
      </c>
      <c r="O67" s="16">
        <f>L67-N67*I67</f>
        <v>0.0021999999999999997</v>
      </c>
      <c r="P67" s="22">
        <f>N67*COS(RADIANS(F67))</f>
        <v>-2.363831809889272e-7</v>
      </c>
      <c r="Q67" s="22">
        <f>N67*SIN(RADIANS(F67))</f>
        <v>0.0000013405956368059057</v>
      </c>
      <c r="R67" s="11">
        <f>AP67</f>
        <v>15273.405703020671</v>
      </c>
      <c r="S67" s="11">
        <f>AQ67</f>
        <v>-129.12252587593403</v>
      </c>
      <c r="T67" s="11">
        <f>AR67</f>
        <v>910.2371003615922</v>
      </c>
      <c r="U67" s="11">
        <f>AS67</f>
        <v>2396.939912462562</v>
      </c>
      <c r="V67" s="11">
        <f>AT67</f>
        <v>-36.780231679993705</v>
      </c>
      <c r="W67" s="11">
        <f>AU67</f>
        <v>291.42170735051735</v>
      </c>
      <c r="X67" s="11">
        <f>AM67</f>
        <v>17670.345615483235</v>
      </c>
      <c r="Y67" s="11">
        <f>AN67</f>
        <v>-165.90275755592774</v>
      </c>
      <c r="Z67" s="11">
        <f>AO67</f>
        <v>1201.6588077121096</v>
      </c>
      <c r="AA67" s="7">
        <v>1</v>
      </c>
      <c r="AB67" s="7">
        <v>1</v>
      </c>
      <c r="AC67" s="7">
        <v>1</v>
      </c>
      <c r="AD67" s="11">
        <f>X67*AA67</f>
        <v>17670.345615483235</v>
      </c>
      <c r="AE67" s="11">
        <f>Y67*AB67</f>
        <v>-165.90275755592774</v>
      </c>
      <c r="AF67" s="11">
        <f>Z67*AC67</f>
        <v>1201.6588077121096</v>
      </c>
      <c r="AG67" s="7">
        <v>17670.345615483235</v>
      </c>
      <c r="AH67" s="7">
        <v>-165.90275755592774</v>
      </c>
      <c r="AI67" s="7">
        <v>1201.6588077121096</v>
      </c>
      <c r="AJ67" s="16">
        <f>AD67-AG67</f>
        <v>0</v>
      </c>
      <c r="AK67" s="16">
        <f>SQRT((AE67-AH67)^2+(AF67-AI67)^2)</f>
        <v>0</v>
      </c>
      <c r="AL67" s="7" t="s">
        <v>190</v>
      </c>
      <c r="AM67" s="7">
        <v>17670.345615483235</v>
      </c>
      <c r="AN67" s="7">
        <v>-165.90275755592774</v>
      </c>
      <c r="AO67" s="7">
        <v>1201.6588077121096</v>
      </c>
      <c r="AP67" s="7">
        <v>15273.405703020671</v>
      </c>
      <c r="AQ67" s="7">
        <v>-129.12252587593403</v>
      </c>
      <c r="AR67" s="7">
        <v>910.2371003615922</v>
      </c>
      <c r="AS67" s="7">
        <v>2396.939912462562</v>
      </c>
      <c r="AT67" s="7">
        <v>-36.780231679993705</v>
      </c>
      <c r="AU67" s="7">
        <v>291.42170735051735</v>
      </c>
    </row>
    <row r="68" spans="1:47" x14ac:dyDescent="0.25">
      <c r="A68" s="7" t="s">
        <v>316</v>
      </c>
      <c r="B68" s="7">
        <v>4</v>
      </c>
      <c r="C68" s="19">
        <v>100</v>
      </c>
      <c r="D68" s="7" t="s">
        <v>317</v>
      </c>
      <c r="E68" s="7" t="s">
        <v>203</v>
      </c>
      <c r="F68" s="20">
        <v>100</v>
      </c>
      <c r="G68" s="7" t="s">
        <v>194</v>
      </c>
      <c r="H68" s="21">
        <v>1.2</v>
      </c>
      <c r="I68" s="11">
        <f>MAX(('Geometry'!$G$13*COS(RADIANS(F68))+'Geometry'!$F$13*SIN(RADIANS(F68))),('Geometry'!$G$14*COS(RADIANS(F68))+'Geometry'!$F$14*SIN(RADIANS(F68))),('Geometry'!$G$15*COS(RADIANS(F68))+'Geometry'!$F$15*SIN(RADIANS(F68))),('Geometry'!$G$16*COS(RADIANS(F68))+'Geometry'!$F$16*SIN(RADIANS(F68))),('Geometry'!$G$17*COS(RADIANS(F68))+'Geometry'!$F$17*SIN(RADIANS(F68))),('Geometry'!$G$18*COS(RADIANS(F68))+'Geometry'!$F$18*SIN(RADIANS(F68))),('Geometry'!$G$19*COS(RADIANS(F68))+'Geometry'!$F$19*SIN(RADIANS(F68))),('Geometry'!$G$20*COS(RADIANS(F68))+'Geometry'!$F$20*SIN(RADIANS(F68))))</f>
        <v>808.0650858259281</v>
      </c>
      <c r="J68" s="11">
        <f>I68-H68*K68</f>
        <v>-1131.2911201562995</v>
      </c>
      <c r="K68" s="11">
        <f>I68-MIN(('Geometry'!$G$13*COS(RADIANS(F68))+'Geometry'!$F$13*SIN(RADIANS(F68))),('Geometry'!$G$14*COS(RADIANS(F68))+'Geometry'!$F$14*SIN(RADIANS(F68))),('Geometry'!$G$15*COS(RADIANS(F68))+'Geometry'!$F$15*SIN(RADIANS(F68))),('Geometry'!$G$16*COS(RADIANS(F68))+'Geometry'!$F$16*SIN(RADIANS(F68))),('Geometry'!$G$17*COS(RADIANS(F68))+'Geometry'!$F$17*SIN(RADIANS(F68))),('Geometry'!$G$18*COS(RADIANS(F68))+'Geometry'!$F$18*SIN(RADIANS(F68))),('Geometry'!$G$19*COS(RADIANS(F68))+'Geometry'!$F$19*SIN(RADIANS(F68))),('Geometry'!$G$20*COS(RADIANS(F68))+'Geometry'!$F$20*SIN(RADIANS(F68))))</f>
        <v>1616.1301716518562</v>
      </c>
      <c r="L68" s="16">
        <f>C_ecu</f>
        <v>0.0033</v>
      </c>
      <c r="M68" s="16">
        <f>0</f>
        <v>0</v>
      </c>
      <c r="N68" s="22">
        <f>IF(ABS(I68-J68)&lt;0.000000000001,0,(L68-M68)/(I68-J68))</f>
        <v>0.0000017015956067382918</v>
      </c>
      <c r="O68" s="16">
        <f>L68-N68*I68</f>
        <v>0.001925</v>
      </c>
      <c r="P68" s="22">
        <f>N68*COS(RADIANS(F68))</f>
        <v>-2.9547897623615897e-7</v>
      </c>
      <c r="Q68" s="22">
        <f>N68*SIN(RADIANS(F68))</f>
        <v>0.000001675744546007382</v>
      </c>
      <c r="R68" s="11">
        <f>AP68</f>
        <v>15273.405703020671</v>
      </c>
      <c r="S68" s="11">
        <f>AQ68</f>
        <v>-172.16336783457865</v>
      </c>
      <c r="T68" s="11">
        <f>AR68</f>
        <v>1213.6494671487894</v>
      </c>
      <c r="U68" s="11">
        <f>AS68</f>
        <v>2396.939912462562</v>
      </c>
      <c r="V68" s="11">
        <f>AT68</f>
        <v>-49.04030890665826</v>
      </c>
      <c r="W68" s="11">
        <f>AU68</f>
        <v>388.5622764673564</v>
      </c>
      <c r="X68" s="11">
        <f>AM68</f>
        <v>17670.345615483235</v>
      </c>
      <c r="Y68" s="11">
        <f>AN68</f>
        <v>-221.20367674123693</v>
      </c>
      <c r="Z68" s="11">
        <f>AO68</f>
        <v>1602.211743616146</v>
      </c>
      <c r="AA68" s="7">
        <v>1</v>
      </c>
      <c r="AB68" s="7">
        <v>1</v>
      </c>
      <c r="AC68" s="7">
        <v>1</v>
      </c>
      <c r="AD68" s="11">
        <f>X68*AA68</f>
        <v>17670.345615483235</v>
      </c>
      <c r="AE68" s="11">
        <f>Y68*AB68</f>
        <v>-221.20367674123693</v>
      </c>
      <c r="AF68" s="11">
        <f>Z68*AC68</f>
        <v>1602.211743616146</v>
      </c>
      <c r="AG68" s="7">
        <v>17670.345615483235</v>
      </c>
      <c r="AH68" s="7">
        <v>-221.20367674123693</v>
      </c>
      <c r="AI68" s="7">
        <v>1602.211743616146</v>
      </c>
      <c r="AJ68" s="16">
        <f>AD68-AG68</f>
        <v>0</v>
      </c>
      <c r="AK68" s="16">
        <f>SQRT((AE68-AH68)^2+(AF68-AI68)^2)</f>
        <v>0</v>
      </c>
      <c r="AL68" s="7" t="s">
        <v>190</v>
      </c>
      <c r="AM68" s="7">
        <v>17670.345615483235</v>
      </c>
      <c r="AN68" s="7">
        <v>-221.20367674123693</v>
      </c>
      <c r="AO68" s="7">
        <v>1602.211743616146</v>
      </c>
      <c r="AP68" s="7">
        <v>15273.405703020671</v>
      </c>
      <c r="AQ68" s="7">
        <v>-172.16336783457865</v>
      </c>
      <c r="AR68" s="7">
        <v>1213.6494671487894</v>
      </c>
      <c r="AS68" s="7">
        <v>2396.939912462562</v>
      </c>
      <c r="AT68" s="7">
        <v>-49.04030890665826</v>
      </c>
      <c r="AU68" s="7">
        <v>388.5622764673564</v>
      </c>
    </row>
    <row r="69" spans="1:47" x14ac:dyDescent="0.25">
      <c r="A69" s="7" t="s">
        <v>318</v>
      </c>
      <c r="B69" s="7">
        <v>5</v>
      </c>
      <c r="C69" s="19">
        <v>100</v>
      </c>
      <c r="D69" s="7" t="s">
        <v>319</v>
      </c>
      <c r="E69" s="7" t="s">
        <v>206</v>
      </c>
      <c r="F69" s="20">
        <v>100</v>
      </c>
      <c r="G69" s="7" t="s">
        <v>194</v>
      </c>
      <c r="H69" s="21">
        <v>1.1000000000000003</v>
      </c>
      <c r="I69" s="11">
        <f>MAX(('Geometry'!$G$13*COS(RADIANS(F69))+'Geometry'!$F$13*SIN(RADIANS(F69))),('Geometry'!$G$14*COS(RADIANS(F69))+'Geometry'!$F$14*SIN(RADIANS(F69))),('Geometry'!$G$15*COS(RADIANS(F69))+'Geometry'!$F$15*SIN(RADIANS(F69))),('Geometry'!$G$16*COS(RADIANS(F69))+'Geometry'!$F$16*SIN(RADIANS(F69))),('Geometry'!$G$17*COS(RADIANS(F69))+'Geometry'!$F$17*SIN(RADIANS(F69))),('Geometry'!$G$18*COS(RADIANS(F69))+'Geometry'!$F$18*SIN(RADIANS(F69))),('Geometry'!$G$19*COS(RADIANS(F69))+'Geometry'!$F$19*SIN(RADIANS(F69))),('Geometry'!$G$20*COS(RADIANS(F69))+'Geometry'!$F$20*SIN(RADIANS(F69))))</f>
        <v>808.0650858259281</v>
      </c>
      <c r="J69" s="11">
        <f>I69-H69*K69</f>
        <v>-969.678102991114</v>
      </c>
      <c r="K69" s="11">
        <f>I69-MIN(('Geometry'!$G$13*COS(RADIANS(F69))+'Geometry'!$F$13*SIN(RADIANS(F69))),('Geometry'!$G$14*COS(RADIANS(F69))+'Geometry'!$F$14*SIN(RADIANS(F69))),('Geometry'!$G$15*COS(RADIANS(F69))+'Geometry'!$F$15*SIN(RADIANS(F69))),('Geometry'!$G$16*COS(RADIANS(F69))+'Geometry'!$F$16*SIN(RADIANS(F69))),('Geometry'!$G$17*COS(RADIANS(F69))+'Geometry'!$F$17*SIN(RADIANS(F69))),('Geometry'!$G$18*COS(RADIANS(F69))+'Geometry'!$F$18*SIN(RADIANS(F69))),('Geometry'!$G$19*COS(RADIANS(F69))+'Geometry'!$F$19*SIN(RADIANS(F69))),('Geometry'!$G$20*COS(RADIANS(F69))+'Geometry'!$F$20*SIN(RADIANS(F69))))</f>
        <v>1616.1301716518562</v>
      </c>
      <c r="L69" s="16">
        <f>C_ecu</f>
        <v>0.0033</v>
      </c>
      <c r="M69" s="16">
        <f>0</f>
        <v>0</v>
      </c>
      <c r="N69" s="22">
        <f>IF(ABS(I69-J69)&lt;0.000000000001,0,(L69-M69)/(I69-J69))</f>
        <v>0.0000018562861164417725</v>
      </c>
      <c r="O69" s="16">
        <f>L69-N69*I69</f>
        <v>0.0018000000000000002</v>
      </c>
      <c r="P69" s="22">
        <f>N69*COS(RADIANS(F69))</f>
        <v>-3.22340701348537e-7</v>
      </c>
      <c r="Q69" s="22">
        <f>N69*SIN(RADIANS(F69))</f>
        <v>0.00000182808495928078</v>
      </c>
      <c r="R69" s="11">
        <f>AP69</f>
        <v>15273.405703020671</v>
      </c>
      <c r="S69" s="11">
        <f>AQ69</f>
        <v>-215.20420979322336</v>
      </c>
      <c r="T69" s="11">
        <f>AR69</f>
        <v>1517.061833935987</v>
      </c>
      <c r="U69" s="11">
        <f>AS69</f>
        <v>2396.939912462562</v>
      </c>
      <c r="V69" s="11">
        <f>AT69</f>
        <v>-61.30038613332283</v>
      </c>
      <c r="W69" s="11">
        <f>AU69</f>
        <v>485.70284558419553</v>
      </c>
      <c r="X69" s="11">
        <f>AM69</f>
        <v>17670.345615483235</v>
      </c>
      <c r="Y69" s="11">
        <f>AN69</f>
        <v>-276.50459592654613</v>
      </c>
      <c r="Z69" s="11">
        <f>AO69</f>
        <v>2002.7646795201827</v>
      </c>
      <c r="AA69" s="7">
        <v>1</v>
      </c>
      <c r="AB69" s="7">
        <v>1</v>
      </c>
      <c r="AC69" s="7">
        <v>1</v>
      </c>
      <c r="AD69" s="11">
        <f>X69*AA69</f>
        <v>17670.345615483235</v>
      </c>
      <c r="AE69" s="11">
        <f>Y69*AB69</f>
        <v>-276.50459592654613</v>
      </c>
      <c r="AF69" s="11">
        <f>Z69*AC69</f>
        <v>2002.7646795201827</v>
      </c>
      <c r="AG69" s="7">
        <v>17670.345615483235</v>
      </c>
      <c r="AH69" s="7">
        <v>-276.50459592654613</v>
      </c>
      <c r="AI69" s="7">
        <v>2002.7646795201827</v>
      </c>
      <c r="AJ69" s="16">
        <f>AD69-AG69</f>
        <v>0</v>
      </c>
      <c r="AK69" s="16">
        <f>SQRT((AE69-AH69)^2+(AF69-AI69)^2)</f>
        <v>0</v>
      </c>
      <c r="AL69" s="7" t="s">
        <v>190</v>
      </c>
      <c r="AM69" s="7">
        <v>17670.345615483235</v>
      </c>
      <c r="AN69" s="7">
        <v>-276.50459592654613</v>
      </c>
      <c r="AO69" s="7">
        <v>2002.7646795201827</v>
      </c>
      <c r="AP69" s="7">
        <v>15273.405703020671</v>
      </c>
      <c r="AQ69" s="7">
        <v>-215.20420979322336</v>
      </c>
      <c r="AR69" s="7">
        <v>1517.061833935987</v>
      </c>
      <c r="AS69" s="7">
        <v>2396.939912462562</v>
      </c>
      <c r="AT69" s="7">
        <v>-61.30038613332283</v>
      </c>
      <c r="AU69" s="7">
        <v>485.70284558419553</v>
      </c>
    </row>
    <row r="70" spans="1:47" x14ac:dyDescent="0.25">
      <c r="A70" s="7" t="s">
        <v>320</v>
      </c>
      <c r="B70" s="7">
        <v>1</v>
      </c>
      <c r="C70" s="19">
        <v>110</v>
      </c>
      <c r="D70" s="7" t="s">
        <v>321</v>
      </c>
      <c r="E70" s="7" t="s">
        <v>193</v>
      </c>
      <c r="F70" s="20">
        <v>110</v>
      </c>
      <c r="G70" s="7" t="s">
        <v>194</v>
      </c>
      <c r="H70" s="21">
        <v>3</v>
      </c>
      <c r="I70" s="11">
        <f>MAX(('Geometry'!$G$13*COS(RADIANS(F70))+'Geometry'!$F$13*SIN(RADIANS(F70))),('Geometry'!$G$14*COS(RADIANS(F70))+'Geometry'!$F$14*SIN(RADIANS(F70))),('Geometry'!$G$15*COS(RADIANS(F70))+'Geometry'!$F$15*SIN(RADIANS(F70))),('Geometry'!$G$16*COS(RADIANS(F70))+'Geometry'!$F$16*SIN(RADIANS(F70))),('Geometry'!$G$17*COS(RADIANS(F70))+'Geometry'!$F$17*SIN(RADIANS(F70))),('Geometry'!$G$18*COS(RADIANS(F70))+'Geometry'!$F$18*SIN(RADIANS(F70))),('Geometry'!$G$19*COS(RADIANS(F70))+'Geometry'!$F$19*SIN(RADIANS(F70))),('Geometry'!$G$20*COS(RADIANS(F70))+'Geometry'!$F$20*SIN(RADIANS(F70))))</f>
        <v>841.5775229196988</v>
      </c>
      <c r="J70" s="11">
        <f>I70-H70*K70</f>
        <v>-4207.887614598494</v>
      </c>
      <c r="K70" s="11">
        <f>I70-MIN(('Geometry'!$G$13*COS(RADIANS(F70))+'Geometry'!$F$13*SIN(RADIANS(F70))),('Geometry'!$G$14*COS(RADIANS(F70))+'Geometry'!$F$14*SIN(RADIANS(F70))),('Geometry'!$G$15*COS(RADIANS(F70))+'Geometry'!$F$15*SIN(RADIANS(F70))),('Geometry'!$G$16*COS(RADIANS(F70))+'Geometry'!$F$16*SIN(RADIANS(F70))),('Geometry'!$G$17*COS(RADIANS(F70))+'Geometry'!$F$17*SIN(RADIANS(F70))),('Geometry'!$G$18*COS(RADIANS(F70))+'Geometry'!$F$18*SIN(RADIANS(F70))),('Geometry'!$G$19*COS(RADIANS(F70))+'Geometry'!$F$19*SIN(RADIANS(F70))),('Geometry'!$G$20*COS(RADIANS(F70))+'Geometry'!$F$20*SIN(RADIANS(F70))))</f>
        <v>1683.1550458393976</v>
      </c>
      <c r="L70" s="16">
        <f>C_ecu</f>
        <v>0.0033</v>
      </c>
      <c r="M70" s="16">
        <f>0</f>
        <v>0</v>
      </c>
      <c r="N70" s="22">
        <f>IF(ABS(I70-J70)&lt;0.000000000001,0,(L70-M70)/(I70-J70))</f>
        <v>6.535345645780508e-7</v>
      </c>
      <c r="O70" s="16">
        <f>L70-N70*I70</f>
        <v>0.00275</v>
      </c>
      <c r="P70" s="22">
        <f>N70*COS(RADIANS(F70))</f>
        <v>-2.2352198544526334e-7</v>
      </c>
      <c r="Q70" s="22">
        <f>N70*SIN(RADIANS(F70))</f>
        <v>6.141216077625262e-7</v>
      </c>
      <c r="R70" s="11">
        <f>AP70</f>
        <v>15276.893497392042</v>
      </c>
      <c r="S70" s="11">
        <f>AQ70</f>
        <v>-79.98404592549073</v>
      </c>
      <c r="T70" s="11">
        <f>AR70</f>
        <v>278.1106870093745</v>
      </c>
      <c r="U70" s="11">
        <f>AS70</f>
        <v>2393.4521180911925</v>
      </c>
      <c r="V70" s="11">
        <f>AT70</f>
        <v>-23.71269593732325</v>
      </c>
      <c r="W70" s="11">
        <f>AU70</f>
        <v>89.58181799736968</v>
      </c>
      <c r="X70" s="11">
        <f>AM70</f>
        <v>17670.345615483235</v>
      </c>
      <c r="Y70" s="11">
        <f>AN70</f>
        <v>-103.696741862814</v>
      </c>
      <c r="Z70" s="11">
        <f>AO70</f>
        <v>367.6925050067442</v>
      </c>
      <c r="AA70" s="7">
        <v>1</v>
      </c>
      <c r="AB70" s="7">
        <v>1</v>
      </c>
      <c r="AC70" s="7">
        <v>1</v>
      </c>
      <c r="AD70" s="11">
        <f>X70*AA70</f>
        <v>17670.345615483235</v>
      </c>
      <c r="AE70" s="11">
        <f>Y70*AB70</f>
        <v>-103.696741862814</v>
      </c>
      <c r="AF70" s="11">
        <f>Z70*AC70</f>
        <v>367.6925050067442</v>
      </c>
      <c r="AG70" s="7">
        <v>17670.345615483235</v>
      </c>
      <c r="AH70" s="7">
        <v>-103.696741862814</v>
      </c>
      <c r="AI70" s="7">
        <v>367.6925050067442</v>
      </c>
      <c r="AJ70" s="16">
        <f>AD70-AG70</f>
        <v>0</v>
      </c>
      <c r="AK70" s="16">
        <f>SQRT((AE70-AH70)^2+(AF70-AI70)^2)</f>
        <v>0</v>
      </c>
      <c r="AL70" s="7" t="s">
        <v>190</v>
      </c>
      <c r="AM70" s="7">
        <v>17670.345615483235</v>
      </c>
      <c r="AN70" s="7">
        <v>-103.696741862814</v>
      </c>
      <c r="AO70" s="7">
        <v>367.6925050067442</v>
      </c>
      <c r="AP70" s="7">
        <v>15276.893497392042</v>
      </c>
      <c r="AQ70" s="7">
        <v>-79.98404592549073</v>
      </c>
      <c r="AR70" s="7">
        <v>278.1106870093745</v>
      </c>
      <c r="AS70" s="7">
        <v>2393.4521180911925</v>
      </c>
      <c r="AT70" s="7">
        <v>-23.71269593732325</v>
      </c>
      <c r="AU70" s="7">
        <v>89.58181799736968</v>
      </c>
    </row>
    <row r="71" spans="1:47" x14ac:dyDescent="0.25">
      <c r="A71" s="7" t="s">
        <v>322</v>
      </c>
      <c r="B71" s="7">
        <v>2</v>
      </c>
      <c r="C71" s="19">
        <v>110</v>
      </c>
      <c r="D71" s="7" t="s">
        <v>323</v>
      </c>
      <c r="E71" s="7" t="s">
        <v>197</v>
      </c>
      <c r="F71" s="20">
        <v>110</v>
      </c>
      <c r="G71" s="7" t="s">
        <v>194</v>
      </c>
      <c r="H71" s="21">
        <v>1.9999999999999998</v>
      </c>
      <c r="I71" s="11">
        <f>MAX(('Geometry'!$G$13*COS(RADIANS(F71))+'Geometry'!$F$13*SIN(RADIANS(F71))),('Geometry'!$G$14*COS(RADIANS(F71))+'Geometry'!$F$14*SIN(RADIANS(F71))),('Geometry'!$G$15*COS(RADIANS(F71))+'Geometry'!$F$15*SIN(RADIANS(F71))),('Geometry'!$G$16*COS(RADIANS(F71))+'Geometry'!$F$16*SIN(RADIANS(F71))),('Geometry'!$G$17*COS(RADIANS(F71))+'Geometry'!$F$17*SIN(RADIANS(F71))),('Geometry'!$G$18*COS(RADIANS(F71))+'Geometry'!$F$18*SIN(RADIANS(F71))),('Geometry'!$G$19*COS(RADIANS(F71))+'Geometry'!$F$19*SIN(RADIANS(F71))),('Geometry'!$G$20*COS(RADIANS(F71))+'Geometry'!$F$20*SIN(RADIANS(F71))))</f>
        <v>841.5775229196988</v>
      </c>
      <c r="J71" s="11">
        <f>I71-H71*K71</f>
        <v>-2524.732568759096</v>
      </c>
      <c r="K71" s="11">
        <f>I71-MIN(('Geometry'!$G$13*COS(RADIANS(F71))+'Geometry'!$F$13*SIN(RADIANS(F71))),('Geometry'!$G$14*COS(RADIANS(F71))+'Geometry'!$F$14*SIN(RADIANS(F71))),('Geometry'!$G$15*COS(RADIANS(F71))+'Geometry'!$F$15*SIN(RADIANS(F71))),('Geometry'!$G$16*COS(RADIANS(F71))+'Geometry'!$F$16*SIN(RADIANS(F71))),('Geometry'!$G$17*COS(RADIANS(F71))+'Geometry'!$F$17*SIN(RADIANS(F71))),('Geometry'!$G$18*COS(RADIANS(F71))+'Geometry'!$F$18*SIN(RADIANS(F71))),('Geometry'!$G$19*COS(RADIANS(F71))+'Geometry'!$F$19*SIN(RADIANS(F71))),('Geometry'!$G$20*COS(RADIANS(F71))+'Geometry'!$F$20*SIN(RADIANS(F71))))</f>
        <v>1683.1550458393976</v>
      </c>
      <c r="L71" s="16">
        <f>C_ecu</f>
        <v>0.0033</v>
      </c>
      <c r="M71" s="16">
        <f>0</f>
        <v>0</v>
      </c>
      <c r="N71" s="22">
        <f>IF(ABS(I71-J71)&lt;0.000000000001,0,(L71-M71)/(I71-J71))</f>
        <v>9.803018468670764e-7</v>
      </c>
      <c r="O71" s="16">
        <f>L71-N71*I71</f>
        <v>0.0024749999999999998</v>
      </c>
      <c r="P71" s="22">
        <f>N71*COS(RADIANS(F71))</f>
        <v>-3.35282978167895e-7</v>
      </c>
      <c r="Q71" s="22">
        <f>N71*SIN(RADIANS(F71))</f>
        <v>9.211824116437893e-7</v>
      </c>
      <c r="R71" s="11">
        <f>AP71</f>
        <v>15276.893497392042</v>
      </c>
      <c r="S71" s="11">
        <f>AQ71</f>
        <v>-159.96809185098147</v>
      </c>
      <c r="T71" s="11">
        <f>AR71</f>
        <v>556.221374018749</v>
      </c>
      <c r="U71" s="11">
        <f>AS71</f>
        <v>2393.4521180911925</v>
      </c>
      <c r="V71" s="11">
        <f>AT71</f>
        <v>-47.4253918746465</v>
      </c>
      <c r="W71" s="11">
        <f>AU71</f>
        <v>179.16363599473937</v>
      </c>
      <c r="X71" s="11">
        <f>AM71</f>
        <v>17670.345615483235</v>
      </c>
      <c r="Y71" s="11">
        <f>AN71</f>
        <v>-207.393483725628</v>
      </c>
      <c r="Z71" s="11">
        <f>AO71</f>
        <v>735.3850100134885</v>
      </c>
      <c r="AA71" s="7">
        <v>1</v>
      </c>
      <c r="AB71" s="7">
        <v>1</v>
      </c>
      <c r="AC71" s="7">
        <v>1</v>
      </c>
      <c r="AD71" s="11">
        <f>X71*AA71</f>
        <v>17670.345615483235</v>
      </c>
      <c r="AE71" s="11">
        <f>Y71*AB71</f>
        <v>-207.393483725628</v>
      </c>
      <c r="AF71" s="11">
        <f>Z71*AC71</f>
        <v>735.3850100134885</v>
      </c>
      <c r="AG71" s="7">
        <v>17670.345615483235</v>
      </c>
      <c r="AH71" s="7">
        <v>-207.393483725628</v>
      </c>
      <c r="AI71" s="7">
        <v>735.3850100134885</v>
      </c>
      <c r="AJ71" s="16">
        <f>AD71-AG71</f>
        <v>0</v>
      </c>
      <c r="AK71" s="16">
        <f>SQRT((AE71-AH71)^2+(AF71-AI71)^2)</f>
        <v>0</v>
      </c>
      <c r="AL71" s="7" t="s">
        <v>190</v>
      </c>
      <c r="AM71" s="7">
        <v>17670.345615483235</v>
      </c>
      <c r="AN71" s="7">
        <v>-207.393483725628</v>
      </c>
      <c r="AO71" s="7">
        <v>735.3850100134885</v>
      </c>
      <c r="AP71" s="7">
        <v>15276.893497392042</v>
      </c>
      <c r="AQ71" s="7">
        <v>-159.96809185098147</v>
      </c>
      <c r="AR71" s="7">
        <v>556.221374018749</v>
      </c>
      <c r="AS71" s="7">
        <v>2393.4521180911925</v>
      </c>
      <c r="AT71" s="7">
        <v>-47.4253918746465</v>
      </c>
      <c r="AU71" s="7">
        <v>179.16363599473937</v>
      </c>
    </row>
    <row r="72" spans="1:47" x14ac:dyDescent="0.25">
      <c r="A72" s="7" t="s">
        <v>324</v>
      </c>
      <c r="B72" s="7">
        <v>3</v>
      </c>
      <c r="C72" s="19">
        <v>110</v>
      </c>
      <c r="D72" s="7" t="s">
        <v>325</v>
      </c>
      <c r="E72" s="7" t="s">
        <v>203</v>
      </c>
      <c r="F72" s="20">
        <v>110</v>
      </c>
      <c r="G72" s="7" t="s">
        <v>194</v>
      </c>
      <c r="H72" s="21">
        <v>1.2</v>
      </c>
      <c r="I72" s="11">
        <f>MAX(('Geometry'!$G$13*COS(RADIANS(F72))+'Geometry'!$F$13*SIN(RADIANS(F72))),('Geometry'!$G$14*COS(RADIANS(F72))+'Geometry'!$F$14*SIN(RADIANS(F72))),('Geometry'!$G$15*COS(RADIANS(F72))+'Geometry'!$F$15*SIN(RADIANS(F72))),('Geometry'!$G$16*COS(RADIANS(F72))+'Geometry'!$F$16*SIN(RADIANS(F72))),('Geometry'!$G$17*COS(RADIANS(F72))+'Geometry'!$F$17*SIN(RADIANS(F72))),('Geometry'!$G$18*COS(RADIANS(F72))+'Geometry'!$F$18*SIN(RADIANS(F72))),('Geometry'!$G$19*COS(RADIANS(F72))+'Geometry'!$F$19*SIN(RADIANS(F72))),('Geometry'!$G$20*COS(RADIANS(F72))+'Geometry'!$F$20*SIN(RADIANS(F72))))</f>
        <v>841.5775229196988</v>
      </c>
      <c r="J72" s="11">
        <f>I72-H72*K72</f>
        <v>-1178.2085320875783</v>
      </c>
      <c r="K72" s="11">
        <f>I72-MIN(('Geometry'!$G$13*COS(RADIANS(F72))+'Geometry'!$F$13*SIN(RADIANS(F72))),('Geometry'!$G$14*COS(RADIANS(F72))+'Geometry'!$F$14*SIN(RADIANS(F72))),('Geometry'!$G$15*COS(RADIANS(F72))+'Geometry'!$F$15*SIN(RADIANS(F72))),('Geometry'!$G$16*COS(RADIANS(F72))+'Geometry'!$F$16*SIN(RADIANS(F72))),('Geometry'!$G$17*COS(RADIANS(F72))+'Geometry'!$F$17*SIN(RADIANS(F72))),('Geometry'!$G$18*COS(RADIANS(F72))+'Geometry'!$F$18*SIN(RADIANS(F72))),('Geometry'!$G$19*COS(RADIANS(F72))+'Geometry'!$F$19*SIN(RADIANS(F72))),('Geometry'!$G$20*COS(RADIANS(F72))+'Geometry'!$F$20*SIN(RADIANS(F72))))</f>
        <v>1683.1550458393976</v>
      </c>
      <c r="L72" s="16">
        <f>C_ecu</f>
        <v>0.0033</v>
      </c>
      <c r="M72" s="16">
        <f>0</f>
        <v>0</v>
      </c>
      <c r="N72" s="22">
        <f>IF(ABS(I72-J72)&lt;0.000000000001,0,(L72-M72)/(I72-J72))</f>
        <v>0.0000016338364114451274</v>
      </c>
      <c r="O72" s="16">
        <f>L72-N72*I72</f>
        <v>0.001925</v>
      </c>
      <c r="P72" s="22">
        <f>N72*COS(RADIANS(F72))</f>
        <v>-5.588049636131583e-7</v>
      </c>
      <c r="Q72" s="22">
        <f>N72*SIN(RADIANS(F72))</f>
        <v>0.0000015353040194063156</v>
      </c>
      <c r="R72" s="11">
        <f>AP72</f>
        <v>15276.893497392042</v>
      </c>
      <c r="S72" s="11">
        <f>AQ72</f>
        <v>-319.93618370196293</v>
      </c>
      <c r="T72" s="11">
        <f>AR72</f>
        <v>1112.442748037498</v>
      </c>
      <c r="U72" s="11">
        <f>AS72</f>
        <v>2393.4521180911925</v>
      </c>
      <c r="V72" s="11">
        <f>AT72</f>
        <v>-94.850783749293</v>
      </c>
      <c r="W72" s="11">
        <f>AU72</f>
        <v>358.32727198947873</v>
      </c>
      <c r="X72" s="11">
        <f>AM72</f>
        <v>17670.345615483235</v>
      </c>
      <c r="Y72" s="11">
        <f>AN72</f>
        <v>-414.786967451256</v>
      </c>
      <c r="Z72" s="11">
        <f>AO72</f>
        <v>1470.770020026977</v>
      </c>
      <c r="AA72" s="7">
        <v>1</v>
      </c>
      <c r="AB72" s="7">
        <v>1</v>
      </c>
      <c r="AC72" s="7">
        <v>1</v>
      </c>
      <c r="AD72" s="11">
        <f>X72*AA72</f>
        <v>17670.345615483235</v>
      </c>
      <c r="AE72" s="11">
        <f>Y72*AB72</f>
        <v>-414.786967451256</v>
      </c>
      <c r="AF72" s="11">
        <f>Z72*AC72</f>
        <v>1470.770020026977</v>
      </c>
      <c r="AG72" s="7">
        <v>17670.345615483235</v>
      </c>
      <c r="AH72" s="7">
        <v>-414.786967451256</v>
      </c>
      <c r="AI72" s="7">
        <v>1470.770020026977</v>
      </c>
      <c r="AJ72" s="16">
        <f>AD72-AG72</f>
        <v>0</v>
      </c>
      <c r="AK72" s="16">
        <f>SQRT((AE72-AH72)^2+(AF72-AI72)^2)</f>
        <v>0</v>
      </c>
      <c r="AL72" s="7" t="s">
        <v>190</v>
      </c>
      <c r="AM72" s="7">
        <v>17670.345615483235</v>
      </c>
      <c r="AN72" s="7">
        <v>-414.786967451256</v>
      </c>
      <c r="AO72" s="7">
        <v>1470.770020026977</v>
      </c>
      <c r="AP72" s="7">
        <v>15276.893497392042</v>
      </c>
      <c r="AQ72" s="7">
        <v>-319.93618370196293</v>
      </c>
      <c r="AR72" s="7">
        <v>1112.442748037498</v>
      </c>
      <c r="AS72" s="7">
        <v>2393.4521180911925</v>
      </c>
      <c r="AT72" s="7">
        <v>-94.850783749293</v>
      </c>
      <c r="AU72" s="7">
        <v>358.32727198947873</v>
      </c>
    </row>
    <row r="73" spans="1:47" x14ac:dyDescent="0.25">
      <c r="A73" s="7" t="s">
        <v>326</v>
      </c>
      <c r="B73" s="7">
        <v>4</v>
      </c>
      <c r="C73" s="19">
        <v>110</v>
      </c>
      <c r="D73" s="7" t="s">
        <v>327</v>
      </c>
      <c r="E73" s="7" t="s">
        <v>206</v>
      </c>
      <c r="F73" s="20">
        <v>110</v>
      </c>
      <c r="G73" s="7" t="s">
        <v>194</v>
      </c>
      <c r="H73" s="21">
        <v>1.1</v>
      </c>
      <c r="I73" s="11">
        <f>MAX(('Geometry'!$G$13*COS(RADIANS(F73))+'Geometry'!$F$13*SIN(RADIANS(F73))),('Geometry'!$G$14*COS(RADIANS(F73))+'Geometry'!$F$14*SIN(RADIANS(F73))),('Geometry'!$G$15*COS(RADIANS(F73))+'Geometry'!$F$15*SIN(RADIANS(F73))),('Geometry'!$G$16*COS(RADIANS(F73))+'Geometry'!$F$16*SIN(RADIANS(F73))),('Geometry'!$G$17*COS(RADIANS(F73))+'Geometry'!$F$17*SIN(RADIANS(F73))),('Geometry'!$G$18*COS(RADIANS(F73))+'Geometry'!$F$18*SIN(RADIANS(F73))),('Geometry'!$G$19*COS(RADIANS(F73))+'Geometry'!$F$19*SIN(RADIANS(F73))),('Geometry'!$G$20*COS(RADIANS(F73))+'Geometry'!$F$20*SIN(RADIANS(F73))))</f>
        <v>841.5775229196988</v>
      </c>
      <c r="J73" s="11">
        <f>I73-H73*K73</f>
        <v>-1009.8930275036386</v>
      </c>
      <c r="K73" s="11">
        <f>I73-MIN(('Geometry'!$G$13*COS(RADIANS(F73))+'Geometry'!$F$13*SIN(RADIANS(F73))),('Geometry'!$G$14*COS(RADIANS(F73))+'Geometry'!$F$14*SIN(RADIANS(F73))),('Geometry'!$G$15*COS(RADIANS(F73))+'Geometry'!$F$15*SIN(RADIANS(F73))),('Geometry'!$G$16*COS(RADIANS(F73))+'Geometry'!$F$16*SIN(RADIANS(F73))),('Geometry'!$G$17*COS(RADIANS(F73))+'Geometry'!$F$17*SIN(RADIANS(F73))),('Geometry'!$G$18*COS(RADIANS(F73))+'Geometry'!$F$18*SIN(RADIANS(F73))),('Geometry'!$G$19*COS(RADIANS(F73))+'Geometry'!$F$19*SIN(RADIANS(F73))),('Geometry'!$G$20*COS(RADIANS(F73))+'Geometry'!$F$20*SIN(RADIANS(F73))))</f>
        <v>1683.1550458393976</v>
      </c>
      <c r="L73" s="16">
        <f>C_ecu</f>
        <v>0.0033</v>
      </c>
      <c r="M73" s="16">
        <f>0</f>
        <v>0</v>
      </c>
      <c r="N73" s="22">
        <f>IF(ABS(I73-J73)&lt;0.000000000001,0,(L73-M73)/(I73-J73))</f>
        <v>0.0000017823669943037752</v>
      </c>
      <c r="O73" s="16">
        <f>L73-N73*I73</f>
        <v>0.0018000000000000002</v>
      </c>
      <c r="P73" s="22">
        <f>N73*COS(RADIANS(F73))</f>
        <v>-6.096054148507182e-7</v>
      </c>
      <c r="Q73" s="22">
        <f>N73*SIN(RADIANS(F73))</f>
        <v>0.0000016748771120796169</v>
      </c>
      <c r="R73" s="11">
        <f>AP73</f>
        <v>15276.893497392042</v>
      </c>
      <c r="S73" s="11">
        <f>AQ73</f>
        <v>-399.9202296274537</v>
      </c>
      <c r="T73" s="11">
        <f>AR73</f>
        <v>1390.5534350468727</v>
      </c>
      <c r="U73" s="11">
        <f>AS73</f>
        <v>2393.4521180911925</v>
      </c>
      <c r="V73" s="11">
        <f>AT73</f>
        <v>-118.56347968661626</v>
      </c>
      <c r="W73" s="11">
        <f>AU73</f>
        <v>447.9090899868484</v>
      </c>
      <c r="X73" s="11">
        <f>AM73</f>
        <v>17670.345615483235</v>
      </c>
      <c r="Y73" s="11">
        <f>AN73</f>
        <v>-518.48370931407</v>
      </c>
      <c r="Z73" s="11">
        <f>AO73</f>
        <v>1838.462525033721</v>
      </c>
      <c r="AA73" s="7">
        <v>1</v>
      </c>
      <c r="AB73" s="7">
        <v>1</v>
      </c>
      <c r="AC73" s="7">
        <v>1</v>
      </c>
      <c r="AD73" s="11">
        <f>X73*AA73</f>
        <v>17670.345615483235</v>
      </c>
      <c r="AE73" s="11">
        <f>Y73*AB73</f>
        <v>-518.48370931407</v>
      </c>
      <c r="AF73" s="11">
        <f>Z73*AC73</f>
        <v>1838.462525033721</v>
      </c>
      <c r="AG73" s="7">
        <v>17670.345615483235</v>
      </c>
      <c r="AH73" s="7">
        <v>-518.48370931407</v>
      </c>
      <c r="AI73" s="7">
        <v>1838.462525033721</v>
      </c>
      <c r="AJ73" s="16">
        <f>AD73-AG73</f>
        <v>0</v>
      </c>
      <c r="AK73" s="16">
        <f>SQRT((AE73-AH73)^2+(AF73-AI73)^2)</f>
        <v>0</v>
      </c>
      <c r="AL73" s="7" t="s">
        <v>190</v>
      </c>
      <c r="AM73" s="7">
        <v>17670.345615483235</v>
      </c>
      <c r="AN73" s="7">
        <v>-518.48370931407</v>
      </c>
      <c r="AO73" s="7">
        <v>1838.462525033721</v>
      </c>
      <c r="AP73" s="7">
        <v>15276.893497392042</v>
      </c>
      <c r="AQ73" s="7">
        <v>-399.9202296274537</v>
      </c>
      <c r="AR73" s="7">
        <v>1390.5534350468727</v>
      </c>
      <c r="AS73" s="7">
        <v>2393.4521180911925</v>
      </c>
      <c r="AT73" s="7">
        <v>-118.56347968661626</v>
      </c>
      <c r="AU73" s="7">
        <v>447.9090899868484</v>
      </c>
    </row>
    <row r="74" spans="1:47" x14ac:dyDescent="0.25">
      <c r="A74" s="7" t="s">
        <v>328</v>
      </c>
      <c r="B74" s="7">
        <v>5</v>
      </c>
      <c r="C74" s="19">
        <v>110</v>
      </c>
      <c r="D74" s="7" t="s">
        <v>329</v>
      </c>
      <c r="E74" s="7" t="s">
        <v>200</v>
      </c>
      <c r="F74" s="20">
        <v>110</v>
      </c>
      <c r="G74" s="7" t="s">
        <v>194</v>
      </c>
      <c r="H74" s="21">
        <v>1.5</v>
      </c>
      <c r="I74" s="11">
        <f>MAX(('Geometry'!$G$13*COS(RADIANS(F74))+'Geometry'!$F$13*SIN(RADIANS(F74))),('Geometry'!$G$14*COS(RADIANS(F74))+'Geometry'!$F$14*SIN(RADIANS(F74))),('Geometry'!$G$15*COS(RADIANS(F74))+'Geometry'!$F$15*SIN(RADIANS(F74))),('Geometry'!$G$16*COS(RADIANS(F74))+'Geometry'!$F$16*SIN(RADIANS(F74))),('Geometry'!$G$17*COS(RADIANS(F74))+'Geometry'!$F$17*SIN(RADIANS(F74))),('Geometry'!$G$18*COS(RADIANS(F74))+'Geometry'!$F$18*SIN(RADIANS(F74))),('Geometry'!$G$19*COS(RADIANS(F74))+'Geometry'!$F$19*SIN(RADIANS(F74))),('Geometry'!$G$20*COS(RADIANS(F74))+'Geometry'!$F$20*SIN(RADIANS(F74))))</f>
        <v>841.5775229196988</v>
      </c>
      <c r="J74" s="11">
        <f>I74-H74*K74</f>
        <v>-1683.1550458393974</v>
      </c>
      <c r="K74" s="11">
        <f>I74-MIN(('Geometry'!$G$13*COS(RADIANS(F74))+'Geometry'!$F$13*SIN(RADIANS(F74))),('Geometry'!$G$14*COS(RADIANS(F74))+'Geometry'!$F$14*SIN(RADIANS(F74))),('Geometry'!$G$15*COS(RADIANS(F74))+'Geometry'!$F$15*SIN(RADIANS(F74))),('Geometry'!$G$16*COS(RADIANS(F74))+'Geometry'!$F$16*SIN(RADIANS(F74))),('Geometry'!$G$17*COS(RADIANS(F74))+'Geometry'!$F$17*SIN(RADIANS(F74))),('Geometry'!$G$18*COS(RADIANS(F74))+'Geometry'!$F$18*SIN(RADIANS(F74))),('Geometry'!$G$19*COS(RADIANS(F74))+'Geometry'!$F$19*SIN(RADIANS(F74))),('Geometry'!$G$20*COS(RADIANS(F74))+'Geometry'!$F$20*SIN(RADIANS(F74))))</f>
        <v>1683.1550458393976</v>
      </c>
      <c r="L74" s="16">
        <f>C_ecu</f>
        <v>0.0032999999999999995</v>
      </c>
      <c r="M74" s="16">
        <f>0</f>
        <v>0</v>
      </c>
      <c r="N74" s="22">
        <f>IF(ABS(I74-J74)&lt;0.000000000001,0,(L74-M74)/(I74-J74))</f>
        <v>0.0000013070691291561017</v>
      </c>
      <c r="O74" s="16">
        <f>L74-N74*I74</f>
        <v>0.0021999999999999997</v>
      </c>
      <c r="P74" s="22">
        <f>N74*COS(RADIANS(F74))</f>
        <v>-4.4704397089052667e-7</v>
      </c>
      <c r="Q74" s="22">
        <f>N74*SIN(RADIANS(F74))</f>
        <v>0.0000012282432155250523</v>
      </c>
      <c r="R74" s="11">
        <f>AP74</f>
        <v>15276.893497392042</v>
      </c>
      <c r="S74" s="11">
        <f>AQ74</f>
        <v>-239.9521377764722</v>
      </c>
      <c r="T74" s="11">
        <f>AR74</f>
        <v>834.3320610281236</v>
      </c>
      <c r="U74" s="11">
        <f>AS74</f>
        <v>2393.4521180911925</v>
      </c>
      <c r="V74" s="11">
        <f>AT74</f>
        <v>-71.13808781196975</v>
      </c>
      <c r="W74" s="11">
        <f>AU74</f>
        <v>268.74545399210905</v>
      </c>
      <c r="X74" s="11">
        <f>AM74</f>
        <v>17670.345615483235</v>
      </c>
      <c r="Y74" s="11">
        <f>AN74</f>
        <v>-311.09022558844197</v>
      </c>
      <c r="Z74" s="11">
        <f>AO74</f>
        <v>1103.0775150202323</v>
      </c>
      <c r="AA74" s="7">
        <v>1</v>
      </c>
      <c r="AB74" s="7">
        <v>1</v>
      </c>
      <c r="AC74" s="7">
        <v>1</v>
      </c>
      <c r="AD74" s="11">
        <f>X74*AA74</f>
        <v>17670.345615483235</v>
      </c>
      <c r="AE74" s="11">
        <f>Y74*AB74</f>
        <v>-311.09022558844197</v>
      </c>
      <c r="AF74" s="11">
        <f>Z74*AC74</f>
        <v>1103.0775150202323</v>
      </c>
      <c r="AG74" s="7">
        <v>17670.345615483235</v>
      </c>
      <c r="AH74" s="7">
        <v>-311.09022558844197</v>
      </c>
      <c r="AI74" s="7">
        <v>1103.0775150202323</v>
      </c>
      <c r="AJ74" s="16">
        <f>AD74-AG74</f>
        <v>0</v>
      </c>
      <c r="AK74" s="16">
        <f>SQRT((AE74-AH74)^2+(AF74-AI74)^2)</f>
        <v>0</v>
      </c>
      <c r="AL74" s="7" t="s">
        <v>190</v>
      </c>
      <c r="AM74" s="7">
        <v>17670.345615483235</v>
      </c>
      <c r="AN74" s="7">
        <v>-311.09022558844197</v>
      </c>
      <c r="AO74" s="7">
        <v>1103.0775150202323</v>
      </c>
      <c r="AP74" s="7">
        <v>15276.893497392042</v>
      </c>
      <c r="AQ74" s="7">
        <v>-239.9521377764722</v>
      </c>
      <c r="AR74" s="7">
        <v>834.3320610281236</v>
      </c>
      <c r="AS74" s="7">
        <v>2393.4521180911925</v>
      </c>
      <c r="AT74" s="7">
        <v>-71.13808781196975</v>
      </c>
      <c r="AU74" s="7">
        <v>268.74545399210905</v>
      </c>
    </row>
    <row r="75" spans="1:47" x14ac:dyDescent="0.25">
      <c r="A75" s="7" t="s">
        <v>330</v>
      </c>
      <c r="B75" s="7">
        <v>6</v>
      </c>
      <c r="C75" s="19">
        <v>110</v>
      </c>
      <c r="D75" s="7" t="s">
        <v>331</v>
      </c>
      <c r="E75" s="7" t="s">
        <v>229</v>
      </c>
      <c r="F75" s="20">
        <v>110</v>
      </c>
      <c r="G75" s="7" t="s">
        <v>194</v>
      </c>
      <c r="H75" s="21">
        <v>1</v>
      </c>
      <c r="I75" s="11">
        <f>MAX(('Geometry'!$G$13*COS(RADIANS(F75))+'Geometry'!$F$13*SIN(RADIANS(F75))),('Geometry'!$G$14*COS(RADIANS(F75))+'Geometry'!$F$14*SIN(RADIANS(F75))),('Geometry'!$G$15*COS(RADIANS(F75))+'Geometry'!$F$15*SIN(RADIANS(F75))),('Geometry'!$G$16*COS(RADIANS(F75))+'Geometry'!$F$16*SIN(RADIANS(F75))),('Geometry'!$G$17*COS(RADIANS(F75))+'Geometry'!$F$17*SIN(RADIANS(F75))),('Geometry'!$G$18*COS(RADIANS(F75))+'Geometry'!$F$18*SIN(RADIANS(F75))),('Geometry'!$G$19*COS(RADIANS(F75))+'Geometry'!$F$19*SIN(RADIANS(F75))),('Geometry'!$G$20*COS(RADIANS(F75))+'Geometry'!$F$20*SIN(RADIANS(F75))))</f>
        <v>841.5775229196988</v>
      </c>
      <c r="J75" s="11">
        <f>I75-H75*K75</f>
        <v>-841.5775229196987</v>
      </c>
      <c r="K75" s="11">
        <f>I75-MIN(('Geometry'!$G$13*COS(RADIANS(F75))+'Geometry'!$F$13*SIN(RADIANS(F75))),('Geometry'!$G$14*COS(RADIANS(F75))+'Geometry'!$F$14*SIN(RADIANS(F75))),('Geometry'!$G$15*COS(RADIANS(F75))+'Geometry'!$F$15*SIN(RADIANS(F75))),('Geometry'!$G$16*COS(RADIANS(F75))+'Geometry'!$F$16*SIN(RADIANS(F75))),('Geometry'!$G$17*COS(RADIANS(F75))+'Geometry'!$F$17*SIN(RADIANS(F75))),('Geometry'!$G$18*COS(RADIANS(F75))+'Geometry'!$F$18*SIN(RADIANS(F75))),('Geometry'!$G$19*COS(RADIANS(F75))+'Geometry'!$F$19*SIN(RADIANS(F75))),('Geometry'!$G$20*COS(RADIANS(F75))+'Geometry'!$F$20*SIN(RADIANS(F75))))</f>
        <v>1683.1550458393976</v>
      </c>
      <c r="L75" s="16">
        <f>C_ecu</f>
        <v>0.0033</v>
      </c>
      <c r="M75" s="16">
        <f>0</f>
        <v>0</v>
      </c>
      <c r="N75" s="22">
        <f>IF(ABS(I75-J75)&lt;0.000000000001,0,(L75-M75)/(I75-J75))</f>
        <v>0.0000019606036937341528</v>
      </c>
      <c r="O75" s="16">
        <f>L75-N75*I75</f>
        <v>0.00165</v>
      </c>
      <c r="P75" s="22">
        <f>N75*COS(RADIANS(F75))</f>
        <v>-6.7056595633579e-7</v>
      </c>
      <c r="Q75" s="22">
        <f>N75*SIN(RADIANS(F75))</f>
        <v>0.0000018423648232875786</v>
      </c>
      <c r="R75" s="11">
        <f>AP75</f>
        <v>15276.893497392042</v>
      </c>
      <c r="S75" s="11">
        <f>AQ75</f>
        <v>-479.9042755529444</v>
      </c>
      <c r="T75" s="11">
        <f>AR75</f>
        <v>1668.6641220562472</v>
      </c>
      <c r="U75" s="11">
        <f>AS75</f>
        <v>2393.4521180911925</v>
      </c>
      <c r="V75" s="11">
        <f>AT75</f>
        <v>-142.2761756239395</v>
      </c>
      <c r="W75" s="11">
        <f>AU75</f>
        <v>537.4909079842181</v>
      </c>
      <c r="X75" s="11">
        <f>AM75</f>
        <v>17670.345615483235</v>
      </c>
      <c r="Y75" s="11">
        <f>AN75</f>
        <v>-622.1804511768839</v>
      </c>
      <c r="Z75" s="11">
        <f>AO75</f>
        <v>2206.1550300404647</v>
      </c>
      <c r="AA75" s="7">
        <v>1</v>
      </c>
      <c r="AB75" s="7">
        <v>1</v>
      </c>
      <c r="AC75" s="7">
        <v>1</v>
      </c>
      <c r="AD75" s="11">
        <f>X75*AA75</f>
        <v>17670.345615483235</v>
      </c>
      <c r="AE75" s="11">
        <f>Y75*AB75</f>
        <v>-622.1804511768839</v>
      </c>
      <c r="AF75" s="11">
        <f>Z75*AC75</f>
        <v>2206.1550300404647</v>
      </c>
      <c r="AG75" s="7">
        <v>17670.345615483235</v>
      </c>
      <c r="AH75" s="7">
        <v>-622.1804511768839</v>
      </c>
      <c r="AI75" s="7">
        <v>2206.1550300404647</v>
      </c>
      <c r="AJ75" s="16">
        <f>AD75-AG75</f>
        <v>0</v>
      </c>
      <c r="AK75" s="16">
        <f>SQRT((AE75-AH75)^2+(AF75-AI75)^2)</f>
        <v>0</v>
      </c>
      <c r="AL75" s="7" t="s">
        <v>190</v>
      </c>
      <c r="AM75" s="7">
        <v>17670.345615483235</v>
      </c>
      <c r="AN75" s="7">
        <v>-622.1804511768839</v>
      </c>
      <c r="AO75" s="7">
        <v>2206.1550300404647</v>
      </c>
      <c r="AP75" s="7">
        <v>15276.893497392042</v>
      </c>
      <c r="AQ75" s="7">
        <v>-479.9042755529444</v>
      </c>
      <c r="AR75" s="7">
        <v>1668.6641220562472</v>
      </c>
      <c r="AS75" s="7">
        <v>2393.4521180911925</v>
      </c>
      <c r="AT75" s="7">
        <v>-142.2761756239395</v>
      </c>
      <c r="AU75" s="7">
        <v>537.4909079842181</v>
      </c>
    </row>
    <row r="76" spans="1:47" x14ac:dyDescent="0.25">
      <c r="A76" s="7" t="s">
        <v>332</v>
      </c>
      <c r="B76" s="7">
        <v>1</v>
      </c>
      <c r="C76" s="19">
        <v>120</v>
      </c>
      <c r="D76" s="7" t="s">
        <v>333</v>
      </c>
      <c r="E76" s="7" t="s">
        <v>193</v>
      </c>
      <c r="F76" s="20">
        <v>120</v>
      </c>
      <c r="G76" s="7" t="s">
        <v>194</v>
      </c>
      <c r="H76" s="21">
        <v>2.9999999999999996</v>
      </c>
      <c r="I76" s="11">
        <f>MAX(('Geometry'!$G$13*COS(RADIANS(F76))+'Geometry'!$F$13*SIN(RADIANS(F76))),('Geometry'!$G$14*COS(RADIANS(F76))+'Geometry'!$F$14*SIN(RADIANS(F76))),('Geometry'!$G$15*COS(RADIANS(F76))+'Geometry'!$F$15*SIN(RADIANS(F76))),('Geometry'!$G$16*COS(RADIANS(F76))+'Geometry'!$F$16*SIN(RADIANS(F76))),('Geometry'!$G$17*COS(RADIANS(F76))+'Geometry'!$F$17*SIN(RADIANS(F76))),('Geometry'!$G$18*COS(RADIANS(F76))+'Geometry'!$F$18*SIN(RADIANS(F76))),('Geometry'!$G$19*COS(RADIANS(F76))+'Geometry'!$F$19*SIN(RADIANS(F76))),('Geometry'!$G$20*COS(RADIANS(F76))+'Geometry'!$F$20*SIN(RADIANS(F76))))</f>
        <v>849.5190528383289</v>
      </c>
      <c r="J76" s="11">
        <f>I76-H76*K76</f>
        <v>-4247.595264191644</v>
      </c>
      <c r="K76" s="11">
        <f>I76-MIN(('Geometry'!$G$13*COS(RADIANS(F76))+'Geometry'!$F$13*SIN(RADIANS(F76))),('Geometry'!$G$14*COS(RADIANS(F76))+'Geometry'!$F$14*SIN(RADIANS(F76))),('Geometry'!$G$15*COS(RADIANS(F76))+'Geometry'!$F$15*SIN(RADIANS(F76))),('Geometry'!$G$16*COS(RADIANS(F76))+'Geometry'!$F$16*SIN(RADIANS(F76))),('Geometry'!$G$17*COS(RADIANS(F76))+'Geometry'!$F$17*SIN(RADIANS(F76))),('Geometry'!$G$18*COS(RADIANS(F76))+'Geometry'!$F$18*SIN(RADIANS(F76))),('Geometry'!$G$19*COS(RADIANS(F76))+'Geometry'!$F$19*SIN(RADIANS(F76))),('Geometry'!$G$20*COS(RADIANS(F76))+'Geometry'!$F$20*SIN(RADIANS(F76))))</f>
        <v>1699.0381056766578</v>
      </c>
      <c r="L76" s="16">
        <f>C_ecu</f>
        <v>0.0033</v>
      </c>
      <c r="M76" s="16">
        <f>0</f>
        <v>0</v>
      </c>
      <c r="N76" s="22">
        <f>IF(ABS(I76-J76)&lt;0.000000000001,0,(L76-M76)/(I76-J76))</f>
        <v>6.474251497507849e-7</v>
      </c>
      <c r="O76" s="16">
        <f>L76-N76*I76</f>
        <v>0.00275</v>
      </c>
      <c r="P76" s="22">
        <f>N76*COS(RADIANS(F76))</f>
        <v>-3.237125748753923e-7</v>
      </c>
      <c r="Q76" s="22">
        <f>N76*SIN(RADIANS(F76))</f>
        <v>5.606866267331242e-7</v>
      </c>
      <c r="R76" s="11">
        <f>AP76</f>
        <v>15289.862634204503</v>
      </c>
      <c r="S76" s="11">
        <f>AQ76</f>
        <v>-113.81103196827847</v>
      </c>
      <c r="T76" s="11">
        <f>AR76</f>
        <v>255.0181719876211</v>
      </c>
      <c r="U76" s="11">
        <f>AS76</f>
        <v>2380.4829812787325</v>
      </c>
      <c r="V76" s="11">
        <f>AT76</f>
        <v>-35.05119006830386</v>
      </c>
      <c r="W76" s="11">
        <f>AU76</f>
        <v>81.63164476072399</v>
      </c>
      <c r="X76" s="11">
        <f>AM76</f>
        <v>17670.345615483235</v>
      </c>
      <c r="Y76" s="11">
        <f>AN76</f>
        <v>-148.86222203658235</v>
      </c>
      <c r="Z76" s="11">
        <f>AO76</f>
        <v>336.6498167483451</v>
      </c>
      <c r="AA76" s="7">
        <v>1</v>
      </c>
      <c r="AB76" s="7">
        <v>1</v>
      </c>
      <c r="AC76" s="7">
        <v>1</v>
      </c>
      <c r="AD76" s="11">
        <f>X76*AA76</f>
        <v>17670.345615483235</v>
      </c>
      <c r="AE76" s="11">
        <f>Y76*AB76</f>
        <v>-148.86222203658235</v>
      </c>
      <c r="AF76" s="11">
        <f>Z76*AC76</f>
        <v>336.6498167483451</v>
      </c>
      <c r="AG76" s="7">
        <v>17670.345615483235</v>
      </c>
      <c r="AH76" s="7">
        <v>-148.86222203658235</v>
      </c>
      <c r="AI76" s="7">
        <v>336.6498167483451</v>
      </c>
      <c r="AJ76" s="16">
        <f>AD76-AG76</f>
        <v>0</v>
      </c>
      <c r="AK76" s="16">
        <f>SQRT((AE76-AH76)^2+(AF76-AI76)^2)</f>
        <v>0</v>
      </c>
      <c r="AL76" s="7" t="s">
        <v>190</v>
      </c>
      <c r="AM76" s="7">
        <v>17670.345615483235</v>
      </c>
      <c r="AN76" s="7">
        <v>-148.86222203658235</v>
      </c>
      <c r="AO76" s="7">
        <v>336.6498167483451</v>
      </c>
      <c r="AP76" s="7">
        <v>15289.862634204503</v>
      </c>
      <c r="AQ76" s="7">
        <v>-113.81103196827847</v>
      </c>
      <c r="AR76" s="7">
        <v>255.0181719876211</v>
      </c>
      <c r="AS76" s="7">
        <v>2380.4829812787325</v>
      </c>
      <c r="AT76" s="7">
        <v>-35.05119006830386</v>
      </c>
      <c r="AU76" s="7">
        <v>81.63164476072399</v>
      </c>
    </row>
    <row r="77" spans="1:47" x14ac:dyDescent="0.25">
      <c r="A77" s="7" t="s">
        <v>334</v>
      </c>
      <c r="B77" s="7">
        <v>2</v>
      </c>
      <c r="C77" s="19">
        <v>120</v>
      </c>
      <c r="D77" s="7" t="s">
        <v>335</v>
      </c>
      <c r="E77" s="7" t="s">
        <v>197</v>
      </c>
      <c r="F77" s="20">
        <v>120</v>
      </c>
      <c r="G77" s="7" t="s">
        <v>194</v>
      </c>
      <c r="H77" s="21">
        <v>2</v>
      </c>
      <c r="I77" s="11">
        <f>MAX(('Geometry'!$G$13*COS(RADIANS(F77))+'Geometry'!$F$13*SIN(RADIANS(F77))),('Geometry'!$G$14*COS(RADIANS(F77))+'Geometry'!$F$14*SIN(RADIANS(F77))),('Geometry'!$G$15*COS(RADIANS(F77))+'Geometry'!$F$15*SIN(RADIANS(F77))),('Geometry'!$G$16*COS(RADIANS(F77))+'Geometry'!$F$16*SIN(RADIANS(F77))),('Geometry'!$G$17*COS(RADIANS(F77))+'Geometry'!$F$17*SIN(RADIANS(F77))),('Geometry'!$G$18*COS(RADIANS(F77))+'Geometry'!$F$18*SIN(RADIANS(F77))),('Geometry'!$G$19*COS(RADIANS(F77))+'Geometry'!$F$19*SIN(RADIANS(F77))),('Geometry'!$G$20*COS(RADIANS(F77))+'Geometry'!$F$20*SIN(RADIANS(F77))))</f>
        <v>849.5190528383289</v>
      </c>
      <c r="J77" s="11">
        <f>I77-H77*K77</f>
        <v>-2548.5571585149864</v>
      </c>
      <c r="K77" s="11">
        <f>I77-MIN(('Geometry'!$G$13*COS(RADIANS(F77))+'Geometry'!$F$13*SIN(RADIANS(F77))),('Geometry'!$G$14*COS(RADIANS(F77))+'Geometry'!$F$14*SIN(RADIANS(F77))),('Geometry'!$G$15*COS(RADIANS(F77))+'Geometry'!$F$15*SIN(RADIANS(F77))),('Geometry'!$G$16*COS(RADIANS(F77))+'Geometry'!$F$16*SIN(RADIANS(F77))),('Geometry'!$G$17*COS(RADIANS(F77))+'Geometry'!$F$17*SIN(RADIANS(F77))),('Geometry'!$G$18*COS(RADIANS(F77))+'Geometry'!$F$18*SIN(RADIANS(F77))),('Geometry'!$G$19*COS(RADIANS(F77))+'Geometry'!$F$19*SIN(RADIANS(F77))),('Geometry'!$G$20*COS(RADIANS(F77))+'Geometry'!$F$20*SIN(RADIANS(F77))))</f>
        <v>1699.0381056766578</v>
      </c>
      <c r="L77" s="16">
        <f>C_ecu</f>
        <v>0.0033</v>
      </c>
      <c r="M77" s="16">
        <f>0</f>
        <v>0</v>
      </c>
      <c r="N77" s="22">
        <f>IF(ABS(I77-J77)&lt;0.000000000001,0,(L77-M77)/(I77-J77))</f>
        <v>9.711377246261773e-7</v>
      </c>
      <c r="O77" s="16">
        <f>L77-N77*I77</f>
        <v>0.0024749999999999998</v>
      </c>
      <c r="P77" s="22">
        <f>N77*COS(RADIANS(F77))</f>
        <v>-4.855688623130884e-7</v>
      </c>
      <c r="Q77" s="22">
        <f>N77*SIN(RADIANS(F77))</f>
        <v>8.410299400996863e-7</v>
      </c>
      <c r="R77" s="11">
        <f>AP77</f>
        <v>15289.862634204503</v>
      </c>
      <c r="S77" s="11">
        <f>AQ77</f>
        <v>-227.62206393655694</v>
      </c>
      <c r="T77" s="11">
        <f>AR77</f>
        <v>510.0363439752422</v>
      </c>
      <c r="U77" s="11">
        <f>AS77</f>
        <v>2380.4829812787325</v>
      </c>
      <c r="V77" s="11">
        <f>AT77</f>
        <v>-70.10238013660772</v>
      </c>
      <c r="W77" s="11">
        <f>AU77</f>
        <v>163.26328952144797</v>
      </c>
      <c r="X77" s="11">
        <f>AM77</f>
        <v>17670.345615483235</v>
      </c>
      <c r="Y77" s="11">
        <f>AN77</f>
        <v>-297.7244440731647</v>
      </c>
      <c r="Z77" s="11">
        <f>AO77</f>
        <v>673.2996334966901</v>
      </c>
      <c r="AA77" s="7">
        <v>1</v>
      </c>
      <c r="AB77" s="7">
        <v>1</v>
      </c>
      <c r="AC77" s="7">
        <v>1</v>
      </c>
      <c r="AD77" s="11">
        <f>X77*AA77</f>
        <v>17670.345615483235</v>
      </c>
      <c r="AE77" s="11">
        <f>Y77*AB77</f>
        <v>-297.7244440731647</v>
      </c>
      <c r="AF77" s="11">
        <f>Z77*AC77</f>
        <v>673.2996334966901</v>
      </c>
      <c r="AG77" s="7">
        <v>17670.345615483235</v>
      </c>
      <c r="AH77" s="7">
        <v>-297.7244440731647</v>
      </c>
      <c r="AI77" s="7">
        <v>673.2996334966901</v>
      </c>
      <c r="AJ77" s="16">
        <f>AD77-AG77</f>
        <v>0</v>
      </c>
      <c r="AK77" s="16">
        <f>SQRT((AE77-AH77)^2+(AF77-AI77)^2)</f>
        <v>0</v>
      </c>
      <c r="AL77" s="7" t="s">
        <v>190</v>
      </c>
      <c r="AM77" s="7">
        <v>17670.345615483235</v>
      </c>
      <c r="AN77" s="7">
        <v>-297.7244440731647</v>
      </c>
      <c r="AO77" s="7">
        <v>673.2996334966901</v>
      </c>
      <c r="AP77" s="7">
        <v>15289.862634204503</v>
      </c>
      <c r="AQ77" s="7">
        <v>-227.62206393655694</v>
      </c>
      <c r="AR77" s="7">
        <v>510.0363439752422</v>
      </c>
      <c r="AS77" s="7">
        <v>2380.4829812787325</v>
      </c>
      <c r="AT77" s="7">
        <v>-70.10238013660772</v>
      </c>
      <c r="AU77" s="7">
        <v>163.26328952144797</v>
      </c>
    </row>
    <row r="78" spans="1:47" x14ac:dyDescent="0.25">
      <c r="A78" s="7" t="s">
        <v>336</v>
      </c>
      <c r="B78" s="7">
        <v>3</v>
      </c>
      <c r="C78" s="19">
        <v>120</v>
      </c>
      <c r="D78" s="7" t="s">
        <v>337</v>
      </c>
      <c r="E78" s="7" t="s">
        <v>200</v>
      </c>
      <c r="F78" s="20">
        <v>120</v>
      </c>
      <c r="G78" s="7" t="s">
        <v>194</v>
      </c>
      <c r="H78" s="21">
        <v>1.4999999999999998</v>
      </c>
      <c r="I78" s="11">
        <f>MAX(('Geometry'!$G$13*COS(RADIANS(F78))+'Geometry'!$F$13*SIN(RADIANS(F78))),('Geometry'!$G$14*COS(RADIANS(F78))+'Geometry'!$F$14*SIN(RADIANS(F78))),('Geometry'!$G$15*COS(RADIANS(F78))+'Geometry'!$F$15*SIN(RADIANS(F78))),('Geometry'!$G$16*COS(RADIANS(F78))+'Geometry'!$F$16*SIN(RADIANS(F78))),('Geometry'!$G$17*COS(RADIANS(F78))+'Geometry'!$F$17*SIN(RADIANS(F78))),('Geometry'!$G$18*COS(RADIANS(F78))+'Geometry'!$F$18*SIN(RADIANS(F78))),('Geometry'!$G$19*COS(RADIANS(F78))+'Geometry'!$F$19*SIN(RADIANS(F78))),('Geometry'!$G$20*COS(RADIANS(F78))+'Geometry'!$F$20*SIN(RADIANS(F78))))</f>
        <v>849.5190528383289</v>
      </c>
      <c r="J78" s="11">
        <f>I78-H78*K78</f>
        <v>-1699.0381056766573</v>
      </c>
      <c r="K78" s="11">
        <f>I78-MIN(('Geometry'!$G$13*COS(RADIANS(F78))+'Geometry'!$F$13*SIN(RADIANS(F78))),('Geometry'!$G$14*COS(RADIANS(F78))+'Geometry'!$F$14*SIN(RADIANS(F78))),('Geometry'!$G$15*COS(RADIANS(F78))+'Geometry'!$F$15*SIN(RADIANS(F78))),('Geometry'!$G$16*COS(RADIANS(F78))+'Geometry'!$F$16*SIN(RADIANS(F78))),('Geometry'!$G$17*COS(RADIANS(F78))+'Geometry'!$F$17*SIN(RADIANS(F78))),('Geometry'!$G$18*COS(RADIANS(F78))+'Geometry'!$F$18*SIN(RADIANS(F78))),('Geometry'!$G$19*COS(RADIANS(F78))+'Geometry'!$F$19*SIN(RADIANS(F78))),('Geometry'!$G$20*COS(RADIANS(F78))+'Geometry'!$F$20*SIN(RADIANS(F78))))</f>
        <v>1699.0381056766578</v>
      </c>
      <c r="L78" s="16">
        <f>C_ecu</f>
        <v>0.0033</v>
      </c>
      <c r="M78" s="16">
        <f>0</f>
        <v>0</v>
      </c>
      <c r="N78" s="22">
        <f>IF(ABS(I78-J78)&lt;0.000000000001,0,(L78-M78)/(I78-J78))</f>
        <v>0.0000012948502995015698</v>
      </c>
      <c r="O78" s="16">
        <f>L78-N78*I78</f>
        <v>0.0021999999999999997</v>
      </c>
      <c r="P78" s="22">
        <f>N78*COS(RADIANS(F78))</f>
        <v>-6.474251497507846e-7</v>
      </c>
      <c r="Q78" s="22">
        <f>N78*SIN(RADIANS(F78))</f>
        <v>0.0000011213732534662485</v>
      </c>
      <c r="R78" s="11">
        <f>AP78</f>
        <v>15289.862634204503</v>
      </c>
      <c r="S78" s="11">
        <f>AQ78</f>
        <v>-341.43309590483534</v>
      </c>
      <c r="T78" s="11">
        <f>AR78</f>
        <v>765.0545159628632</v>
      </c>
      <c r="U78" s="11">
        <f>AS78</f>
        <v>2380.4829812787325</v>
      </c>
      <c r="V78" s="11">
        <f>AT78</f>
        <v>-105.15357020491157</v>
      </c>
      <c r="W78" s="11">
        <f>AU78</f>
        <v>244.89493428217196</v>
      </c>
      <c r="X78" s="11">
        <f>AM78</f>
        <v>17670.345615483235</v>
      </c>
      <c r="Y78" s="11">
        <f>AN78</f>
        <v>-446.586666109747</v>
      </c>
      <c r="Z78" s="11">
        <f>AO78</f>
        <v>1009.9494502450353</v>
      </c>
      <c r="AA78" s="7">
        <v>1</v>
      </c>
      <c r="AB78" s="7">
        <v>1</v>
      </c>
      <c r="AC78" s="7">
        <v>1</v>
      </c>
      <c r="AD78" s="11">
        <f>X78*AA78</f>
        <v>17670.345615483235</v>
      </c>
      <c r="AE78" s="11">
        <f>Y78*AB78</f>
        <v>-446.586666109747</v>
      </c>
      <c r="AF78" s="11">
        <f>Z78*AC78</f>
        <v>1009.9494502450353</v>
      </c>
      <c r="AG78" s="7">
        <v>17670.345615483235</v>
      </c>
      <c r="AH78" s="7">
        <v>-446.586666109747</v>
      </c>
      <c r="AI78" s="7">
        <v>1009.9494502450353</v>
      </c>
      <c r="AJ78" s="16">
        <f>AD78-AG78</f>
        <v>0</v>
      </c>
      <c r="AK78" s="16">
        <f>SQRT((AE78-AH78)^2+(AF78-AI78)^2)</f>
        <v>0</v>
      </c>
      <c r="AL78" s="7" t="s">
        <v>190</v>
      </c>
      <c r="AM78" s="7">
        <v>17670.345615483235</v>
      </c>
      <c r="AN78" s="7">
        <v>-446.586666109747</v>
      </c>
      <c r="AO78" s="7">
        <v>1009.9494502450353</v>
      </c>
      <c r="AP78" s="7">
        <v>15289.862634204503</v>
      </c>
      <c r="AQ78" s="7">
        <v>-341.43309590483534</v>
      </c>
      <c r="AR78" s="7">
        <v>765.0545159628632</v>
      </c>
      <c r="AS78" s="7">
        <v>2380.4829812787325</v>
      </c>
      <c r="AT78" s="7">
        <v>-105.15357020491157</v>
      </c>
      <c r="AU78" s="7">
        <v>244.89493428217196</v>
      </c>
    </row>
    <row r="79" spans="1:47" x14ac:dyDescent="0.25">
      <c r="A79" s="7" t="s">
        <v>338</v>
      </c>
      <c r="B79" s="7">
        <v>4</v>
      </c>
      <c r="C79" s="19">
        <v>120</v>
      </c>
      <c r="D79" s="7" t="s">
        <v>339</v>
      </c>
      <c r="E79" s="7" t="s">
        <v>203</v>
      </c>
      <c r="F79" s="20">
        <v>120</v>
      </c>
      <c r="G79" s="7" t="s">
        <v>194</v>
      </c>
      <c r="H79" s="21">
        <v>1.1999999999999997</v>
      </c>
      <c r="I79" s="11">
        <f>MAX(('Geometry'!$G$13*COS(RADIANS(F79))+'Geometry'!$F$13*SIN(RADIANS(F79))),('Geometry'!$G$14*COS(RADIANS(F79))+'Geometry'!$F$14*SIN(RADIANS(F79))),('Geometry'!$G$15*COS(RADIANS(F79))+'Geometry'!$F$15*SIN(RADIANS(F79))),('Geometry'!$G$16*COS(RADIANS(F79))+'Geometry'!$F$16*SIN(RADIANS(F79))),('Geometry'!$G$17*COS(RADIANS(F79))+'Geometry'!$F$17*SIN(RADIANS(F79))),('Geometry'!$G$18*COS(RADIANS(F79))+'Geometry'!$F$18*SIN(RADIANS(F79))),('Geometry'!$G$19*COS(RADIANS(F79))+'Geometry'!$F$19*SIN(RADIANS(F79))),('Geometry'!$G$20*COS(RADIANS(F79))+'Geometry'!$F$20*SIN(RADIANS(F79))))</f>
        <v>849.5190528383289</v>
      </c>
      <c r="J79" s="11">
        <f>I79-H79*K79</f>
        <v>-1189.32667397366</v>
      </c>
      <c r="K79" s="11">
        <f>I79-MIN(('Geometry'!$G$13*COS(RADIANS(F79))+'Geometry'!$F$13*SIN(RADIANS(F79))),('Geometry'!$G$14*COS(RADIANS(F79))+'Geometry'!$F$14*SIN(RADIANS(F79))),('Geometry'!$G$15*COS(RADIANS(F79))+'Geometry'!$F$15*SIN(RADIANS(F79))),('Geometry'!$G$16*COS(RADIANS(F79))+'Geometry'!$F$16*SIN(RADIANS(F79))),('Geometry'!$G$17*COS(RADIANS(F79))+'Geometry'!$F$17*SIN(RADIANS(F79))),('Geometry'!$G$18*COS(RADIANS(F79))+'Geometry'!$F$18*SIN(RADIANS(F79))),('Geometry'!$G$19*COS(RADIANS(F79))+'Geometry'!$F$19*SIN(RADIANS(F79))),('Geometry'!$G$20*COS(RADIANS(F79))+'Geometry'!$F$20*SIN(RADIANS(F79))))</f>
        <v>1699.0381056766578</v>
      </c>
      <c r="L79" s="16">
        <f>C_ecu</f>
        <v>0.0033</v>
      </c>
      <c r="M79" s="16">
        <f>0</f>
        <v>0</v>
      </c>
      <c r="N79" s="22">
        <f>IF(ABS(I79-J79)&lt;0.000000000001,0,(L79-M79)/(I79-J79))</f>
        <v>0.0000016185628743769625</v>
      </c>
      <c r="O79" s="16">
        <f>L79-N79*I79</f>
        <v>0.0019249999999999998</v>
      </c>
      <c r="P79" s="22">
        <f>N79*COS(RADIANS(F79))</f>
        <v>-8.092814371884808e-7</v>
      </c>
      <c r="Q79" s="22">
        <f>N79*SIN(RADIANS(F79))</f>
        <v>0.0000014017165668328106</v>
      </c>
      <c r="R79" s="11">
        <f>AP79</f>
        <v>15289.862634204503</v>
      </c>
      <c r="S79" s="11">
        <f>AQ79</f>
        <v>-455.2441278731139</v>
      </c>
      <c r="T79" s="11">
        <f>AR79</f>
        <v>1020.0726879504844</v>
      </c>
      <c r="U79" s="11">
        <f>AS79</f>
        <v>2380.4829812787325</v>
      </c>
      <c r="V79" s="11">
        <f>AT79</f>
        <v>-140.20476027321544</v>
      </c>
      <c r="W79" s="11">
        <f>AU79</f>
        <v>326.52657904289595</v>
      </c>
      <c r="X79" s="11">
        <f>AM79</f>
        <v>17670.345615483235</v>
      </c>
      <c r="Y79" s="11">
        <f>AN79</f>
        <v>-595.4488881463294</v>
      </c>
      <c r="Z79" s="11">
        <f>AO79</f>
        <v>1346.5992669933803</v>
      </c>
      <c r="AA79" s="7">
        <v>1</v>
      </c>
      <c r="AB79" s="7">
        <v>1</v>
      </c>
      <c r="AC79" s="7">
        <v>1</v>
      </c>
      <c r="AD79" s="11">
        <f>X79*AA79</f>
        <v>17670.345615483235</v>
      </c>
      <c r="AE79" s="11">
        <f>Y79*AB79</f>
        <v>-595.4488881463294</v>
      </c>
      <c r="AF79" s="11">
        <f>Z79*AC79</f>
        <v>1346.5992669933803</v>
      </c>
      <c r="AG79" s="7">
        <v>17670.345615483235</v>
      </c>
      <c r="AH79" s="7">
        <v>-595.4488881463294</v>
      </c>
      <c r="AI79" s="7">
        <v>1346.5992669933803</v>
      </c>
      <c r="AJ79" s="16">
        <f>AD79-AG79</f>
        <v>0</v>
      </c>
      <c r="AK79" s="16">
        <f>SQRT((AE79-AH79)^2+(AF79-AI79)^2)</f>
        <v>0</v>
      </c>
      <c r="AL79" s="7" t="s">
        <v>190</v>
      </c>
      <c r="AM79" s="7">
        <v>17670.345615483235</v>
      </c>
      <c r="AN79" s="7">
        <v>-595.4488881463294</v>
      </c>
      <c r="AO79" s="7">
        <v>1346.5992669933803</v>
      </c>
      <c r="AP79" s="7">
        <v>15289.862634204503</v>
      </c>
      <c r="AQ79" s="7">
        <v>-455.2441278731139</v>
      </c>
      <c r="AR79" s="7">
        <v>1020.0726879504844</v>
      </c>
      <c r="AS79" s="7">
        <v>2380.4829812787325</v>
      </c>
      <c r="AT79" s="7">
        <v>-140.20476027321544</v>
      </c>
      <c r="AU79" s="7">
        <v>326.52657904289595</v>
      </c>
    </row>
    <row r="80" spans="1:47" x14ac:dyDescent="0.25">
      <c r="A80" s="7" t="s">
        <v>340</v>
      </c>
      <c r="B80" s="7">
        <v>5</v>
      </c>
      <c r="C80" s="19">
        <v>120</v>
      </c>
      <c r="D80" s="7" t="s">
        <v>341</v>
      </c>
      <c r="E80" s="7" t="s">
        <v>206</v>
      </c>
      <c r="F80" s="20">
        <v>120</v>
      </c>
      <c r="G80" s="7" t="s">
        <v>194</v>
      </c>
      <c r="H80" s="21">
        <v>1.1</v>
      </c>
      <c r="I80" s="11">
        <f>MAX(('Geometry'!$G$13*COS(RADIANS(F80))+'Geometry'!$F$13*SIN(RADIANS(F80))),('Geometry'!$G$14*COS(RADIANS(F80))+'Geometry'!$F$14*SIN(RADIANS(F80))),('Geometry'!$G$15*COS(RADIANS(F80))+'Geometry'!$F$15*SIN(RADIANS(F80))),('Geometry'!$G$16*COS(RADIANS(F80))+'Geometry'!$F$16*SIN(RADIANS(F80))),('Geometry'!$G$17*COS(RADIANS(F80))+'Geometry'!$F$17*SIN(RADIANS(F80))),('Geometry'!$G$18*COS(RADIANS(F80))+'Geometry'!$F$18*SIN(RADIANS(F80))),('Geometry'!$G$19*COS(RADIANS(F80))+'Geometry'!$F$19*SIN(RADIANS(F80))),('Geometry'!$G$20*COS(RADIANS(F80))+'Geometry'!$F$20*SIN(RADIANS(F80))))</f>
        <v>849.5190528383289</v>
      </c>
      <c r="J80" s="11">
        <f>I80-H80*K80</f>
        <v>-1019.4228634059948</v>
      </c>
      <c r="K80" s="11">
        <f>I80-MIN(('Geometry'!$G$13*COS(RADIANS(F80))+'Geometry'!$F$13*SIN(RADIANS(F80))),('Geometry'!$G$14*COS(RADIANS(F80))+'Geometry'!$F$14*SIN(RADIANS(F80))),('Geometry'!$G$15*COS(RADIANS(F80))+'Geometry'!$F$15*SIN(RADIANS(F80))),('Geometry'!$G$16*COS(RADIANS(F80))+'Geometry'!$F$16*SIN(RADIANS(F80))),('Geometry'!$G$17*COS(RADIANS(F80))+'Geometry'!$F$17*SIN(RADIANS(F80))),('Geometry'!$G$18*COS(RADIANS(F80))+'Geometry'!$F$18*SIN(RADIANS(F80))),('Geometry'!$G$19*COS(RADIANS(F80))+'Geometry'!$F$19*SIN(RADIANS(F80))),('Geometry'!$G$20*COS(RADIANS(F80))+'Geometry'!$F$20*SIN(RADIANS(F80))))</f>
        <v>1699.0381056766578</v>
      </c>
      <c r="L80" s="16">
        <f>C_ecu</f>
        <v>0.0033</v>
      </c>
      <c r="M80" s="16">
        <f>0</f>
        <v>0</v>
      </c>
      <c r="N80" s="22">
        <f>IF(ABS(I80-J80)&lt;0.000000000001,0,(L80-M80)/(I80-J80))</f>
        <v>0.000001765704953865777</v>
      </c>
      <c r="O80" s="16">
        <f>L80-N80*I80</f>
        <v>0.0018000000000000002</v>
      </c>
      <c r="P80" s="22">
        <f>N80*COS(RADIANS(F80))</f>
        <v>-8.828524769328879e-7</v>
      </c>
      <c r="Q80" s="22">
        <f>N80*SIN(RADIANS(F80))</f>
        <v>0.000001529145345635793</v>
      </c>
      <c r="R80" s="11">
        <f>AP80</f>
        <v>15289.862634204503</v>
      </c>
      <c r="S80" s="11">
        <f>AQ80</f>
        <v>-569.0551598413924</v>
      </c>
      <c r="T80" s="11">
        <f>AR80</f>
        <v>1275.0908599381055</v>
      </c>
      <c r="U80" s="11">
        <f>AS80</f>
        <v>2380.4829812787325</v>
      </c>
      <c r="V80" s="11">
        <f>AT80</f>
        <v>-175.2559503415193</v>
      </c>
      <c r="W80" s="11">
        <f>AU80</f>
        <v>408.15822380362</v>
      </c>
      <c r="X80" s="11">
        <f>AM80</f>
        <v>17670.345615483235</v>
      </c>
      <c r="Y80" s="11">
        <f>AN80</f>
        <v>-744.3111101829118</v>
      </c>
      <c r="Z80" s="11">
        <f>AO80</f>
        <v>1683.2490837417256</v>
      </c>
      <c r="AA80" s="7">
        <v>1</v>
      </c>
      <c r="AB80" s="7">
        <v>1</v>
      </c>
      <c r="AC80" s="7">
        <v>1</v>
      </c>
      <c r="AD80" s="11">
        <f>X80*AA80</f>
        <v>17670.345615483235</v>
      </c>
      <c r="AE80" s="11">
        <f>Y80*AB80</f>
        <v>-744.3111101829118</v>
      </c>
      <c r="AF80" s="11">
        <f>Z80*AC80</f>
        <v>1683.2490837417256</v>
      </c>
      <c r="AG80" s="7">
        <v>17670.345615483235</v>
      </c>
      <c r="AH80" s="7">
        <v>-744.3111101829118</v>
      </c>
      <c r="AI80" s="7">
        <v>1683.2490837417256</v>
      </c>
      <c r="AJ80" s="16">
        <f>AD80-AG80</f>
        <v>0</v>
      </c>
      <c r="AK80" s="16">
        <f>SQRT((AE80-AH80)^2+(AF80-AI80)^2)</f>
        <v>0</v>
      </c>
      <c r="AL80" s="7" t="s">
        <v>190</v>
      </c>
      <c r="AM80" s="7">
        <v>17670.345615483235</v>
      </c>
      <c r="AN80" s="7">
        <v>-744.3111101829118</v>
      </c>
      <c r="AO80" s="7">
        <v>1683.2490837417256</v>
      </c>
      <c r="AP80" s="7">
        <v>15289.862634204503</v>
      </c>
      <c r="AQ80" s="7">
        <v>-569.0551598413924</v>
      </c>
      <c r="AR80" s="7">
        <v>1275.0908599381055</v>
      </c>
      <c r="AS80" s="7">
        <v>2380.4829812787325</v>
      </c>
      <c r="AT80" s="7">
        <v>-175.2559503415193</v>
      </c>
      <c r="AU80" s="7">
        <v>408.15822380362</v>
      </c>
    </row>
    <row r="81" spans="1:47" x14ac:dyDescent="0.25">
      <c r="A81" s="7" t="s">
        <v>342</v>
      </c>
      <c r="B81" s="7">
        <v>6</v>
      </c>
      <c r="C81" s="19">
        <v>120</v>
      </c>
      <c r="D81" s="7" t="s">
        <v>343</v>
      </c>
      <c r="E81" s="7" t="s">
        <v>229</v>
      </c>
      <c r="F81" s="20">
        <v>120</v>
      </c>
      <c r="G81" s="7" t="s">
        <v>194</v>
      </c>
      <c r="H81" s="21">
        <v>1</v>
      </c>
      <c r="I81" s="11">
        <f>MAX(('Geometry'!$G$13*COS(RADIANS(F81))+'Geometry'!$F$13*SIN(RADIANS(F81))),('Geometry'!$G$14*COS(RADIANS(F81))+'Geometry'!$F$14*SIN(RADIANS(F81))),('Geometry'!$G$15*COS(RADIANS(F81))+'Geometry'!$F$15*SIN(RADIANS(F81))),('Geometry'!$G$16*COS(RADIANS(F81))+'Geometry'!$F$16*SIN(RADIANS(F81))),('Geometry'!$G$17*COS(RADIANS(F81))+'Geometry'!$F$17*SIN(RADIANS(F81))),('Geometry'!$G$18*COS(RADIANS(F81))+'Geometry'!$F$18*SIN(RADIANS(F81))),('Geometry'!$G$19*COS(RADIANS(F81))+'Geometry'!$F$19*SIN(RADIANS(F81))),('Geometry'!$G$20*COS(RADIANS(F81))+'Geometry'!$F$20*SIN(RADIANS(F81))))</f>
        <v>849.5190528383289</v>
      </c>
      <c r="J81" s="11">
        <f>I81-H81*K81</f>
        <v>-849.5190528383289</v>
      </c>
      <c r="K81" s="11">
        <f>I81-MIN(('Geometry'!$G$13*COS(RADIANS(F81))+'Geometry'!$F$13*SIN(RADIANS(F81))),('Geometry'!$G$14*COS(RADIANS(F81))+'Geometry'!$F$14*SIN(RADIANS(F81))),('Geometry'!$G$15*COS(RADIANS(F81))+'Geometry'!$F$15*SIN(RADIANS(F81))),('Geometry'!$G$16*COS(RADIANS(F81))+'Geometry'!$F$16*SIN(RADIANS(F81))),('Geometry'!$G$17*COS(RADIANS(F81))+'Geometry'!$F$17*SIN(RADIANS(F81))),('Geometry'!$G$18*COS(RADIANS(F81))+'Geometry'!$F$18*SIN(RADIANS(F81))),('Geometry'!$G$19*COS(RADIANS(F81))+'Geometry'!$F$19*SIN(RADIANS(F81))),('Geometry'!$G$20*COS(RADIANS(F81))+'Geometry'!$F$20*SIN(RADIANS(F81))))</f>
        <v>1699.0381056766578</v>
      </c>
      <c r="L81" s="16">
        <f>C_ecu</f>
        <v>0.0033</v>
      </c>
      <c r="M81" s="16">
        <f>0</f>
        <v>0</v>
      </c>
      <c r="N81" s="22">
        <f>IF(ABS(I81-J81)&lt;0.000000000001,0,(L81-M81)/(I81-J81))</f>
        <v>0.0000019422754492523546</v>
      </c>
      <c r="O81" s="16">
        <f>L81-N81*I81</f>
        <v>0.00165</v>
      </c>
      <c r="P81" s="22">
        <f>N81*COS(RADIANS(F81))</f>
        <v>-9.711377246261769e-7</v>
      </c>
      <c r="Q81" s="22">
        <f>N81*SIN(RADIANS(F81))</f>
        <v>0.0000016820598801993726</v>
      </c>
      <c r="R81" s="11">
        <f>AP81</f>
        <v>15289.862634204503</v>
      </c>
      <c r="S81" s="11">
        <f>AQ81</f>
        <v>-682.8661918096707</v>
      </c>
      <c r="T81" s="11">
        <f>AR81</f>
        <v>1530.1090319257264</v>
      </c>
      <c r="U81" s="11">
        <f>AS81</f>
        <v>2380.4829812787325</v>
      </c>
      <c r="V81" s="11">
        <f>AT81</f>
        <v>-210.30714040982315</v>
      </c>
      <c r="W81" s="11">
        <f>AU81</f>
        <v>489.7898685643439</v>
      </c>
      <c r="X81" s="11">
        <f>AM81</f>
        <v>17670.345615483235</v>
      </c>
      <c r="Y81" s="11">
        <f>AN81</f>
        <v>-893.173332219494</v>
      </c>
      <c r="Z81" s="11">
        <f>AO81</f>
        <v>2019.8989004900707</v>
      </c>
      <c r="AA81" s="7">
        <v>1</v>
      </c>
      <c r="AB81" s="7">
        <v>1</v>
      </c>
      <c r="AC81" s="7">
        <v>1</v>
      </c>
      <c r="AD81" s="11">
        <f>X81*AA81</f>
        <v>17670.345615483235</v>
      </c>
      <c r="AE81" s="11">
        <f>Y81*AB81</f>
        <v>-893.173332219494</v>
      </c>
      <c r="AF81" s="11">
        <f>Z81*AC81</f>
        <v>2019.8989004900707</v>
      </c>
      <c r="AG81" s="7">
        <v>17670.345615483235</v>
      </c>
      <c r="AH81" s="7">
        <v>-893.173332219494</v>
      </c>
      <c r="AI81" s="7">
        <v>2019.8989004900707</v>
      </c>
      <c r="AJ81" s="16">
        <f>AD81-AG81</f>
        <v>0</v>
      </c>
      <c r="AK81" s="16">
        <f>SQRT((AE81-AH81)^2+(AF81-AI81)^2)</f>
        <v>0</v>
      </c>
      <c r="AL81" s="7" t="s">
        <v>190</v>
      </c>
      <c r="AM81" s="7">
        <v>17670.345615483235</v>
      </c>
      <c r="AN81" s="7">
        <v>-893.173332219494</v>
      </c>
      <c r="AO81" s="7">
        <v>2019.8989004900707</v>
      </c>
      <c r="AP81" s="7">
        <v>15289.862634204503</v>
      </c>
      <c r="AQ81" s="7">
        <v>-682.8661918096707</v>
      </c>
      <c r="AR81" s="7">
        <v>1530.1090319257264</v>
      </c>
      <c r="AS81" s="7">
        <v>2380.4829812787325</v>
      </c>
      <c r="AT81" s="7">
        <v>-210.30714040982315</v>
      </c>
      <c r="AU81" s="7">
        <v>489.7898685643439</v>
      </c>
    </row>
    <row r="82" spans="1:47" x14ac:dyDescent="0.25">
      <c r="A82" s="7" t="s">
        <v>344</v>
      </c>
      <c r="B82" s="7">
        <v>1</v>
      </c>
      <c r="C82" s="19">
        <v>130</v>
      </c>
      <c r="D82" s="7" t="s">
        <v>345</v>
      </c>
      <c r="E82" s="7" t="s">
        <v>193</v>
      </c>
      <c r="F82" s="20">
        <v>130</v>
      </c>
      <c r="G82" s="7" t="s">
        <v>194</v>
      </c>
      <c r="H82" s="21">
        <v>2.9999999999999996</v>
      </c>
      <c r="I82" s="11">
        <f>MAX(('Geometry'!$G$13*COS(RADIANS(F82))+'Geometry'!$F$13*SIN(RADIANS(F82))),('Geometry'!$G$14*COS(RADIANS(F82))+'Geometry'!$F$14*SIN(RADIANS(F82))),('Geometry'!$G$15*COS(RADIANS(F82))+'Geometry'!$F$15*SIN(RADIANS(F82))),('Geometry'!$G$16*COS(RADIANS(F82))+'Geometry'!$F$16*SIN(RADIANS(F82))),('Geometry'!$G$17*COS(RADIANS(F82))+'Geometry'!$F$17*SIN(RADIANS(F82))),('Geometry'!$G$18*COS(RADIANS(F82))+'Geometry'!$F$18*SIN(RADIANS(F82))),('Geometry'!$G$19*COS(RADIANS(F82))+'Geometry'!$F$19*SIN(RADIANS(F82))),('Geometry'!$G$20*COS(RADIANS(F82))+'Geometry'!$F$20*SIN(RADIANS(F82))))</f>
        <v>831.6483762138494</v>
      </c>
      <c r="J82" s="11">
        <f>I82-H82*K82</f>
        <v>-4158.241881069246</v>
      </c>
      <c r="K82" s="11">
        <f>I82-MIN(('Geometry'!$G$13*COS(RADIANS(F82))+'Geometry'!$F$13*SIN(RADIANS(F82))),('Geometry'!$G$14*COS(RADIANS(F82))+'Geometry'!$F$14*SIN(RADIANS(F82))),('Geometry'!$G$15*COS(RADIANS(F82))+'Geometry'!$F$15*SIN(RADIANS(F82))),('Geometry'!$G$16*COS(RADIANS(F82))+'Geometry'!$F$16*SIN(RADIANS(F82))),('Geometry'!$G$17*COS(RADIANS(F82))+'Geometry'!$F$17*SIN(RADIANS(F82))),('Geometry'!$G$18*COS(RADIANS(F82))+'Geometry'!$F$18*SIN(RADIANS(F82))),('Geometry'!$G$19*COS(RADIANS(F82))+'Geometry'!$F$19*SIN(RADIANS(F82))),('Geometry'!$G$20*COS(RADIANS(F82))+'Geometry'!$F$20*SIN(RADIANS(F82))))</f>
        <v>1663.2967524276987</v>
      </c>
      <c r="L82" s="16">
        <f>C_ecu</f>
        <v>0.0033</v>
      </c>
      <c r="M82" s="16">
        <f>0</f>
        <v>0</v>
      </c>
      <c r="N82" s="22">
        <f>IF(ABS(I82-J82)&lt;0.000000000001,0,(L82-M82)/(I82-J82))</f>
        <v>6.613371897675341e-7</v>
      </c>
      <c r="O82" s="16">
        <f>L82-N82*I82</f>
        <v>0.00275</v>
      </c>
      <c r="P82" s="22">
        <f>N82*COS(RADIANS(F82))</f>
        <v>-4.250993514074865e-7</v>
      </c>
      <c r="Q82" s="22">
        <f>N82*SIN(RADIANS(F82))</f>
        <v>5.066136792493406e-7</v>
      </c>
      <c r="R82" s="11">
        <f>AP82</f>
        <v>15287.747049920245</v>
      </c>
      <c r="S82" s="11">
        <f>AQ82</f>
        <v>-147.096123398559</v>
      </c>
      <c r="T82" s="11">
        <f>AR82</f>
        <v>232.8027432923725</v>
      </c>
      <c r="U82" s="11">
        <f>AS82</f>
        <v>2382.5985655629893</v>
      </c>
      <c r="V82" s="11">
        <f>AT82</f>
        <v>-46.6022376678112</v>
      </c>
      <c r="W82" s="11">
        <f>AU82</f>
        <v>73.95910651624482</v>
      </c>
      <c r="X82" s="11">
        <f>AM82</f>
        <v>17670.345615483235</v>
      </c>
      <c r="Y82" s="11">
        <f>AN82</f>
        <v>-193.6983610663702</v>
      </c>
      <c r="Z82" s="11">
        <f>AO82</f>
        <v>306.7618498086173</v>
      </c>
      <c r="AA82" s="7">
        <v>1</v>
      </c>
      <c r="AB82" s="7">
        <v>1</v>
      </c>
      <c r="AC82" s="7">
        <v>1</v>
      </c>
      <c r="AD82" s="11">
        <f>X82*AA82</f>
        <v>17670.345615483235</v>
      </c>
      <c r="AE82" s="11">
        <f>Y82*AB82</f>
        <v>-193.6983610663702</v>
      </c>
      <c r="AF82" s="11">
        <f>Z82*AC82</f>
        <v>306.7618498086173</v>
      </c>
      <c r="AG82" s="7">
        <v>17670.345615483235</v>
      </c>
      <c r="AH82" s="7">
        <v>-193.6983610663702</v>
      </c>
      <c r="AI82" s="7">
        <v>306.7618498086173</v>
      </c>
      <c r="AJ82" s="16">
        <f>AD82-AG82</f>
        <v>0</v>
      </c>
      <c r="AK82" s="16">
        <f>SQRT((AE82-AH82)^2+(AF82-AI82)^2)</f>
        <v>0</v>
      </c>
      <c r="AL82" s="7" t="s">
        <v>190</v>
      </c>
      <c r="AM82" s="7">
        <v>17670.345615483235</v>
      </c>
      <c r="AN82" s="7">
        <v>-193.6983610663702</v>
      </c>
      <c r="AO82" s="7">
        <v>306.7618498086173</v>
      </c>
      <c r="AP82" s="7">
        <v>15287.747049920245</v>
      </c>
      <c r="AQ82" s="7">
        <v>-147.096123398559</v>
      </c>
      <c r="AR82" s="7">
        <v>232.8027432923725</v>
      </c>
      <c r="AS82" s="7">
        <v>2382.5985655629893</v>
      </c>
      <c r="AT82" s="7">
        <v>-46.6022376678112</v>
      </c>
      <c r="AU82" s="7">
        <v>73.95910651624482</v>
      </c>
    </row>
    <row r="83" spans="1:47" x14ac:dyDescent="0.25">
      <c r="A83" s="7" t="s">
        <v>346</v>
      </c>
      <c r="B83" s="7">
        <v>2</v>
      </c>
      <c r="C83" s="19">
        <v>130</v>
      </c>
      <c r="D83" s="7" t="s">
        <v>347</v>
      </c>
      <c r="E83" s="7" t="s">
        <v>197</v>
      </c>
      <c r="F83" s="20">
        <v>130</v>
      </c>
      <c r="G83" s="7" t="s">
        <v>194</v>
      </c>
      <c r="H83" s="21">
        <v>2</v>
      </c>
      <c r="I83" s="11">
        <f>MAX(('Geometry'!$G$13*COS(RADIANS(F83))+'Geometry'!$F$13*SIN(RADIANS(F83))),('Geometry'!$G$14*COS(RADIANS(F83))+'Geometry'!$F$14*SIN(RADIANS(F83))),('Geometry'!$G$15*COS(RADIANS(F83))+'Geometry'!$F$15*SIN(RADIANS(F83))),('Geometry'!$G$16*COS(RADIANS(F83))+'Geometry'!$F$16*SIN(RADIANS(F83))),('Geometry'!$G$17*COS(RADIANS(F83))+'Geometry'!$F$17*SIN(RADIANS(F83))),('Geometry'!$G$18*COS(RADIANS(F83))+'Geometry'!$F$18*SIN(RADIANS(F83))),('Geometry'!$G$19*COS(RADIANS(F83))+'Geometry'!$F$19*SIN(RADIANS(F83))),('Geometry'!$G$20*COS(RADIANS(F83))+'Geometry'!$F$20*SIN(RADIANS(F83))))</f>
        <v>831.6483762138494</v>
      </c>
      <c r="J83" s="11">
        <f>I83-H83*K83</f>
        <v>-2494.945128641548</v>
      </c>
      <c r="K83" s="11">
        <f>I83-MIN(('Geometry'!$G$13*COS(RADIANS(F83))+'Geometry'!$F$13*SIN(RADIANS(F83))),('Geometry'!$G$14*COS(RADIANS(F83))+'Geometry'!$F$14*SIN(RADIANS(F83))),('Geometry'!$G$15*COS(RADIANS(F83))+'Geometry'!$F$15*SIN(RADIANS(F83))),('Geometry'!$G$16*COS(RADIANS(F83))+'Geometry'!$F$16*SIN(RADIANS(F83))),('Geometry'!$G$17*COS(RADIANS(F83))+'Geometry'!$F$17*SIN(RADIANS(F83))),('Geometry'!$G$18*COS(RADIANS(F83))+'Geometry'!$F$18*SIN(RADIANS(F83))),('Geometry'!$G$19*COS(RADIANS(F83))+'Geometry'!$F$19*SIN(RADIANS(F83))),('Geometry'!$G$20*COS(RADIANS(F83))+'Geometry'!$F$20*SIN(RADIANS(F83))))</f>
        <v>1663.2967524276987</v>
      </c>
      <c r="L83" s="16">
        <f>C_ecu</f>
        <v>0.0033</v>
      </c>
      <c r="M83" s="16">
        <f>0</f>
        <v>0</v>
      </c>
      <c r="N83" s="22">
        <f>IF(ABS(I83-J83)&lt;0.000000000001,0,(L83-M83)/(I83-J83))</f>
        <v>9.92005784651301e-7</v>
      </c>
      <c r="O83" s="16">
        <f>L83-N83*I83</f>
        <v>0.0024749999999999998</v>
      </c>
      <c r="P83" s="22">
        <f>N83*COS(RADIANS(F83))</f>
        <v>-6.376490271112297e-7</v>
      </c>
      <c r="Q83" s="22">
        <f>N83*SIN(RADIANS(F83))</f>
        <v>7.599205188740108e-7</v>
      </c>
      <c r="R83" s="11">
        <f>AP83</f>
        <v>15287.747049920245</v>
      </c>
      <c r="S83" s="11">
        <f>AQ83</f>
        <v>-294.192246797118</v>
      </c>
      <c r="T83" s="11">
        <f>AR83</f>
        <v>465.605486584745</v>
      </c>
      <c r="U83" s="11">
        <f>AS83</f>
        <v>2382.5985655629893</v>
      </c>
      <c r="V83" s="11">
        <f>AT83</f>
        <v>-93.2044753356224</v>
      </c>
      <c r="W83" s="11">
        <f>AU83</f>
        <v>147.91821303248963</v>
      </c>
      <c r="X83" s="11">
        <f>AM83</f>
        <v>17670.345615483235</v>
      </c>
      <c r="Y83" s="11">
        <f>AN83</f>
        <v>-387.3967221327404</v>
      </c>
      <c r="Z83" s="11">
        <f>AO83</f>
        <v>613.5236996172346</v>
      </c>
      <c r="AA83" s="7">
        <v>1</v>
      </c>
      <c r="AB83" s="7">
        <v>1</v>
      </c>
      <c r="AC83" s="7">
        <v>1</v>
      </c>
      <c r="AD83" s="11">
        <f>X83*AA83</f>
        <v>17670.345615483235</v>
      </c>
      <c r="AE83" s="11">
        <f>Y83*AB83</f>
        <v>-387.3967221327404</v>
      </c>
      <c r="AF83" s="11">
        <f>Z83*AC83</f>
        <v>613.5236996172346</v>
      </c>
      <c r="AG83" s="7">
        <v>17670.345615483235</v>
      </c>
      <c r="AH83" s="7">
        <v>-387.3967221327404</v>
      </c>
      <c r="AI83" s="7">
        <v>613.5236996172346</v>
      </c>
      <c r="AJ83" s="16">
        <f>AD83-AG83</f>
        <v>0</v>
      </c>
      <c r="AK83" s="16">
        <f>SQRT((AE83-AH83)^2+(AF83-AI83)^2)</f>
        <v>0</v>
      </c>
      <c r="AL83" s="7" t="s">
        <v>190</v>
      </c>
      <c r="AM83" s="7">
        <v>17670.345615483235</v>
      </c>
      <c r="AN83" s="7">
        <v>-387.3967221327404</v>
      </c>
      <c r="AO83" s="7">
        <v>613.5236996172346</v>
      </c>
      <c r="AP83" s="7">
        <v>15287.747049920245</v>
      </c>
      <c r="AQ83" s="7">
        <v>-294.192246797118</v>
      </c>
      <c r="AR83" s="7">
        <v>465.605486584745</v>
      </c>
      <c r="AS83" s="7">
        <v>2382.5985655629893</v>
      </c>
      <c r="AT83" s="7">
        <v>-93.2044753356224</v>
      </c>
      <c r="AU83" s="7">
        <v>147.91821303248963</v>
      </c>
    </row>
    <row r="84" spans="1:47" x14ac:dyDescent="0.25">
      <c r="A84" s="7" t="s">
        <v>348</v>
      </c>
      <c r="B84" s="7">
        <v>3</v>
      </c>
      <c r="C84" s="19">
        <v>130</v>
      </c>
      <c r="D84" s="7" t="s">
        <v>349</v>
      </c>
      <c r="E84" s="7" t="s">
        <v>200</v>
      </c>
      <c r="F84" s="20">
        <v>130</v>
      </c>
      <c r="G84" s="7" t="s">
        <v>194</v>
      </c>
      <c r="H84" s="21">
        <v>1.4999999999999998</v>
      </c>
      <c r="I84" s="11">
        <f>MAX(('Geometry'!$G$13*COS(RADIANS(F84))+'Geometry'!$F$13*SIN(RADIANS(F84))),('Geometry'!$G$14*COS(RADIANS(F84))+'Geometry'!$F$14*SIN(RADIANS(F84))),('Geometry'!$G$15*COS(RADIANS(F84))+'Geometry'!$F$15*SIN(RADIANS(F84))),('Geometry'!$G$16*COS(RADIANS(F84))+'Geometry'!$F$16*SIN(RADIANS(F84))),('Geometry'!$G$17*COS(RADIANS(F84))+'Geometry'!$F$17*SIN(RADIANS(F84))),('Geometry'!$G$18*COS(RADIANS(F84))+'Geometry'!$F$18*SIN(RADIANS(F84))),('Geometry'!$G$19*COS(RADIANS(F84))+'Geometry'!$F$19*SIN(RADIANS(F84))),('Geometry'!$G$20*COS(RADIANS(F84))+'Geometry'!$F$20*SIN(RADIANS(F84))))</f>
        <v>831.6483762138494</v>
      </c>
      <c r="J84" s="11">
        <f>I84-H84*K84</f>
        <v>-1663.2967524276983</v>
      </c>
      <c r="K84" s="11">
        <f>I84-MIN(('Geometry'!$G$13*COS(RADIANS(F84))+'Geometry'!$F$13*SIN(RADIANS(F84))),('Geometry'!$G$14*COS(RADIANS(F84))+'Geometry'!$F$14*SIN(RADIANS(F84))),('Geometry'!$G$15*COS(RADIANS(F84))+'Geometry'!$F$15*SIN(RADIANS(F84))),('Geometry'!$G$16*COS(RADIANS(F84))+'Geometry'!$F$16*SIN(RADIANS(F84))),('Geometry'!$G$17*COS(RADIANS(F84))+'Geometry'!$F$17*SIN(RADIANS(F84))),('Geometry'!$G$18*COS(RADIANS(F84))+'Geometry'!$F$18*SIN(RADIANS(F84))),('Geometry'!$G$19*COS(RADIANS(F84))+'Geometry'!$F$19*SIN(RADIANS(F84))),('Geometry'!$G$20*COS(RADIANS(F84))+'Geometry'!$F$20*SIN(RADIANS(F84))))</f>
        <v>1663.2967524276987</v>
      </c>
      <c r="L84" s="16">
        <f>C_ecu</f>
        <v>0.0033</v>
      </c>
      <c r="M84" s="16">
        <f>0</f>
        <v>0</v>
      </c>
      <c r="N84" s="22">
        <f>IF(ABS(I84-J84)&lt;0.000000000001,0,(L84-M84)/(I84-J84))</f>
        <v>0.0000013226743795350681</v>
      </c>
      <c r="O84" s="16">
        <f>L84-N84*I84</f>
        <v>0.0021999999999999997</v>
      </c>
      <c r="P84" s="22">
        <f>N84*COS(RADIANS(F84))</f>
        <v>-8.50198702814973e-7</v>
      </c>
      <c r="Q84" s="22">
        <f>N84*SIN(RADIANS(F84))</f>
        <v>0.0000010132273584986811</v>
      </c>
      <c r="R84" s="11">
        <f>AP84</f>
        <v>15287.747049920245</v>
      </c>
      <c r="S84" s="11">
        <f>AQ84</f>
        <v>-441.28837019567703</v>
      </c>
      <c r="T84" s="11">
        <f>AR84</f>
        <v>698.4082298771174</v>
      </c>
      <c r="U84" s="11">
        <f>AS84</f>
        <v>2382.5985655629893</v>
      </c>
      <c r="V84" s="11">
        <f>AT84</f>
        <v>-139.80671300343363</v>
      </c>
      <c r="W84" s="11">
        <f>AU84</f>
        <v>221.87731954873445</v>
      </c>
      <c r="X84" s="11">
        <f>AM84</f>
        <v>17670.345615483235</v>
      </c>
      <c r="Y84" s="11">
        <f>AN84</f>
        <v>-581.0950831991106</v>
      </c>
      <c r="Z84" s="11">
        <f>AO84</f>
        <v>920.285549425852</v>
      </c>
      <c r="AA84" s="7">
        <v>1</v>
      </c>
      <c r="AB84" s="7">
        <v>1</v>
      </c>
      <c r="AC84" s="7">
        <v>1</v>
      </c>
      <c r="AD84" s="11">
        <f>X84*AA84</f>
        <v>17670.345615483235</v>
      </c>
      <c r="AE84" s="11">
        <f>Y84*AB84</f>
        <v>-581.0950831991106</v>
      </c>
      <c r="AF84" s="11">
        <f>Z84*AC84</f>
        <v>920.285549425852</v>
      </c>
      <c r="AG84" s="7">
        <v>17670.345615483235</v>
      </c>
      <c r="AH84" s="7">
        <v>-581.0950831991106</v>
      </c>
      <c r="AI84" s="7">
        <v>920.285549425852</v>
      </c>
      <c r="AJ84" s="16">
        <f>AD84-AG84</f>
        <v>0</v>
      </c>
      <c r="AK84" s="16">
        <f>SQRT((AE84-AH84)^2+(AF84-AI84)^2)</f>
        <v>0</v>
      </c>
      <c r="AL84" s="7" t="s">
        <v>190</v>
      </c>
      <c r="AM84" s="7">
        <v>17670.345615483235</v>
      </c>
      <c r="AN84" s="7">
        <v>-581.0950831991106</v>
      </c>
      <c r="AO84" s="7">
        <v>920.285549425852</v>
      </c>
      <c r="AP84" s="7">
        <v>15287.747049920245</v>
      </c>
      <c r="AQ84" s="7">
        <v>-441.28837019567703</v>
      </c>
      <c r="AR84" s="7">
        <v>698.4082298771174</v>
      </c>
      <c r="AS84" s="7">
        <v>2382.5985655629893</v>
      </c>
      <c r="AT84" s="7">
        <v>-139.80671300343363</v>
      </c>
      <c r="AU84" s="7">
        <v>221.87731954873445</v>
      </c>
    </row>
    <row r="85" spans="1:47" x14ac:dyDescent="0.25">
      <c r="A85" s="7" t="s">
        <v>350</v>
      </c>
      <c r="B85" s="7">
        <v>4</v>
      </c>
      <c r="C85" s="19">
        <v>130</v>
      </c>
      <c r="D85" s="7" t="s">
        <v>351</v>
      </c>
      <c r="E85" s="7" t="s">
        <v>203</v>
      </c>
      <c r="F85" s="20">
        <v>130</v>
      </c>
      <c r="G85" s="7" t="s">
        <v>194</v>
      </c>
      <c r="H85" s="21">
        <v>1.2</v>
      </c>
      <c r="I85" s="11">
        <f>MAX(('Geometry'!$G$13*COS(RADIANS(F85))+'Geometry'!$F$13*SIN(RADIANS(F85))),('Geometry'!$G$14*COS(RADIANS(F85))+'Geometry'!$F$14*SIN(RADIANS(F85))),('Geometry'!$G$15*COS(RADIANS(F85))+'Geometry'!$F$15*SIN(RADIANS(F85))),('Geometry'!$G$16*COS(RADIANS(F85))+'Geometry'!$F$16*SIN(RADIANS(F85))),('Geometry'!$G$17*COS(RADIANS(F85))+'Geometry'!$F$17*SIN(RADIANS(F85))),('Geometry'!$G$18*COS(RADIANS(F85))+'Geometry'!$F$18*SIN(RADIANS(F85))),('Geometry'!$G$19*COS(RADIANS(F85))+'Geometry'!$F$19*SIN(RADIANS(F85))),('Geometry'!$G$20*COS(RADIANS(F85))+'Geometry'!$F$20*SIN(RADIANS(F85))))</f>
        <v>831.6483762138494</v>
      </c>
      <c r="J85" s="11">
        <f>I85-H85*K85</f>
        <v>-1164.307726699389</v>
      </c>
      <c r="K85" s="11">
        <f>I85-MIN(('Geometry'!$G$13*COS(RADIANS(F85))+'Geometry'!$F$13*SIN(RADIANS(F85))),('Geometry'!$G$14*COS(RADIANS(F85))+'Geometry'!$F$14*SIN(RADIANS(F85))),('Geometry'!$G$15*COS(RADIANS(F85))+'Geometry'!$F$15*SIN(RADIANS(F85))),('Geometry'!$G$16*COS(RADIANS(F85))+'Geometry'!$F$16*SIN(RADIANS(F85))),('Geometry'!$G$17*COS(RADIANS(F85))+'Geometry'!$F$17*SIN(RADIANS(F85))),('Geometry'!$G$18*COS(RADIANS(F85))+'Geometry'!$F$18*SIN(RADIANS(F85))),('Geometry'!$G$19*COS(RADIANS(F85))+'Geometry'!$F$19*SIN(RADIANS(F85))),('Geometry'!$G$20*COS(RADIANS(F85))+'Geometry'!$F$20*SIN(RADIANS(F85))))</f>
        <v>1663.2967524276987</v>
      </c>
      <c r="L85" s="16">
        <f>C_ecu</f>
        <v>0.0033</v>
      </c>
      <c r="M85" s="16">
        <f>0</f>
        <v>0</v>
      </c>
      <c r="N85" s="22">
        <f>IF(ABS(I85-J85)&lt;0.000000000001,0,(L85-M85)/(I85-J85))</f>
        <v>0.000001653342974418835</v>
      </c>
      <c r="O85" s="16">
        <f>L85-N85*I85</f>
        <v>0.0019249999999999998</v>
      </c>
      <c r="P85" s="22">
        <f>N85*COS(RADIANS(F85))</f>
        <v>-0.0000010627483785187162</v>
      </c>
      <c r="Q85" s="22">
        <f>N85*SIN(RADIANS(F85))</f>
        <v>0.0000012665341981233513</v>
      </c>
      <c r="R85" s="11">
        <f>AP85</f>
        <v>15287.747049920245</v>
      </c>
      <c r="S85" s="11">
        <f>AQ85</f>
        <v>-588.384493594236</v>
      </c>
      <c r="T85" s="11">
        <f>AR85</f>
        <v>931.21097316949</v>
      </c>
      <c r="U85" s="11">
        <f>AS85</f>
        <v>2382.5985655629893</v>
      </c>
      <c r="V85" s="11">
        <f>AT85</f>
        <v>-186.4089506712448</v>
      </c>
      <c r="W85" s="11">
        <f>AU85</f>
        <v>295.83642606497926</v>
      </c>
      <c r="X85" s="11">
        <f>AM85</f>
        <v>17670.345615483235</v>
      </c>
      <c r="Y85" s="11">
        <f>AN85</f>
        <v>-774.7934442654808</v>
      </c>
      <c r="Z85" s="11">
        <f>AO85</f>
        <v>1227.0473992344691</v>
      </c>
      <c r="AA85" s="7">
        <v>1</v>
      </c>
      <c r="AB85" s="7">
        <v>1</v>
      </c>
      <c r="AC85" s="7">
        <v>1</v>
      </c>
      <c r="AD85" s="11">
        <f>X85*AA85</f>
        <v>17670.345615483235</v>
      </c>
      <c r="AE85" s="11">
        <f>Y85*AB85</f>
        <v>-774.7934442654808</v>
      </c>
      <c r="AF85" s="11">
        <f>Z85*AC85</f>
        <v>1227.0473992344691</v>
      </c>
      <c r="AG85" s="7">
        <v>17670.345615483235</v>
      </c>
      <c r="AH85" s="7">
        <v>-774.7934442654808</v>
      </c>
      <c r="AI85" s="7">
        <v>1227.0473992344691</v>
      </c>
      <c r="AJ85" s="16">
        <f>AD85-AG85</f>
        <v>0</v>
      </c>
      <c r="AK85" s="16">
        <f>SQRT((AE85-AH85)^2+(AF85-AI85)^2)</f>
        <v>0</v>
      </c>
      <c r="AL85" s="7" t="s">
        <v>190</v>
      </c>
      <c r="AM85" s="7">
        <v>17670.345615483235</v>
      </c>
      <c r="AN85" s="7">
        <v>-774.7934442654808</v>
      </c>
      <c r="AO85" s="7">
        <v>1227.0473992344691</v>
      </c>
      <c r="AP85" s="7">
        <v>15287.747049920245</v>
      </c>
      <c r="AQ85" s="7">
        <v>-588.384493594236</v>
      </c>
      <c r="AR85" s="7">
        <v>931.21097316949</v>
      </c>
      <c r="AS85" s="7">
        <v>2382.5985655629893</v>
      </c>
      <c r="AT85" s="7">
        <v>-186.4089506712448</v>
      </c>
      <c r="AU85" s="7">
        <v>295.83642606497926</v>
      </c>
    </row>
    <row r="86" spans="1:47" x14ac:dyDescent="0.25">
      <c r="A86" s="7" t="s">
        <v>352</v>
      </c>
      <c r="B86" s="7">
        <v>5</v>
      </c>
      <c r="C86" s="19">
        <v>130</v>
      </c>
      <c r="D86" s="7" t="s">
        <v>353</v>
      </c>
      <c r="E86" s="7" t="s">
        <v>206</v>
      </c>
      <c r="F86" s="20">
        <v>130</v>
      </c>
      <c r="G86" s="7" t="s">
        <v>194</v>
      </c>
      <c r="H86" s="21">
        <v>1.1000000000000003</v>
      </c>
      <c r="I86" s="11">
        <f>MAX(('Geometry'!$G$13*COS(RADIANS(F86))+'Geometry'!$F$13*SIN(RADIANS(F86))),('Geometry'!$G$14*COS(RADIANS(F86))+'Geometry'!$F$14*SIN(RADIANS(F86))),('Geometry'!$G$15*COS(RADIANS(F86))+'Geometry'!$F$15*SIN(RADIANS(F86))),('Geometry'!$G$16*COS(RADIANS(F86))+'Geometry'!$F$16*SIN(RADIANS(F86))),('Geometry'!$G$17*COS(RADIANS(F86))+'Geometry'!$F$17*SIN(RADIANS(F86))),('Geometry'!$G$18*COS(RADIANS(F86))+'Geometry'!$F$18*SIN(RADIANS(F86))),('Geometry'!$G$19*COS(RADIANS(F86))+'Geometry'!$F$19*SIN(RADIANS(F86))),('Geometry'!$G$20*COS(RADIANS(F86))+'Geometry'!$F$20*SIN(RADIANS(F86))))</f>
        <v>831.6483762138494</v>
      </c>
      <c r="J86" s="11">
        <f>I86-H86*K86</f>
        <v>-997.9780514566196</v>
      </c>
      <c r="K86" s="11">
        <f>I86-MIN(('Geometry'!$G$13*COS(RADIANS(F86))+'Geometry'!$F$13*SIN(RADIANS(F86))),('Geometry'!$G$14*COS(RADIANS(F86))+'Geometry'!$F$14*SIN(RADIANS(F86))),('Geometry'!$G$15*COS(RADIANS(F86))+'Geometry'!$F$15*SIN(RADIANS(F86))),('Geometry'!$G$16*COS(RADIANS(F86))+'Geometry'!$F$16*SIN(RADIANS(F86))),('Geometry'!$G$17*COS(RADIANS(F86))+'Geometry'!$F$17*SIN(RADIANS(F86))),('Geometry'!$G$18*COS(RADIANS(F86))+'Geometry'!$F$18*SIN(RADIANS(F86))),('Geometry'!$G$19*COS(RADIANS(F86))+'Geometry'!$F$19*SIN(RADIANS(F86))),('Geometry'!$G$20*COS(RADIANS(F86))+'Geometry'!$F$20*SIN(RADIANS(F86))))</f>
        <v>1663.2967524276987</v>
      </c>
      <c r="L86" s="16">
        <f>C_ecu</f>
        <v>0.0033</v>
      </c>
      <c r="M86" s="16">
        <f>0</f>
        <v>0</v>
      </c>
      <c r="N86" s="22">
        <f>IF(ABS(I86-J86)&lt;0.000000000001,0,(L86-M86)/(I86-J86))</f>
        <v>0.0000018036468811841832</v>
      </c>
      <c r="O86" s="16">
        <f>L86-N86*I86</f>
        <v>0.0018000000000000002</v>
      </c>
      <c r="P86" s="22">
        <f>N86*COS(RADIANS(F86))</f>
        <v>-0.0000011593618674749628</v>
      </c>
      <c r="Q86" s="22">
        <f>N86*SIN(RADIANS(F86))</f>
        <v>0.0000013816736706800193</v>
      </c>
      <c r="R86" s="11">
        <f>AP86</f>
        <v>15287.747049920245</v>
      </c>
      <c r="S86" s="11">
        <f>AQ86</f>
        <v>-735.480616992795</v>
      </c>
      <c r="T86" s="11">
        <f>AR86</f>
        <v>1164.0137164618623</v>
      </c>
      <c r="U86" s="11">
        <f>AS86</f>
        <v>2382.5985655629893</v>
      </c>
      <c r="V86" s="11">
        <f>AT86</f>
        <v>-233.01118833905602</v>
      </c>
      <c r="W86" s="11">
        <f>AU86</f>
        <v>369.7955325812241</v>
      </c>
      <c r="X86" s="11">
        <f>AM86</f>
        <v>17670.345615483235</v>
      </c>
      <c r="Y86" s="11">
        <f>AN86</f>
        <v>-968.491805331851</v>
      </c>
      <c r="Z86" s="11">
        <f>AO86</f>
        <v>1533.8092490430865</v>
      </c>
      <c r="AA86" s="7">
        <v>1</v>
      </c>
      <c r="AB86" s="7">
        <v>1</v>
      </c>
      <c r="AC86" s="7">
        <v>1</v>
      </c>
      <c r="AD86" s="11">
        <f>X86*AA86</f>
        <v>17670.345615483235</v>
      </c>
      <c r="AE86" s="11">
        <f>Y86*AB86</f>
        <v>-968.491805331851</v>
      </c>
      <c r="AF86" s="11">
        <f>Z86*AC86</f>
        <v>1533.8092490430865</v>
      </c>
      <c r="AG86" s="7">
        <v>17670.345615483235</v>
      </c>
      <c r="AH86" s="7">
        <v>-968.491805331851</v>
      </c>
      <c r="AI86" s="7">
        <v>1533.8092490430865</v>
      </c>
      <c r="AJ86" s="16">
        <f>AD86-AG86</f>
        <v>0</v>
      </c>
      <c r="AK86" s="16">
        <f>SQRT((AE86-AH86)^2+(AF86-AI86)^2)</f>
        <v>0</v>
      </c>
      <c r="AL86" s="7" t="s">
        <v>190</v>
      </c>
      <c r="AM86" s="7">
        <v>17670.345615483235</v>
      </c>
      <c r="AN86" s="7">
        <v>-968.491805331851</v>
      </c>
      <c r="AO86" s="7">
        <v>1533.8092490430865</v>
      </c>
      <c r="AP86" s="7">
        <v>15287.747049920245</v>
      </c>
      <c r="AQ86" s="7">
        <v>-735.480616992795</v>
      </c>
      <c r="AR86" s="7">
        <v>1164.0137164618623</v>
      </c>
      <c r="AS86" s="7">
        <v>2382.5985655629893</v>
      </c>
      <c r="AT86" s="7">
        <v>-233.01118833905602</v>
      </c>
      <c r="AU86" s="7">
        <v>369.7955325812241</v>
      </c>
    </row>
    <row r="87" spans="1:47" x14ac:dyDescent="0.25">
      <c r="A87" s="7" t="s">
        <v>354</v>
      </c>
      <c r="B87" s="7">
        <v>6</v>
      </c>
      <c r="C87" s="19">
        <v>130</v>
      </c>
      <c r="D87" s="7" t="s">
        <v>355</v>
      </c>
      <c r="E87" s="7" t="s">
        <v>229</v>
      </c>
      <c r="F87" s="20">
        <v>130</v>
      </c>
      <c r="G87" s="7" t="s">
        <v>194</v>
      </c>
      <c r="H87" s="21">
        <v>1</v>
      </c>
      <c r="I87" s="11">
        <f>MAX(('Geometry'!$G$13*COS(RADIANS(F87))+'Geometry'!$F$13*SIN(RADIANS(F87))),('Geometry'!$G$14*COS(RADIANS(F87))+'Geometry'!$F$14*SIN(RADIANS(F87))),('Geometry'!$G$15*COS(RADIANS(F87))+'Geometry'!$F$15*SIN(RADIANS(F87))),('Geometry'!$G$16*COS(RADIANS(F87))+'Geometry'!$F$16*SIN(RADIANS(F87))),('Geometry'!$G$17*COS(RADIANS(F87))+'Geometry'!$F$17*SIN(RADIANS(F87))),('Geometry'!$G$18*COS(RADIANS(F87))+'Geometry'!$F$18*SIN(RADIANS(F87))),('Geometry'!$G$19*COS(RADIANS(F87))+'Geometry'!$F$19*SIN(RADIANS(F87))),('Geometry'!$G$20*COS(RADIANS(F87))+'Geometry'!$F$20*SIN(RADIANS(F87))))</f>
        <v>831.6483762138494</v>
      </c>
      <c r="J87" s="11">
        <f>I87-H87*K87</f>
        <v>-831.6483762138494</v>
      </c>
      <c r="K87" s="11">
        <f>I87-MIN(('Geometry'!$G$13*COS(RADIANS(F87))+'Geometry'!$F$13*SIN(RADIANS(F87))),('Geometry'!$G$14*COS(RADIANS(F87))+'Geometry'!$F$14*SIN(RADIANS(F87))),('Geometry'!$G$15*COS(RADIANS(F87))+'Geometry'!$F$15*SIN(RADIANS(F87))),('Geometry'!$G$16*COS(RADIANS(F87))+'Geometry'!$F$16*SIN(RADIANS(F87))),('Geometry'!$G$17*COS(RADIANS(F87))+'Geometry'!$F$17*SIN(RADIANS(F87))),('Geometry'!$G$18*COS(RADIANS(F87))+'Geometry'!$F$18*SIN(RADIANS(F87))),('Geometry'!$G$19*COS(RADIANS(F87))+'Geometry'!$F$19*SIN(RADIANS(F87))),('Geometry'!$G$20*COS(RADIANS(F87))+'Geometry'!$F$20*SIN(RADIANS(F87))))</f>
        <v>1663.2967524276987</v>
      </c>
      <c r="L87" s="16">
        <f>C_ecu</f>
        <v>0.0033</v>
      </c>
      <c r="M87" s="16">
        <f>0</f>
        <v>0</v>
      </c>
      <c r="N87" s="22">
        <f>IF(ABS(I87-J87)&lt;0.000000000001,0,(L87-M87)/(I87-J87))</f>
        <v>0.000001984011569302602</v>
      </c>
      <c r="O87" s="16">
        <f>L87-N87*I87</f>
        <v>0.00165</v>
      </c>
      <c r="P87" s="22">
        <f>N87*COS(RADIANS(F87))</f>
        <v>-0.0000012752980542224595</v>
      </c>
      <c r="Q87" s="22">
        <f>N87*SIN(RADIANS(F87))</f>
        <v>0.0000015198410377480215</v>
      </c>
      <c r="R87" s="11">
        <f>AP87</f>
        <v>15287.747049920245</v>
      </c>
      <c r="S87" s="11">
        <f>AQ87</f>
        <v>-882.5767403913541</v>
      </c>
      <c r="T87" s="11">
        <f>AR87</f>
        <v>1396.8164597542348</v>
      </c>
      <c r="U87" s="11">
        <f>AS87</f>
        <v>2382.5985655629893</v>
      </c>
      <c r="V87" s="11">
        <f>AT87</f>
        <v>-279.61342600686726</v>
      </c>
      <c r="W87" s="11">
        <f>AU87</f>
        <v>443.7546390974689</v>
      </c>
      <c r="X87" s="11">
        <f>AM87</f>
        <v>17670.345615483235</v>
      </c>
      <c r="Y87" s="11">
        <f>AN87</f>
        <v>-1162.1901663982212</v>
      </c>
      <c r="Z87" s="11">
        <f>AO87</f>
        <v>1840.571098851704</v>
      </c>
      <c r="AA87" s="7">
        <v>1</v>
      </c>
      <c r="AB87" s="7">
        <v>1</v>
      </c>
      <c r="AC87" s="7">
        <v>1</v>
      </c>
      <c r="AD87" s="11">
        <f>X87*AA87</f>
        <v>17670.345615483235</v>
      </c>
      <c r="AE87" s="11">
        <f>Y87*AB87</f>
        <v>-1162.1901663982212</v>
      </c>
      <c r="AF87" s="11">
        <f>Z87*AC87</f>
        <v>1840.571098851704</v>
      </c>
      <c r="AG87" s="7">
        <v>17670.345615483235</v>
      </c>
      <c r="AH87" s="7">
        <v>-1162.1901663982212</v>
      </c>
      <c r="AI87" s="7">
        <v>1840.571098851704</v>
      </c>
      <c r="AJ87" s="16">
        <f>AD87-AG87</f>
        <v>0</v>
      </c>
      <c r="AK87" s="16">
        <f>SQRT((AE87-AH87)^2+(AF87-AI87)^2)</f>
        <v>0</v>
      </c>
      <c r="AL87" s="7" t="s">
        <v>190</v>
      </c>
      <c r="AM87" s="7">
        <v>17670.345615483235</v>
      </c>
      <c r="AN87" s="7">
        <v>-1162.1901663982212</v>
      </c>
      <c r="AO87" s="7">
        <v>1840.571098851704</v>
      </c>
      <c r="AP87" s="7">
        <v>15287.747049920245</v>
      </c>
      <c r="AQ87" s="7">
        <v>-882.5767403913541</v>
      </c>
      <c r="AR87" s="7">
        <v>1396.8164597542348</v>
      </c>
      <c r="AS87" s="7">
        <v>2382.5985655629893</v>
      </c>
      <c r="AT87" s="7">
        <v>-279.61342600686726</v>
      </c>
      <c r="AU87" s="7">
        <v>443.7546390974689</v>
      </c>
    </row>
    <row r="88" spans="1:47" x14ac:dyDescent="0.25">
      <c r="A88" s="7" t="s">
        <v>356</v>
      </c>
      <c r="B88" s="7">
        <v>1</v>
      </c>
      <c r="C88" s="19">
        <v>140</v>
      </c>
      <c r="D88" s="7" t="s">
        <v>357</v>
      </c>
      <c r="E88" s="7" t="s">
        <v>193</v>
      </c>
      <c r="F88" s="20">
        <v>140</v>
      </c>
      <c r="G88" s="7" t="s">
        <v>194</v>
      </c>
      <c r="H88" s="21">
        <v>3.0000000000000004</v>
      </c>
      <c r="I88" s="11">
        <f>MAX(('Geometry'!$G$13*COS(RADIANS(F88))+'Geometry'!$F$13*SIN(RADIANS(F88))),('Geometry'!$G$14*COS(RADIANS(F88))+'Geometry'!$F$14*SIN(RADIANS(F88))),('Geometry'!$G$15*COS(RADIANS(F88))+'Geometry'!$F$15*SIN(RADIANS(F88))),('Geometry'!$G$16*COS(RADIANS(F88))+'Geometry'!$F$16*SIN(RADIANS(F88))),('Geometry'!$G$17*COS(RADIANS(F88))+'Geometry'!$F$17*SIN(RADIANS(F88))),('Geometry'!$G$18*COS(RADIANS(F88))+'Geometry'!$F$18*SIN(RADIANS(F88))),('Geometry'!$G$19*COS(RADIANS(F88))+'Geometry'!$F$19*SIN(RADIANS(F88))),('Geometry'!$G$20*COS(RADIANS(F88))+'Geometry'!$F$20*SIN(RADIANS(F88))))</f>
        <v>813.1598511989835</v>
      </c>
      <c r="J88" s="11">
        <f>I88-H88*K88</f>
        <v>-4065.7992559949175</v>
      </c>
      <c r="K88" s="11">
        <f>I88-MIN(('Geometry'!$G$13*COS(RADIANS(F88))+'Geometry'!$F$13*SIN(RADIANS(F88))),('Geometry'!$G$14*COS(RADIANS(F88))+'Geometry'!$F$14*SIN(RADIANS(F88))),('Geometry'!$G$15*COS(RADIANS(F88))+'Geometry'!$F$15*SIN(RADIANS(F88))),('Geometry'!$G$16*COS(RADIANS(F88))+'Geometry'!$F$16*SIN(RADIANS(F88))),('Geometry'!$G$17*COS(RADIANS(F88))+'Geometry'!$F$17*SIN(RADIANS(F88))),('Geometry'!$G$18*COS(RADIANS(F88))+'Geometry'!$F$18*SIN(RADIANS(F88))),('Geometry'!$G$19*COS(RADIANS(F88))+'Geometry'!$F$19*SIN(RADIANS(F88))),('Geometry'!$G$20*COS(RADIANS(F88))+'Geometry'!$F$20*SIN(RADIANS(F88))))</f>
        <v>1626.319702397967</v>
      </c>
      <c r="L88" s="16">
        <f>C_ecu</f>
        <v>0.0033</v>
      </c>
      <c r="M88" s="16">
        <f>0</f>
        <v>0</v>
      </c>
      <c r="N88" s="22">
        <f>IF(ABS(I88-J88)&lt;0.000000000001,0,(L88-M88)/(I88-J88))</f>
        <v>6.763737771719041e-7</v>
      </c>
      <c r="O88" s="16">
        <f>L88-N88*I88</f>
        <v>0.00275</v>
      </c>
      <c r="P88" s="22">
        <f>N88*COS(RADIANS(F88))</f>
        <v>-5.181323734739309e-7</v>
      </c>
      <c r="Q88" s="22">
        <f>N88*SIN(RADIANS(F88))</f>
        <v>4.3476468348298433e-7</v>
      </c>
      <c r="R88" s="11">
        <f>AP88</f>
        <v>15280.212108804444</v>
      </c>
      <c r="S88" s="11">
        <f>AQ88</f>
        <v>-177.15919883529398</v>
      </c>
      <c r="T88" s="11">
        <f>AR88</f>
        <v>203.5021061534567</v>
      </c>
      <c r="U88" s="11">
        <f>AS88</f>
        <v>2390.1335066787897</v>
      </c>
      <c r="V88" s="11">
        <f>AT88</f>
        <v>-56.58761953479529</v>
      </c>
      <c r="W88" s="11">
        <f>AU88</f>
        <v>65.06422036510743</v>
      </c>
      <c r="X88" s="11">
        <f>AM88</f>
        <v>17670.345615483235</v>
      </c>
      <c r="Y88" s="11">
        <f>AN88</f>
        <v>-233.74681837008927</v>
      </c>
      <c r="Z88" s="11">
        <f>AO88</f>
        <v>268.56632651856415</v>
      </c>
      <c r="AA88" s="7">
        <v>1</v>
      </c>
      <c r="AB88" s="7">
        <v>1</v>
      </c>
      <c r="AC88" s="7">
        <v>1</v>
      </c>
      <c r="AD88" s="11">
        <f>X88*AA88</f>
        <v>17670.345615483235</v>
      </c>
      <c r="AE88" s="11">
        <f>Y88*AB88</f>
        <v>-233.74681837008927</v>
      </c>
      <c r="AF88" s="11">
        <f>Z88*AC88</f>
        <v>268.56632651856415</v>
      </c>
      <c r="AG88" s="7">
        <v>17670.345615483235</v>
      </c>
      <c r="AH88" s="7">
        <v>-233.74681837008927</v>
      </c>
      <c r="AI88" s="7">
        <v>268.56632651856415</v>
      </c>
      <c r="AJ88" s="16">
        <f>AD88-AG88</f>
        <v>0</v>
      </c>
      <c r="AK88" s="16">
        <f>SQRT((AE88-AH88)^2+(AF88-AI88)^2)</f>
        <v>0</v>
      </c>
      <c r="AL88" s="7" t="s">
        <v>190</v>
      </c>
      <c r="AM88" s="7">
        <v>17670.345615483235</v>
      </c>
      <c r="AN88" s="7">
        <v>-233.74681837008927</v>
      </c>
      <c r="AO88" s="7">
        <v>268.56632651856415</v>
      </c>
      <c r="AP88" s="7">
        <v>15280.212108804444</v>
      </c>
      <c r="AQ88" s="7">
        <v>-177.15919883529398</v>
      </c>
      <c r="AR88" s="7">
        <v>203.5021061534567</v>
      </c>
      <c r="AS88" s="7">
        <v>2390.1335066787897</v>
      </c>
      <c r="AT88" s="7">
        <v>-56.58761953479529</v>
      </c>
      <c r="AU88" s="7">
        <v>65.06422036510743</v>
      </c>
    </row>
    <row r="89" spans="1:47" x14ac:dyDescent="0.25">
      <c r="A89" s="7" t="s">
        <v>358</v>
      </c>
      <c r="B89" s="7">
        <v>2</v>
      </c>
      <c r="C89" s="19">
        <v>140</v>
      </c>
      <c r="D89" s="7" t="s">
        <v>359</v>
      </c>
      <c r="E89" s="7" t="s">
        <v>197</v>
      </c>
      <c r="F89" s="20">
        <v>140</v>
      </c>
      <c r="G89" s="7" t="s">
        <v>194</v>
      </c>
      <c r="H89" s="21">
        <v>2</v>
      </c>
      <c r="I89" s="11">
        <f>MAX(('Geometry'!$G$13*COS(RADIANS(F89))+'Geometry'!$F$13*SIN(RADIANS(F89))),('Geometry'!$G$14*COS(RADIANS(F89))+'Geometry'!$F$14*SIN(RADIANS(F89))),('Geometry'!$G$15*COS(RADIANS(F89))+'Geometry'!$F$15*SIN(RADIANS(F89))),('Geometry'!$G$16*COS(RADIANS(F89))+'Geometry'!$F$16*SIN(RADIANS(F89))),('Geometry'!$G$17*COS(RADIANS(F89))+'Geometry'!$F$17*SIN(RADIANS(F89))),('Geometry'!$G$18*COS(RADIANS(F89))+'Geometry'!$F$18*SIN(RADIANS(F89))),('Geometry'!$G$19*COS(RADIANS(F89))+'Geometry'!$F$19*SIN(RADIANS(F89))),('Geometry'!$G$20*COS(RADIANS(F89))+'Geometry'!$F$20*SIN(RADIANS(F89))))</f>
        <v>813.1598511989835</v>
      </c>
      <c r="J89" s="11">
        <f>I89-H89*K89</f>
        <v>-2439.4795535969506</v>
      </c>
      <c r="K89" s="11">
        <f>I89-MIN(('Geometry'!$G$13*COS(RADIANS(F89))+'Geometry'!$F$13*SIN(RADIANS(F89))),('Geometry'!$G$14*COS(RADIANS(F89))+'Geometry'!$F$14*SIN(RADIANS(F89))),('Geometry'!$G$15*COS(RADIANS(F89))+'Geometry'!$F$15*SIN(RADIANS(F89))),('Geometry'!$G$16*COS(RADIANS(F89))+'Geometry'!$F$16*SIN(RADIANS(F89))),('Geometry'!$G$17*COS(RADIANS(F89))+'Geometry'!$F$17*SIN(RADIANS(F89))),('Geometry'!$G$18*COS(RADIANS(F89))+'Geometry'!$F$18*SIN(RADIANS(F89))),('Geometry'!$G$19*COS(RADIANS(F89))+'Geometry'!$F$19*SIN(RADIANS(F89))),('Geometry'!$G$20*COS(RADIANS(F89))+'Geometry'!$F$20*SIN(RADIANS(F89))))</f>
        <v>1626.319702397967</v>
      </c>
      <c r="L89" s="16">
        <f>C_ecu</f>
        <v>0.0033</v>
      </c>
      <c r="M89" s="16">
        <f>0</f>
        <v>0</v>
      </c>
      <c r="N89" s="22">
        <f>IF(ABS(I89-J89)&lt;0.000000000001,0,(L89-M89)/(I89-J89))</f>
        <v>0.0000010145606657578562</v>
      </c>
      <c r="O89" s="16">
        <f>L89-N89*I89</f>
        <v>0.002475</v>
      </c>
      <c r="P89" s="22">
        <f>N89*COS(RADIANS(F89))</f>
        <v>-7.771985602108964e-7</v>
      </c>
      <c r="Q89" s="22">
        <f>N89*SIN(RADIANS(F89))</f>
        <v>6.521470252244765e-7</v>
      </c>
      <c r="R89" s="11">
        <f>AP89</f>
        <v>15280.212108804444</v>
      </c>
      <c r="S89" s="11">
        <f>AQ89</f>
        <v>-354.31839767058796</v>
      </c>
      <c r="T89" s="11">
        <f>AR89</f>
        <v>407.0042123069134</v>
      </c>
      <c r="U89" s="11">
        <f>AS89</f>
        <v>2390.1335066787897</v>
      </c>
      <c r="V89" s="11">
        <f>AT89</f>
        <v>-113.17523906959057</v>
      </c>
      <c r="W89" s="11">
        <f>AU89</f>
        <v>130.12844073021486</v>
      </c>
      <c r="X89" s="11">
        <f>AM89</f>
        <v>17670.345615483235</v>
      </c>
      <c r="Y89" s="11">
        <f>AN89</f>
        <v>-467.49363674017854</v>
      </c>
      <c r="Z89" s="11">
        <f>AO89</f>
        <v>537.1326530371283</v>
      </c>
      <c r="AA89" s="7">
        <v>1</v>
      </c>
      <c r="AB89" s="7">
        <v>1</v>
      </c>
      <c r="AC89" s="7">
        <v>1</v>
      </c>
      <c r="AD89" s="11">
        <f>X89*AA89</f>
        <v>17670.345615483235</v>
      </c>
      <c r="AE89" s="11">
        <f>Y89*AB89</f>
        <v>-467.49363674017854</v>
      </c>
      <c r="AF89" s="11">
        <f>Z89*AC89</f>
        <v>537.1326530371283</v>
      </c>
      <c r="AG89" s="7">
        <v>17670.345615483235</v>
      </c>
      <c r="AH89" s="7">
        <v>-467.49363674017854</v>
      </c>
      <c r="AI89" s="7">
        <v>537.1326530371283</v>
      </c>
      <c r="AJ89" s="16">
        <f>AD89-AG89</f>
        <v>0</v>
      </c>
      <c r="AK89" s="16">
        <f>SQRT((AE89-AH89)^2+(AF89-AI89)^2)</f>
        <v>0</v>
      </c>
      <c r="AL89" s="7" t="s">
        <v>190</v>
      </c>
      <c r="AM89" s="7">
        <v>17670.345615483235</v>
      </c>
      <c r="AN89" s="7">
        <v>-467.49363674017854</v>
      </c>
      <c r="AO89" s="7">
        <v>537.1326530371283</v>
      </c>
      <c r="AP89" s="7">
        <v>15280.212108804444</v>
      </c>
      <c r="AQ89" s="7">
        <v>-354.31839767058796</v>
      </c>
      <c r="AR89" s="7">
        <v>407.0042123069134</v>
      </c>
      <c r="AS89" s="7">
        <v>2390.1335066787897</v>
      </c>
      <c r="AT89" s="7">
        <v>-113.17523906959057</v>
      </c>
      <c r="AU89" s="7">
        <v>130.12844073021486</v>
      </c>
    </row>
    <row r="90" spans="1:47" x14ac:dyDescent="0.25">
      <c r="A90" s="7" t="s">
        <v>360</v>
      </c>
      <c r="B90" s="7">
        <v>3</v>
      </c>
      <c r="C90" s="19">
        <v>140</v>
      </c>
      <c r="D90" s="7" t="s">
        <v>361</v>
      </c>
      <c r="E90" s="7" t="s">
        <v>200</v>
      </c>
      <c r="F90" s="20">
        <v>140</v>
      </c>
      <c r="G90" s="7" t="s">
        <v>194</v>
      </c>
      <c r="H90" s="21">
        <v>1.5000000000000002</v>
      </c>
      <c r="I90" s="11">
        <f>MAX(('Geometry'!$G$13*COS(RADIANS(F90))+'Geometry'!$F$13*SIN(RADIANS(F90))),('Geometry'!$G$14*COS(RADIANS(F90))+'Geometry'!$F$14*SIN(RADIANS(F90))),('Geometry'!$G$15*COS(RADIANS(F90))+'Geometry'!$F$15*SIN(RADIANS(F90))),('Geometry'!$G$16*COS(RADIANS(F90))+'Geometry'!$F$16*SIN(RADIANS(F90))),('Geometry'!$G$17*COS(RADIANS(F90))+'Geometry'!$F$17*SIN(RADIANS(F90))),('Geometry'!$G$18*COS(RADIANS(F90))+'Geometry'!$F$18*SIN(RADIANS(F90))),('Geometry'!$G$19*COS(RADIANS(F90))+'Geometry'!$F$19*SIN(RADIANS(F90))),('Geometry'!$G$20*COS(RADIANS(F90))+'Geometry'!$F$20*SIN(RADIANS(F90))))</f>
        <v>813.1598511989835</v>
      </c>
      <c r="J90" s="11">
        <f>I90-H90*K90</f>
        <v>-1626.3197023979671</v>
      </c>
      <c r="K90" s="11">
        <f>I90-MIN(('Geometry'!$G$13*COS(RADIANS(F90))+'Geometry'!$F$13*SIN(RADIANS(F90))),('Geometry'!$G$14*COS(RADIANS(F90))+'Geometry'!$F$14*SIN(RADIANS(F90))),('Geometry'!$G$15*COS(RADIANS(F90))+'Geometry'!$F$15*SIN(RADIANS(F90))),('Geometry'!$G$16*COS(RADIANS(F90))+'Geometry'!$F$16*SIN(RADIANS(F90))),('Geometry'!$G$17*COS(RADIANS(F90))+'Geometry'!$F$17*SIN(RADIANS(F90))),('Geometry'!$G$18*COS(RADIANS(F90))+'Geometry'!$F$18*SIN(RADIANS(F90))),('Geometry'!$G$19*COS(RADIANS(F90))+'Geometry'!$F$19*SIN(RADIANS(F90))),('Geometry'!$G$20*COS(RADIANS(F90))+'Geometry'!$F$20*SIN(RADIANS(F90))))</f>
        <v>1626.319702397967</v>
      </c>
      <c r="L90" s="16">
        <f>C_ecu</f>
        <v>0.0033</v>
      </c>
      <c r="M90" s="16">
        <f>0</f>
        <v>0</v>
      </c>
      <c r="N90" s="22">
        <f>IF(ABS(I90-J90)&lt;0.000000000001,0,(L90-M90)/(I90-J90))</f>
        <v>0.0000013527475543438082</v>
      </c>
      <c r="O90" s="16">
        <f>L90-N90*I90</f>
        <v>0.0022</v>
      </c>
      <c r="P90" s="22">
        <f>N90*COS(RADIANS(F90))</f>
        <v>-0.0000010362647469478618</v>
      </c>
      <c r="Q90" s="22">
        <f>N90*SIN(RADIANS(F90))</f>
        <v>8.695293669659687e-7</v>
      </c>
      <c r="R90" s="11">
        <f>AP90</f>
        <v>15280.212108804444</v>
      </c>
      <c r="S90" s="11">
        <f>AQ90</f>
        <v>-531.4775965058819</v>
      </c>
      <c r="T90" s="11">
        <f>AR90</f>
        <v>610.5063184603702</v>
      </c>
      <c r="U90" s="11">
        <f>AS90</f>
        <v>2390.1335066787897</v>
      </c>
      <c r="V90" s="11">
        <f>AT90</f>
        <v>-169.76285860438588</v>
      </c>
      <c r="W90" s="11">
        <f>AU90</f>
        <v>195.19266109532228</v>
      </c>
      <c r="X90" s="11">
        <f>AM90</f>
        <v>17670.345615483235</v>
      </c>
      <c r="Y90" s="11">
        <f>AN90</f>
        <v>-701.2404551102679</v>
      </c>
      <c r="Z90" s="11">
        <f>AO90</f>
        <v>805.6989795556925</v>
      </c>
      <c r="AA90" s="7">
        <v>1</v>
      </c>
      <c r="AB90" s="7">
        <v>1</v>
      </c>
      <c r="AC90" s="7">
        <v>1</v>
      </c>
      <c r="AD90" s="11">
        <f>X90*AA90</f>
        <v>17670.345615483235</v>
      </c>
      <c r="AE90" s="11">
        <f>Y90*AB90</f>
        <v>-701.2404551102679</v>
      </c>
      <c r="AF90" s="11">
        <f>Z90*AC90</f>
        <v>805.6989795556925</v>
      </c>
      <c r="AG90" s="7">
        <v>17670.345615483235</v>
      </c>
      <c r="AH90" s="7">
        <v>-701.2404551102679</v>
      </c>
      <c r="AI90" s="7">
        <v>805.6989795556925</v>
      </c>
      <c r="AJ90" s="16">
        <f>AD90-AG90</f>
        <v>0</v>
      </c>
      <c r="AK90" s="16">
        <f>SQRT((AE90-AH90)^2+(AF90-AI90)^2)</f>
        <v>0</v>
      </c>
      <c r="AL90" s="7" t="s">
        <v>190</v>
      </c>
      <c r="AM90" s="7">
        <v>17670.345615483235</v>
      </c>
      <c r="AN90" s="7">
        <v>-701.2404551102679</v>
      </c>
      <c r="AO90" s="7">
        <v>805.6989795556925</v>
      </c>
      <c r="AP90" s="7">
        <v>15280.212108804444</v>
      </c>
      <c r="AQ90" s="7">
        <v>-531.4775965058819</v>
      </c>
      <c r="AR90" s="7">
        <v>610.5063184603702</v>
      </c>
      <c r="AS90" s="7">
        <v>2390.1335066787897</v>
      </c>
      <c r="AT90" s="7">
        <v>-169.76285860438588</v>
      </c>
      <c r="AU90" s="7">
        <v>195.19266109532228</v>
      </c>
    </row>
    <row r="91" spans="1:47" x14ac:dyDescent="0.25">
      <c r="A91" s="7" t="s">
        <v>362</v>
      </c>
      <c r="B91" s="7">
        <v>4</v>
      </c>
      <c r="C91" s="19">
        <v>140</v>
      </c>
      <c r="D91" s="7" t="s">
        <v>363</v>
      </c>
      <c r="E91" s="7" t="s">
        <v>203</v>
      </c>
      <c r="F91" s="20">
        <v>140</v>
      </c>
      <c r="G91" s="7" t="s">
        <v>194</v>
      </c>
      <c r="H91" s="21">
        <v>1.2</v>
      </c>
      <c r="I91" s="11">
        <f>MAX(('Geometry'!$G$13*COS(RADIANS(F91))+'Geometry'!$F$13*SIN(RADIANS(F91))),('Geometry'!$G$14*COS(RADIANS(F91))+'Geometry'!$F$14*SIN(RADIANS(F91))),('Geometry'!$G$15*COS(RADIANS(F91))+'Geometry'!$F$15*SIN(RADIANS(F91))),('Geometry'!$G$16*COS(RADIANS(F91))+'Geometry'!$F$16*SIN(RADIANS(F91))),('Geometry'!$G$17*COS(RADIANS(F91))+'Geometry'!$F$17*SIN(RADIANS(F91))),('Geometry'!$G$18*COS(RADIANS(F91))+'Geometry'!$F$18*SIN(RADIANS(F91))),('Geometry'!$G$19*COS(RADIANS(F91))+'Geometry'!$F$19*SIN(RADIANS(F91))),('Geometry'!$G$20*COS(RADIANS(F91))+'Geometry'!$F$20*SIN(RADIANS(F91))))</f>
        <v>813.1598511989835</v>
      </c>
      <c r="J91" s="11">
        <f>I91-H91*K91</f>
        <v>-1138.4237916785767</v>
      </c>
      <c r="K91" s="11">
        <f>I91-MIN(('Geometry'!$G$13*COS(RADIANS(F91))+'Geometry'!$F$13*SIN(RADIANS(F91))),('Geometry'!$G$14*COS(RADIANS(F91))+'Geometry'!$F$14*SIN(RADIANS(F91))),('Geometry'!$G$15*COS(RADIANS(F91))+'Geometry'!$F$15*SIN(RADIANS(F91))),('Geometry'!$G$16*COS(RADIANS(F91))+'Geometry'!$F$16*SIN(RADIANS(F91))),('Geometry'!$G$17*COS(RADIANS(F91))+'Geometry'!$F$17*SIN(RADIANS(F91))),('Geometry'!$G$18*COS(RADIANS(F91))+'Geometry'!$F$18*SIN(RADIANS(F91))),('Geometry'!$G$19*COS(RADIANS(F91))+'Geometry'!$F$19*SIN(RADIANS(F91))),('Geometry'!$G$20*COS(RADIANS(F91))+'Geometry'!$F$20*SIN(RADIANS(F91))))</f>
        <v>1626.319702397967</v>
      </c>
      <c r="L91" s="16">
        <f>C_ecu</f>
        <v>0.0033</v>
      </c>
      <c r="M91" s="16">
        <f>0</f>
        <v>0</v>
      </c>
      <c r="N91" s="22">
        <f>IF(ABS(I91-J91)&lt;0.000000000001,0,(L91-M91)/(I91-J91))</f>
        <v>0.0000016909344429297605</v>
      </c>
      <c r="O91" s="16">
        <f>L91-N91*I91</f>
        <v>0.0019249999999999998</v>
      </c>
      <c r="P91" s="22">
        <f>N91*COS(RADIANS(F91))</f>
        <v>-0.0000012953309336848276</v>
      </c>
      <c r="Q91" s="22">
        <f>N91*SIN(RADIANS(F91))</f>
        <v>0.000001086911708707461</v>
      </c>
      <c r="R91" s="11">
        <f>AP91</f>
        <v>15280.212108804444</v>
      </c>
      <c r="S91" s="11">
        <f>AQ91</f>
        <v>-708.6367953411759</v>
      </c>
      <c r="T91" s="11">
        <f>AR91</f>
        <v>814.0084246138268</v>
      </c>
      <c r="U91" s="11">
        <f>AS91</f>
        <v>2390.1335066787897</v>
      </c>
      <c r="V91" s="11">
        <f>AT91</f>
        <v>-226.35047813918115</v>
      </c>
      <c r="W91" s="11">
        <f>AU91</f>
        <v>260.2568814604297</v>
      </c>
      <c r="X91" s="11">
        <f>AM91</f>
        <v>17670.345615483235</v>
      </c>
      <c r="Y91" s="11">
        <f>AN91</f>
        <v>-934.9872734803571</v>
      </c>
      <c r="Z91" s="11">
        <f>AO91</f>
        <v>1074.2653060742566</v>
      </c>
      <c r="AA91" s="7">
        <v>1</v>
      </c>
      <c r="AB91" s="7">
        <v>1</v>
      </c>
      <c r="AC91" s="7">
        <v>1</v>
      </c>
      <c r="AD91" s="11">
        <f>X91*AA91</f>
        <v>17670.345615483235</v>
      </c>
      <c r="AE91" s="11">
        <f>Y91*AB91</f>
        <v>-934.9872734803571</v>
      </c>
      <c r="AF91" s="11">
        <f>Z91*AC91</f>
        <v>1074.2653060742566</v>
      </c>
      <c r="AG91" s="7">
        <v>17670.345615483235</v>
      </c>
      <c r="AH91" s="7">
        <v>-934.9872734803571</v>
      </c>
      <c r="AI91" s="7">
        <v>1074.2653060742566</v>
      </c>
      <c r="AJ91" s="16">
        <f>AD91-AG91</f>
        <v>0</v>
      </c>
      <c r="AK91" s="16">
        <f>SQRT((AE91-AH91)^2+(AF91-AI91)^2)</f>
        <v>0</v>
      </c>
      <c r="AL91" s="7" t="s">
        <v>190</v>
      </c>
      <c r="AM91" s="7">
        <v>17670.345615483235</v>
      </c>
      <c r="AN91" s="7">
        <v>-934.9872734803571</v>
      </c>
      <c r="AO91" s="7">
        <v>1074.2653060742566</v>
      </c>
      <c r="AP91" s="7">
        <v>15280.212108804444</v>
      </c>
      <c r="AQ91" s="7">
        <v>-708.6367953411759</v>
      </c>
      <c r="AR91" s="7">
        <v>814.0084246138268</v>
      </c>
      <c r="AS91" s="7">
        <v>2390.1335066787897</v>
      </c>
      <c r="AT91" s="7">
        <v>-226.35047813918115</v>
      </c>
      <c r="AU91" s="7">
        <v>260.2568814604297</v>
      </c>
    </row>
    <row r="92" spans="1:47" x14ac:dyDescent="0.25">
      <c r="A92" s="7" t="s">
        <v>364</v>
      </c>
      <c r="B92" s="7">
        <v>5</v>
      </c>
      <c r="C92" s="19">
        <v>140</v>
      </c>
      <c r="D92" s="7" t="s">
        <v>365</v>
      </c>
      <c r="E92" s="7" t="s">
        <v>206</v>
      </c>
      <c r="F92" s="20">
        <v>140</v>
      </c>
      <c r="G92" s="7" t="s">
        <v>194</v>
      </c>
      <c r="H92" s="21">
        <v>1.1</v>
      </c>
      <c r="I92" s="11">
        <f>MAX(('Geometry'!$G$13*COS(RADIANS(F92))+'Geometry'!$F$13*SIN(RADIANS(F92))),('Geometry'!$G$14*COS(RADIANS(F92))+'Geometry'!$F$14*SIN(RADIANS(F92))),('Geometry'!$G$15*COS(RADIANS(F92))+'Geometry'!$F$15*SIN(RADIANS(F92))),('Geometry'!$G$16*COS(RADIANS(F92))+'Geometry'!$F$16*SIN(RADIANS(F92))),('Geometry'!$G$17*COS(RADIANS(F92))+'Geometry'!$F$17*SIN(RADIANS(F92))),('Geometry'!$G$18*COS(RADIANS(F92))+'Geometry'!$F$18*SIN(RADIANS(F92))),('Geometry'!$G$19*COS(RADIANS(F92))+'Geometry'!$F$19*SIN(RADIANS(F92))),('Geometry'!$G$20*COS(RADIANS(F92))+'Geometry'!$F$20*SIN(RADIANS(F92))))</f>
        <v>813.1598511989835</v>
      </c>
      <c r="J92" s="11">
        <f>I92-H92*K92</f>
        <v>-975.7918214387802</v>
      </c>
      <c r="K92" s="11">
        <f>I92-MIN(('Geometry'!$G$13*COS(RADIANS(F92))+'Geometry'!$F$13*SIN(RADIANS(F92))),('Geometry'!$G$14*COS(RADIANS(F92))+'Geometry'!$F$14*SIN(RADIANS(F92))),('Geometry'!$G$15*COS(RADIANS(F92))+'Geometry'!$F$15*SIN(RADIANS(F92))),('Geometry'!$G$16*COS(RADIANS(F92))+'Geometry'!$F$16*SIN(RADIANS(F92))),('Geometry'!$G$17*COS(RADIANS(F92))+'Geometry'!$F$17*SIN(RADIANS(F92))),('Geometry'!$G$18*COS(RADIANS(F92))+'Geometry'!$F$18*SIN(RADIANS(F92))),('Geometry'!$G$19*COS(RADIANS(F92))+'Geometry'!$F$19*SIN(RADIANS(F92))),('Geometry'!$G$20*COS(RADIANS(F92))+'Geometry'!$F$20*SIN(RADIANS(F92))))</f>
        <v>1626.319702397967</v>
      </c>
      <c r="L92" s="16">
        <f>C_ecu</f>
        <v>0.0033</v>
      </c>
      <c r="M92" s="16">
        <f>0</f>
        <v>0</v>
      </c>
      <c r="N92" s="22">
        <f>IF(ABS(I92-J92)&lt;0.000000000001,0,(L92-M92)/(I92-J92))</f>
        <v>0.000001844655755923375</v>
      </c>
      <c r="O92" s="16">
        <f>L92-N92*I92</f>
        <v>0.0018</v>
      </c>
      <c r="P92" s="22">
        <f>N92*COS(RADIANS(F92))</f>
        <v>-0.000001413088291292539</v>
      </c>
      <c r="Q92" s="22">
        <f>N92*SIN(RADIANS(F92))</f>
        <v>0.0000011857218640445027</v>
      </c>
      <c r="R92" s="11">
        <f>AP92</f>
        <v>15280.212108804444</v>
      </c>
      <c r="S92" s="11">
        <f>AQ92</f>
        <v>-885.7959941764699</v>
      </c>
      <c r="T92" s="11">
        <f>AR92</f>
        <v>1017.5105307672836</v>
      </c>
      <c r="U92" s="11">
        <f>AS92</f>
        <v>2390.1335066787897</v>
      </c>
      <c r="V92" s="11">
        <f>AT92</f>
        <v>-282.9380976739765</v>
      </c>
      <c r="W92" s="11">
        <f>AU92</f>
        <v>325.32110182553714</v>
      </c>
      <c r="X92" s="11">
        <f>AM92</f>
        <v>17670.345615483235</v>
      </c>
      <c r="Y92" s="11">
        <f>AN92</f>
        <v>-1168.7340918504465</v>
      </c>
      <c r="Z92" s="11">
        <f>AO92</f>
        <v>1342.8316325928208</v>
      </c>
      <c r="AA92" s="7">
        <v>1</v>
      </c>
      <c r="AB92" s="7">
        <v>1</v>
      </c>
      <c r="AC92" s="7">
        <v>1</v>
      </c>
      <c r="AD92" s="11">
        <f>X92*AA92</f>
        <v>17670.345615483235</v>
      </c>
      <c r="AE92" s="11">
        <f>Y92*AB92</f>
        <v>-1168.7340918504465</v>
      </c>
      <c r="AF92" s="11">
        <f>Z92*AC92</f>
        <v>1342.8316325928208</v>
      </c>
      <c r="AG92" s="7">
        <v>17670.345615483235</v>
      </c>
      <c r="AH92" s="7">
        <v>-1168.7340918504465</v>
      </c>
      <c r="AI92" s="7">
        <v>1342.8316325928208</v>
      </c>
      <c r="AJ92" s="16">
        <f>AD92-AG92</f>
        <v>0</v>
      </c>
      <c r="AK92" s="16">
        <f>SQRT((AE92-AH92)^2+(AF92-AI92)^2)</f>
        <v>0</v>
      </c>
      <c r="AL92" s="7" t="s">
        <v>190</v>
      </c>
      <c r="AM92" s="7">
        <v>17670.345615483235</v>
      </c>
      <c r="AN92" s="7">
        <v>-1168.7340918504465</v>
      </c>
      <c r="AO92" s="7">
        <v>1342.8316325928208</v>
      </c>
      <c r="AP92" s="7">
        <v>15280.212108804444</v>
      </c>
      <c r="AQ92" s="7">
        <v>-885.7959941764699</v>
      </c>
      <c r="AR92" s="7">
        <v>1017.5105307672836</v>
      </c>
      <c r="AS92" s="7">
        <v>2390.1335066787897</v>
      </c>
      <c r="AT92" s="7">
        <v>-282.9380976739765</v>
      </c>
      <c r="AU92" s="7">
        <v>325.32110182553714</v>
      </c>
    </row>
    <row r="93" spans="1:47" x14ac:dyDescent="0.25">
      <c r="A93" s="7" t="s">
        <v>366</v>
      </c>
      <c r="B93" s="7">
        <v>6</v>
      </c>
      <c r="C93" s="19">
        <v>140</v>
      </c>
      <c r="D93" s="7" t="s">
        <v>367</v>
      </c>
      <c r="E93" s="7" t="s">
        <v>229</v>
      </c>
      <c r="F93" s="20">
        <v>140</v>
      </c>
      <c r="G93" s="7" t="s">
        <v>194</v>
      </c>
      <c r="H93" s="21">
        <v>1.0000000000000002</v>
      </c>
      <c r="I93" s="11">
        <f>MAX(('Geometry'!$G$13*COS(RADIANS(F93))+'Geometry'!$F$13*SIN(RADIANS(F93))),('Geometry'!$G$14*COS(RADIANS(F93))+'Geometry'!$F$14*SIN(RADIANS(F93))),('Geometry'!$G$15*COS(RADIANS(F93))+'Geometry'!$F$15*SIN(RADIANS(F93))),('Geometry'!$G$16*COS(RADIANS(F93))+'Geometry'!$F$16*SIN(RADIANS(F93))),('Geometry'!$G$17*COS(RADIANS(F93))+'Geometry'!$F$17*SIN(RADIANS(F93))),('Geometry'!$G$18*COS(RADIANS(F93))+'Geometry'!$F$18*SIN(RADIANS(F93))),('Geometry'!$G$19*COS(RADIANS(F93))+'Geometry'!$F$19*SIN(RADIANS(F93))),('Geometry'!$G$20*COS(RADIANS(F93))+'Geometry'!$F$20*SIN(RADIANS(F93))))</f>
        <v>813.1598511989835</v>
      </c>
      <c r="J93" s="11">
        <f>I93-H93*K93</f>
        <v>-813.1598511989837</v>
      </c>
      <c r="K93" s="11">
        <f>I93-MIN(('Geometry'!$G$13*COS(RADIANS(F93))+'Geometry'!$F$13*SIN(RADIANS(F93))),('Geometry'!$G$14*COS(RADIANS(F93))+'Geometry'!$F$14*SIN(RADIANS(F93))),('Geometry'!$G$15*COS(RADIANS(F93))+'Geometry'!$F$15*SIN(RADIANS(F93))),('Geometry'!$G$16*COS(RADIANS(F93))+'Geometry'!$F$16*SIN(RADIANS(F93))),('Geometry'!$G$17*COS(RADIANS(F93))+'Geometry'!$F$17*SIN(RADIANS(F93))),('Geometry'!$G$18*COS(RADIANS(F93))+'Geometry'!$F$18*SIN(RADIANS(F93))),('Geometry'!$G$19*COS(RADIANS(F93))+'Geometry'!$F$19*SIN(RADIANS(F93))),('Geometry'!$G$20*COS(RADIANS(F93))+'Geometry'!$F$20*SIN(RADIANS(F93))))</f>
        <v>1626.319702397967</v>
      </c>
      <c r="L93" s="16">
        <f>C_ecu</f>
        <v>0.0033</v>
      </c>
      <c r="M93" s="16">
        <f>0</f>
        <v>0</v>
      </c>
      <c r="N93" s="22">
        <f>IF(ABS(I93-J93)&lt;0.000000000001,0,(L93-M93)/(I93-J93))</f>
        <v>0.0000020291213315157124</v>
      </c>
      <c r="O93" s="16">
        <f>L93-N93*I93</f>
        <v>0.0016500000000000002</v>
      </c>
      <c r="P93" s="22">
        <f>N93*COS(RADIANS(F93))</f>
        <v>-0.0000015543971204217928</v>
      </c>
      <c r="Q93" s="22">
        <f>N93*SIN(RADIANS(F93))</f>
        <v>0.000001304294050448953</v>
      </c>
      <c r="R93" s="11">
        <f>AP93</f>
        <v>15280.212108804444</v>
      </c>
      <c r="S93" s="11">
        <f>AQ93</f>
        <v>-1062.9551930117639</v>
      </c>
      <c r="T93" s="11">
        <f>AR93</f>
        <v>1221.0126369207403</v>
      </c>
      <c r="U93" s="11">
        <f>AS93</f>
        <v>2390.1335066787897</v>
      </c>
      <c r="V93" s="11">
        <f>AT93</f>
        <v>-339.52571720877177</v>
      </c>
      <c r="W93" s="11">
        <f>AU93</f>
        <v>390.38532219064456</v>
      </c>
      <c r="X93" s="11">
        <f>AM93</f>
        <v>17670.345615483235</v>
      </c>
      <c r="Y93" s="11">
        <f>AN93</f>
        <v>-1402.4809102205359</v>
      </c>
      <c r="Z93" s="11">
        <f>AO93</f>
        <v>1611.397959111385</v>
      </c>
      <c r="AA93" s="7">
        <v>1</v>
      </c>
      <c r="AB93" s="7">
        <v>1</v>
      </c>
      <c r="AC93" s="7">
        <v>1</v>
      </c>
      <c r="AD93" s="11">
        <f>X93*AA93</f>
        <v>17670.345615483235</v>
      </c>
      <c r="AE93" s="11">
        <f>Y93*AB93</f>
        <v>-1402.4809102205359</v>
      </c>
      <c r="AF93" s="11">
        <f>Z93*AC93</f>
        <v>1611.397959111385</v>
      </c>
      <c r="AG93" s="7">
        <v>17670.345615483235</v>
      </c>
      <c r="AH93" s="7">
        <v>-1402.4809102205359</v>
      </c>
      <c r="AI93" s="7">
        <v>1611.397959111385</v>
      </c>
      <c r="AJ93" s="16">
        <f>AD93-AG93</f>
        <v>0</v>
      </c>
      <c r="AK93" s="16">
        <f>SQRT((AE93-AH93)^2+(AF93-AI93)^2)</f>
        <v>0</v>
      </c>
      <c r="AL93" s="7" t="s">
        <v>190</v>
      </c>
      <c r="AM93" s="7">
        <v>17670.345615483235</v>
      </c>
      <c r="AN93" s="7">
        <v>-1402.4809102205359</v>
      </c>
      <c r="AO93" s="7">
        <v>1611.397959111385</v>
      </c>
      <c r="AP93" s="7">
        <v>15280.212108804444</v>
      </c>
      <c r="AQ93" s="7">
        <v>-1062.9551930117639</v>
      </c>
      <c r="AR93" s="7">
        <v>1221.0126369207403</v>
      </c>
      <c r="AS93" s="7">
        <v>2390.1335066787897</v>
      </c>
      <c r="AT93" s="7">
        <v>-339.52571720877177</v>
      </c>
      <c r="AU93" s="7">
        <v>390.38532219064456</v>
      </c>
    </row>
    <row r="94" spans="1:47" x14ac:dyDescent="0.25">
      <c r="A94" s="7" t="s">
        <v>368</v>
      </c>
      <c r="B94" s="7">
        <v>1</v>
      </c>
      <c r="C94" s="19">
        <v>150</v>
      </c>
      <c r="D94" s="7" t="s">
        <v>369</v>
      </c>
      <c r="E94" s="7" t="s">
        <v>193</v>
      </c>
      <c r="F94" s="20">
        <v>150</v>
      </c>
      <c r="G94" s="7" t="s">
        <v>194</v>
      </c>
      <c r="H94" s="21">
        <v>3</v>
      </c>
      <c r="I94" s="11">
        <f>MAX(('Geometry'!$G$13*COS(RADIANS(F94))+'Geometry'!$F$13*SIN(RADIANS(F94))),('Geometry'!$G$14*COS(RADIANS(F94))+'Geometry'!$F$14*SIN(RADIANS(F94))),('Geometry'!$G$15*COS(RADIANS(F94))+'Geometry'!$F$15*SIN(RADIANS(F94))),('Geometry'!$G$16*COS(RADIANS(F94))+'Geometry'!$F$16*SIN(RADIANS(F94))),('Geometry'!$G$17*COS(RADIANS(F94))+'Geometry'!$F$17*SIN(RADIANS(F94))),('Geometry'!$G$18*COS(RADIANS(F94))+'Geometry'!$F$18*SIN(RADIANS(F94))),('Geometry'!$G$19*COS(RADIANS(F94))+'Geometry'!$F$19*SIN(RADIANS(F94))),('Geometry'!$G$20*COS(RADIANS(F94))+'Geometry'!$F$20*SIN(RADIANS(F94))))</f>
        <v>794.6152422706632</v>
      </c>
      <c r="J94" s="11">
        <f>I94-H94*K94</f>
        <v>-3973.076211353316</v>
      </c>
      <c r="K94" s="11">
        <f>I94-MIN(('Geometry'!$G$13*COS(RADIANS(F94))+'Geometry'!$F$13*SIN(RADIANS(F94))),('Geometry'!$G$14*COS(RADIANS(F94))+'Geometry'!$F$14*SIN(RADIANS(F94))),('Geometry'!$G$15*COS(RADIANS(F94))+'Geometry'!$F$15*SIN(RADIANS(F94))),('Geometry'!$G$16*COS(RADIANS(F94))+'Geometry'!$F$16*SIN(RADIANS(F94))),('Geometry'!$G$17*COS(RADIANS(F94))+'Geometry'!$F$17*SIN(RADIANS(F94))),('Geometry'!$G$18*COS(RADIANS(F94))+'Geometry'!$F$18*SIN(RADIANS(F94))),('Geometry'!$G$19*COS(RADIANS(F94))+'Geometry'!$F$19*SIN(RADIANS(F94))),('Geometry'!$G$20*COS(RADIANS(F94))+'Geometry'!$F$20*SIN(RADIANS(F94))))</f>
        <v>1589.2304845413264</v>
      </c>
      <c r="L94" s="16">
        <f>C_ecu</f>
        <v>0.0033</v>
      </c>
      <c r="M94" s="16">
        <f>0</f>
        <v>0</v>
      </c>
      <c r="N94" s="22">
        <f>IF(ABS(I94-J94)&lt;0.000000000001,0,(L94-M94)/(I94-J94))</f>
        <v>6.921588848816193e-7</v>
      </c>
      <c r="O94" s="16">
        <f>L94-N94*I94</f>
        <v>0.00275</v>
      </c>
      <c r="P94" s="22">
        <f>N94*COS(RADIANS(F94))</f>
        <v>-5.99427177762591e-7</v>
      </c>
      <c r="Q94" s="22">
        <f>N94*SIN(RADIANS(F94))</f>
        <v>3.4607944244080984e-7</v>
      </c>
      <c r="R94" s="11">
        <f>AP94</f>
        <v>15282.090777345782</v>
      </c>
      <c r="S94" s="11">
        <f>AQ94</f>
        <v>-200.4839633304928</v>
      </c>
      <c r="T94" s="11">
        <f>AR94</f>
        <v>163.88364490211177</v>
      </c>
      <c r="U94" s="11">
        <f>AS94</f>
        <v>2388.254838137454</v>
      </c>
      <c r="V94" s="11">
        <f>AT94</f>
        <v>-64.45727792422426</v>
      </c>
      <c r="W94" s="11">
        <f>AU94</f>
        <v>52.543816320140394</v>
      </c>
      <c r="X94" s="11">
        <f>AM94</f>
        <v>17670.345615483235</v>
      </c>
      <c r="Y94" s="11">
        <f>AN94</f>
        <v>-264.94124125471706</v>
      </c>
      <c r="Z94" s="11">
        <f>AO94</f>
        <v>216.4274612222522</v>
      </c>
      <c r="AA94" s="7">
        <v>1</v>
      </c>
      <c r="AB94" s="7">
        <v>1</v>
      </c>
      <c r="AC94" s="7">
        <v>1</v>
      </c>
      <c r="AD94" s="11">
        <f>X94*AA94</f>
        <v>17670.345615483235</v>
      </c>
      <c r="AE94" s="11">
        <f>Y94*AB94</f>
        <v>-264.94124125471706</v>
      </c>
      <c r="AF94" s="11">
        <f>Z94*AC94</f>
        <v>216.4274612222522</v>
      </c>
      <c r="AG94" s="7">
        <v>17670.345615483235</v>
      </c>
      <c r="AH94" s="7">
        <v>-264.94124125471706</v>
      </c>
      <c r="AI94" s="7">
        <v>216.4274612222522</v>
      </c>
      <c r="AJ94" s="16">
        <f>AD94-AG94</f>
        <v>0</v>
      </c>
      <c r="AK94" s="16">
        <f>SQRT((AE94-AH94)^2+(AF94-AI94)^2)</f>
        <v>0</v>
      </c>
      <c r="AL94" s="7" t="s">
        <v>190</v>
      </c>
      <c r="AM94" s="7">
        <v>17670.345615483235</v>
      </c>
      <c r="AN94" s="7">
        <v>-264.94124125471706</v>
      </c>
      <c r="AO94" s="7">
        <v>216.4274612222522</v>
      </c>
      <c r="AP94" s="7">
        <v>15282.090777345782</v>
      </c>
      <c r="AQ94" s="7">
        <v>-200.4839633304928</v>
      </c>
      <c r="AR94" s="7">
        <v>163.88364490211177</v>
      </c>
      <c r="AS94" s="7">
        <v>2388.254838137454</v>
      </c>
      <c r="AT94" s="7">
        <v>-64.45727792422426</v>
      </c>
      <c r="AU94" s="7">
        <v>52.543816320140394</v>
      </c>
    </row>
    <row r="95" spans="1:47" x14ac:dyDescent="0.25">
      <c r="A95" s="7" t="s">
        <v>370</v>
      </c>
      <c r="B95" s="7">
        <v>2</v>
      </c>
      <c r="C95" s="19">
        <v>150</v>
      </c>
      <c r="D95" s="7" t="s">
        <v>371</v>
      </c>
      <c r="E95" s="7" t="s">
        <v>197</v>
      </c>
      <c r="F95" s="20">
        <v>150</v>
      </c>
      <c r="G95" s="7" t="s">
        <v>194</v>
      </c>
      <c r="H95" s="21">
        <v>2</v>
      </c>
      <c r="I95" s="11">
        <f>MAX(('Geometry'!$G$13*COS(RADIANS(F95))+'Geometry'!$F$13*SIN(RADIANS(F95))),('Geometry'!$G$14*COS(RADIANS(F95))+'Geometry'!$F$14*SIN(RADIANS(F95))),('Geometry'!$G$15*COS(RADIANS(F95))+'Geometry'!$F$15*SIN(RADIANS(F95))),('Geometry'!$G$16*COS(RADIANS(F95))+'Geometry'!$F$16*SIN(RADIANS(F95))),('Geometry'!$G$17*COS(RADIANS(F95))+'Geometry'!$F$17*SIN(RADIANS(F95))),('Geometry'!$G$18*COS(RADIANS(F95))+'Geometry'!$F$18*SIN(RADIANS(F95))),('Geometry'!$G$19*COS(RADIANS(F95))+'Geometry'!$F$19*SIN(RADIANS(F95))),('Geometry'!$G$20*COS(RADIANS(F95))+'Geometry'!$F$20*SIN(RADIANS(F95))))</f>
        <v>794.6152422706632</v>
      </c>
      <c r="J95" s="11">
        <f>I95-H95*K95</f>
        <v>-2383.8457268119896</v>
      </c>
      <c r="K95" s="11">
        <f>I95-MIN(('Geometry'!$G$13*COS(RADIANS(F95))+'Geometry'!$F$13*SIN(RADIANS(F95))),('Geometry'!$G$14*COS(RADIANS(F95))+'Geometry'!$F$14*SIN(RADIANS(F95))),('Geometry'!$G$15*COS(RADIANS(F95))+'Geometry'!$F$15*SIN(RADIANS(F95))),('Geometry'!$G$16*COS(RADIANS(F95))+'Geometry'!$F$16*SIN(RADIANS(F95))),('Geometry'!$G$17*COS(RADIANS(F95))+'Geometry'!$F$17*SIN(RADIANS(F95))),('Geometry'!$G$18*COS(RADIANS(F95))+'Geometry'!$F$18*SIN(RADIANS(F95))),('Geometry'!$G$19*COS(RADIANS(F95))+'Geometry'!$F$19*SIN(RADIANS(F95))),('Geometry'!$G$20*COS(RADIANS(F95))+'Geometry'!$F$20*SIN(RADIANS(F95))))</f>
        <v>1589.2304845413264</v>
      </c>
      <c r="L95" s="16">
        <f>C_ecu</f>
        <v>0.0033</v>
      </c>
      <c r="M95" s="16">
        <f>0</f>
        <v>0</v>
      </c>
      <c r="N95" s="22">
        <f>IF(ABS(I95-J95)&lt;0.000000000001,0,(L95-M95)/(I95-J95))</f>
        <v>0.0000010382383273224289</v>
      </c>
      <c r="O95" s="16">
        <f>L95-N95*I95</f>
        <v>0.0024749999999999998</v>
      </c>
      <c r="P95" s="22">
        <f>N95*COS(RADIANS(F95))</f>
        <v>-8.991407666438865e-7</v>
      </c>
      <c r="Q95" s="22">
        <f>N95*SIN(RADIANS(F95))</f>
        <v>5.191191636612148e-7</v>
      </c>
      <c r="R95" s="11">
        <f>AP95</f>
        <v>15282.090777345782</v>
      </c>
      <c r="S95" s="11">
        <f>AQ95</f>
        <v>-400.9679266609856</v>
      </c>
      <c r="T95" s="11">
        <f>AR95</f>
        <v>327.76728980422354</v>
      </c>
      <c r="U95" s="11">
        <f>AS95</f>
        <v>2388.254838137454</v>
      </c>
      <c r="V95" s="11">
        <f>AT95</f>
        <v>-128.91455584844852</v>
      </c>
      <c r="W95" s="11">
        <f>AU95</f>
        <v>105.08763264028079</v>
      </c>
      <c r="X95" s="11">
        <f>AM95</f>
        <v>17670.345615483235</v>
      </c>
      <c r="Y95" s="11">
        <f>AN95</f>
        <v>-529.8824825094341</v>
      </c>
      <c r="Z95" s="11">
        <f>AO95</f>
        <v>432.8549224445044</v>
      </c>
      <c r="AA95" s="7">
        <v>1</v>
      </c>
      <c r="AB95" s="7">
        <v>1</v>
      </c>
      <c r="AC95" s="7">
        <v>1</v>
      </c>
      <c r="AD95" s="11">
        <f>X95*AA95</f>
        <v>17670.345615483235</v>
      </c>
      <c r="AE95" s="11">
        <f>Y95*AB95</f>
        <v>-529.8824825094341</v>
      </c>
      <c r="AF95" s="11">
        <f>Z95*AC95</f>
        <v>432.8549224445044</v>
      </c>
      <c r="AG95" s="7">
        <v>17670.345615483235</v>
      </c>
      <c r="AH95" s="7">
        <v>-529.8824825094341</v>
      </c>
      <c r="AI95" s="7">
        <v>432.8549224445044</v>
      </c>
      <c r="AJ95" s="16">
        <f>AD95-AG95</f>
        <v>0</v>
      </c>
      <c r="AK95" s="16">
        <f>SQRT((AE95-AH95)^2+(AF95-AI95)^2)</f>
        <v>0</v>
      </c>
      <c r="AL95" s="7" t="s">
        <v>190</v>
      </c>
      <c r="AM95" s="7">
        <v>17670.345615483235</v>
      </c>
      <c r="AN95" s="7">
        <v>-529.8824825094341</v>
      </c>
      <c r="AO95" s="7">
        <v>432.8549224445044</v>
      </c>
      <c r="AP95" s="7">
        <v>15282.090777345782</v>
      </c>
      <c r="AQ95" s="7">
        <v>-400.9679266609856</v>
      </c>
      <c r="AR95" s="7">
        <v>327.76728980422354</v>
      </c>
      <c r="AS95" s="7">
        <v>2388.254838137454</v>
      </c>
      <c r="AT95" s="7">
        <v>-128.91455584844852</v>
      </c>
      <c r="AU95" s="7">
        <v>105.08763264028079</v>
      </c>
    </row>
    <row r="96" spans="1:47" x14ac:dyDescent="0.25">
      <c r="A96" s="7" t="s">
        <v>372</v>
      </c>
      <c r="B96" s="7">
        <v>3</v>
      </c>
      <c r="C96" s="19">
        <v>150</v>
      </c>
      <c r="D96" s="7" t="s">
        <v>373</v>
      </c>
      <c r="E96" s="7" t="s">
        <v>200</v>
      </c>
      <c r="F96" s="20">
        <v>150</v>
      </c>
      <c r="G96" s="7" t="s">
        <v>194</v>
      </c>
      <c r="H96" s="21">
        <v>1.5000000000000002</v>
      </c>
      <c r="I96" s="11">
        <f>MAX(('Geometry'!$G$13*COS(RADIANS(F96))+'Geometry'!$F$13*SIN(RADIANS(F96))),('Geometry'!$G$14*COS(RADIANS(F96))+'Geometry'!$F$14*SIN(RADIANS(F96))),('Geometry'!$G$15*COS(RADIANS(F96))+'Geometry'!$F$15*SIN(RADIANS(F96))),('Geometry'!$G$16*COS(RADIANS(F96))+'Geometry'!$F$16*SIN(RADIANS(F96))),('Geometry'!$G$17*COS(RADIANS(F96))+'Geometry'!$F$17*SIN(RADIANS(F96))),('Geometry'!$G$18*COS(RADIANS(F96))+'Geometry'!$F$18*SIN(RADIANS(F96))),('Geometry'!$G$19*COS(RADIANS(F96))+'Geometry'!$F$19*SIN(RADIANS(F96))),('Geometry'!$G$20*COS(RADIANS(F96))+'Geometry'!$F$20*SIN(RADIANS(F96))))</f>
        <v>794.6152422706632</v>
      </c>
      <c r="J96" s="11">
        <f>I96-H96*K96</f>
        <v>-1589.2304845413266</v>
      </c>
      <c r="K96" s="11">
        <f>I96-MIN(('Geometry'!$G$13*COS(RADIANS(F96))+'Geometry'!$F$13*SIN(RADIANS(F96))),('Geometry'!$G$14*COS(RADIANS(F96))+'Geometry'!$F$14*SIN(RADIANS(F96))),('Geometry'!$G$15*COS(RADIANS(F96))+'Geometry'!$F$15*SIN(RADIANS(F96))),('Geometry'!$G$16*COS(RADIANS(F96))+'Geometry'!$F$16*SIN(RADIANS(F96))),('Geometry'!$G$17*COS(RADIANS(F96))+'Geometry'!$F$17*SIN(RADIANS(F96))),('Geometry'!$G$18*COS(RADIANS(F96))+'Geometry'!$F$18*SIN(RADIANS(F96))),('Geometry'!$G$19*COS(RADIANS(F96))+'Geometry'!$F$19*SIN(RADIANS(F96))),('Geometry'!$G$20*COS(RADIANS(F96))+'Geometry'!$F$20*SIN(RADIANS(F96))))</f>
        <v>1589.2304845413264</v>
      </c>
      <c r="L96" s="16">
        <f>C_ecu</f>
        <v>0.0033</v>
      </c>
      <c r="M96" s="16">
        <f>0</f>
        <v>0</v>
      </c>
      <c r="N96" s="22">
        <f>IF(ABS(I96-J96)&lt;0.000000000001,0,(L96-M96)/(I96-J96))</f>
        <v>0.0000013843177697632385</v>
      </c>
      <c r="O96" s="16">
        <f>L96-N96*I96</f>
        <v>0.0022</v>
      </c>
      <c r="P96" s="22">
        <f>N96*COS(RADIANS(F96))</f>
        <v>-0.000001198854355525182</v>
      </c>
      <c r="Q96" s="22">
        <f>N96*SIN(RADIANS(F96))</f>
        <v>6.921588848816197e-7</v>
      </c>
      <c r="R96" s="11">
        <f>AP96</f>
        <v>15282.090777345782</v>
      </c>
      <c r="S96" s="11">
        <f>AQ96</f>
        <v>-601.4518899914783</v>
      </c>
      <c r="T96" s="11">
        <f>AR96</f>
        <v>491.65093470633525</v>
      </c>
      <c r="U96" s="11">
        <f>AS96</f>
        <v>2388.254838137454</v>
      </c>
      <c r="V96" s="11">
        <f>AT96</f>
        <v>-193.37183377267277</v>
      </c>
      <c r="W96" s="11">
        <f>AU96</f>
        <v>157.63144896042118</v>
      </c>
      <c r="X96" s="11">
        <f>AM96</f>
        <v>17670.345615483235</v>
      </c>
      <c r="Y96" s="11">
        <f>AN96</f>
        <v>-794.8237237641512</v>
      </c>
      <c r="Z96" s="11">
        <f>AO96</f>
        <v>649.2823836667565</v>
      </c>
      <c r="AA96" s="7">
        <v>1</v>
      </c>
      <c r="AB96" s="7">
        <v>1</v>
      </c>
      <c r="AC96" s="7">
        <v>1</v>
      </c>
      <c r="AD96" s="11">
        <f>X96*AA96</f>
        <v>17670.345615483235</v>
      </c>
      <c r="AE96" s="11">
        <f>Y96*AB96</f>
        <v>-794.8237237641512</v>
      </c>
      <c r="AF96" s="11">
        <f>Z96*AC96</f>
        <v>649.2823836667565</v>
      </c>
      <c r="AG96" s="7">
        <v>17670.345615483235</v>
      </c>
      <c r="AH96" s="7">
        <v>-794.8237237641512</v>
      </c>
      <c r="AI96" s="7">
        <v>649.2823836667565</v>
      </c>
      <c r="AJ96" s="16">
        <f>AD96-AG96</f>
        <v>0</v>
      </c>
      <c r="AK96" s="16">
        <f>SQRT((AE96-AH96)^2+(AF96-AI96)^2)</f>
        <v>0</v>
      </c>
      <c r="AL96" s="7" t="s">
        <v>190</v>
      </c>
      <c r="AM96" s="7">
        <v>17670.345615483235</v>
      </c>
      <c r="AN96" s="7">
        <v>-794.8237237641512</v>
      </c>
      <c r="AO96" s="7">
        <v>649.2823836667565</v>
      </c>
      <c r="AP96" s="7">
        <v>15282.090777345782</v>
      </c>
      <c r="AQ96" s="7">
        <v>-601.4518899914783</v>
      </c>
      <c r="AR96" s="7">
        <v>491.65093470633525</v>
      </c>
      <c r="AS96" s="7">
        <v>2388.254838137454</v>
      </c>
      <c r="AT96" s="7">
        <v>-193.37183377267277</v>
      </c>
      <c r="AU96" s="7">
        <v>157.63144896042118</v>
      </c>
    </row>
    <row r="97" spans="1:47" x14ac:dyDescent="0.25">
      <c r="A97" s="7" t="s">
        <v>374</v>
      </c>
      <c r="B97" s="7">
        <v>4</v>
      </c>
      <c r="C97" s="19">
        <v>150</v>
      </c>
      <c r="D97" s="7" t="s">
        <v>375</v>
      </c>
      <c r="E97" s="7" t="s">
        <v>203</v>
      </c>
      <c r="F97" s="20">
        <v>150</v>
      </c>
      <c r="G97" s="7" t="s">
        <v>194</v>
      </c>
      <c r="H97" s="21">
        <v>1.2000000000000002</v>
      </c>
      <c r="I97" s="11">
        <f>MAX(('Geometry'!$G$13*COS(RADIANS(F97))+'Geometry'!$F$13*SIN(RADIANS(F97))),('Geometry'!$G$14*COS(RADIANS(F97))+'Geometry'!$F$14*SIN(RADIANS(F97))),('Geometry'!$G$15*COS(RADIANS(F97))+'Geometry'!$F$15*SIN(RADIANS(F97))),('Geometry'!$G$16*COS(RADIANS(F97))+'Geometry'!$F$16*SIN(RADIANS(F97))),('Geometry'!$G$17*COS(RADIANS(F97))+'Geometry'!$F$17*SIN(RADIANS(F97))),('Geometry'!$G$18*COS(RADIANS(F97))+'Geometry'!$F$18*SIN(RADIANS(F97))),('Geometry'!$G$19*COS(RADIANS(F97))+'Geometry'!$F$19*SIN(RADIANS(F97))),('Geometry'!$G$20*COS(RADIANS(F97))+'Geometry'!$F$20*SIN(RADIANS(F97))))</f>
        <v>794.6152422706632</v>
      </c>
      <c r="J97" s="11">
        <f>I97-H97*K97</f>
        <v>-1112.4613391789287</v>
      </c>
      <c r="K97" s="11">
        <f>I97-MIN(('Geometry'!$G$13*COS(RADIANS(F97))+'Geometry'!$F$13*SIN(RADIANS(F97))),('Geometry'!$G$14*COS(RADIANS(F97))+'Geometry'!$F$14*SIN(RADIANS(F97))),('Geometry'!$G$15*COS(RADIANS(F97))+'Geometry'!$F$15*SIN(RADIANS(F97))),('Geometry'!$G$16*COS(RADIANS(F97))+'Geometry'!$F$16*SIN(RADIANS(F97))),('Geometry'!$G$17*COS(RADIANS(F97))+'Geometry'!$F$17*SIN(RADIANS(F97))),('Geometry'!$G$18*COS(RADIANS(F97))+'Geometry'!$F$18*SIN(RADIANS(F97))),('Geometry'!$G$19*COS(RADIANS(F97))+'Geometry'!$F$19*SIN(RADIANS(F97))),('Geometry'!$G$20*COS(RADIANS(F97))+'Geometry'!$F$20*SIN(RADIANS(F97))))</f>
        <v>1589.2304845413264</v>
      </c>
      <c r="L97" s="16">
        <f>C_ecu</f>
        <v>0.0033</v>
      </c>
      <c r="M97" s="16">
        <f>0</f>
        <v>0</v>
      </c>
      <c r="N97" s="22">
        <f>IF(ABS(I97-J97)&lt;0.000000000001,0,(L97-M97)/(I97-J97))</f>
        <v>0.000001730397212204048</v>
      </c>
      <c r="O97" s="16">
        <f>L97-N97*I97</f>
        <v>0.001925</v>
      </c>
      <c r="P97" s="22">
        <f>N97*COS(RADIANS(F97))</f>
        <v>-0.0000014985679444064775</v>
      </c>
      <c r="Q97" s="22">
        <f>N97*SIN(RADIANS(F97))</f>
        <v>8.651986061020246e-7</v>
      </c>
      <c r="R97" s="11">
        <f>AP97</f>
        <v>15282.090777345782</v>
      </c>
      <c r="S97" s="11">
        <f>AQ97</f>
        <v>-801.9358533219712</v>
      </c>
      <c r="T97" s="11">
        <f>AR97</f>
        <v>655.5345796084471</v>
      </c>
      <c r="U97" s="11">
        <f>AS97</f>
        <v>2388.254838137454</v>
      </c>
      <c r="V97" s="11">
        <f>AT97</f>
        <v>-257.82911169689703</v>
      </c>
      <c r="W97" s="11">
        <f>AU97</f>
        <v>210.17526528056158</v>
      </c>
      <c r="X97" s="11">
        <f>AM97</f>
        <v>17670.345615483235</v>
      </c>
      <c r="Y97" s="11">
        <f>AN97</f>
        <v>-1059.7649650188682</v>
      </c>
      <c r="Z97" s="11">
        <f>AO97</f>
        <v>865.7098448890088</v>
      </c>
      <c r="AA97" s="7">
        <v>1</v>
      </c>
      <c r="AB97" s="7">
        <v>1</v>
      </c>
      <c r="AC97" s="7">
        <v>1</v>
      </c>
      <c r="AD97" s="11">
        <f>X97*AA97</f>
        <v>17670.345615483235</v>
      </c>
      <c r="AE97" s="11">
        <f>Y97*AB97</f>
        <v>-1059.7649650188682</v>
      </c>
      <c r="AF97" s="11">
        <f>Z97*AC97</f>
        <v>865.7098448890088</v>
      </c>
      <c r="AG97" s="7">
        <v>17670.345615483235</v>
      </c>
      <c r="AH97" s="7">
        <v>-1059.7649650188682</v>
      </c>
      <c r="AI97" s="7">
        <v>865.7098448890088</v>
      </c>
      <c r="AJ97" s="16">
        <f>AD97-AG97</f>
        <v>0</v>
      </c>
      <c r="AK97" s="16">
        <f>SQRT((AE97-AH97)^2+(AF97-AI97)^2)</f>
        <v>0</v>
      </c>
      <c r="AL97" s="7" t="s">
        <v>190</v>
      </c>
      <c r="AM97" s="7">
        <v>17670.345615483235</v>
      </c>
      <c r="AN97" s="7">
        <v>-1059.7649650188682</v>
      </c>
      <c r="AO97" s="7">
        <v>865.7098448890088</v>
      </c>
      <c r="AP97" s="7">
        <v>15282.090777345782</v>
      </c>
      <c r="AQ97" s="7">
        <v>-801.9358533219712</v>
      </c>
      <c r="AR97" s="7">
        <v>655.5345796084471</v>
      </c>
      <c r="AS97" s="7">
        <v>2388.254838137454</v>
      </c>
      <c r="AT97" s="7">
        <v>-257.82911169689703</v>
      </c>
      <c r="AU97" s="7">
        <v>210.17526528056158</v>
      </c>
    </row>
    <row r="98" spans="1:47" x14ac:dyDescent="0.25">
      <c r="A98" s="7" t="s">
        <v>376</v>
      </c>
      <c r="B98" s="7">
        <v>5</v>
      </c>
      <c r="C98" s="19">
        <v>150</v>
      </c>
      <c r="D98" s="7" t="s">
        <v>377</v>
      </c>
      <c r="E98" s="7" t="s">
        <v>206</v>
      </c>
      <c r="F98" s="20">
        <v>150</v>
      </c>
      <c r="G98" s="7" t="s">
        <v>194</v>
      </c>
      <c r="H98" s="21">
        <v>1.1000000000000003</v>
      </c>
      <c r="I98" s="11">
        <f>MAX(('Geometry'!$G$13*COS(RADIANS(F98))+'Geometry'!$F$13*SIN(RADIANS(F98))),('Geometry'!$G$14*COS(RADIANS(F98))+'Geometry'!$F$14*SIN(RADIANS(F98))),('Geometry'!$G$15*COS(RADIANS(F98))+'Geometry'!$F$15*SIN(RADIANS(F98))),('Geometry'!$G$16*COS(RADIANS(F98))+'Geometry'!$F$16*SIN(RADIANS(F98))),('Geometry'!$G$17*COS(RADIANS(F98))+'Geometry'!$F$17*SIN(RADIANS(F98))),('Geometry'!$G$18*COS(RADIANS(F98))+'Geometry'!$F$18*SIN(RADIANS(F98))),('Geometry'!$G$19*COS(RADIANS(F98))+'Geometry'!$F$19*SIN(RADIANS(F98))),('Geometry'!$G$20*COS(RADIANS(F98))+'Geometry'!$F$20*SIN(RADIANS(F98))))</f>
        <v>794.6152422706632</v>
      </c>
      <c r="J98" s="11">
        <f>I98-H98*K98</f>
        <v>-953.5382907247962</v>
      </c>
      <c r="K98" s="11">
        <f>I98-MIN(('Geometry'!$G$13*COS(RADIANS(F98))+'Geometry'!$F$13*SIN(RADIANS(F98))),('Geometry'!$G$14*COS(RADIANS(F98))+'Geometry'!$F$14*SIN(RADIANS(F98))),('Geometry'!$G$15*COS(RADIANS(F98))+'Geometry'!$F$15*SIN(RADIANS(F98))),('Geometry'!$G$16*COS(RADIANS(F98))+'Geometry'!$F$16*SIN(RADIANS(F98))),('Geometry'!$G$17*COS(RADIANS(F98))+'Geometry'!$F$17*SIN(RADIANS(F98))),('Geometry'!$G$18*COS(RADIANS(F98))+'Geometry'!$F$18*SIN(RADIANS(F98))),('Geometry'!$G$19*COS(RADIANS(F98))+'Geometry'!$F$19*SIN(RADIANS(F98))),('Geometry'!$G$20*COS(RADIANS(F98))+'Geometry'!$F$20*SIN(RADIANS(F98))))</f>
        <v>1589.2304845413264</v>
      </c>
      <c r="L98" s="16">
        <f>C_ecu</f>
        <v>0.0033</v>
      </c>
      <c r="M98" s="16">
        <f>0</f>
        <v>0</v>
      </c>
      <c r="N98" s="22">
        <f>IF(ABS(I98-J98)&lt;0.000000000001,0,(L98-M98)/(I98-J98))</f>
        <v>0.000001887706049677143</v>
      </c>
      <c r="O98" s="16">
        <f>L98-N98*I98</f>
        <v>0.0018000000000000002</v>
      </c>
      <c r="P98" s="22">
        <f>N98*COS(RADIANS(F98))</f>
        <v>-0.0000016348013938979753</v>
      </c>
      <c r="Q98" s="22">
        <f>N98*SIN(RADIANS(F98))</f>
        <v>9.438530248385723e-7</v>
      </c>
      <c r="R98" s="11">
        <f>AP98</f>
        <v>15282.090777345782</v>
      </c>
      <c r="S98" s="11">
        <f>AQ98</f>
        <v>-1002.4198166524641</v>
      </c>
      <c r="T98" s="11">
        <f>AR98</f>
        <v>819.4182245105588</v>
      </c>
      <c r="U98" s="11">
        <f>AS98</f>
        <v>2388.254838137454</v>
      </c>
      <c r="V98" s="11">
        <f>AT98</f>
        <v>-322.28638962112126</v>
      </c>
      <c r="W98" s="11">
        <f>AU98</f>
        <v>262.719081600702</v>
      </c>
      <c r="X98" s="11">
        <f>AM98</f>
        <v>17670.345615483235</v>
      </c>
      <c r="Y98" s="11">
        <f>AN98</f>
        <v>-1324.7062062735854</v>
      </c>
      <c r="Z98" s="11">
        <f>AO98</f>
        <v>1082.1373061112608</v>
      </c>
      <c r="AA98" s="7">
        <v>1</v>
      </c>
      <c r="AB98" s="7">
        <v>1</v>
      </c>
      <c r="AC98" s="7">
        <v>1</v>
      </c>
      <c r="AD98" s="11">
        <f>X98*AA98</f>
        <v>17670.345615483235</v>
      </c>
      <c r="AE98" s="11">
        <f>Y98*AB98</f>
        <v>-1324.7062062735854</v>
      </c>
      <c r="AF98" s="11">
        <f>Z98*AC98</f>
        <v>1082.1373061112608</v>
      </c>
      <c r="AG98" s="7">
        <v>17670.345615483235</v>
      </c>
      <c r="AH98" s="7">
        <v>-1324.7062062735854</v>
      </c>
      <c r="AI98" s="7">
        <v>1082.1373061112608</v>
      </c>
      <c r="AJ98" s="16">
        <f>AD98-AG98</f>
        <v>0</v>
      </c>
      <c r="AK98" s="16">
        <f>SQRT((AE98-AH98)^2+(AF98-AI98)^2)</f>
        <v>0</v>
      </c>
      <c r="AL98" s="7" t="s">
        <v>190</v>
      </c>
      <c r="AM98" s="7">
        <v>17670.345615483235</v>
      </c>
      <c r="AN98" s="7">
        <v>-1324.7062062735854</v>
      </c>
      <c r="AO98" s="7">
        <v>1082.1373061112608</v>
      </c>
      <c r="AP98" s="7">
        <v>15282.090777345782</v>
      </c>
      <c r="AQ98" s="7">
        <v>-1002.4198166524641</v>
      </c>
      <c r="AR98" s="7">
        <v>819.4182245105588</v>
      </c>
      <c r="AS98" s="7">
        <v>2388.254838137454</v>
      </c>
      <c r="AT98" s="7">
        <v>-322.28638962112126</v>
      </c>
      <c r="AU98" s="7">
        <v>262.719081600702</v>
      </c>
    </row>
    <row r="99" spans="1:47" x14ac:dyDescent="0.25">
      <c r="A99" s="7" t="s">
        <v>378</v>
      </c>
      <c r="B99" s="7">
        <v>6</v>
      </c>
      <c r="C99" s="19">
        <v>150</v>
      </c>
      <c r="D99" s="7" t="s">
        <v>379</v>
      </c>
      <c r="E99" s="7" t="s">
        <v>229</v>
      </c>
      <c r="F99" s="20">
        <v>150</v>
      </c>
      <c r="G99" s="7" t="s">
        <v>194</v>
      </c>
      <c r="H99" s="21">
        <v>1</v>
      </c>
      <c r="I99" s="11">
        <f>MAX(('Geometry'!$G$13*COS(RADIANS(F99))+'Geometry'!$F$13*SIN(RADIANS(F99))),('Geometry'!$G$14*COS(RADIANS(F99))+'Geometry'!$F$14*SIN(RADIANS(F99))),('Geometry'!$G$15*COS(RADIANS(F99))+'Geometry'!$F$15*SIN(RADIANS(F99))),('Geometry'!$G$16*COS(RADIANS(F99))+'Geometry'!$F$16*SIN(RADIANS(F99))),('Geometry'!$G$17*COS(RADIANS(F99))+'Geometry'!$F$17*SIN(RADIANS(F99))),('Geometry'!$G$18*COS(RADIANS(F99))+'Geometry'!$F$18*SIN(RADIANS(F99))),('Geometry'!$G$19*COS(RADIANS(F99))+'Geometry'!$F$19*SIN(RADIANS(F99))),('Geometry'!$G$20*COS(RADIANS(F99))+'Geometry'!$F$20*SIN(RADIANS(F99))))</f>
        <v>794.6152422706632</v>
      </c>
      <c r="J99" s="11">
        <f>I99-H99*K99</f>
        <v>-794.6152422706632</v>
      </c>
      <c r="K99" s="11">
        <f>I99-MIN(('Geometry'!$G$13*COS(RADIANS(F99))+'Geometry'!$F$13*SIN(RADIANS(F99))),('Geometry'!$G$14*COS(RADIANS(F99))+'Geometry'!$F$14*SIN(RADIANS(F99))),('Geometry'!$G$15*COS(RADIANS(F99))+'Geometry'!$F$15*SIN(RADIANS(F99))),('Geometry'!$G$16*COS(RADIANS(F99))+'Geometry'!$F$16*SIN(RADIANS(F99))),('Geometry'!$G$17*COS(RADIANS(F99))+'Geometry'!$F$17*SIN(RADIANS(F99))),('Geometry'!$G$18*COS(RADIANS(F99))+'Geometry'!$F$18*SIN(RADIANS(F99))),('Geometry'!$G$19*COS(RADIANS(F99))+'Geometry'!$F$19*SIN(RADIANS(F99))),('Geometry'!$G$20*COS(RADIANS(F99))+'Geometry'!$F$20*SIN(RADIANS(F99))))</f>
        <v>1589.2304845413264</v>
      </c>
      <c r="L99" s="16">
        <f>C_ecu</f>
        <v>0.0033</v>
      </c>
      <c r="M99" s="16">
        <f>0</f>
        <v>0</v>
      </c>
      <c r="N99" s="22">
        <f>IF(ABS(I99-J99)&lt;0.000000000001,0,(L99-M99)/(I99-J99))</f>
        <v>0.0000020764766546448578</v>
      </c>
      <c r="O99" s="16">
        <f>L99-N99*I99</f>
        <v>0.00165</v>
      </c>
      <c r="P99" s="22">
        <f>N99*COS(RADIANS(F99))</f>
        <v>-0.000001798281533287773</v>
      </c>
      <c r="Q99" s="22">
        <f>N99*SIN(RADIANS(F99))</f>
        <v>0.0000010382383273224295</v>
      </c>
      <c r="R99" s="11">
        <f>AP99</f>
        <v>15282.090777345782</v>
      </c>
      <c r="S99" s="11">
        <f>AQ99</f>
        <v>-1202.9037799829566</v>
      </c>
      <c r="T99" s="11">
        <f>AR99</f>
        <v>983.3018694126705</v>
      </c>
      <c r="U99" s="11">
        <f>AS99</f>
        <v>2388.254838137454</v>
      </c>
      <c r="V99" s="11">
        <f>AT99</f>
        <v>-386.74366754534555</v>
      </c>
      <c r="W99" s="11">
        <f>AU99</f>
        <v>315.26289792084236</v>
      </c>
      <c r="X99" s="11">
        <f>AM99</f>
        <v>17670.345615483235</v>
      </c>
      <c r="Y99" s="11">
        <f>AN99</f>
        <v>-1589.6474475283023</v>
      </c>
      <c r="Z99" s="11">
        <f>AO99</f>
        <v>1298.564767333513</v>
      </c>
      <c r="AA99" s="7">
        <v>1</v>
      </c>
      <c r="AB99" s="7">
        <v>1</v>
      </c>
      <c r="AC99" s="7">
        <v>1</v>
      </c>
      <c r="AD99" s="11">
        <f>X99*AA99</f>
        <v>17670.345615483235</v>
      </c>
      <c r="AE99" s="11">
        <f>Y99*AB99</f>
        <v>-1589.6474475283023</v>
      </c>
      <c r="AF99" s="11">
        <f>Z99*AC99</f>
        <v>1298.564767333513</v>
      </c>
      <c r="AG99" s="7">
        <v>17670.345615483235</v>
      </c>
      <c r="AH99" s="7">
        <v>-1589.6474475283023</v>
      </c>
      <c r="AI99" s="7">
        <v>1298.564767333513</v>
      </c>
      <c r="AJ99" s="16">
        <f>AD99-AG99</f>
        <v>0</v>
      </c>
      <c r="AK99" s="16">
        <f>SQRT((AE99-AH99)^2+(AF99-AI99)^2)</f>
        <v>0</v>
      </c>
      <c r="AL99" s="7" t="s">
        <v>190</v>
      </c>
      <c r="AM99" s="7">
        <v>17670.345615483235</v>
      </c>
      <c r="AN99" s="7">
        <v>-1589.6474475283023</v>
      </c>
      <c r="AO99" s="7">
        <v>1298.564767333513</v>
      </c>
      <c r="AP99" s="7">
        <v>15282.090777345782</v>
      </c>
      <c r="AQ99" s="7">
        <v>-1202.9037799829566</v>
      </c>
      <c r="AR99" s="7">
        <v>983.3018694126705</v>
      </c>
      <c r="AS99" s="7">
        <v>2388.254838137454</v>
      </c>
      <c r="AT99" s="7">
        <v>-386.74366754534555</v>
      </c>
      <c r="AU99" s="7">
        <v>315.26289792084236</v>
      </c>
    </row>
    <row r="100" spans="1:47" x14ac:dyDescent="0.25">
      <c r="A100" s="7" t="s">
        <v>380</v>
      </c>
      <c r="B100" s="7">
        <v>1</v>
      </c>
      <c r="C100" s="19">
        <v>160</v>
      </c>
      <c r="D100" s="7" t="s">
        <v>381</v>
      </c>
      <c r="E100" s="7" t="s">
        <v>193</v>
      </c>
      <c r="F100" s="20">
        <v>160</v>
      </c>
      <c r="G100" s="7" t="s">
        <v>194</v>
      </c>
      <c r="H100" s="21">
        <v>2.9999999999999996</v>
      </c>
      <c r="I100" s="11">
        <f>MAX(('Geometry'!$G$13*COS(RADIANS(F100))+'Geometry'!$F$13*SIN(RADIANS(F100))),('Geometry'!$G$14*COS(RADIANS(F100))+'Geometry'!$F$14*SIN(RADIANS(F100))),('Geometry'!$G$15*COS(RADIANS(F100))+'Geometry'!$F$15*SIN(RADIANS(F100))),('Geometry'!$G$16*COS(RADIANS(F100))+'Geometry'!$F$16*SIN(RADIANS(F100))),('Geometry'!$G$17*COS(RADIANS(F100))+'Geometry'!$F$17*SIN(RADIANS(F100))),('Geometry'!$G$18*COS(RADIANS(F100))+'Geometry'!$F$18*SIN(RADIANS(F100))),('Geometry'!$G$19*COS(RADIANS(F100))+'Geometry'!$F$19*SIN(RADIANS(F100))),('Geometry'!$G$20*COS(RADIANS(F100))+'Geometry'!$F$20*SIN(RADIANS(F100))))</f>
        <v>751.9266513006629</v>
      </c>
      <c r="J100" s="11">
        <f>I100-H100*K100</f>
        <v>-3759.633256503314</v>
      </c>
      <c r="K100" s="11">
        <f>I100-MIN(('Geometry'!$G$13*COS(RADIANS(F100))+'Geometry'!$F$13*SIN(RADIANS(F100))),('Geometry'!$G$14*COS(RADIANS(F100))+'Geometry'!$F$14*SIN(RADIANS(F100))),('Geometry'!$G$15*COS(RADIANS(F100))+'Geometry'!$F$15*SIN(RADIANS(F100))),('Geometry'!$G$16*COS(RADIANS(F100))+'Geometry'!$F$16*SIN(RADIANS(F100))),('Geometry'!$G$17*COS(RADIANS(F100))+'Geometry'!$F$17*SIN(RADIANS(F100))),('Geometry'!$G$18*COS(RADIANS(F100))+'Geometry'!$F$18*SIN(RADIANS(F100))),('Geometry'!$G$19*COS(RADIANS(F100))+'Geometry'!$F$19*SIN(RADIANS(F100))),('Geometry'!$G$20*COS(RADIANS(F100))+'Geometry'!$F$20*SIN(RADIANS(F100))))</f>
        <v>1503.8533026013258</v>
      </c>
      <c r="L100" s="16">
        <f>C_ecu</f>
        <v>0.0033</v>
      </c>
      <c r="M100" s="16">
        <f>0</f>
        <v>0</v>
      </c>
      <c r="N100" s="22">
        <f>IF(ABS(I100-J100)&lt;0.000000000001,0,(L100-M100)/(I100-J100))</f>
        <v>7.314543234351709e-7</v>
      </c>
      <c r="O100" s="16">
        <f>L100-N100*I100</f>
        <v>0.00275</v>
      </c>
      <c r="P100" s="22">
        <f>N100*COS(RADIANS(F100))</f>
        <v>-6.873422301739791e-7</v>
      </c>
      <c r="Q100" s="22">
        <f>N100*SIN(RADIANS(F100))</f>
        <v>2.501721125374773e-7</v>
      </c>
      <c r="R100" s="11">
        <f>AP100</f>
        <v>15275.601201942744</v>
      </c>
      <c r="S100" s="11">
        <f>AQ100</f>
        <v>-223.93702598358118</v>
      </c>
      <c r="T100" s="11">
        <f>AR100</f>
        <v>120.07702821252906</v>
      </c>
      <c r="U100" s="11">
        <f>AS100</f>
        <v>2394.744413540491</v>
      </c>
      <c r="V100" s="11">
        <f>AT100</f>
        <v>-72.67198109778782</v>
      </c>
      <c r="W100" s="11">
        <f>AU100</f>
        <v>38.14037271162133</v>
      </c>
      <c r="X100" s="11">
        <f>AM100</f>
        <v>17670.345615483235</v>
      </c>
      <c r="Y100" s="11">
        <f>AN100</f>
        <v>-296.609007081369</v>
      </c>
      <c r="Z100" s="11">
        <f>AO100</f>
        <v>158.21740092415035</v>
      </c>
      <c r="AA100" s="7">
        <v>1</v>
      </c>
      <c r="AB100" s="7">
        <v>1</v>
      </c>
      <c r="AC100" s="7">
        <v>1</v>
      </c>
      <c r="AD100" s="11">
        <f>X100*AA100</f>
        <v>17670.345615483235</v>
      </c>
      <c r="AE100" s="11">
        <f>Y100*AB100</f>
        <v>-296.609007081369</v>
      </c>
      <c r="AF100" s="11">
        <f>Z100*AC100</f>
        <v>158.21740092415035</v>
      </c>
      <c r="AG100" s="7">
        <v>17670.345615483235</v>
      </c>
      <c r="AH100" s="7">
        <v>-296.609007081369</v>
      </c>
      <c r="AI100" s="7">
        <v>158.21740092415035</v>
      </c>
      <c r="AJ100" s="16">
        <f>AD100-AG100</f>
        <v>0</v>
      </c>
      <c r="AK100" s="16">
        <f>SQRT((AE100-AH100)^2+(AF100-AI100)^2)</f>
        <v>0</v>
      </c>
      <c r="AL100" s="7" t="s">
        <v>190</v>
      </c>
      <c r="AM100" s="7">
        <v>17670.345615483235</v>
      </c>
      <c r="AN100" s="7">
        <v>-296.609007081369</v>
      </c>
      <c r="AO100" s="7">
        <v>158.21740092415035</v>
      </c>
      <c r="AP100" s="7">
        <v>15275.601201942744</v>
      </c>
      <c r="AQ100" s="7">
        <v>-223.93702598358118</v>
      </c>
      <c r="AR100" s="7">
        <v>120.07702821252906</v>
      </c>
      <c r="AS100" s="7">
        <v>2394.744413540491</v>
      </c>
      <c r="AT100" s="7">
        <v>-72.67198109778782</v>
      </c>
      <c r="AU100" s="7">
        <v>38.14037271162133</v>
      </c>
    </row>
    <row r="101" spans="1:47" x14ac:dyDescent="0.25">
      <c r="A101" s="7" t="s">
        <v>382</v>
      </c>
      <c r="B101" s="7">
        <v>2</v>
      </c>
      <c r="C101" s="19">
        <v>160</v>
      </c>
      <c r="D101" s="7" t="s">
        <v>383</v>
      </c>
      <c r="E101" s="7" t="s">
        <v>197</v>
      </c>
      <c r="F101" s="20">
        <v>160</v>
      </c>
      <c r="G101" s="7" t="s">
        <v>194</v>
      </c>
      <c r="H101" s="21">
        <v>2</v>
      </c>
      <c r="I101" s="11">
        <f>MAX(('Geometry'!$G$13*COS(RADIANS(F101))+'Geometry'!$F$13*SIN(RADIANS(F101))),('Geometry'!$G$14*COS(RADIANS(F101))+'Geometry'!$F$14*SIN(RADIANS(F101))),('Geometry'!$G$15*COS(RADIANS(F101))+'Geometry'!$F$15*SIN(RADIANS(F101))),('Geometry'!$G$16*COS(RADIANS(F101))+'Geometry'!$F$16*SIN(RADIANS(F101))),('Geometry'!$G$17*COS(RADIANS(F101))+'Geometry'!$F$17*SIN(RADIANS(F101))),('Geometry'!$G$18*COS(RADIANS(F101))+'Geometry'!$F$18*SIN(RADIANS(F101))),('Geometry'!$G$19*COS(RADIANS(F101))+'Geometry'!$F$19*SIN(RADIANS(F101))),('Geometry'!$G$20*COS(RADIANS(F101))+'Geometry'!$F$20*SIN(RADIANS(F101))))</f>
        <v>751.9266513006629</v>
      </c>
      <c r="J101" s="11">
        <f>I101-H101*K101</f>
        <v>-2255.779953901989</v>
      </c>
      <c r="K101" s="11">
        <f>I101-MIN(('Geometry'!$G$13*COS(RADIANS(F101))+'Geometry'!$F$13*SIN(RADIANS(F101))),('Geometry'!$G$14*COS(RADIANS(F101))+'Geometry'!$F$14*SIN(RADIANS(F101))),('Geometry'!$G$15*COS(RADIANS(F101))+'Geometry'!$F$15*SIN(RADIANS(F101))),('Geometry'!$G$16*COS(RADIANS(F101))+'Geometry'!$F$16*SIN(RADIANS(F101))),('Geometry'!$G$17*COS(RADIANS(F101))+'Geometry'!$F$17*SIN(RADIANS(F101))),('Geometry'!$G$18*COS(RADIANS(F101))+'Geometry'!$F$18*SIN(RADIANS(F101))),('Geometry'!$G$19*COS(RADIANS(F101))+'Geometry'!$F$19*SIN(RADIANS(F101))),('Geometry'!$G$20*COS(RADIANS(F101))+'Geometry'!$F$20*SIN(RADIANS(F101))))</f>
        <v>1503.8533026013258</v>
      </c>
      <c r="L101" s="16">
        <f>C_ecu</f>
        <v>0.0033</v>
      </c>
      <c r="M101" s="16">
        <f>0</f>
        <v>0</v>
      </c>
      <c r="N101" s="22">
        <f>IF(ABS(I101-J101)&lt;0.000000000001,0,(L101-M101)/(I101-J101))</f>
        <v>0.0000010971814851527562</v>
      </c>
      <c r="O101" s="16">
        <f>L101-N101*I101</f>
        <v>0.0024749999999999998</v>
      </c>
      <c r="P101" s="22">
        <f>N101*COS(RADIANS(F101))</f>
        <v>-0.0000010310133452609685</v>
      </c>
      <c r="Q101" s="22">
        <f>N101*SIN(RADIANS(F101))</f>
        <v>3.752581688062159e-7</v>
      </c>
      <c r="R101" s="11">
        <f>AP101</f>
        <v>15275.601201942744</v>
      </c>
      <c r="S101" s="11">
        <f>AQ101</f>
        <v>-447.87405196716236</v>
      </c>
      <c r="T101" s="11">
        <f>AR101</f>
        <v>240.15405642505812</v>
      </c>
      <c r="U101" s="11">
        <f>AS101</f>
        <v>2394.744413540491</v>
      </c>
      <c r="V101" s="11">
        <f>AT101</f>
        <v>-145.34396219557564</v>
      </c>
      <c r="W101" s="11">
        <f>AU101</f>
        <v>76.28074542324266</v>
      </c>
      <c r="X101" s="11">
        <f>AM101</f>
        <v>17670.345615483235</v>
      </c>
      <c r="Y101" s="11">
        <f>AN101</f>
        <v>-593.218014162738</v>
      </c>
      <c r="Z101" s="11">
        <f>AO101</f>
        <v>316.4348018483007</v>
      </c>
      <c r="AA101" s="7">
        <v>1</v>
      </c>
      <c r="AB101" s="7">
        <v>1</v>
      </c>
      <c r="AC101" s="7">
        <v>1</v>
      </c>
      <c r="AD101" s="11">
        <f>X101*AA101</f>
        <v>17670.345615483235</v>
      </c>
      <c r="AE101" s="11">
        <f>Y101*AB101</f>
        <v>-593.218014162738</v>
      </c>
      <c r="AF101" s="11">
        <f>Z101*AC101</f>
        <v>316.4348018483007</v>
      </c>
      <c r="AG101" s="7">
        <v>17670.345615483235</v>
      </c>
      <c r="AH101" s="7">
        <v>-593.218014162738</v>
      </c>
      <c r="AI101" s="7">
        <v>316.4348018483007</v>
      </c>
      <c r="AJ101" s="16">
        <f>AD101-AG101</f>
        <v>0</v>
      </c>
      <c r="AK101" s="16">
        <f>SQRT((AE101-AH101)^2+(AF101-AI101)^2)</f>
        <v>0</v>
      </c>
      <c r="AL101" s="7" t="s">
        <v>190</v>
      </c>
      <c r="AM101" s="7">
        <v>17670.345615483235</v>
      </c>
      <c r="AN101" s="7">
        <v>-593.218014162738</v>
      </c>
      <c r="AO101" s="7">
        <v>316.4348018483007</v>
      </c>
      <c r="AP101" s="7">
        <v>15275.601201942744</v>
      </c>
      <c r="AQ101" s="7">
        <v>-447.87405196716236</v>
      </c>
      <c r="AR101" s="7">
        <v>240.15405642505812</v>
      </c>
      <c r="AS101" s="7">
        <v>2394.744413540491</v>
      </c>
      <c r="AT101" s="7">
        <v>-145.34396219557564</v>
      </c>
      <c r="AU101" s="7">
        <v>76.28074542324266</v>
      </c>
    </row>
    <row r="102" spans="1:47" x14ac:dyDescent="0.25">
      <c r="A102" s="7" t="s">
        <v>384</v>
      </c>
      <c r="B102" s="7">
        <v>3</v>
      </c>
      <c r="C102" s="19">
        <v>160</v>
      </c>
      <c r="D102" s="7" t="s">
        <v>385</v>
      </c>
      <c r="E102" s="7" t="s">
        <v>200</v>
      </c>
      <c r="F102" s="20">
        <v>160</v>
      </c>
      <c r="G102" s="7" t="s">
        <v>194</v>
      </c>
      <c r="H102" s="21">
        <v>1.4999999999999998</v>
      </c>
      <c r="I102" s="11">
        <f>MAX(('Geometry'!$G$13*COS(RADIANS(F102))+'Geometry'!$F$13*SIN(RADIANS(F102))),('Geometry'!$G$14*COS(RADIANS(F102))+'Geometry'!$F$14*SIN(RADIANS(F102))),('Geometry'!$G$15*COS(RADIANS(F102))+'Geometry'!$F$15*SIN(RADIANS(F102))),('Geometry'!$G$16*COS(RADIANS(F102))+'Geometry'!$F$16*SIN(RADIANS(F102))),('Geometry'!$G$17*COS(RADIANS(F102))+'Geometry'!$F$17*SIN(RADIANS(F102))),('Geometry'!$G$18*COS(RADIANS(F102))+'Geometry'!$F$18*SIN(RADIANS(F102))),('Geometry'!$G$19*COS(RADIANS(F102))+'Geometry'!$F$19*SIN(RADIANS(F102))),('Geometry'!$G$20*COS(RADIANS(F102))+'Geometry'!$F$20*SIN(RADIANS(F102))))</f>
        <v>751.9266513006629</v>
      </c>
      <c r="J102" s="11">
        <f>I102-H102*K102</f>
        <v>-1503.8533026013254</v>
      </c>
      <c r="K102" s="11">
        <f>I102-MIN(('Geometry'!$G$13*COS(RADIANS(F102))+'Geometry'!$F$13*SIN(RADIANS(F102))),('Geometry'!$G$14*COS(RADIANS(F102))+'Geometry'!$F$14*SIN(RADIANS(F102))),('Geometry'!$G$15*COS(RADIANS(F102))+'Geometry'!$F$15*SIN(RADIANS(F102))),('Geometry'!$G$16*COS(RADIANS(F102))+'Geometry'!$F$16*SIN(RADIANS(F102))),('Geometry'!$G$17*COS(RADIANS(F102))+'Geometry'!$F$17*SIN(RADIANS(F102))),('Geometry'!$G$18*COS(RADIANS(F102))+'Geometry'!$F$18*SIN(RADIANS(F102))),('Geometry'!$G$19*COS(RADIANS(F102))+'Geometry'!$F$19*SIN(RADIANS(F102))),('Geometry'!$G$20*COS(RADIANS(F102))+'Geometry'!$F$20*SIN(RADIANS(F102))))</f>
        <v>1503.8533026013258</v>
      </c>
      <c r="L102" s="16">
        <f>C_ecu</f>
        <v>0.0033</v>
      </c>
      <c r="M102" s="16">
        <f>0</f>
        <v>0</v>
      </c>
      <c r="N102" s="22">
        <f>IF(ABS(I102-J102)&lt;0.000000000001,0,(L102-M102)/(I102-J102))</f>
        <v>0.0000014629086468703418</v>
      </c>
      <c r="O102" s="16">
        <f>L102-N102*I102</f>
        <v>0.0021999999999999997</v>
      </c>
      <c r="P102" s="22">
        <f>N102*COS(RADIANS(F102))</f>
        <v>-0.0000013746844603479583</v>
      </c>
      <c r="Q102" s="22">
        <f>N102*SIN(RADIANS(F102))</f>
        <v>5.003442250749546e-7</v>
      </c>
      <c r="R102" s="11">
        <f>AP102</f>
        <v>15275.601201942744</v>
      </c>
      <c r="S102" s="11">
        <f>AQ102</f>
        <v>-671.8110779507434</v>
      </c>
      <c r="T102" s="11">
        <f>AR102</f>
        <v>360.2310846375871</v>
      </c>
      <c r="U102" s="11">
        <f>AS102</f>
        <v>2394.744413540491</v>
      </c>
      <c r="V102" s="11">
        <f>AT102</f>
        <v>-218.01594329336345</v>
      </c>
      <c r="W102" s="11">
        <f>AU102</f>
        <v>114.42111813486399</v>
      </c>
      <c r="X102" s="11">
        <f>AM102</f>
        <v>17670.345615483235</v>
      </c>
      <c r="Y102" s="11">
        <f>AN102</f>
        <v>-889.8270212441068</v>
      </c>
      <c r="Z102" s="11">
        <f>AO102</f>
        <v>474.65220277245106</v>
      </c>
      <c r="AA102" s="7">
        <v>1</v>
      </c>
      <c r="AB102" s="7">
        <v>1</v>
      </c>
      <c r="AC102" s="7">
        <v>1</v>
      </c>
      <c r="AD102" s="11">
        <f>X102*AA102</f>
        <v>17670.345615483235</v>
      </c>
      <c r="AE102" s="11">
        <f>Y102*AB102</f>
        <v>-889.8270212441068</v>
      </c>
      <c r="AF102" s="11">
        <f>Z102*AC102</f>
        <v>474.65220277245106</v>
      </c>
      <c r="AG102" s="7">
        <v>17670.345615483235</v>
      </c>
      <c r="AH102" s="7">
        <v>-889.8270212441068</v>
      </c>
      <c r="AI102" s="7">
        <v>474.65220277245106</v>
      </c>
      <c r="AJ102" s="16">
        <f>AD102-AG102</f>
        <v>0</v>
      </c>
      <c r="AK102" s="16">
        <f>SQRT((AE102-AH102)^2+(AF102-AI102)^2)</f>
        <v>0</v>
      </c>
      <c r="AL102" s="7" t="s">
        <v>190</v>
      </c>
      <c r="AM102" s="7">
        <v>17670.345615483235</v>
      </c>
      <c r="AN102" s="7">
        <v>-889.8270212441068</v>
      </c>
      <c r="AO102" s="7">
        <v>474.65220277245106</v>
      </c>
      <c r="AP102" s="7">
        <v>15275.601201942744</v>
      </c>
      <c r="AQ102" s="7">
        <v>-671.8110779507434</v>
      </c>
      <c r="AR102" s="7">
        <v>360.2310846375871</v>
      </c>
      <c r="AS102" s="7">
        <v>2394.744413540491</v>
      </c>
      <c r="AT102" s="7">
        <v>-218.01594329336345</v>
      </c>
      <c r="AU102" s="7">
        <v>114.42111813486399</v>
      </c>
    </row>
    <row r="103" spans="1:47" x14ac:dyDescent="0.25">
      <c r="A103" s="7" t="s">
        <v>386</v>
      </c>
      <c r="B103" s="7">
        <v>4</v>
      </c>
      <c r="C103" s="19">
        <v>160</v>
      </c>
      <c r="D103" s="7" t="s">
        <v>387</v>
      </c>
      <c r="E103" s="7" t="s">
        <v>203</v>
      </c>
      <c r="F103" s="20">
        <v>160</v>
      </c>
      <c r="G103" s="7" t="s">
        <v>194</v>
      </c>
      <c r="H103" s="21">
        <v>1.2</v>
      </c>
      <c r="I103" s="11">
        <f>MAX(('Geometry'!$G$13*COS(RADIANS(F103))+'Geometry'!$F$13*SIN(RADIANS(F103))),('Geometry'!$G$14*COS(RADIANS(F103))+'Geometry'!$F$14*SIN(RADIANS(F103))),('Geometry'!$G$15*COS(RADIANS(F103))+'Geometry'!$F$15*SIN(RADIANS(F103))),('Geometry'!$G$16*COS(RADIANS(F103))+'Geometry'!$F$16*SIN(RADIANS(F103))),('Geometry'!$G$17*COS(RADIANS(F103))+'Geometry'!$F$17*SIN(RADIANS(F103))),('Geometry'!$G$18*COS(RADIANS(F103))+'Geometry'!$F$18*SIN(RADIANS(F103))),('Geometry'!$G$19*COS(RADIANS(F103))+'Geometry'!$F$19*SIN(RADIANS(F103))),('Geometry'!$G$20*COS(RADIANS(F103))+'Geometry'!$F$20*SIN(RADIANS(F103))))</f>
        <v>751.9266513006629</v>
      </c>
      <c r="J103" s="11">
        <f>I103-H103*K103</f>
        <v>-1052.697311820928</v>
      </c>
      <c r="K103" s="11">
        <f>I103-MIN(('Geometry'!$G$13*COS(RADIANS(F103))+'Geometry'!$F$13*SIN(RADIANS(F103))),('Geometry'!$G$14*COS(RADIANS(F103))+'Geometry'!$F$14*SIN(RADIANS(F103))),('Geometry'!$G$15*COS(RADIANS(F103))+'Geometry'!$F$15*SIN(RADIANS(F103))),('Geometry'!$G$16*COS(RADIANS(F103))+'Geometry'!$F$16*SIN(RADIANS(F103))),('Geometry'!$G$17*COS(RADIANS(F103))+'Geometry'!$F$17*SIN(RADIANS(F103))),('Geometry'!$G$18*COS(RADIANS(F103))+'Geometry'!$F$18*SIN(RADIANS(F103))),('Geometry'!$G$19*COS(RADIANS(F103))+'Geometry'!$F$19*SIN(RADIANS(F103))),('Geometry'!$G$20*COS(RADIANS(F103))+'Geometry'!$F$20*SIN(RADIANS(F103))))</f>
        <v>1503.8533026013258</v>
      </c>
      <c r="L103" s="16">
        <f>C_ecu</f>
        <v>0.0033</v>
      </c>
      <c r="M103" s="16">
        <f>0</f>
        <v>0</v>
      </c>
      <c r="N103" s="22">
        <f>IF(ABS(I103-J103)&lt;0.000000000001,0,(L103-M103)/(I103-J103))</f>
        <v>0.000001828635808587927</v>
      </c>
      <c r="O103" s="16">
        <f>L103-N103*I103</f>
        <v>0.0019249999999999998</v>
      </c>
      <c r="P103" s="22">
        <f>N103*COS(RADIANS(F103))</f>
        <v>-0.000001718355575434948</v>
      </c>
      <c r="Q103" s="22">
        <f>N103*SIN(RADIANS(F103))</f>
        <v>6.254302813436933e-7</v>
      </c>
      <c r="R103" s="11">
        <f>AP103</f>
        <v>15275.601201942744</v>
      </c>
      <c r="S103" s="11">
        <f>AQ103</f>
        <v>-895.7481039343247</v>
      </c>
      <c r="T103" s="11">
        <f>AR103</f>
        <v>480.30811285011623</v>
      </c>
      <c r="U103" s="11">
        <f>AS103</f>
        <v>2394.744413540491</v>
      </c>
      <c r="V103" s="11">
        <f>AT103</f>
        <v>-290.6879243911513</v>
      </c>
      <c r="W103" s="11">
        <f>AU103</f>
        <v>152.56149084648533</v>
      </c>
      <c r="X103" s="11">
        <f>AM103</f>
        <v>17670.345615483235</v>
      </c>
      <c r="Y103" s="11">
        <f>AN103</f>
        <v>-1186.436028325476</v>
      </c>
      <c r="Z103" s="11">
        <f>AO103</f>
        <v>632.8696036966014</v>
      </c>
      <c r="AA103" s="7">
        <v>1</v>
      </c>
      <c r="AB103" s="7">
        <v>1</v>
      </c>
      <c r="AC103" s="7">
        <v>1</v>
      </c>
      <c r="AD103" s="11">
        <f>X103*AA103</f>
        <v>17670.345615483235</v>
      </c>
      <c r="AE103" s="11">
        <f>Y103*AB103</f>
        <v>-1186.436028325476</v>
      </c>
      <c r="AF103" s="11">
        <f>Z103*AC103</f>
        <v>632.8696036966014</v>
      </c>
      <c r="AG103" s="7">
        <v>17670.345615483235</v>
      </c>
      <c r="AH103" s="7">
        <v>-1186.436028325476</v>
      </c>
      <c r="AI103" s="7">
        <v>632.8696036966014</v>
      </c>
      <c r="AJ103" s="16">
        <f>AD103-AG103</f>
        <v>0</v>
      </c>
      <c r="AK103" s="16">
        <f>SQRT((AE103-AH103)^2+(AF103-AI103)^2)</f>
        <v>0</v>
      </c>
      <c r="AL103" s="7" t="s">
        <v>190</v>
      </c>
      <c r="AM103" s="7">
        <v>17670.345615483235</v>
      </c>
      <c r="AN103" s="7">
        <v>-1186.436028325476</v>
      </c>
      <c r="AO103" s="7">
        <v>632.8696036966014</v>
      </c>
      <c r="AP103" s="7">
        <v>15275.601201942744</v>
      </c>
      <c r="AQ103" s="7">
        <v>-895.7481039343247</v>
      </c>
      <c r="AR103" s="7">
        <v>480.30811285011623</v>
      </c>
      <c r="AS103" s="7">
        <v>2394.744413540491</v>
      </c>
      <c r="AT103" s="7">
        <v>-290.6879243911513</v>
      </c>
      <c r="AU103" s="7">
        <v>152.56149084648533</v>
      </c>
    </row>
    <row r="104" spans="1:47" x14ac:dyDescent="0.25">
      <c r="A104" s="7" t="s">
        <v>388</v>
      </c>
      <c r="B104" s="7">
        <v>5</v>
      </c>
      <c r="C104" s="19">
        <v>160</v>
      </c>
      <c r="D104" s="7" t="s">
        <v>389</v>
      </c>
      <c r="E104" s="7" t="s">
        <v>206</v>
      </c>
      <c r="F104" s="20">
        <v>160</v>
      </c>
      <c r="G104" s="7" t="s">
        <v>194</v>
      </c>
      <c r="H104" s="21">
        <v>1.1</v>
      </c>
      <c r="I104" s="11">
        <f>MAX(('Geometry'!$G$13*COS(RADIANS(F104))+'Geometry'!$F$13*SIN(RADIANS(F104))),('Geometry'!$G$14*COS(RADIANS(F104))+'Geometry'!$F$14*SIN(RADIANS(F104))),('Geometry'!$G$15*COS(RADIANS(F104))+'Geometry'!$F$15*SIN(RADIANS(F104))),('Geometry'!$G$16*COS(RADIANS(F104))+'Geometry'!$F$16*SIN(RADIANS(F104))),('Geometry'!$G$17*COS(RADIANS(F104))+'Geometry'!$F$17*SIN(RADIANS(F104))),('Geometry'!$G$18*COS(RADIANS(F104))+'Geometry'!$F$18*SIN(RADIANS(F104))),('Geometry'!$G$19*COS(RADIANS(F104))+'Geometry'!$F$19*SIN(RADIANS(F104))),('Geometry'!$G$20*COS(RADIANS(F104))+'Geometry'!$F$20*SIN(RADIANS(F104))))</f>
        <v>751.9266513006629</v>
      </c>
      <c r="J104" s="11">
        <f>I104-H104*K104</f>
        <v>-902.3119815607954</v>
      </c>
      <c r="K104" s="11">
        <f>I104-MIN(('Geometry'!$G$13*COS(RADIANS(F104))+'Geometry'!$F$13*SIN(RADIANS(F104))),('Geometry'!$G$14*COS(RADIANS(F104))+'Geometry'!$F$14*SIN(RADIANS(F104))),('Geometry'!$G$15*COS(RADIANS(F104))+'Geometry'!$F$15*SIN(RADIANS(F104))),('Geometry'!$G$16*COS(RADIANS(F104))+'Geometry'!$F$16*SIN(RADIANS(F104))),('Geometry'!$G$17*COS(RADIANS(F104))+'Geometry'!$F$17*SIN(RADIANS(F104))),('Geometry'!$G$18*COS(RADIANS(F104))+'Geometry'!$F$18*SIN(RADIANS(F104))),('Geometry'!$G$19*COS(RADIANS(F104))+'Geometry'!$F$19*SIN(RADIANS(F104))),('Geometry'!$G$20*COS(RADIANS(F104))+'Geometry'!$F$20*SIN(RADIANS(F104))))</f>
        <v>1503.8533026013258</v>
      </c>
      <c r="L104" s="16">
        <f>C_ecu</f>
        <v>0.0033</v>
      </c>
      <c r="M104" s="16">
        <f>0</f>
        <v>0</v>
      </c>
      <c r="N104" s="22">
        <f>IF(ABS(I104-J104)&lt;0.000000000001,0,(L104-M104)/(I104-J104))</f>
        <v>0.000001994875427550466</v>
      </c>
      <c r="O104" s="16">
        <f>L104-N104*I104</f>
        <v>0.0018</v>
      </c>
      <c r="P104" s="22">
        <f>N104*COS(RADIANS(F104))</f>
        <v>-0.0000018745697186563068</v>
      </c>
      <c r="Q104" s="22">
        <f>N104*SIN(RADIANS(F104))</f>
        <v>6.822875796476654e-7</v>
      </c>
      <c r="R104" s="11">
        <f>AP104</f>
        <v>15275.601201942744</v>
      </c>
      <c r="S104" s="11">
        <f>AQ104</f>
        <v>-1119.685129917906</v>
      </c>
      <c r="T104" s="11">
        <f>AR104</f>
        <v>600.3851410626453</v>
      </c>
      <c r="U104" s="11">
        <f>AS104</f>
        <v>2394.744413540491</v>
      </c>
      <c r="V104" s="11">
        <f>AT104</f>
        <v>-363.3599054889391</v>
      </c>
      <c r="W104" s="11">
        <f>AU104</f>
        <v>190.70186355810662</v>
      </c>
      <c r="X104" s="11">
        <f>AM104</f>
        <v>17670.345615483235</v>
      </c>
      <c r="Y104" s="11">
        <f>AN104</f>
        <v>-1483.0450354068448</v>
      </c>
      <c r="Z104" s="11">
        <f>AO104</f>
        <v>791.0870046207517</v>
      </c>
      <c r="AA104" s="7">
        <v>1</v>
      </c>
      <c r="AB104" s="7">
        <v>1</v>
      </c>
      <c r="AC104" s="7">
        <v>1</v>
      </c>
      <c r="AD104" s="11">
        <f>X104*AA104</f>
        <v>17670.345615483235</v>
      </c>
      <c r="AE104" s="11">
        <f>Y104*AB104</f>
        <v>-1483.0450354068448</v>
      </c>
      <c r="AF104" s="11">
        <f>Z104*AC104</f>
        <v>791.0870046207517</v>
      </c>
      <c r="AG104" s="7">
        <v>17670.345615483235</v>
      </c>
      <c r="AH104" s="7">
        <v>-1483.0450354068448</v>
      </c>
      <c r="AI104" s="7">
        <v>791.0870046207517</v>
      </c>
      <c r="AJ104" s="16">
        <f>AD104-AG104</f>
        <v>0</v>
      </c>
      <c r="AK104" s="16">
        <f>SQRT((AE104-AH104)^2+(AF104-AI104)^2)</f>
        <v>0</v>
      </c>
      <c r="AL104" s="7" t="s">
        <v>190</v>
      </c>
      <c r="AM104" s="7">
        <v>17670.345615483235</v>
      </c>
      <c r="AN104" s="7">
        <v>-1483.0450354068448</v>
      </c>
      <c r="AO104" s="7">
        <v>791.0870046207517</v>
      </c>
      <c r="AP104" s="7">
        <v>15275.601201942744</v>
      </c>
      <c r="AQ104" s="7">
        <v>-1119.685129917906</v>
      </c>
      <c r="AR104" s="7">
        <v>600.3851410626453</v>
      </c>
      <c r="AS104" s="7">
        <v>2394.744413540491</v>
      </c>
      <c r="AT104" s="7">
        <v>-363.3599054889391</v>
      </c>
      <c r="AU104" s="7">
        <v>190.70186355810662</v>
      </c>
    </row>
    <row r="105" spans="1:47" x14ac:dyDescent="0.25">
      <c r="A105" s="7" t="s">
        <v>390</v>
      </c>
      <c r="B105" s="7">
        <v>6</v>
      </c>
      <c r="C105" s="19">
        <v>160</v>
      </c>
      <c r="D105" s="7" t="s">
        <v>391</v>
      </c>
      <c r="E105" s="7" t="s">
        <v>229</v>
      </c>
      <c r="F105" s="20">
        <v>160</v>
      </c>
      <c r="G105" s="7" t="s">
        <v>194</v>
      </c>
      <c r="H105" s="21">
        <v>1</v>
      </c>
      <c r="I105" s="11">
        <f>MAX(('Geometry'!$G$13*COS(RADIANS(F105))+'Geometry'!$F$13*SIN(RADIANS(F105))),('Geometry'!$G$14*COS(RADIANS(F105))+'Geometry'!$F$14*SIN(RADIANS(F105))),('Geometry'!$G$15*COS(RADIANS(F105))+'Geometry'!$F$15*SIN(RADIANS(F105))),('Geometry'!$G$16*COS(RADIANS(F105))+'Geometry'!$F$16*SIN(RADIANS(F105))),('Geometry'!$G$17*COS(RADIANS(F105))+'Geometry'!$F$17*SIN(RADIANS(F105))),('Geometry'!$G$18*COS(RADIANS(F105))+'Geometry'!$F$18*SIN(RADIANS(F105))),('Geometry'!$G$19*COS(RADIANS(F105))+'Geometry'!$F$19*SIN(RADIANS(F105))),('Geometry'!$G$20*COS(RADIANS(F105))+'Geometry'!$F$20*SIN(RADIANS(F105))))</f>
        <v>751.9266513006629</v>
      </c>
      <c r="J105" s="11">
        <f>I105-H105*K105</f>
        <v>-751.9266513006629</v>
      </c>
      <c r="K105" s="11">
        <f>I105-MIN(('Geometry'!$G$13*COS(RADIANS(F105))+'Geometry'!$F$13*SIN(RADIANS(F105))),('Geometry'!$G$14*COS(RADIANS(F105))+'Geometry'!$F$14*SIN(RADIANS(F105))),('Geometry'!$G$15*COS(RADIANS(F105))+'Geometry'!$F$15*SIN(RADIANS(F105))),('Geometry'!$G$16*COS(RADIANS(F105))+'Geometry'!$F$16*SIN(RADIANS(F105))),('Geometry'!$G$17*COS(RADIANS(F105))+'Geometry'!$F$17*SIN(RADIANS(F105))),('Geometry'!$G$18*COS(RADIANS(F105))+'Geometry'!$F$18*SIN(RADIANS(F105))),('Geometry'!$G$19*COS(RADIANS(F105))+'Geometry'!$F$19*SIN(RADIANS(F105))),('Geometry'!$G$20*COS(RADIANS(F105))+'Geometry'!$F$20*SIN(RADIANS(F105))))</f>
        <v>1503.8533026013258</v>
      </c>
      <c r="L105" s="16">
        <f>C_ecu</f>
        <v>0.0033</v>
      </c>
      <c r="M105" s="16">
        <f>0</f>
        <v>0</v>
      </c>
      <c r="N105" s="22">
        <f>IF(ABS(I105-J105)&lt;0.000000000001,0,(L105-M105)/(I105-J105))</f>
        <v>0.0000021943629703055123</v>
      </c>
      <c r="O105" s="16">
        <f>L105-N105*I105</f>
        <v>0.00165</v>
      </c>
      <c r="P105" s="22">
        <f>N105*COS(RADIANS(F105))</f>
        <v>-0.000002062026690521937</v>
      </c>
      <c r="Q105" s="22">
        <f>N105*SIN(RADIANS(F105))</f>
        <v>7.505163376124318e-7</v>
      </c>
      <c r="R105" s="11">
        <f>AP105</f>
        <v>15275.601201942744</v>
      </c>
      <c r="S105" s="11">
        <f>AQ105</f>
        <v>-1343.6221559014868</v>
      </c>
      <c r="T105" s="11">
        <f>AR105</f>
        <v>720.4621692751742</v>
      </c>
      <c r="U105" s="11">
        <f>AS105</f>
        <v>2394.744413540491</v>
      </c>
      <c r="V105" s="11">
        <f>AT105</f>
        <v>-436.0318865867269</v>
      </c>
      <c r="W105" s="11">
        <f>AU105</f>
        <v>228.84223626972798</v>
      </c>
      <c r="X105" s="11">
        <f>AM105</f>
        <v>17670.345615483235</v>
      </c>
      <c r="Y105" s="11">
        <f>AN105</f>
        <v>-1779.6540424882137</v>
      </c>
      <c r="Z105" s="11">
        <f>AO105</f>
        <v>949.3044055449021</v>
      </c>
      <c r="AA105" s="7">
        <v>1</v>
      </c>
      <c r="AB105" s="7">
        <v>1</v>
      </c>
      <c r="AC105" s="7">
        <v>1</v>
      </c>
      <c r="AD105" s="11">
        <f>X105*AA105</f>
        <v>17670.345615483235</v>
      </c>
      <c r="AE105" s="11">
        <f>Y105*AB105</f>
        <v>-1779.6540424882137</v>
      </c>
      <c r="AF105" s="11">
        <f>Z105*AC105</f>
        <v>949.3044055449021</v>
      </c>
      <c r="AG105" s="7">
        <v>17670.345615483235</v>
      </c>
      <c r="AH105" s="7">
        <v>-1779.6540424882137</v>
      </c>
      <c r="AI105" s="7">
        <v>949.3044055449021</v>
      </c>
      <c r="AJ105" s="16">
        <f>AD105-AG105</f>
        <v>0</v>
      </c>
      <c r="AK105" s="16">
        <f>SQRT((AE105-AH105)^2+(AF105-AI105)^2)</f>
        <v>0</v>
      </c>
      <c r="AL105" s="7" t="s">
        <v>190</v>
      </c>
      <c r="AM105" s="7">
        <v>17670.345615483235</v>
      </c>
      <c r="AN105" s="7">
        <v>-1779.6540424882137</v>
      </c>
      <c r="AO105" s="7">
        <v>949.3044055449021</v>
      </c>
      <c r="AP105" s="7">
        <v>15275.601201942744</v>
      </c>
      <c r="AQ105" s="7">
        <v>-1343.6221559014868</v>
      </c>
      <c r="AR105" s="7">
        <v>720.4621692751742</v>
      </c>
      <c r="AS105" s="7">
        <v>2394.744413540491</v>
      </c>
      <c r="AT105" s="7">
        <v>-436.0318865867269</v>
      </c>
      <c r="AU105" s="7">
        <v>228.84223626972798</v>
      </c>
    </row>
    <row r="106" spans="1:47" x14ac:dyDescent="0.25">
      <c r="A106" s="7" t="s">
        <v>392</v>
      </c>
      <c r="B106" s="7">
        <v>1</v>
      </c>
      <c r="C106" s="19">
        <v>170</v>
      </c>
      <c r="D106" s="7" t="s">
        <v>393</v>
      </c>
      <c r="E106" s="7" t="s">
        <v>193</v>
      </c>
      <c r="F106" s="20">
        <v>170</v>
      </c>
      <c r="G106" s="7" t="s">
        <v>194</v>
      </c>
      <c r="H106" s="21">
        <v>3</v>
      </c>
      <c r="I106" s="11">
        <f>MAX(('Geometry'!$G$13*COS(RADIANS(F106))+'Geometry'!$F$13*SIN(RADIANS(F106))),('Geometry'!$G$14*COS(RADIANS(F106))+'Geometry'!$F$14*SIN(RADIANS(F106))),('Geometry'!$G$15*COS(RADIANS(F106))+'Geometry'!$F$15*SIN(RADIANS(F106))),('Geometry'!$G$16*COS(RADIANS(F106))+'Geometry'!$F$16*SIN(RADIANS(F106))),('Geometry'!$G$17*COS(RADIANS(F106))+'Geometry'!$F$17*SIN(RADIANS(F106))),('Geometry'!$G$18*COS(RADIANS(F106))+'Geometry'!$F$18*SIN(RADIANS(F106))),('Geometry'!$G$19*COS(RADIANS(F106))+'Geometry'!$F$19*SIN(RADIANS(F106))),('Geometry'!$G$20*COS(RADIANS(F106))+'Geometry'!$F$20*SIN(RADIANS(F106))))</f>
        <v>686.3911495241364</v>
      </c>
      <c r="J106" s="11">
        <f>I106-H106*K106</f>
        <v>-3431.9557476206824</v>
      </c>
      <c r="K106" s="11">
        <f>I106-MIN(('Geometry'!$G$13*COS(RADIANS(F106))+'Geometry'!$F$13*SIN(RADIANS(F106))),('Geometry'!$G$14*COS(RADIANS(F106))+'Geometry'!$F$14*SIN(RADIANS(F106))),('Geometry'!$G$15*COS(RADIANS(F106))+'Geometry'!$F$15*SIN(RADIANS(F106))),('Geometry'!$G$16*COS(RADIANS(F106))+'Geometry'!$F$16*SIN(RADIANS(F106))),('Geometry'!$G$17*COS(RADIANS(F106))+'Geometry'!$F$17*SIN(RADIANS(F106))),('Geometry'!$G$18*COS(RADIANS(F106))+'Geometry'!$F$18*SIN(RADIANS(F106))),('Geometry'!$G$19*COS(RADIANS(F106))+'Geometry'!$F$19*SIN(RADIANS(F106))),('Geometry'!$G$20*COS(RADIANS(F106))+'Geometry'!$F$20*SIN(RADIANS(F106))))</f>
        <v>1372.7822990482728</v>
      </c>
      <c r="L106" s="16">
        <f>C_ecu</f>
        <v>0.0033</v>
      </c>
      <c r="M106" s="16">
        <f>0</f>
        <v>0</v>
      </c>
      <c r="N106" s="22">
        <f>IF(ABS(I106-J106)&lt;0.000000000001,0,(L106-M106)/(I106-J106))</f>
        <v>8.012923831860388e-7</v>
      </c>
      <c r="O106" s="16">
        <f>L106-N106*I106</f>
        <v>0.00275</v>
      </c>
      <c r="P106" s="22">
        <f>N106*COS(RADIANS(F106))</f>
        <v>-7.891189513912401e-7</v>
      </c>
      <c r="Q106" s="22">
        <f>N106*SIN(RADIANS(F106))</f>
        <v>1.3914296211864725e-7</v>
      </c>
      <c r="R106" s="11">
        <f>AP106</f>
        <v>15258.270149570275</v>
      </c>
      <c r="S106" s="11">
        <f>AQ106</f>
        <v>-251.17852535473807</v>
      </c>
      <c r="T106" s="11">
        <f>AR106</f>
        <v>67.97002098712626</v>
      </c>
      <c r="U106" s="11">
        <f>AS106</f>
        <v>2412.075465912958</v>
      </c>
      <c r="V106" s="11">
        <f>AT106</f>
        <v>-82.358563293927</v>
      </c>
      <c r="W106" s="11">
        <f>AU106</f>
        <v>20.101445710100606</v>
      </c>
      <c r="X106" s="11">
        <f>AM106</f>
        <v>17670.345615483235</v>
      </c>
      <c r="Y106" s="11">
        <f>AN106</f>
        <v>-333.537088648665</v>
      </c>
      <c r="Z106" s="11">
        <f>AO106</f>
        <v>88.07146669722685</v>
      </c>
      <c r="AA106" s="7">
        <v>1</v>
      </c>
      <c r="AB106" s="7">
        <v>1</v>
      </c>
      <c r="AC106" s="7">
        <v>1</v>
      </c>
      <c r="AD106" s="11">
        <f>X106*AA106</f>
        <v>17670.345615483235</v>
      </c>
      <c r="AE106" s="11">
        <f>Y106*AB106</f>
        <v>-333.537088648665</v>
      </c>
      <c r="AF106" s="11">
        <f>Z106*AC106</f>
        <v>88.07146669722685</v>
      </c>
      <c r="AG106" s="7">
        <v>17670.345615483235</v>
      </c>
      <c r="AH106" s="7">
        <v>-333.537088648665</v>
      </c>
      <c r="AI106" s="7">
        <v>88.07146669722685</v>
      </c>
      <c r="AJ106" s="16">
        <f>AD106-AG106</f>
        <v>0</v>
      </c>
      <c r="AK106" s="16">
        <f>SQRT((AE106-AH106)^2+(AF106-AI106)^2)</f>
        <v>0</v>
      </c>
      <c r="AL106" s="7" t="s">
        <v>190</v>
      </c>
      <c r="AM106" s="7">
        <v>17670.345615483235</v>
      </c>
      <c r="AN106" s="7">
        <v>-333.537088648665</v>
      </c>
      <c r="AO106" s="7">
        <v>88.07146669722685</v>
      </c>
      <c r="AP106" s="7">
        <v>15258.270149570275</v>
      </c>
      <c r="AQ106" s="7">
        <v>-251.17852535473807</v>
      </c>
      <c r="AR106" s="7">
        <v>67.97002098712626</v>
      </c>
      <c r="AS106" s="7">
        <v>2412.075465912958</v>
      </c>
      <c r="AT106" s="7">
        <v>-82.358563293927</v>
      </c>
      <c r="AU106" s="7">
        <v>20.101445710100606</v>
      </c>
    </row>
    <row r="107" spans="1:47" x14ac:dyDescent="0.25">
      <c r="A107" s="7" t="s">
        <v>394</v>
      </c>
      <c r="B107" s="7">
        <v>2</v>
      </c>
      <c r="C107" s="19">
        <v>170</v>
      </c>
      <c r="D107" s="7" t="s">
        <v>395</v>
      </c>
      <c r="E107" s="7" t="s">
        <v>197</v>
      </c>
      <c r="F107" s="20">
        <v>170</v>
      </c>
      <c r="G107" s="7" t="s">
        <v>194</v>
      </c>
      <c r="H107" s="21">
        <v>2</v>
      </c>
      <c r="I107" s="11">
        <f>MAX(('Geometry'!$G$13*COS(RADIANS(F107))+'Geometry'!$F$13*SIN(RADIANS(F107))),('Geometry'!$G$14*COS(RADIANS(F107))+'Geometry'!$F$14*SIN(RADIANS(F107))),('Geometry'!$G$15*COS(RADIANS(F107))+'Geometry'!$F$15*SIN(RADIANS(F107))),('Geometry'!$G$16*COS(RADIANS(F107))+'Geometry'!$F$16*SIN(RADIANS(F107))),('Geometry'!$G$17*COS(RADIANS(F107))+'Geometry'!$F$17*SIN(RADIANS(F107))),('Geometry'!$G$18*COS(RADIANS(F107))+'Geometry'!$F$18*SIN(RADIANS(F107))),('Geometry'!$G$19*COS(RADIANS(F107))+'Geometry'!$F$19*SIN(RADIANS(F107))),('Geometry'!$G$20*COS(RADIANS(F107))+'Geometry'!$F$20*SIN(RADIANS(F107))))</f>
        <v>686.3911495241364</v>
      </c>
      <c r="J107" s="11">
        <f>I107-H107*K107</f>
        <v>-2059.173448572409</v>
      </c>
      <c r="K107" s="11">
        <f>I107-MIN(('Geometry'!$G$13*COS(RADIANS(F107))+'Geometry'!$F$13*SIN(RADIANS(F107))),('Geometry'!$G$14*COS(RADIANS(F107))+'Geometry'!$F$14*SIN(RADIANS(F107))),('Geometry'!$G$15*COS(RADIANS(F107))+'Geometry'!$F$15*SIN(RADIANS(F107))),('Geometry'!$G$16*COS(RADIANS(F107))+'Geometry'!$F$16*SIN(RADIANS(F107))),('Geometry'!$G$17*COS(RADIANS(F107))+'Geometry'!$F$17*SIN(RADIANS(F107))),('Geometry'!$G$18*COS(RADIANS(F107))+'Geometry'!$F$18*SIN(RADIANS(F107))),('Geometry'!$G$19*COS(RADIANS(F107))+'Geometry'!$F$19*SIN(RADIANS(F107))),('Geometry'!$G$20*COS(RADIANS(F107))+'Geometry'!$F$20*SIN(RADIANS(F107))))</f>
        <v>1372.7822990482728</v>
      </c>
      <c r="L107" s="16">
        <f>C_ecu</f>
        <v>0.0032999999999999995</v>
      </c>
      <c r="M107" s="16">
        <f>0</f>
        <v>0</v>
      </c>
      <c r="N107" s="22">
        <f>IF(ABS(I107-J107)&lt;0.000000000001,0,(L107-M107)/(I107-J107))</f>
        <v>0.0000012019385747790582</v>
      </c>
      <c r="O107" s="16">
        <f>L107-N107*I107</f>
        <v>0.0024749999999999998</v>
      </c>
      <c r="P107" s="22">
        <f>N107*COS(RADIANS(F107))</f>
        <v>-0.0000011836784270868602</v>
      </c>
      <c r="Q107" s="22">
        <f>N107*SIN(RADIANS(F107))</f>
        <v>2.087144431779709e-7</v>
      </c>
      <c r="R107" s="11">
        <f>AP107</f>
        <v>15258.270149570275</v>
      </c>
      <c r="S107" s="11">
        <f>AQ107</f>
        <v>-502.35705070947614</v>
      </c>
      <c r="T107" s="11">
        <f>AR107</f>
        <v>135.94004197425252</v>
      </c>
      <c r="U107" s="11">
        <f>AS107</f>
        <v>2412.075465912958</v>
      </c>
      <c r="V107" s="11">
        <f>AT107</f>
        <v>-164.717126587854</v>
      </c>
      <c r="W107" s="11">
        <f>AU107</f>
        <v>40.20289142020121</v>
      </c>
      <c r="X107" s="11">
        <f>AM107</f>
        <v>17670.345615483235</v>
      </c>
      <c r="Y107" s="11">
        <f>AN107</f>
        <v>-667.07417729733</v>
      </c>
      <c r="Z107" s="11">
        <f>AO107</f>
        <v>176.1429333944537</v>
      </c>
      <c r="AA107" s="7">
        <v>1</v>
      </c>
      <c r="AB107" s="7">
        <v>1</v>
      </c>
      <c r="AC107" s="7">
        <v>1</v>
      </c>
      <c r="AD107" s="11">
        <f>X107*AA107</f>
        <v>17670.345615483235</v>
      </c>
      <c r="AE107" s="11">
        <f>Y107*AB107</f>
        <v>-667.07417729733</v>
      </c>
      <c r="AF107" s="11">
        <f>Z107*AC107</f>
        <v>176.1429333944537</v>
      </c>
      <c r="AG107" s="7">
        <v>17670.345615483235</v>
      </c>
      <c r="AH107" s="7">
        <v>-667.07417729733</v>
      </c>
      <c r="AI107" s="7">
        <v>176.1429333944537</v>
      </c>
      <c r="AJ107" s="16">
        <f>AD107-AG107</f>
        <v>0</v>
      </c>
      <c r="AK107" s="16">
        <f>SQRT((AE107-AH107)^2+(AF107-AI107)^2)</f>
        <v>0</v>
      </c>
      <c r="AL107" s="7" t="s">
        <v>190</v>
      </c>
      <c r="AM107" s="7">
        <v>17670.345615483235</v>
      </c>
      <c r="AN107" s="7">
        <v>-667.07417729733</v>
      </c>
      <c r="AO107" s="7">
        <v>176.1429333944537</v>
      </c>
      <c r="AP107" s="7">
        <v>15258.270149570275</v>
      </c>
      <c r="AQ107" s="7">
        <v>-502.35705070947614</v>
      </c>
      <c r="AR107" s="7">
        <v>135.94004197425252</v>
      </c>
      <c r="AS107" s="7">
        <v>2412.075465912958</v>
      </c>
      <c r="AT107" s="7">
        <v>-164.717126587854</v>
      </c>
      <c r="AU107" s="7">
        <v>40.20289142020121</v>
      </c>
    </row>
    <row r="108" spans="1:47" x14ac:dyDescent="0.25">
      <c r="A108" s="7" t="s">
        <v>396</v>
      </c>
      <c r="B108" s="7">
        <v>3</v>
      </c>
      <c r="C108" s="19">
        <v>170</v>
      </c>
      <c r="D108" s="7" t="s">
        <v>397</v>
      </c>
      <c r="E108" s="7" t="s">
        <v>200</v>
      </c>
      <c r="F108" s="20">
        <v>170</v>
      </c>
      <c r="G108" s="7" t="s">
        <v>194</v>
      </c>
      <c r="H108" s="21">
        <v>1.5</v>
      </c>
      <c r="I108" s="11">
        <f>MAX(('Geometry'!$G$13*COS(RADIANS(F108))+'Geometry'!$F$13*SIN(RADIANS(F108))),('Geometry'!$G$14*COS(RADIANS(F108))+'Geometry'!$F$14*SIN(RADIANS(F108))),('Geometry'!$G$15*COS(RADIANS(F108))+'Geometry'!$F$15*SIN(RADIANS(F108))),('Geometry'!$G$16*COS(RADIANS(F108))+'Geometry'!$F$16*SIN(RADIANS(F108))),('Geometry'!$G$17*COS(RADIANS(F108))+'Geometry'!$F$17*SIN(RADIANS(F108))),('Geometry'!$G$18*COS(RADIANS(F108))+'Geometry'!$F$18*SIN(RADIANS(F108))),('Geometry'!$G$19*COS(RADIANS(F108))+'Geometry'!$F$19*SIN(RADIANS(F108))),('Geometry'!$G$20*COS(RADIANS(F108))+'Geometry'!$F$20*SIN(RADIANS(F108))))</f>
        <v>686.3911495241364</v>
      </c>
      <c r="J108" s="11">
        <f>I108-H108*K108</f>
        <v>-1372.7822990482728</v>
      </c>
      <c r="K108" s="11">
        <f>I108-MIN(('Geometry'!$G$13*COS(RADIANS(F108))+'Geometry'!$F$13*SIN(RADIANS(F108))),('Geometry'!$G$14*COS(RADIANS(F108))+'Geometry'!$F$14*SIN(RADIANS(F108))),('Geometry'!$G$15*COS(RADIANS(F108))+'Geometry'!$F$15*SIN(RADIANS(F108))),('Geometry'!$G$16*COS(RADIANS(F108))+'Geometry'!$F$16*SIN(RADIANS(F108))),('Geometry'!$G$17*COS(RADIANS(F108))+'Geometry'!$F$17*SIN(RADIANS(F108))),('Geometry'!$G$18*COS(RADIANS(F108))+'Geometry'!$F$18*SIN(RADIANS(F108))),('Geometry'!$G$19*COS(RADIANS(F108))+'Geometry'!$F$19*SIN(RADIANS(F108))),('Geometry'!$G$20*COS(RADIANS(F108))+'Geometry'!$F$20*SIN(RADIANS(F108))))</f>
        <v>1372.7822990482728</v>
      </c>
      <c r="L108" s="16">
        <f>C_ecu</f>
        <v>0.0032999999999999995</v>
      </c>
      <c r="M108" s="16">
        <f>0</f>
        <v>0</v>
      </c>
      <c r="N108" s="22">
        <f>IF(ABS(I108-J108)&lt;0.000000000001,0,(L108-M108)/(I108-J108))</f>
        <v>0.0000016025847663720776</v>
      </c>
      <c r="O108" s="16">
        <f>L108-N108*I108</f>
        <v>0.0021999999999999997</v>
      </c>
      <c r="P108" s="22">
        <f>N108*COS(RADIANS(F108))</f>
        <v>-0.0000015782379027824802</v>
      </c>
      <c r="Q108" s="22">
        <f>N108*SIN(RADIANS(F108))</f>
        <v>2.782859242372945e-7</v>
      </c>
      <c r="R108" s="11">
        <f>AP108</f>
        <v>15258.270149570275</v>
      </c>
      <c r="S108" s="11">
        <f>AQ108</f>
        <v>-753.5355760642142</v>
      </c>
      <c r="T108" s="11">
        <f>AR108</f>
        <v>203.91006296137877</v>
      </c>
      <c r="U108" s="11">
        <f>AS108</f>
        <v>2412.075465912958</v>
      </c>
      <c r="V108" s="11">
        <f>AT108</f>
        <v>-247.07568988178105</v>
      </c>
      <c r="W108" s="11">
        <f>AU108</f>
        <v>60.30433713030182</v>
      </c>
      <c r="X108" s="11">
        <f>AM108</f>
        <v>17670.345615483235</v>
      </c>
      <c r="Y108" s="11">
        <f>AN108</f>
        <v>-1000.6112659459951</v>
      </c>
      <c r="Z108" s="11">
        <f>AO108</f>
        <v>264.21440009168055</v>
      </c>
      <c r="AA108" s="7">
        <v>1</v>
      </c>
      <c r="AB108" s="7">
        <v>1</v>
      </c>
      <c r="AC108" s="7">
        <v>1</v>
      </c>
      <c r="AD108" s="11">
        <f>X108*AA108</f>
        <v>17670.345615483235</v>
      </c>
      <c r="AE108" s="11">
        <f>Y108*AB108</f>
        <v>-1000.6112659459951</v>
      </c>
      <c r="AF108" s="11">
        <f>Z108*AC108</f>
        <v>264.21440009168055</v>
      </c>
      <c r="AG108" s="7">
        <v>17670.345615483235</v>
      </c>
      <c r="AH108" s="7">
        <v>-1000.6112659459951</v>
      </c>
      <c r="AI108" s="7">
        <v>264.21440009168055</v>
      </c>
      <c r="AJ108" s="16">
        <f>AD108-AG108</f>
        <v>0</v>
      </c>
      <c r="AK108" s="16">
        <f>SQRT((AE108-AH108)^2+(AF108-AI108)^2)</f>
        <v>0</v>
      </c>
      <c r="AL108" s="7" t="s">
        <v>190</v>
      </c>
      <c r="AM108" s="7">
        <v>17670.345615483235</v>
      </c>
      <c r="AN108" s="7">
        <v>-1000.6112659459951</v>
      </c>
      <c r="AO108" s="7">
        <v>264.21440009168055</v>
      </c>
      <c r="AP108" s="7">
        <v>15258.270149570275</v>
      </c>
      <c r="AQ108" s="7">
        <v>-753.5355760642142</v>
      </c>
      <c r="AR108" s="7">
        <v>203.91006296137877</v>
      </c>
      <c r="AS108" s="7">
        <v>2412.075465912958</v>
      </c>
      <c r="AT108" s="7">
        <v>-247.07568988178105</v>
      </c>
      <c r="AU108" s="7">
        <v>60.30433713030182</v>
      </c>
    </row>
    <row r="109" spans="1:47" x14ac:dyDescent="0.25">
      <c r="A109" s="7" t="s">
        <v>398</v>
      </c>
      <c r="B109" s="7">
        <v>4</v>
      </c>
      <c r="C109" s="19">
        <v>170</v>
      </c>
      <c r="D109" s="7" t="s">
        <v>399</v>
      </c>
      <c r="E109" s="7" t="s">
        <v>203</v>
      </c>
      <c r="F109" s="20">
        <v>170</v>
      </c>
      <c r="G109" s="7" t="s">
        <v>194</v>
      </c>
      <c r="H109" s="21">
        <v>1.2000000000000002</v>
      </c>
      <c r="I109" s="11">
        <f>MAX(('Geometry'!$G$13*COS(RADIANS(F109))+'Geometry'!$F$13*SIN(RADIANS(F109))),('Geometry'!$G$14*COS(RADIANS(F109))+'Geometry'!$F$14*SIN(RADIANS(F109))),('Geometry'!$G$15*COS(RADIANS(F109))+'Geometry'!$F$15*SIN(RADIANS(F109))),('Geometry'!$G$16*COS(RADIANS(F109))+'Geometry'!$F$16*SIN(RADIANS(F109))),('Geometry'!$G$17*COS(RADIANS(F109))+'Geometry'!$F$17*SIN(RADIANS(F109))),('Geometry'!$G$18*COS(RADIANS(F109))+'Geometry'!$F$18*SIN(RADIANS(F109))),('Geometry'!$G$19*COS(RADIANS(F109))+'Geometry'!$F$19*SIN(RADIANS(F109))),('Geometry'!$G$20*COS(RADIANS(F109))+'Geometry'!$F$20*SIN(RADIANS(F109))))</f>
        <v>686.3911495241364</v>
      </c>
      <c r="J109" s="11">
        <f>I109-H109*K109</f>
        <v>-960.9476093337912</v>
      </c>
      <c r="K109" s="11">
        <f>I109-MIN(('Geometry'!$G$13*COS(RADIANS(F109))+'Geometry'!$F$13*SIN(RADIANS(F109))),('Geometry'!$G$14*COS(RADIANS(F109))+'Geometry'!$F$14*SIN(RADIANS(F109))),('Geometry'!$G$15*COS(RADIANS(F109))+'Geometry'!$F$15*SIN(RADIANS(F109))),('Geometry'!$G$16*COS(RADIANS(F109))+'Geometry'!$F$16*SIN(RADIANS(F109))),('Geometry'!$G$17*COS(RADIANS(F109))+'Geometry'!$F$17*SIN(RADIANS(F109))),('Geometry'!$G$18*COS(RADIANS(F109))+'Geometry'!$F$18*SIN(RADIANS(F109))),('Geometry'!$G$19*COS(RADIANS(F109))+'Geometry'!$F$19*SIN(RADIANS(F109))),('Geometry'!$G$20*COS(RADIANS(F109))+'Geometry'!$F$20*SIN(RADIANS(F109))))</f>
        <v>1372.7822990482728</v>
      </c>
      <c r="L109" s="16">
        <f>C_ecu</f>
        <v>0.0033</v>
      </c>
      <c r="M109" s="16">
        <f>0</f>
        <v>0</v>
      </c>
      <c r="N109" s="22">
        <f>IF(ABS(I109-J109)&lt;0.000000000001,0,(L109-M109)/(I109-J109))</f>
        <v>0.0000020032309579650967</v>
      </c>
      <c r="O109" s="16">
        <f>L109-N109*I109</f>
        <v>0.001925</v>
      </c>
      <c r="P109" s="22">
        <f>N109*COS(RADIANS(F109))</f>
        <v>-0.0000019727973784781</v>
      </c>
      <c r="Q109" s="22">
        <f>N109*SIN(RADIANS(F109))</f>
        <v>3.4785740529661813e-7</v>
      </c>
      <c r="R109" s="11">
        <f>AP109</f>
        <v>15258.270149570275</v>
      </c>
      <c r="S109" s="11">
        <f>AQ109</f>
        <v>-1004.7141014189523</v>
      </c>
      <c r="T109" s="11">
        <f>AR109</f>
        <v>271.88008394850505</v>
      </c>
      <c r="U109" s="11">
        <f>AS109</f>
        <v>2412.075465912958</v>
      </c>
      <c r="V109" s="11">
        <f>AT109</f>
        <v>-329.434253175708</v>
      </c>
      <c r="W109" s="11">
        <f>AU109</f>
        <v>80.40578284040242</v>
      </c>
      <c r="X109" s="11">
        <f>AM109</f>
        <v>17670.345615483235</v>
      </c>
      <c r="Y109" s="11">
        <f>AN109</f>
        <v>-1334.14835459466</v>
      </c>
      <c r="Z109" s="11">
        <f>AO109</f>
        <v>352.2858667889074</v>
      </c>
      <c r="AA109" s="7">
        <v>1</v>
      </c>
      <c r="AB109" s="7">
        <v>1</v>
      </c>
      <c r="AC109" s="7">
        <v>1</v>
      </c>
      <c r="AD109" s="11">
        <f>X109*AA109</f>
        <v>17670.345615483235</v>
      </c>
      <c r="AE109" s="11">
        <f>Y109*AB109</f>
        <v>-1334.14835459466</v>
      </c>
      <c r="AF109" s="11">
        <f>Z109*AC109</f>
        <v>352.2858667889074</v>
      </c>
      <c r="AG109" s="7">
        <v>17670.345615483235</v>
      </c>
      <c r="AH109" s="7">
        <v>-1334.14835459466</v>
      </c>
      <c r="AI109" s="7">
        <v>352.2858667889074</v>
      </c>
      <c r="AJ109" s="16">
        <f>AD109-AG109</f>
        <v>0</v>
      </c>
      <c r="AK109" s="16">
        <f>SQRT((AE109-AH109)^2+(AF109-AI109)^2)</f>
        <v>0</v>
      </c>
      <c r="AL109" s="7" t="s">
        <v>190</v>
      </c>
      <c r="AM109" s="7">
        <v>17670.345615483235</v>
      </c>
      <c r="AN109" s="7">
        <v>-1334.14835459466</v>
      </c>
      <c r="AO109" s="7">
        <v>352.2858667889074</v>
      </c>
      <c r="AP109" s="7">
        <v>15258.270149570275</v>
      </c>
      <c r="AQ109" s="7">
        <v>-1004.7141014189523</v>
      </c>
      <c r="AR109" s="7">
        <v>271.88008394850505</v>
      </c>
      <c r="AS109" s="7">
        <v>2412.075465912958</v>
      </c>
      <c r="AT109" s="7">
        <v>-329.434253175708</v>
      </c>
      <c r="AU109" s="7">
        <v>80.40578284040242</v>
      </c>
    </row>
    <row r="110" spans="1:47" x14ac:dyDescent="0.25">
      <c r="A110" s="7" t="s">
        <v>400</v>
      </c>
      <c r="B110" s="7">
        <v>5</v>
      </c>
      <c r="C110" s="19">
        <v>170</v>
      </c>
      <c r="D110" s="7" t="s">
        <v>401</v>
      </c>
      <c r="E110" s="7" t="s">
        <v>206</v>
      </c>
      <c r="F110" s="20">
        <v>170</v>
      </c>
      <c r="G110" s="7" t="s">
        <v>194</v>
      </c>
      <c r="H110" s="21">
        <v>1.1000000000000003</v>
      </c>
      <c r="I110" s="11">
        <f>MAX(('Geometry'!$G$13*COS(RADIANS(F110))+'Geometry'!$F$13*SIN(RADIANS(F110))),('Geometry'!$G$14*COS(RADIANS(F110))+'Geometry'!$F$14*SIN(RADIANS(F110))),('Geometry'!$G$15*COS(RADIANS(F110))+'Geometry'!$F$15*SIN(RADIANS(F110))),('Geometry'!$G$16*COS(RADIANS(F110))+'Geometry'!$F$16*SIN(RADIANS(F110))),('Geometry'!$G$17*COS(RADIANS(F110))+'Geometry'!$F$17*SIN(RADIANS(F110))),('Geometry'!$G$18*COS(RADIANS(F110))+'Geometry'!$F$18*SIN(RADIANS(F110))),('Geometry'!$G$19*COS(RADIANS(F110))+'Geometry'!$F$19*SIN(RADIANS(F110))),('Geometry'!$G$20*COS(RADIANS(F110))+'Geometry'!$F$20*SIN(RADIANS(F110))))</f>
        <v>686.3911495241364</v>
      </c>
      <c r="J110" s="11">
        <f>I110-H110*K110</f>
        <v>-823.669379428964</v>
      </c>
      <c r="K110" s="11">
        <f>I110-MIN(('Geometry'!$G$13*COS(RADIANS(F110))+'Geometry'!$F$13*SIN(RADIANS(F110))),('Geometry'!$G$14*COS(RADIANS(F110))+'Geometry'!$F$14*SIN(RADIANS(F110))),('Geometry'!$G$15*COS(RADIANS(F110))+'Geometry'!$F$15*SIN(RADIANS(F110))),('Geometry'!$G$16*COS(RADIANS(F110))+'Geometry'!$F$16*SIN(RADIANS(F110))),('Geometry'!$G$17*COS(RADIANS(F110))+'Geometry'!$F$17*SIN(RADIANS(F110))),('Geometry'!$G$18*COS(RADIANS(F110))+'Geometry'!$F$18*SIN(RADIANS(F110))),('Geometry'!$G$19*COS(RADIANS(F110))+'Geometry'!$F$19*SIN(RADIANS(F110))),('Geometry'!$G$20*COS(RADIANS(F110))+'Geometry'!$F$20*SIN(RADIANS(F110))))</f>
        <v>1372.7822990482728</v>
      </c>
      <c r="L110" s="16">
        <f>C_ecu</f>
        <v>0.0033</v>
      </c>
      <c r="M110" s="16">
        <f>0</f>
        <v>0</v>
      </c>
      <c r="N110" s="22">
        <f>IF(ABS(I110-J110)&lt;0.000000000001,0,(L110-M110)/(I110-J110))</f>
        <v>0.000002185342863234651</v>
      </c>
      <c r="O110" s="16">
        <f>L110-N110*I110</f>
        <v>0.0018000000000000002</v>
      </c>
      <c r="P110" s="22">
        <f>N110*COS(RADIANS(F110))</f>
        <v>-0.000002152142594703382</v>
      </c>
      <c r="Q110" s="22">
        <f>N110*SIN(RADIANS(F110))</f>
        <v>3.7948080577812884e-7</v>
      </c>
      <c r="R110" s="11">
        <f>AP110</f>
        <v>15258.270149570275</v>
      </c>
      <c r="S110" s="11">
        <f>AQ110</f>
        <v>-1255.8926267736904</v>
      </c>
      <c r="T110" s="11">
        <f>AR110</f>
        <v>339.8501049356313</v>
      </c>
      <c r="U110" s="11">
        <f>AS110</f>
        <v>2412.075465912958</v>
      </c>
      <c r="V110" s="11">
        <f>AT110</f>
        <v>-411.79281646963506</v>
      </c>
      <c r="W110" s="11">
        <f>AU110</f>
        <v>100.50722855050303</v>
      </c>
      <c r="X110" s="11">
        <f>AM110</f>
        <v>17670.345615483235</v>
      </c>
      <c r="Y110" s="11">
        <f>AN110</f>
        <v>-1667.6854432433252</v>
      </c>
      <c r="Z110" s="11">
        <f>AO110</f>
        <v>440.3573334861343</v>
      </c>
      <c r="AA110" s="7">
        <v>1</v>
      </c>
      <c r="AB110" s="7">
        <v>1</v>
      </c>
      <c r="AC110" s="7">
        <v>1</v>
      </c>
      <c r="AD110" s="11">
        <f>X110*AA110</f>
        <v>17670.345615483235</v>
      </c>
      <c r="AE110" s="11">
        <f>Y110*AB110</f>
        <v>-1667.6854432433252</v>
      </c>
      <c r="AF110" s="11">
        <f>Z110*AC110</f>
        <v>440.3573334861343</v>
      </c>
      <c r="AG110" s="7">
        <v>17670.345615483235</v>
      </c>
      <c r="AH110" s="7">
        <v>-1667.6854432433252</v>
      </c>
      <c r="AI110" s="7">
        <v>440.3573334861343</v>
      </c>
      <c r="AJ110" s="16">
        <f>AD110-AG110</f>
        <v>0</v>
      </c>
      <c r="AK110" s="16">
        <f>SQRT((AE110-AH110)^2+(AF110-AI110)^2)</f>
        <v>0</v>
      </c>
      <c r="AL110" s="7" t="s">
        <v>190</v>
      </c>
      <c r="AM110" s="7">
        <v>17670.345615483235</v>
      </c>
      <c r="AN110" s="7">
        <v>-1667.6854432433252</v>
      </c>
      <c r="AO110" s="7">
        <v>440.3573334861343</v>
      </c>
      <c r="AP110" s="7">
        <v>15258.270149570275</v>
      </c>
      <c r="AQ110" s="7">
        <v>-1255.8926267736904</v>
      </c>
      <c r="AR110" s="7">
        <v>339.8501049356313</v>
      </c>
      <c r="AS110" s="7">
        <v>2412.075465912958</v>
      </c>
      <c r="AT110" s="7">
        <v>-411.79281646963506</v>
      </c>
      <c r="AU110" s="7">
        <v>100.50722855050303</v>
      </c>
    </row>
    <row r="111" spans="1:47" x14ac:dyDescent="0.25">
      <c r="A111" s="7" t="s">
        <v>402</v>
      </c>
      <c r="B111" s="7">
        <v>1</v>
      </c>
      <c r="C111" s="19">
        <v>180</v>
      </c>
      <c r="D111" s="7" t="s">
        <v>403</v>
      </c>
      <c r="E111" s="7" t="s">
        <v>193</v>
      </c>
      <c r="F111" s="20">
        <v>180</v>
      </c>
      <c r="G111" s="7" t="s">
        <v>194</v>
      </c>
      <c r="H111" s="21">
        <v>3</v>
      </c>
      <c r="I111" s="11">
        <f>MAX(('Geometry'!$G$13*COS(RADIANS(F111))+'Geometry'!$F$13*SIN(RADIANS(F111))),('Geometry'!$G$14*COS(RADIANS(F111))+'Geometry'!$F$14*SIN(RADIANS(F111))),('Geometry'!$G$15*COS(RADIANS(F111))+'Geometry'!$F$15*SIN(RADIANS(F111))),('Geometry'!$G$16*COS(RADIANS(F111))+'Geometry'!$F$16*SIN(RADIANS(F111))),('Geometry'!$G$17*COS(RADIANS(F111))+'Geometry'!$F$17*SIN(RADIANS(F111))),('Geometry'!$G$18*COS(RADIANS(F111))+'Geometry'!$F$18*SIN(RADIANS(F111))),('Geometry'!$G$19*COS(RADIANS(F111))+'Geometry'!$F$19*SIN(RADIANS(F111))),('Geometry'!$G$20*COS(RADIANS(F111))+'Geometry'!$F$20*SIN(RADIANS(F111))))</f>
        <v>600.0000000000001</v>
      </c>
      <c r="J111" s="11">
        <f>I111-H111*K111</f>
        <v>-3000.0000000000005</v>
      </c>
      <c r="K111" s="11">
        <f>I111-MIN(('Geometry'!$G$13*COS(RADIANS(F111))+'Geometry'!$F$13*SIN(RADIANS(F111))),('Geometry'!$G$14*COS(RADIANS(F111))+'Geometry'!$F$14*SIN(RADIANS(F111))),('Geometry'!$G$15*COS(RADIANS(F111))+'Geometry'!$F$15*SIN(RADIANS(F111))),('Geometry'!$G$16*COS(RADIANS(F111))+'Geometry'!$F$16*SIN(RADIANS(F111))),('Geometry'!$G$17*COS(RADIANS(F111))+'Geometry'!$F$17*SIN(RADIANS(F111))),('Geometry'!$G$18*COS(RADIANS(F111))+'Geometry'!$F$18*SIN(RADIANS(F111))),('Geometry'!$G$19*COS(RADIANS(F111))+'Geometry'!$F$19*SIN(RADIANS(F111))),('Geometry'!$G$20*COS(RADIANS(F111))+'Geometry'!$F$20*SIN(RADIANS(F111))))</f>
        <v>1200.0000000000002</v>
      </c>
      <c r="L111" s="16">
        <f>C_ecu</f>
        <v>0.0033</v>
      </c>
      <c r="M111" s="16">
        <f>0</f>
        <v>0</v>
      </c>
      <c r="N111" s="22">
        <f>IF(ABS(I111-J111)&lt;0.000000000001,0,(L111-M111)/(I111-J111))</f>
        <v>9.166666666666664e-7</v>
      </c>
      <c r="O111" s="16">
        <f>L111-N111*I111</f>
        <v>0.00275</v>
      </c>
      <c r="P111" s="22">
        <f>N111*COS(RADIANS(F111))</f>
        <v>-9.166666666666664e-7</v>
      </c>
      <c r="Q111" s="22">
        <f>N111*SIN(RADIANS(F111))</f>
        <v>1.1225928992184068e-22</v>
      </c>
      <c r="R111" s="11">
        <f>AP111</f>
        <v>15240.060530616258</v>
      </c>
      <c r="S111" s="11">
        <f>AQ111</f>
        <v>-285.9474699323184</v>
      </c>
      <c r="T111" s="11">
        <f>AR111</f>
        <v>-0.0018100921237328626</v>
      </c>
      <c r="U111" s="11">
        <f>AS111</f>
        <v>2430.2850848669796</v>
      </c>
      <c r="V111" s="11">
        <f>AT111</f>
        <v>-93.44254178501635</v>
      </c>
      <c r="W111" s="11">
        <f>AU111</f>
        <v>2.2262399869322024e-14</v>
      </c>
      <c r="X111" s="11">
        <f>AM111</f>
        <v>17670.345615483235</v>
      </c>
      <c r="Y111" s="11">
        <f>AN111</f>
        <v>-379.39001171733474</v>
      </c>
      <c r="Z111" s="11">
        <f>AO111</f>
        <v>-0.0018100921237106003</v>
      </c>
      <c r="AA111" s="7">
        <v>1</v>
      </c>
      <c r="AB111" s="7">
        <v>1</v>
      </c>
      <c r="AC111" s="7">
        <v>1</v>
      </c>
      <c r="AD111" s="11">
        <f>X111*AA111</f>
        <v>17670.345615483235</v>
      </c>
      <c r="AE111" s="11">
        <f>Y111*AB111</f>
        <v>-379.39001171733474</v>
      </c>
      <c r="AF111" s="11">
        <f>Z111*AC111</f>
        <v>-0.0018100921237106003</v>
      </c>
      <c r="AG111" s="7">
        <v>17670.345615483235</v>
      </c>
      <c r="AH111" s="7">
        <v>-379.39001171733474</v>
      </c>
      <c r="AI111" s="7">
        <v>-0.0018100921237106003</v>
      </c>
      <c r="AJ111" s="16">
        <f>AD111-AG111</f>
        <v>0</v>
      </c>
      <c r="AK111" s="16">
        <f>SQRT((AE111-AH111)^2+(AF111-AI111)^2)</f>
        <v>0</v>
      </c>
      <c r="AL111" s="7" t="s">
        <v>190</v>
      </c>
      <c r="AM111" s="7">
        <v>17670.345615483235</v>
      </c>
      <c r="AN111" s="7">
        <v>-379.39001171733474</v>
      </c>
      <c r="AO111" s="7">
        <v>-0.0018100921237106003</v>
      </c>
      <c r="AP111" s="7">
        <v>15240.060530616258</v>
      </c>
      <c r="AQ111" s="7">
        <v>-285.9474699323184</v>
      </c>
      <c r="AR111" s="7">
        <v>-0.0018100921237328626</v>
      </c>
      <c r="AS111" s="7">
        <v>2430.2850848669796</v>
      </c>
      <c r="AT111" s="7">
        <v>-93.44254178501635</v>
      </c>
      <c r="AU111" s="7">
        <v>2.2262399869322024e-14</v>
      </c>
    </row>
    <row r="112" spans="1:47" x14ac:dyDescent="0.25">
      <c r="A112" s="7" t="s">
        <v>404</v>
      </c>
      <c r="B112" s="7">
        <v>2</v>
      </c>
      <c r="C112" s="19">
        <v>180</v>
      </c>
      <c r="D112" s="7" t="s">
        <v>405</v>
      </c>
      <c r="E112" s="7" t="s">
        <v>197</v>
      </c>
      <c r="F112" s="20">
        <v>180</v>
      </c>
      <c r="G112" s="7" t="s">
        <v>194</v>
      </c>
      <c r="H112" s="21">
        <v>2</v>
      </c>
      <c r="I112" s="11">
        <f>MAX(('Geometry'!$G$13*COS(RADIANS(F112))+'Geometry'!$F$13*SIN(RADIANS(F112))),('Geometry'!$G$14*COS(RADIANS(F112))+'Geometry'!$F$14*SIN(RADIANS(F112))),('Geometry'!$G$15*COS(RADIANS(F112))+'Geometry'!$F$15*SIN(RADIANS(F112))),('Geometry'!$G$16*COS(RADIANS(F112))+'Geometry'!$F$16*SIN(RADIANS(F112))),('Geometry'!$G$17*COS(RADIANS(F112))+'Geometry'!$F$17*SIN(RADIANS(F112))),('Geometry'!$G$18*COS(RADIANS(F112))+'Geometry'!$F$18*SIN(RADIANS(F112))),('Geometry'!$G$19*COS(RADIANS(F112))+'Geometry'!$F$19*SIN(RADIANS(F112))),('Geometry'!$G$20*COS(RADIANS(F112))+'Geometry'!$F$20*SIN(RADIANS(F112))))</f>
        <v>600.0000000000001</v>
      </c>
      <c r="J112" s="11">
        <f>I112-H112*K112</f>
        <v>-1800.0000000000002</v>
      </c>
      <c r="K112" s="11">
        <f>I112-MIN(('Geometry'!$G$13*COS(RADIANS(F112))+'Geometry'!$F$13*SIN(RADIANS(F112))),('Geometry'!$G$14*COS(RADIANS(F112))+'Geometry'!$F$14*SIN(RADIANS(F112))),('Geometry'!$G$15*COS(RADIANS(F112))+'Geometry'!$F$15*SIN(RADIANS(F112))),('Geometry'!$G$16*COS(RADIANS(F112))+'Geometry'!$F$16*SIN(RADIANS(F112))),('Geometry'!$G$17*COS(RADIANS(F112))+'Geometry'!$F$17*SIN(RADIANS(F112))),('Geometry'!$G$18*COS(RADIANS(F112))+'Geometry'!$F$18*SIN(RADIANS(F112))),('Geometry'!$G$19*COS(RADIANS(F112))+'Geometry'!$F$19*SIN(RADIANS(F112))),('Geometry'!$G$20*COS(RADIANS(F112))+'Geometry'!$F$20*SIN(RADIANS(F112))))</f>
        <v>1200.0000000000002</v>
      </c>
      <c r="L112" s="16">
        <f>C_ecu</f>
        <v>0.0033</v>
      </c>
      <c r="M112" s="16">
        <f>0</f>
        <v>0</v>
      </c>
      <c r="N112" s="22">
        <f>IF(ABS(I112-J112)&lt;0.000000000001,0,(L112-M112)/(I112-J112))</f>
        <v>0.0000013749999999999998</v>
      </c>
      <c r="O112" s="16">
        <f>L112-N112*I112</f>
        <v>0.0024749999999999998</v>
      </c>
      <c r="P112" s="22">
        <f>N112*COS(RADIANS(F112))</f>
        <v>-0.0000013749999999999998</v>
      </c>
      <c r="Q112" s="22">
        <f>N112*SIN(RADIANS(F112))</f>
        <v>1.6838893488276103e-22</v>
      </c>
      <c r="R112" s="11">
        <f>AP112</f>
        <v>15240.060530616258</v>
      </c>
      <c r="S112" s="11">
        <f>AQ112</f>
        <v>-571.8949398646369</v>
      </c>
      <c r="T112" s="11">
        <f>AR112</f>
        <v>-0.0036201842474657252</v>
      </c>
      <c r="U112" s="11">
        <f>AS112</f>
        <v>2430.2850848669796</v>
      </c>
      <c r="V112" s="11">
        <f>AT112</f>
        <v>-186.8850835700327</v>
      </c>
      <c r="W112" s="11">
        <f>AU112</f>
        <v>4.452479973864405e-14</v>
      </c>
      <c r="X112" s="11">
        <f>AM112</f>
        <v>17670.345615483235</v>
      </c>
      <c r="Y112" s="11">
        <f>AN112</f>
        <v>-758.7800234346695</v>
      </c>
      <c r="Z112" s="11">
        <f>AO112</f>
        <v>-0.0036201842474212005</v>
      </c>
      <c r="AA112" s="7">
        <v>1</v>
      </c>
      <c r="AB112" s="7">
        <v>1</v>
      </c>
      <c r="AC112" s="7">
        <v>1</v>
      </c>
      <c r="AD112" s="11">
        <f>X112*AA112</f>
        <v>17670.345615483235</v>
      </c>
      <c r="AE112" s="11">
        <f>Y112*AB112</f>
        <v>-758.7800234346695</v>
      </c>
      <c r="AF112" s="11">
        <f>Z112*AC112</f>
        <v>-0.0036201842474212005</v>
      </c>
      <c r="AG112" s="7">
        <v>17670.345615483235</v>
      </c>
      <c r="AH112" s="7">
        <v>-758.7800234346695</v>
      </c>
      <c r="AI112" s="7">
        <v>-0.0036201842474212005</v>
      </c>
      <c r="AJ112" s="16">
        <f>AD112-AG112</f>
        <v>0</v>
      </c>
      <c r="AK112" s="16">
        <f>SQRT((AE112-AH112)^2+(AF112-AI112)^2)</f>
        <v>0</v>
      </c>
      <c r="AL112" s="7" t="s">
        <v>190</v>
      </c>
      <c r="AM112" s="7">
        <v>17670.345615483235</v>
      </c>
      <c r="AN112" s="7">
        <v>-758.7800234346695</v>
      </c>
      <c r="AO112" s="7">
        <v>-0.0036201842474212005</v>
      </c>
      <c r="AP112" s="7">
        <v>15240.060530616258</v>
      </c>
      <c r="AQ112" s="7">
        <v>-571.8949398646369</v>
      </c>
      <c r="AR112" s="7">
        <v>-0.0036201842474657252</v>
      </c>
      <c r="AS112" s="7">
        <v>2430.2850848669796</v>
      </c>
      <c r="AT112" s="7">
        <v>-186.8850835700327</v>
      </c>
      <c r="AU112" s="7">
        <v>4.452479973864405e-14</v>
      </c>
    </row>
    <row r="113" spans="1:47" x14ac:dyDescent="0.25">
      <c r="A113" s="7" t="s">
        <v>406</v>
      </c>
      <c r="B113" s="7">
        <v>3</v>
      </c>
      <c r="C113" s="19">
        <v>180</v>
      </c>
      <c r="D113" s="7" t="s">
        <v>407</v>
      </c>
      <c r="E113" s="7" t="s">
        <v>200</v>
      </c>
      <c r="F113" s="20">
        <v>180</v>
      </c>
      <c r="G113" s="7" t="s">
        <v>194</v>
      </c>
      <c r="H113" s="21">
        <v>1.5</v>
      </c>
      <c r="I113" s="11">
        <f>MAX(('Geometry'!$G$13*COS(RADIANS(F113))+'Geometry'!$F$13*SIN(RADIANS(F113))),('Geometry'!$G$14*COS(RADIANS(F113))+'Geometry'!$F$14*SIN(RADIANS(F113))),('Geometry'!$G$15*COS(RADIANS(F113))+'Geometry'!$F$15*SIN(RADIANS(F113))),('Geometry'!$G$16*COS(RADIANS(F113))+'Geometry'!$F$16*SIN(RADIANS(F113))),('Geometry'!$G$17*COS(RADIANS(F113))+'Geometry'!$F$17*SIN(RADIANS(F113))),('Geometry'!$G$18*COS(RADIANS(F113))+'Geometry'!$F$18*SIN(RADIANS(F113))),('Geometry'!$G$19*COS(RADIANS(F113))+'Geometry'!$F$19*SIN(RADIANS(F113))),('Geometry'!$G$20*COS(RADIANS(F113))+'Geometry'!$F$20*SIN(RADIANS(F113))))</f>
        <v>600.0000000000001</v>
      </c>
      <c r="J113" s="11">
        <f>I113-H113*K113</f>
        <v>-1200.0000000000005</v>
      </c>
      <c r="K113" s="11">
        <f>I113-MIN(('Geometry'!$G$13*COS(RADIANS(F113))+'Geometry'!$F$13*SIN(RADIANS(F113))),('Geometry'!$G$14*COS(RADIANS(F113))+'Geometry'!$F$14*SIN(RADIANS(F113))),('Geometry'!$G$15*COS(RADIANS(F113))+'Geometry'!$F$15*SIN(RADIANS(F113))),('Geometry'!$G$16*COS(RADIANS(F113))+'Geometry'!$F$16*SIN(RADIANS(F113))),('Geometry'!$G$17*COS(RADIANS(F113))+'Geometry'!$F$17*SIN(RADIANS(F113))),('Geometry'!$G$18*COS(RADIANS(F113))+'Geometry'!$F$18*SIN(RADIANS(F113))),('Geometry'!$G$19*COS(RADIANS(F113))+'Geometry'!$F$19*SIN(RADIANS(F113))),('Geometry'!$G$20*COS(RADIANS(F113))+'Geometry'!$F$20*SIN(RADIANS(F113))))</f>
        <v>1200.0000000000002</v>
      </c>
      <c r="L113" s="16">
        <f>C_ecu</f>
        <v>0.0033</v>
      </c>
      <c r="M113" s="16">
        <f>0</f>
        <v>0</v>
      </c>
      <c r="N113" s="22">
        <f>IF(ABS(I113-J113)&lt;0.000000000001,0,(L113-M113)/(I113-J113))</f>
        <v>0.0000018333333333333329</v>
      </c>
      <c r="O113" s="16">
        <f>L113-N113*I113</f>
        <v>0.0022</v>
      </c>
      <c r="P113" s="22">
        <f>N113*COS(RADIANS(F113))</f>
        <v>-0.0000018333333333333329</v>
      </c>
      <c r="Q113" s="22">
        <f>N113*SIN(RADIANS(F113))</f>
        <v>2.2451857984368136e-22</v>
      </c>
      <c r="R113" s="11">
        <f>AP113</f>
        <v>15240.060530616258</v>
      </c>
      <c r="S113" s="11">
        <f>AQ113</f>
        <v>-857.8424097969553</v>
      </c>
      <c r="T113" s="11">
        <f>AR113</f>
        <v>-0.005430276371198588</v>
      </c>
      <c r="U113" s="11">
        <f>AS113</f>
        <v>2430.2850848669796</v>
      </c>
      <c r="V113" s="11">
        <f>AT113</f>
        <v>-280.327625355049</v>
      </c>
      <c r="W113" s="11">
        <f>AU113</f>
        <v>6.678719960796607e-14</v>
      </c>
      <c r="X113" s="11">
        <f>AM113</f>
        <v>17670.345615483235</v>
      </c>
      <c r="Y113" s="11">
        <f>AN113</f>
        <v>-1138.1700351520042</v>
      </c>
      <c r="Z113" s="11">
        <f>AO113</f>
        <v>-0.0054302763711318</v>
      </c>
      <c r="AA113" s="7">
        <v>1</v>
      </c>
      <c r="AB113" s="7">
        <v>1</v>
      </c>
      <c r="AC113" s="7">
        <v>1</v>
      </c>
      <c r="AD113" s="11">
        <f>X113*AA113</f>
        <v>17670.345615483235</v>
      </c>
      <c r="AE113" s="11">
        <f>Y113*AB113</f>
        <v>-1138.1700351520042</v>
      </c>
      <c r="AF113" s="11">
        <f>Z113*AC113</f>
        <v>-0.0054302763711318</v>
      </c>
      <c r="AG113" s="7">
        <v>17670.345615483235</v>
      </c>
      <c r="AH113" s="7">
        <v>-1138.1700351520042</v>
      </c>
      <c r="AI113" s="7">
        <v>-0.0054302763711318</v>
      </c>
      <c r="AJ113" s="16">
        <f>AD113-AG113</f>
        <v>0</v>
      </c>
      <c r="AK113" s="16">
        <f>SQRT((AE113-AH113)^2+(AF113-AI113)^2)</f>
        <v>0</v>
      </c>
      <c r="AL113" s="7" t="s">
        <v>190</v>
      </c>
      <c r="AM113" s="7">
        <v>17670.345615483235</v>
      </c>
      <c r="AN113" s="7">
        <v>-1138.1700351520042</v>
      </c>
      <c r="AO113" s="7">
        <v>-0.0054302763711318</v>
      </c>
      <c r="AP113" s="7">
        <v>15240.060530616258</v>
      </c>
      <c r="AQ113" s="7">
        <v>-857.8424097969553</v>
      </c>
      <c r="AR113" s="7">
        <v>-0.005430276371198588</v>
      </c>
      <c r="AS113" s="7">
        <v>2430.2850848669796</v>
      </c>
      <c r="AT113" s="7">
        <v>-280.327625355049</v>
      </c>
      <c r="AU113" s="7">
        <v>6.678719960796607e-14</v>
      </c>
    </row>
    <row r="114" spans="1:47" x14ac:dyDescent="0.25">
      <c r="A114" s="7" t="s">
        <v>408</v>
      </c>
      <c r="B114" s="7">
        <v>4</v>
      </c>
      <c r="C114" s="19">
        <v>180</v>
      </c>
      <c r="D114" s="7" t="s">
        <v>409</v>
      </c>
      <c r="E114" s="7" t="s">
        <v>203</v>
      </c>
      <c r="F114" s="20">
        <v>180</v>
      </c>
      <c r="G114" s="7" t="s">
        <v>194</v>
      </c>
      <c r="H114" s="21">
        <v>1.2000000000000002</v>
      </c>
      <c r="I114" s="11">
        <f>MAX(('Geometry'!$G$13*COS(RADIANS(F114))+'Geometry'!$F$13*SIN(RADIANS(F114))),('Geometry'!$G$14*COS(RADIANS(F114))+'Geometry'!$F$14*SIN(RADIANS(F114))),('Geometry'!$G$15*COS(RADIANS(F114))+'Geometry'!$F$15*SIN(RADIANS(F114))),('Geometry'!$G$16*COS(RADIANS(F114))+'Geometry'!$F$16*SIN(RADIANS(F114))),('Geometry'!$G$17*COS(RADIANS(F114))+'Geometry'!$F$17*SIN(RADIANS(F114))),('Geometry'!$G$18*COS(RADIANS(F114))+'Geometry'!$F$18*SIN(RADIANS(F114))),('Geometry'!$G$19*COS(RADIANS(F114))+'Geometry'!$F$19*SIN(RADIANS(F114))),('Geometry'!$G$20*COS(RADIANS(F114))+'Geometry'!$F$20*SIN(RADIANS(F114))))</f>
        <v>600.0000000000001</v>
      </c>
      <c r="J114" s="11">
        <f>I114-H114*K114</f>
        <v>-840.0000000000002</v>
      </c>
      <c r="K114" s="11">
        <f>I114-MIN(('Geometry'!$G$13*COS(RADIANS(F114))+'Geometry'!$F$13*SIN(RADIANS(F114))),('Geometry'!$G$14*COS(RADIANS(F114))+'Geometry'!$F$14*SIN(RADIANS(F114))),('Geometry'!$G$15*COS(RADIANS(F114))+'Geometry'!$F$15*SIN(RADIANS(F114))),('Geometry'!$G$16*COS(RADIANS(F114))+'Geometry'!$F$16*SIN(RADIANS(F114))),('Geometry'!$G$17*COS(RADIANS(F114))+'Geometry'!$F$17*SIN(RADIANS(F114))),('Geometry'!$G$18*COS(RADIANS(F114))+'Geometry'!$F$18*SIN(RADIANS(F114))),('Geometry'!$G$19*COS(RADIANS(F114))+'Geometry'!$F$19*SIN(RADIANS(F114))),('Geometry'!$G$20*COS(RADIANS(F114))+'Geometry'!$F$20*SIN(RADIANS(F114))))</f>
        <v>1200.0000000000002</v>
      </c>
      <c r="L114" s="16">
        <f>C_ecu</f>
        <v>0.0033</v>
      </c>
      <c r="M114" s="16">
        <f>0</f>
        <v>0</v>
      </c>
      <c r="N114" s="22">
        <f>IF(ABS(I114-J114)&lt;0.000000000001,0,(L114-M114)/(I114-J114))</f>
        <v>0.000002291666666666666</v>
      </c>
      <c r="O114" s="16">
        <f>L114-N114*I114</f>
        <v>0.001925</v>
      </c>
      <c r="P114" s="22">
        <f>N114*COS(RADIANS(F114))</f>
        <v>-0.000002291666666666666</v>
      </c>
      <c r="Q114" s="22">
        <f>N114*SIN(RADIANS(F114))</f>
        <v>2.806482248046017e-22</v>
      </c>
      <c r="R114" s="11">
        <f>AP114</f>
        <v>15240.060530616258</v>
      </c>
      <c r="S114" s="11">
        <f>AQ114</f>
        <v>-1143.7898797292737</v>
      </c>
      <c r="T114" s="11">
        <f>AR114</f>
        <v>-0.0072403684949314505</v>
      </c>
      <c r="U114" s="11">
        <f>AS114</f>
        <v>2430.2850848669796</v>
      </c>
      <c r="V114" s="11">
        <f>AT114</f>
        <v>-373.7701671400654</v>
      </c>
      <c r="W114" s="11">
        <f>AU114</f>
        <v>8.90495994772881e-14</v>
      </c>
      <c r="X114" s="11">
        <f>AM114</f>
        <v>17670.345615483235</v>
      </c>
      <c r="Y114" s="11">
        <f>AN114</f>
        <v>-1517.560046869339</v>
      </c>
      <c r="Z114" s="11">
        <f>AO114</f>
        <v>-0.007240368494842401</v>
      </c>
      <c r="AA114" s="7">
        <v>1</v>
      </c>
      <c r="AB114" s="7">
        <v>1</v>
      </c>
      <c r="AC114" s="7">
        <v>1</v>
      </c>
      <c r="AD114" s="11">
        <f>X114*AA114</f>
        <v>17670.345615483235</v>
      </c>
      <c r="AE114" s="11">
        <f>Y114*AB114</f>
        <v>-1517.560046869339</v>
      </c>
      <c r="AF114" s="11">
        <f>Z114*AC114</f>
        <v>-0.007240368494842401</v>
      </c>
      <c r="AG114" s="7">
        <v>17670.345615483235</v>
      </c>
      <c r="AH114" s="7">
        <v>-1517.560046869339</v>
      </c>
      <c r="AI114" s="7">
        <v>-0.007240368494842401</v>
      </c>
      <c r="AJ114" s="16">
        <f>AD114-AG114</f>
        <v>0</v>
      </c>
      <c r="AK114" s="16">
        <f>SQRT((AE114-AH114)^2+(AF114-AI114)^2)</f>
        <v>0</v>
      </c>
      <c r="AL114" s="7" t="s">
        <v>190</v>
      </c>
      <c r="AM114" s="7">
        <v>17670.345615483235</v>
      </c>
      <c r="AN114" s="7">
        <v>-1517.560046869339</v>
      </c>
      <c r="AO114" s="7">
        <v>-0.007240368494842401</v>
      </c>
      <c r="AP114" s="7">
        <v>15240.060530616258</v>
      </c>
      <c r="AQ114" s="7">
        <v>-1143.7898797292737</v>
      </c>
      <c r="AR114" s="7">
        <v>-0.0072403684949314505</v>
      </c>
      <c r="AS114" s="7">
        <v>2430.2850848669796</v>
      </c>
      <c r="AT114" s="7">
        <v>-373.7701671400654</v>
      </c>
      <c r="AU114" s="7">
        <v>8.90495994772881e-14</v>
      </c>
    </row>
    <row r="115" spans="1:47" x14ac:dyDescent="0.25">
      <c r="A115" s="7" t="s">
        <v>410</v>
      </c>
      <c r="B115" s="7">
        <v>5</v>
      </c>
      <c r="C115" s="19">
        <v>180</v>
      </c>
      <c r="D115" s="7" t="s">
        <v>411</v>
      </c>
      <c r="E115" s="7" t="s">
        <v>206</v>
      </c>
      <c r="F115" s="20">
        <v>180</v>
      </c>
      <c r="G115" s="7" t="s">
        <v>194</v>
      </c>
      <c r="H115" s="21">
        <v>1.1</v>
      </c>
      <c r="I115" s="11">
        <f>MAX(('Geometry'!$G$13*COS(RADIANS(F115))+'Geometry'!$F$13*SIN(RADIANS(F115))),('Geometry'!$G$14*COS(RADIANS(F115))+'Geometry'!$F$14*SIN(RADIANS(F115))),('Geometry'!$G$15*COS(RADIANS(F115))+'Geometry'!$F$15*SIN(RADIANS(F115))),('Geometry'!$G$16*COS(RADIANS(F115))+'Geometry'!$F$16*SIN(RADIANS(F115))),('Geometry'!$G$17*COS(RADIANS(F115))+'Geometry'!$F$17*SIN(RADIANS(F115))),('Geometry'!$G$18*COS(RADIANS(F115))+'Geometry'!$F$18*SIN(RADIANS(F115))),('Geometry'!$G$19*COS(RADIANS(F115))+'Geometry'!$F$19*SIN(RADIANS(F115))),('Geometry'!$G$20*COS(RADIANS(F115))+'Geometry'!$F$20*SIN(RADIANS(F115))))</f>
        <v>600.0000000000001</v>
      </c>
      <c r="J115" s="11">
        <f>I115-H115*K115</f>
        <v>-720.0000000000005</v>
      </c>
      <c r="K115" s="11">
        <f>I115-MIN(('Geometry'!$G$13*COS(RADIANS(F115))+'Geometry'!$F$13*SIN(RADIANS(F115))),('Geometry'!$G$14*COS(RADIANS(F115))+'Geometry'!$F$14*SIN(RADIANS(F115))),('Geometry'!$G$15*COS(RADIANS(F115))+'Geometry'!$F$15*SIN(RADIANS(F115))),('Geometry'!$G$16*COS(RADIANS(F115))+'Geometry'!$F$16*SIN(RADIANS(F115))),('Geometry'!$G$17*COS(RADIANS(F115))+'Geometry'!$F$17*SIN(RADIANS(F115))),('Geometry'!$G$18*COS(RADIANS(F115))+'Geometry'!$F$18*SIN(RADIANS(F115))),('Geometry'!$G$19*COS(RADIANS(F115))+'Geometry'!$F$19*SIN(RADIANS(F115))),('Geometry'!$G$20*COS(RADIANS(F115))+'Geometry'!$F$20*SIN(RADIANS(F115))))</f>
        <v>1200.0000000000002</v>
      </c>
      <c r="L115" s="16">
        <f>C_ecu</f>
        <v>0.0033</v>
      </c>
      <c r="M115" s="16">
        <f>0</f>
        <v>0</v>
      </c>
      <c r="N115" s="22">
        <f>IF(ABS(I115-J115)&lt;0.000000000001,0,(L115-M115)/(I115-J115))</f>
        <v>0.000002499999999999999</v>
      </c>
      <c r="O115" s="16">
        <f>L115-N115*I115</f>
        <v>0.0018000000000000004</v>
      </c>
      <c r="P115" s="22">
        <f>N115*COS(RADIANS(F115))</f>
        <v>-0.000002499999999999999</v>
      </c>
      <c r="Q115" s="22">
        <f>N115*SIN(RADIANS(F115))</f>
        <v>3.0616169978683817e-22</v>
      </c>
      <c r="R115" s="11">
        <f>AP115</f>
        <v>15240.060530616258</v>
      </c>
      <c r="S115" s="11">
        <f>AQ115</f>
        <v>-1429.7373496615921</v>
      </c>
      <c r="T115" s="11">
        <f>AR115</f>
        <v>-0.009050460618664312</v>
      </c>
      <c r="U115" s="11">
        <f>AS115</f>
        <v>2430.2850848669796</v>
      </c>
      <c r="V115" s="11">
        <f>AT115</f>
        <v>-467.21270892508176</v>
      </c>
      <c r="W115" s="11">
        <f>AU115</f>
        <v>1.1131199934661012e-13</v>
      </c>
      <c r="X115" s="11">
        <f>AM115</f>
        <v>17670.345615483235</v>
      </c>
      <c r="Y115" s="11">
        <f>AN115</f>
        <v>-1896.9500585866738</v>
      </c>
      <c r="Z115" s="11">
        <f>AO115</f>
        <v>-0.009050460618553</v>
      </c>
      <c r="AA115" s="7">
        <v>1</v>
      </c>
      <c r="AB115" s="7">
        <v>1</v>
      </c>
      <c r="AC115" s="7">
        <v>1</v>
      </c>
      <c r="AD115" s="11">
        <f>X115*AA115</f>
        <v>17670.345615483235</v>
      </c>
      <c r="AE115" s="11">
        <f>Y115*AB115</f>
        <v>-1896.9500585866738</v>
      </c>
      <c r="AF115" s="11">
        <f>Z115*AC115</f>
        <v>-0.009050460618553</v>
      </c>
      <c r="AG115" s="7">
        <v>17670.345615483235</v>
      </c>
      <c r="AH115" s="7">
        <v>-1896.9500585866738</v>
      </c>
      <c r="AI115" s="7">
        <v>-0.009050460618553</v>
      </c>
      <c r="AJ115" s="16">
        <f>AD115-AG115</f>
        <v>0</v>
      </c>
      <c r="AK115" s="16">
        <f>SQRT((AE115-AH115)^2+(AF115-AI115)^2)</f>
        <v>0</v>
      </c>
      <c r="AL115" s="7" t="s">
        <v>190</v>
      </c>
      <c r="AM115" s="7">
        <v>17670.345615483235</v>
      </c>
      <c r="AN115" s="7">
        <v>-1896.9500585866738</v>
      </c>
      <c r="AO115" s="7">
        <v>-0.009050460618553</v>
      </c>
      <c r="AP115" s="7">
        <v>15240.060530616258</v>
      </c>
      <c r="AQ115" s="7">
        <v>-1429.7373496615921</v>
      </c>
      <c r="AR115" s="7">
        <v>-0.009050460618664312</v>
      </c>
      <c r="AS115" s="7">
        <v>2430.2850848669796</v>
      </c>
      <c r="AT115" s="7">
        <v>-467.21270892508176</v>
      </c>
      <c r="AU115" s="7">
        <v>1.1131199934661012e-13</v>
      </c>
    </row>
    <row r="116" spans="1:47" x14ac:dyDescent="0.25">
      <c r="A116" s="7" t="s">
        <v>412</v>
      </c>
      <c r="B116" s="7">
        <v>1</v>
      </c>
      <c r="C116" s="19">
        <v>190</v>
      </c>
      <c r="D116" s="7" t="s">
        <v>413</v>
      </c>
      <c r="E116" s="7" t="s">
        <v>193</v>
      </c>
      <c r="F116" s="20">
        <v>190</v>
      </c>
      <c r="G116" s="7" t="s">
        <v>194</v>
      </c>
      <c r="H116" s="21">
        <v>2.9999999999999996</v>
      </c>
      <c r="I116" s="11">
        <f>MAX(('Geometry'!$G$13*COS(RADIANS(F116))+'Geometry'!$F$13*SIN(RADIANS(F116))),('Geometry'!$G$14*COS(RADIANS(F116))+'Geometry'!$F$14*SIN(RADIANS(F116))),('Geometry'!$G$15*COS(RADIANS(F116))+'Geometry'!$F$15*SIN(RADIANS(F116))),('Geometry'!$G$16*COS(RADIANS(F116))+'Geometry'!$F$16*SIN(RADIANS(F116))),('Geometry'!$G$17*COS(RADIANS(F116))+'Geometry'!$F$17*SIN(RADIANS(F116))),('Geometry'!$G$18*COS(RADIANS(F116))+'Geometry'!$F$18*SIN(RADIANS(F116))),('Geometry'!$G$19*COS(RADIANS(F116))+'Geometry'!$F$19*SIN(RADIANS(F116))),('Geometry'!$G$20*COS(RADIANS(F116))+'Geometry'!$F$20*SIN(RADIANS(F116))))</f>
        <v>686.3911495241365</v>
      </c>
      <c r="J116" s="11">
        <f>I116-H116*K116</f>
        <v>-3431.955747620682</v>
      </c>
      <c r="K116" s="11">
        <f>I116-MIN(('Geometry'!$G$13*COS(RADIANS(F116))+'Geometry'!$F$13*SIN(RADIANS(F116))),('Geometry'!$G$14*COS(RADIANS(F116))+'Geometry'!$F$14*SIN(RADIANS(F116))),('Geometry'!$G$15*COS(RADIANS(F116))+'Geometry'!$F$15*SIN(RADIANS(F116))),('Geometry'!$G$16*COS(RADIANS(F116))+'Geometry'!$F$16*SIN(RADIANS(F116))),('Geometry'!$G$17*COS(RADIANS(F116))+'Geometry'!$F$17*SIN(RADIANS(F116))),('Geometry'!$G$18*COS(RADIANS(F116))+'Geometry'!$F$18*SIN(RADIANS(F116))),('Geometry'!$G$19*COS(RADIANS(F116))+'Geometry'!$F$19*SIN(RADIANS(F116))),('Geometry'!$G$20*COS(RADIANS(F116))+'Geometry'!$F$20*SIN(RADIANS(F116))))</f>
        <v>1372.782299048273</v>
      </c>
      <c r="L116" s="16">
        <f>C_ecu</f>
        <v>0.0033</v>
      </c>
      <c r="M116" s="16">
        <f>0</f>
        <v>0</v>
      </c>
      <c r="N116" s="22">
        <f>IF(ABS(I116-J116)&lt;0.000000000001,0,(L116-M116)/(I116-J116))</f>
        <v>8.012923831860389e-7</v>
      </c>
      <c r="O116" s="16">
        <f>L116-N116*I116</f>
        <v>0.00275</v>
      </c>
      <c r="P116" s="22">
        <f>N116*COS(RADIANS(F116))</f>
        <v>-7.891189513912402e-7</v>
      </c>
      <c r="Q116" s="22">
        <f>N116*SIN(RADIANS(F116))</f>
        <v>-1.3914296211864707e-7</v>
      </c>
      <c r="R116" s="11">
        <f>AP116</f>
        <v>15258.27131801776</v>
      </c>
      <c r="S116" s="11">
        <f>AQ116</f>
        <v>-251.17936598849485</v>
      </c>
      <c r="T116" s="11">
        <f>AR116</f>
        <v>-67.96904479633149</v>
      </c>
      <c r="U116" s="11">
        <f>AS116</f>
        <v>2412.074297465473</v>
      </c>
      <c r="V116" s="11">
        <f>AT116</f>
        <v>-82.35856180427703</v>
      </c>
      <c r="W116" s="11">
        <f>AU116</f>
        <v>-20.10144369622339</v>
      </c>
      <c r="X116" s="11">
        <f>AM116</f>
        <v>17670.345615483235</v>
      </c>
      <c r="Y116" s="11">
        <f>AN116</f>
        <v>-333.5379277927719</v>
      </c>
      <c r="Z116" s="11">
        <f>AO116</f>
        <v>-88.0704884925549</v>
      </c>
      <c r="AA116" s="7">
        <v>1</v>
      </c>
      <c r="AB116" s="7">
        <v>1</v>
      </c>
      <c r="AC116" s="7">
        <v>1</v>
      </c>
      <c r="AD116" s="11">
        <f>X116*AA116</f>
        <v>17670.345615483235</v>
      </c>
      <c r="AE116" s="11">
        <f>Y116*AB116</f>
        <v>-333.5379277927719</v>
      </c>
      <c r="AF116" s="11">
        <f>Z116*AC116</f>
        <v>-88.0704884925549</v>
      </c>
      <c r="AG116" s="7">
        <v>17670.345615483235</v>
      </c>
      <c r="AH116" s="7">
        <v>-333.5379277927719</v>
      </c>
      <c r="AI116" s="7">
        <v>-88.0704884925549</v>
      </c>
      <c r="AJ116" s="16">
        <f>AD116-AG116</f>
        <v>0</v>
      </c>
      <c r="AK116" s="16">
        <f>SQRT((AE116-AH116)^2+(AF116-AI116)^2)</f>
        <v>0</v>
      </c>
      <c r="AL116" s="7" t="s">
        <v>190</v>
      </c>
      <c r="AM116" s="7">
        <v>17670.345615483235</v>
      </c>
      <c r="AN116" s="7">
        <v>-333.5379277927719</v>
      </c>
      <c r="AO116" s="7">
        <v>-88.0704884925549</v>
      </c>
      <c r="AP116" s="7">
        <v>15258.27131801776</v>
      </c>
      <c r="AQ116" s="7">
        <v>-251.17936598849485</v>
      </c>
      <c r="AR116" s="7">
        <v>-67.96904479633149</v>
      </c>
      <c r="AS116" s="7">
        <v>2412.074297465473</v>
      </c>
      <c r="AT116" s="7">
        <v>-82.35856180427703</v>
      </c>
      <c r="AU116" s="7">
        <v>-20.10144369622339</v>
      </c>
    </row>
    <row r="117" spans="1:47" x14ac:dyDescent="0.25">
      <c r="A117" s="7" t="s">
        <v>414</v>
      </c>
      <c r="B117" s="7">
        <v>2</v>
      </c>
      <c r="C117" s="19">
        <v>190</v>
      </c>
      <c r="D117" s="7" t="s">
        <v>415</v>
      </c>
      <c r="E117" s="7" t="s">
        <v>197</v>
      </c>
      <c r="F117" s="20">
        <v>189.99999999999997</v>
      </c>
      <c r="G117" s="7" t="s">
        <v>194</v>
      </c>
      <c r="H117" s="21">
        <v>2</v>
      </c>
      <c r="I117" s="11">
        <f>MAX(('Geometry'!$G$13*COS(RADIANS(F117))+'Geometry'!$F$13*SIN(RADIANS(F117))),('Geometry'!$G$14*COS(RADIANS(F117))+'Geometry'!$F$14*SIN(RADIANS(F117))),('Geometry'!$G$15*COS(RADIANS(F117))+'Geometry'!$F$15*SIN(RADIANS(F117))),('Geometry'!$G$16*COS(RADIANS(F117))+'Geometry'!$F$16*SIN(RADIANS(F117))),('Geometry'!$G$17*COS(RADIANS(F117))+'Geometry'!$F$17*SIN(RADIANS(F117))),('Geometry'!$G$18*COS(RADIANS(F117))+'Geometry'!$F$18*SIN(RADIANS(F117))),('Geometry'!$G$19*COS(RADIANS(F117))+'Geometry'!$F$19*SIN(RADIANS(F117))),('Geometry'!$G$20*COS(RADIANS(F117))+'Geometry'!$F$20*SIN(RADIANS(F117))))</f>
        <v>686.3911495241363</v>
      </c>
      <c r="J117" s="11">
        <f>I117-H117*K117</f>
        <v>-2059.1734485724087</v>
      </c>
      <c r="K117" s="11">
        <f>I117-MIN(('Geometry'!$G$13*COS(RADIANS(F117))+'Geometry'!$F$13*SIN(RADIANS(F117))),('Geometry'!$G$14*COS(RADIANS(F117))+'Geometry'!$F$14*SIN(RADIANS(F117))),('Geometry'!$G$15*COS(RADIANS(F117))+'Geometry'!$F$15*SIN(RADIANS(F117))),('Geometry'!$G$16*COS(RADIANS(F117))+'Geometry'!$F$16*SIN(RADIANS(F117))),('Geometry'!$G$17*COS(RADIANS(F117))+'Geometry'!$F$17*SIN(RADIANS(F117))),('Geometry'!$G$18*COS(RADIANS(F117))+'Geometry'!$F$18*SIN(RADIANS(F117))),('Geometry'!$G$19*COS(RADIANS(F117))+'Geometry'!$F$19*SIN(RADIANS(F117))),('Geometry'!$G$20*COS(RADIANS(F117))+'Geometry'!$F$20*SIN(RADIANS(F117))))</f>
        <v>1372.7822990482725</v>
      </c>
      <c r="L117" s="16">
        <f>C_ecu</f>
        <v>0.0032999999999999995</v>
      </c>
      <c r="M117" s="16">
        <f>0</f>
        <v>0</v>
      </c>
      <c r="N117" s="22">
        <f>IF(ABS(I117-J117)&lt;0.000000000001,0,(L117-M117)/(I117-J117))</f>
        <v>0.0000012019385747790584</v>
      </c>
      <c r="O117" s="16">
        <f>L117-N117*I117</f>
        <v>0.0024749999999999998</v>
      </c>
      <c r="P117" s="22">
        <f>N117*COS(RADIANS(F117))</f>
        <v>-0.0000011836784270868605</v>
      </c>
      <c r="Q117" s="22">
        <f>N117*SIN(RADIANS(F117))</f>
        <v>-2.0871444317797059e-7</v>
      </c>
      <c r="R117" s="11">
        <f>AP117</f>
        <v>15258.27131801776</v>
      </c>
      <c r="S117" s="11">
        <f>AQ117</f>
        <v>-502.3587319769897</v>
      </c>
      <c r="T117" s="11">
        <f>AR117</f>
        <v>-135.93808959266298</v>
      </c>
      <c r="U117" s="11">
        <f>AS117</f>
        <v>2412.074297465473</v>
      </c>
      <c r="V117" s="11">
        <f>AT117</f>
        <v>-164.71712360855406</v>
      </c>
      <c r="W117" s="11">
        <f>AU117</f>
        <v>-40.20288739244678</v>
      </c>
      <c r="X117" s="11">
        <f>AM117</f>
        <v>17670.345615483235</v>
      </c>
      <c r="Y117" s="11">
        <f>AN117</f>
        <v>-667.0758555855438</v>
      </c>
      <c r="Z117" s="11">
        <f>AO117</f>
        <v>-176.1409769851098</v>
      </c>
      <c r="AA117" s="7">
        <v>1</v>
      </c>
      <c r="AB117" s="7">
        <v>1</v>
      </c>
      <c r="AC117" s="7">
        <v>1</v>
      </c>
      <c r="AD117" s="11">
        <f>X117*AA117</f>
        <v>17670.345615483235</v>
      </c>
      <c r="AE117" s="11">
        <f>Y117*AB117</f>
        <v>-667.0758555855438</v>
      </c>
      <c r="AF117" s="11">
        <f>Z117*AC117</f>
        <v>-176.1409769851098</v>
      </c>
      <c r="AG117" s="7">
        <v>17670.345615483235</v>
      </c>
      <c r="AH117" s="7">
        <v>-667.0758555855438</v>
      </c>
      <c r="AI117" s="7">
        <v>-176.1409769851098</v>
      </c>
      <c r="AJ117" s="16">
        <f>AD117-AG117</f>
        <v>0</v>
      </c>
      <c r="AK117" s="16">
        <f>SQRT((AE117-AH117)^2+(AF117-AI117)^2)</f>
        <v>0</v>
      </c>
      <c r="AL117" s="7" t="s">
        <v>190</v>
      </c>
      <c r="AM117" s="7">
        <v>17670.345615483235</v>
      </c>
      <c r="AN117" s="7">
        <v>-667.0758555855438</v>
      </c>
      <c r="AO117" s="7">
        <v>-176.1409769851098</v>
      </c>
      <c r="AP117" s="7">
        <v>15258.27131801776</v>
      </c>
      <c r="AQ117" s="7">
        <v>-502.3587319769897</v>
      </c>
      <c r="AR117" s="7">
        <v>-135.93808959266298</v>
      </c>
      <c r="AS117" s="7">
        <v>2412.074297465473</v>
      </c>
      <c r="AT117" s="7">
        <v>-164.71712360855406</v>
      </c>
      <c r="AU117" s="7">
        <v>-40.20288739244678</v>
      </c>
    </row>
    <row r="118" spans="1:47" x14ac:dyDescent="0.25">
      <c r="A118" s="7" t="s">
        <v>416</v>
      </c>
      <c r="B118" s="7">
        <v>3</v>
      </c>
      <c r="C118" s="19">
        <v>190</v>
      </c>
      <c r="D118" s="7" t="s">
        <v>417</v>
      </c>
      <c r="E118" s="7" t="s">
        <v>200</v>
      </c>
      <c r="F118" s="20">
        <v>190</v>
      </c>
      <c r="G118" s="7" t="s">
        <v>194</v>
      </c>
      <c r="H118" s="21">
        <v>1.4999999999999998</v>
      </c>
      <c r="I118" s="11">
        <f>MAX(('Geometry'!$G$13*COS(RADIANS(F118))+'Geometry'!$F$13*SIN(RADIANS(F118))),('Geometry'!$G$14*COS(RADIANS(F118))+'Geometry'!$F$14*SIN(RADIANS(F118))),('Geometry'!$G$15*COS(RADIANS(F118))+'Geometry'!$F$15*SIN(RADIANS(F118))),('Geometry'!$G$16*COS(RADIANS(F118))+'Geometry'!$F$16*SIN(RADIANS(F118))),('Geometry'!$G$17*COS(RADIANS(F118))+'Geometry'!$F$17*SIN(RADIANS(F118))),('Geometry'!$G$18*COS(RADIANS(F118))+'Geometry'!$F$18*SIN(RADIANS(F118))),('Geometry'!$G$19*COS(RADIANS(F118))+'Geometry'!$F$19*SIN(RADIANS(F118))),('Geometry'!$G$20*COS(RADIANS(F118))+'Geometry'!$F$20*SIN(RADIANS(F118))))</f>
        <v>686.3911495241365</v>
      </c>
      <c r="J118" s="11">
        <f>I118-H118*K118</f>
        <v>-1372.7822990482725</v>
      </c>
      <c r="K118" s="11">
        <f>I118-MIN(('Geometry'!$G$13*COS(RADIANS(F118))+'Geometry'!$F$13*SIN(RADIANS(F118))),('Geometry'!$G$14*COS(RADIANS(F118))+'Geometry'!$F$14*SIN(RADIANS(F118))),('Geometry'!$G$15*COS(RADIANS(F118))+'Geometry'!$F$15*SIN(RADIANS(F118))),('Geometry'!$G$16*COS(RADIANS(F118))+'Geometry'!$F$16*SIN(RADIANS(F118))),('Geometry'!$G$17*COS(RADIANS(F118))+'Geometry'!$F$17*SIN(RADIANS(F118))),('Geometry'!$G$18*COS(RADIANS(F118))+'Geometry'!$F$18*SIN(RADIANS(F118))),('Geometry'!$G$19*COS(RADIANS(F118))+'Geometry'!$F$19*SIN(RADIANS(F118))),('Geometry'!$G$20*COS(RADIANS(F118))+'Geometry'!$F$20*SIN(RADIANS(F118))))</f>
        <v>1372.782299048273</v>
      </c>
      <c r="L118" s="16">
        <f>C_ecu</f>
        <v>0.0033</v>
      </c>
      <c r="M118" s="16">
        <f>0</f>
        <v>0</v>
      </c>
      <c r="N118" s="22">
        <f>IF(ABS(I118-J118)&lt;0.000000000001,0,(L118-M118)/(I118-J118))</f>
        <v>0.0000016025847663720778</v>
      </c>
      <c r="O118" s="16">
        <f>L118-N118*I118</f>
        <v>0.0021999999999999997</v>
      </c>
      <c r="P118" s="22">
        <f>N118*COS(RADIANS(F118))</f>
        <v>-0.0000015782379027824804</v>
      </c>
      <c r="Q118" s="22">
        <f>N118*SIN(RADIANS(F118))</f>
        <v>-2.7828592423729413e-7</v>
      </c>
      <c r="R118" s="11">
        <f>AP118</f>
        <v>15258.27131801776</v>
      </c>
      <c r="S118" s="11">
        <f>AQ118</f>
        <v>-753.5380979654846</v>
      </c>
      <c r="T118" s="11">
        <f>AR118</f>
        <v>-203.90713438899448</v>
      </c>
      <c r="U118" s="11">
        <f>AS118</f>
        <v>2412.074297465473</v>
      </c>
      <c r="V118" s="11">
        <f>AT118</f>
        <v>-247.07568541283106</v>
      </c>
      <c r="W118" s="11">
        <f>AU118</f>
        <v>-60.30433108867018</v>
      </c>
      <c r="X118" s="11">
        <f>AM118</f>
        <v>17670.345615483235</v>
      </c>
      <c r="Y118" s="11">
        <f>AN118</f>
        <v>-1000.6137833783156</v>
      </c>
      <c r="Z118" s="11">
        <f>AO118</f>
        <v>-264.2114654776647</v>
      </c>
      <c r="AA118" s="7">
        <v>1</v>
      </c>
      <c r="AB118" s="7">
        <v>1</v>
      </c>
      <c r="AC118" s="7">
        <v>1</v>
      </c>
      <c r="AD118" s="11">
        <f>X118*AA118</f>
        <v>17670.345615483235</v>
      </c>
      <c r="AE118" s="11">
        <f>Y118*AB118</f>
        <v>-1000.6137833783156</v>
      </c>
      <c r="AF118" s="11">
        <f>Z118*AC118</f>
        <v>-264.2114654776647</v>
      </c>
      <c r="AG118" s="7">
        <v>17670.345615483235</v>
      </c>
      <c r="AH118" s="7">
        <v>-1000.6137833783156</v>
      </c>
      <c r="AI118" s="7">
        <v>-264.2114654776647</v>
      </c>
      <c r="AJ118" s="16">
        <f>AD118-AG118</f>
        <v>0</v>
      </c>
      <c r="AK118" s="16">
        <f>SQRT((AE118-AH118)^2+(AF118-AI118)^2)</f>
        <v>0</v>
      </c>
      <c r="AL118" s="7" t="s">
        <v>190</v>
      </c>
      <c r="AM118" s="7">
        <v>17670.345615483235</v>
      </c>
      <c r="AN118" s="7">
        <v>-1000.6137833783156</v>
      </c>
      <c r="AO118" s="7">
        <v>-264.2114654776647</v>
      </c>
      <c r="AP118" s="7">
        <v>15258.27131801776</v>
      </c>
      <c r="AQ118" s="7">
        <v>-753.5380979654846</v>
      </c>
      <c r="AR118" s="7">
        <v>-203.90713438899448</v>
      </c>
      <c r="AS118" s="7">
        <v>2412.074297465473</v>
      </c>
      <c r="AT118" s="7">
        <v>-247.07568541283106</v>
      </c>
      <c r="AU118" s="7">
        <v>-60.30433108867018</v>
      </c>
    </row>
    <row r="119" spans="1:47" x14ac:dyDescent="0.25">
      <c r="A119" s="7" t="s">
        <v>418</v>
      </c>
      <c r="B119" s="7">
        <v>4</v>
      </c>
      <c r="C119" s="19">
        <v>190</v>
      </c>
      <c r="D119" s="7" t="s">
        <v>419</v>
      </c>
      <c r="E119" s="7" t="s">
        <v>203</v>
      </c>
      <c r="F119" s="20">
        <v>190</v>
      </c>
      <c r="G119" s="7" t="s">
        <v>194</v>
      </c>
      <c r="H119" s="21">
        <v>1.2</v>
      </c>
      <c r="I119" s="11">
        <f>MAX(('Geometry'!$G$13*COS(RADIANS(F119))+'Geometry'!$F$13*SIN(RADIANS(F119))),('Geometry'!$G$14*COS(RADIANS(F119))+'Geometry'!$F$14*SIN(RADIANS(F119))),('Geometry'!$G$15*COS(RADIANS(F119))+'Geometry'!$F$15*SIN(RADIANS(F119))),('Geometry'!$G$16*COS(RADIANS(F119))+'Geometry'!$F$16*SIN(RADIANS(F119))),('Geometry'!$G$17*COS(RADIANS(F119))+'Geometry'!$F$17*SIN(RADIANS(F119))),('Geometry'!$G$18*COS(RADIANS(F119))+'Geometry'!$F$18*SIN(RADIANS(F119))),('Geometry'!$G$19*COS(RADIANS(F119))+'Geometry'!$F$19*SIN(RADIANS(F119))),('Geometry'!$G$20*COS(RADIANS(F119))+'Geometry'!$F$20*SIN(RADIANS(F119))))</f>
        <v>686.3911495241365</v>
      </c>
      <c r="J119" s="11">
        <f>I119-H119*K119</f>
        <v>-960.947609333791</v>
      </c>
      <c r="K119" s="11">
        <f>I119-MIN(('Geometry'!$G$13*COS(RADIANS(F119))+'Geometry'!$F$13*SIN(RADIANS(F119))),('Geometry'!$G$14*COS(RADIANS(F119))+'Geometry'!$F$14*SIN(RADIANS(F119))),('Geometry'!$G$15*COS(RADIANS(F119))+'Geometry'!$F$15*SIN(RADIANS(F119))),('Geometry'!$G$16*COS(RADIANS(F119))+'Geometry'!$F$16*SIN(RADIANS(F119))),('Geometry'!$G$17*COS(RADIANS(F119))+'Geometry'!$F$17*SIN(RADIANS(F119))),('Geometry'!$G$18*COS(RADIANS(F119))+'Geometry'!$F$18*SIN(RADIANS(F119))),('Geometry'!$G$19*COS(RADIANS(F119))+'Geometry'!$F$19*SIN(RADIANS(F119))),('Geometry'!$G$20*COS(RADIANS(F119))+'Geometry'!$F$20*SIN(RADIANS(F119))))</f>
        <v>1372.782299048273</v>
      </c>
      <c r="L119" s="16">
        <f>C_ecu</f>
        <v>0.0033</v>
      </c>
      <c r="M119" s="16">
        <f>0</f>
        <v>0</v>
      </c>
      <c r="N119" s="22">
        <f>IF(ABS(I119-J119)&lt;0.000000000001,0,(L119-M119)/(I119-J119))</f>
        <v>0.000002003230957965097</v>
      </c>
      <c r="O119" s="16">
        <f>L119-N119*I119</f>
        <v>0.001925</v>
      </c>
      <c r="P119" s="22">
        <f>N119*COS(RADIANS(F119))</f>
        <v>-0.0000019727973784781005</v>
      </c>
      <c r="Q119" s="22">
        <f>N119*SIN(RADIANS(F119))</f>
        <v>-3.4785740529661765e-7</v>
      </c>
      <c r="R119" s="11">
        <f>AP119</f>
        <v>15258.27131801776</v>
      </c>
      <c r="S119" s="11">
        <f>AQ119</f>
        <v>-1004.7174639539794</v>
      </c>
      <c r="T119" s="11">
        <f>AR119</f>
        <v>-271.87617918532595</v>
      </c>
      <c r="U119" s="11">
        <f>AS119</f>
        <v>2412.074297465473</v>
      </c>
      <c r="V119" s="11">
        <f>AT119</f>
        <v>-329.4342472171081</v>
      </c>
      <c r="W119" s="11">
        <f>AU119</f>
        <v>-80.40577478489357</v>
      </c>
      <c r="X119" s="11">
        <f>AM119</f>
        <v>17670.345615483235</v>
      </c>
      <c r="Y119" s="11">
        <f>AN119</f>
        <v>-1334.1517111710875</v>
      </c>
      <c r="Z119" s="11">
        <f>AO119</f>
        <v>-352.2819539702196</v>
      </c>
      <c r="AA119" s="7">
        <v>1</v>
      </c>
      <c r="AB119" s="7">
        <v>1</v>
      </c>
      <c r="AC119" s="7">
        <v>1</v>
      </c>
      <c r="AD119" s="11">
        <f>X119*AA119</f>
        <v>17670.345615483235</v>
      </c>
      <c r="AE119" s="11">
        <f>Y119*AB119</f>
        <v>-1334.1517111710875</v>
      </c>
      <c r="AF119" s="11">
        <f>Z119*AC119</f>
        <v>-352.2819539702196</v>
      </c>
      <c r="AG119" s="7">
        <v>17670.345615483235</v>
      </c>
      <c r="AH119" s="7">
        <v>-1334.1517111710875</v>
      </c>
      <c r="AI119" s="7">
        <v>-352.2819539702196</v>
      </c>
      <c r="AJ119" s="16">
        <f>AD119-AG119</f>
        <v>0</v>
      </c>
      <c r="AK119" s="16">
        <f>SQRT((AE119-AH119)^2+(AF119-AI119)^2)</f>
        <v>0</v>
      </c>
      <c r="AL119" s="7" t="s">
        <v>190</v>
      </c>
      <c r="AM119" s="7">
        <v>17670.345615483235</v>
      </c>
      <c r="AN119" s="7">
        <v>-1334.1517111710875</v>
      </c>
      <c r="AO119" s="7">
        <v>-352.2819539702196</v>
      </c>
      <c r="AP119" s="7">
        <v>15258.27131801776</v>
      </c>
      <c r="AQ119" s="7">
        <v>-1004.7174639539794</v>
      </c>
      <c r="AR119" s="7">
        <v>-271.87617918532595</v>
      </c>
      <c r="AS119" s="7">
        <v>2412.074297465473</v>
      </c>
      <c r="AT119" s="7">
        <v>-329.4342472171081</v>
      </c>
      <c r="AU119" s="7">
        <v>-80.40577478489357</v>
      </c>
    </row>
    <row r="120" spans="1:47" x14ac:dyDescent="0.25">
      <c r="A120" s="7" t="s">
        <v>420</v>
      </c>
      <c r="B120" s="7">
        <v>5</v>
      </c>
      <c r="C120" s="19">
        <v>190</v>
      </c>
      <c r="D120" s="7" t="s">
        <v>421</v>
      </c>
      <c r="E120" s="7" t="s">
        <v>206</v>
      </c>
      <c r="F120" s="20">
        <v>189.99999999999997</v>
      </c>
      <c r="G120" s="7" t="s">
        <v>194</v>
      </c>
      <c r="H120" s="21">
        <v>1.1</v>
      </c>
      <c r="I120" s="11">
        <f>MAX(('Geometry'!$G$13*COS(RADIANS(F120))+'Geometry'!$F$13*SIN(RADIANS(F120))),('Geometry'!$G$14*COS(RADIANS(F120))+'Geometry'!$F$14*SIN(RADIANS(F120))),('Geometry'!$G$15*COS(RADIANS(F120))+'Geometry'!$F$15*SIN(RADIANS(F120))),('Geometry'!$G$16*COS(RADIANS(F120))+'Geometry'!$F$16*SIN(RADIANS(F120))),('Geometry'!$G$17*COS(RADIANS(F120))+'Geometry'!$F$17*SIN(RADIANS(F120))),('Geometry'!$G$18*COS(RADIANS(F120))+'Geometry'!$F$18*SIN(RADIANS(F120))),('Geometry'!$G$19*COS(RADIANS(F120))+'Geometry'!$F$19*SIN(RADIANS(F120))),('Geometry'!$G$20*COS(RADIANS(F120))+'Geometry'!$F$20*SIN(RADIANS(F120))))</f>
        <v>686.3911495241363</v>
      </c>
      <c r="J120" s="11">
        <f>I120-H120*K120</f>
        <v>-823.6693794289638</v>
      </c>
      <c r="K120" s="11">
        <f>I120-MIN(('Geometry'!$G$13*COS(RADIANS(F120))+'Geometry'!$F$13*SIN(RADIANS(F120))),('Geometry'!$G$14*COS(RADIANS(F120))+'Geometry'!$F$14*SIN(RADIANS(F120))),('Geometry'!$G$15*COS(RADIANS(F120))+'Geometry'!$F$15*SIN(RADIANS(F120))),('Geometry'!$G$16*COS(RADIANS(F120))+'Geometry'!$F$16*SIN(RADIANS(F120))),('Geometry'!$G$17*COS(RADIANS(F120))+'Geometry'!$F$17*SIN(RADIANS(F120))),('Geometry'!$G$18*COS(RADIANS(F120))+'Geometry'!$F$18*SIN(RADIANS(F120))),('Geometry'!$G$19*COS(RADIANS(F120))+'Geometry'!$F$19*SIN(RADIANS(F120))),('Geometry'!$G$20*COS(RADIANS(F120))+'Geometry'!$F$20*SIN(RADIANS(F120))))</f>
        <v>1372.7822990482725</v>
      </c>
      <c r="L120" s="16">
        <f>C_ecu</f>
        <v>0.0033</v>
      </c>
      <c r="M120" s="16">
        <f>0</f>
        <v>0</v>
      </c>
      <c r="N120" s="22">
        <f>IF(ABS(I120-J120)&lt;0.000000000001,0,(L120-M120)/(I120-J120))</f>
        <v>0.0000021853428632346512</v>
      </c>
      <c r="O120" s="16">
        <f>L120-N120*I120</f>
        <v>0.0018000000000000002</v>
      </c>
      <c r="P120" s="22">
        <f>N120*COS(RADIANS(F120))</f>
        <v>-0.0000021521425947033823</v>
      </c>
      <c r="Q120" s="22">
        <f>N120*SIN(RADIANS(F120))</f>
        <v>-3.7948080577812826e-7</v>
      </c>
      <c r="R120" s="11">
        <f>AP120</f>
        <v>15258.27131801776</v>
      </c>
      <c r="S120" s="11">
        <f>AQ120</f>
        <v>-1255.8968299424741</v>
      </c>
      <c r="T120" s="11">
        <f>AR120</f>
        <v>-339.84522398165745</v>
      </c>
      <c r="U120" s="11">
        <f>AS120</f>
        <v>2412.074297465473</v>
      </c>
      <c r="V120" s="11">
        <f>AT120</f>
        <v>-411.79280902138515</v>
      </c>
      <c r="W120" s="11">
        <f>AU120</f>
        <v>-100.50721848111696</v>
      </c>
      <c r="X120" s="11">
        <f>AM120</f>
        <v>17670.345615483235</v>
      </c>
      <c r="Y120" s="11">
        <f>AN120</f>
        <v>-1667.6896389638591</v>
      </c>
      <c r="Z120" s="11">
        <f>AO120</f>
        <v>-440.35244246277443</v>
      </c>
      <c r="AA120" s="7">
        <v>1</v>
      </c>
      <c r="AB120" s="7">
        <v>1</v>
      </c>
      <c r="AC120" s="7">
        <v>1</v>
      </c>
      <c r="AD120" s="11">
        <f>X120*AA120</f>
        <v>17670.345615483235</v>
      </c>
      <c r="AE120" s="11">
        <f>Y120*AB120</f>
        <v>-1667.6896389638591</v>
      </c>
      <c r="AF120" s="11">
        <f>Z120*AC120</f>
        <v>-440.35244246277443</v>
      </c>
      <c r="AG120" s="7">
        <v>17670.345615483235</v>
      </c>
      <c r="AH120" s="7">
        <v>-1667.6896389638591</v>
      </c>
      <c r="AI120" s="7">
        <v>-440.35244246277443</v>
      </c>
      <c r="AJ120" s="16">
        <f>AD120-AG120</f>
        <v>0</v>
      </c>
      <c r="AK120" s="16">
        <f>SQRT((AE120-AH120)^2+(AF120-AI120)^2)</f>
        <v>0</v>
      </c>
      <c r="AL120" s="7" t="s">
        <v>190</v>
      </c>
      <c r="AM120" s="7">
        <v>17670.345615483235</v>
      </c>
      <c r="AN120" s="7">
        <v>-1667.6896389638591</v>
      </c>
      <c r="AO120" s="7">
        <v>-440.35244246277443</v>
      </c>
      <c r="AP120" s="7">
        <v>15258.27131801776</v>
      </c>
      <c r="AQ120" s="7">
        <v>-1255.8968299424741</v>
      </c>
      <c r="AR120" s="7">
        <v>-339.84522398165745</v>
      </c>
      <c r="AS120" s="7">
        <v>2412.074297465473</v>
      </c>
      <c r="AT120" s="7">
        <v>-411.79280902138515</v>
      </c>
      <c r="AU120" s="7">
        <v>-100.50721848111696</v>
      </c>
    </row>
    <row r="121" spans="1:47" x14ac:dyDescent="0.25">
      <c r="A121" s="7" t="s">
        <v>422</v>
      </c>
      <c r="B121" s="7">
        <v>1</v>
      </c>
      <c r="C121" s="19">
        <v>200</v>
      </c>
      <c r="D121" s="7" t="s">
        <v>423</v>
      </c>
      <c r="E121" s="7" t="s">
        <v>193</v>
      </c>
      <c r="F121" s="20">
        <v>199.99999999999997</v>
      </c>
      <c r="G121" s="7" t="s">
        <v>194</v>
      </c>
      <c r="H121" s="21">
        <v>3.0000000000000004</v>
      </c>
      <c r="I121" s="11">
        <f>MAX(('Geometry'!$G$13*COS(RADIANS(F121))+'Geometry'!$F$13*SIN(RADIANS(F121))),('Geometry'!$G$14*COS(RADIANS(F121))+'Geometry'!$F$14*SIN(RADIANS(F121))),('Geometry'!$G$15*COS(RADIANS(F121))+'Geometry'!$F$15*SIN(RADIANS(F121))),('Geometry'!$G$16*COS(RADIANS(F121))+'Geometry'!$F$16*SIN(RADIANS(F121))),('Geometry'!$G$17*COS(RADIANS(F121))+'Geometry'!$F$17*SIN(RADIANS(F121))),('Geometry'!$G$18*COS(RADIANS(F121))+'Geometry'!$F$18*SIN(RADIANS(F121))),('Geometry'!$G$19*COS(RADIANS(F121))+'Geometry'!$F$19*SIN(RADIANS(F121))),('Geometry'!$G$20*COS(RADIANS(F121))+'Geometry'!$F$20*SIN(RADIANS(F121))))</f>
        <v>751.9266513006627</v>
      </c>
      <c r="J121" s="11">
        <f>I121-H121*K121</f>
        <v>-3759.6332565033144</v>
      </c>
      <c r="K121" s="11">
        <f>I121-MIN(('Geometry'!$G$13*COS(RADIANS(F121))+'Geometry'!$F$13*SIN(RADIANS(F121))),('Geometry'!$G$14*COS(RADIANS(F121))+'Geometry'!$F$14*SIN(RADIANS(F121))),('Geometry'!$G$15*COS(RADIANS(F121))+'Geometry'!$F$15*SIN(RADIANS(F121))),('Geometry'!$G$16*COS(RADIANS(F121))+'Geometry'!$F$16*SIN(RADIANS(F121))),('Geometry'!$G$17*COS(RADIANS(F121))+'Geometry'!$F$17*SIN(RADIANS(F121))),('Geometry'!$G$18*COS(RADIANS(F121))+'Geometry'!$F$18*SIN(RADIANS(F121))),('Geometry'!$G$19*COS(RADIANS(F121))+'Geometry'!$F$19*SIN(RADIANS(F121))),('Geometry'!$G$20*COS(RADIANS(F121))+'Geometry'!$F$20*SIN(RADIANS(F121))))</f>
        <v>1503.8533026013254</v>
      </c>
      <c r="L121" s="16">
        <f>C_ecu</f>
        <v>0.0032999999999999995</v>
      </c>
      <c r="M121" s="16">
        <f>0</f>
        <v>0</v>
      </c>
      <c r="N121" s="22">
        <f>IF(ABS(I121-J121)&lt;0.000000000001,0,(L121-M121)/(I121-J121))</f>
        <v>7.314543234351708e-7</v>
      </c>
      <c r="O121" s="16">
        <f>L121-N121*I121</f>
        <v>0.00275</v>
      </c>
      <c r="P121" s="22">
        <f>N121*COS(RADIANS(F121))</f>
        <v>-6.873422301739792e-7</v>
      </c>
      <c r="Q121" s="22">
        <f>N121*SIN(RADIANS(F121))</f>
        <v>-2.5017211253747714e-7</v>
      </c>
      <c r="R121" s="11">
        <f>AP121</f>
        <v>15275.584597894342</v>
      </c>
      <c r="S121" s="11">
        <f>AQ121</f>
        <v>-223.94208493376868</v>
      </c>
      <c r="T121" s="11">
        <f>AR121</f>
        <v>-120.08205318535789</v>
      </c>
      <c r="U121" s="11">
        <f>AS121</f>
        <v>2394.7610175888967</v>
      </c>
      <c r="V121" s="11">
        <f>AT121</f>
        <v>-72.67206570933926</v>
      </c>
      <c r="W121" s="11">
        <f>AU121</f>
        <v>-38.140453246302684</v>
      </c>
      <c r="X121" s="11">
        <f>AM121</f>
        <v>17670.345615483235</v>
      </c>
      <c r="Y121" s="11">
        <f>AN121</f>
        <v>-296.614150643108</v>
      </c>
      <c r="Z121" s="11">
        <f>AO121</f>
        <v>-158.2225064316606</v>
      </c>
      <c r="AA121" s="7">
        <v>1</v>
      </c>
      <c r="AB121" s="7">
        <v>1</v>
      </c>
      <c r="AC121" s="7">
        <v>1</v>
      </c>
      <c r="AD121" s="11">
        <f>X121*AA121</f>
        <v>17670.345615483235</v>
      </c>
      <c r="AE121" s="11">
        <f>Y121*AB121</f>
        <v>-296.614150643108</v>
      </c>
      <c r="AF121" s="11">
        <f>Z121*AC121</f>
        <v>-158.2225064316606</v>
      </c>
      <c r="AG121" s="7">
        <v>17670.345615483235</v>
      </c>
      <c r="AH121" s="7">
        <v>-296.614150643108</v>
      </c>
      <c r="AI121" s="7">
        <v>-158.2225064316606</v>
      </c>
      <c r="AJ121" s="16">
        <f>AD121-AG121</f>
        <v>0</v>
      </c>
      <c r="AK121" s="16">
        <f>SQRT((AE121-AH121)^2+(AF121-AI121)^2)</f>
        <v>0</v>
      </c>
      <c r="AL121" s="7" t="s">
        <v>190</v>
      </c>
      <c r="AM121" s="7">
        <v>17670.345615483235</v>
      </c>
      <c r="AN121" s="7">
        <v>-296.614150643108</v>
      </c>
      <c r="AO121" s="7">
        <v>-158.2225064316606</v>
      </c>
      <c r="AP121" s="7">
        <v>15275.584597894342</v>
      </c>
      <c r="AQ121" s="7">
        <v>-223.94208493376868</v>
      </c>
      <c r="AR121" s="7">
        <v>-120.08205318535789</v>
      </c>
      <c r="AS121" s="7">
        <v>2394.7610175888967</v>
      </c>
      <c r="AT121" s="7">
        <v>-72.67206570933926</v>
      </c>
      <c r="AU121" s="7">
        <v>-38.140453246302684</v>
      </c>
    </row>
    <row r="122" spans="1:47" x14ac:dyDescent="0.25">
      <c r="A122" s="7" t="s">
        <v>424</v>
      </c>
      <c r="B122" s="7">
        <v>2</v>
      </c>
      <c r="C122" s="19">
        <v>200</v>
      </c>
      <c r="D122" s="7" t="s">
        <v>425</v>
      </c>
      <c r="E122" s="7" t="s">
        <v>197</v>
      </c>
      <c r="F122" s="20">
        <v>199.99999999999997</v>
      </c>
      <c r="G122" s="7" t="s">
        <v>194</v>
      </c>
      <c r="H122" s="21">
        <v>2.0000000000000004</v>
      </c>
      <c r="I122" s="11">
        <f>MAX(('Geometry'!$G$13*COS(RADIANS(F122))+'Geometry'!$F$13*SIN(RADIANS(F122))),('Geometry'!$G$14*COS(RADIANS(F122))+'Geometry'!$F$14*SIN(RADIANS(F122))),('Geometry'!$G$15*COS(RADIANS(F122))+'Geometry'!$F$15*SIN(RADIANS(F122))),('Geometry'!$G$16*COS(RADIANS(F122))+'Geometry'!$F$16*SIN(RADIANS(F122))),('Geometry'!$G$17*COS(RADIANS(F122))+'Geometry'!$F$17*SIN(RADIANS(F122))),('Geometry'!$G$18*COS(RADIANS(F122))+'Geometry'!$F$18*SIN(RADIANS(F122))),('Geometry'!$G$19*COS(RADIANS(F122))+'Geometry'!$F$19*SIN(RADIANS(F122))),('Geometry'!$G$20*COS(RADIANS(F122))+'Geometry'!$F$20*SIN(RADIANS(F122))))</f>
        <v>751.9266513006627</v>
      </c>
      <c r="J122" s="11">
        <f>I122-H122*K122</f>
        <v>-2255.7799539019884</v>
      </c>
      <c r="K122" s="11">
        <f>I122-MIN(('Geometry'!$G$13*COS(RADIANS(F122))+'Geometry'!$F$13*SIN(RADIANS(F122))),('Geometry'!$G$14*COS(RADIANS(F122))+'Geometry'!$F$14*SIN(RADIANS(F122))),('Geometry'!$G$15*COS(RADIANS(F122))+'Geometry'!$F$15*SIN(RADIANS(F122))),('Geometry'!$G$16*COS(RADIANS(F122))+'Geometry'!$F$16*SIN(RADIANS(F122))),('Geometry'!$G$17*COS(RADIANS(F122))+'Geometry'!$F$17*SIN(RADIANS(F122))),('Geometry'!$G$18*COS(RADIANS(F122))+'Geometry'!$F$18*SIN(RADIANS(F122))),('Geometry'!$G$19*COS(RADIANS(F122))+'Geometry'!$F$19*SIN(RADIANS(F122))),('Geometry'!$G$20*COS(RADIANS(F122))+'Geometry'!$F$20*SIN(RADIANS(F122))))</f>
        <v>1503.8533026013254</v>
      </c>
      <c r="L122" s="16">
        <f>C_ecu</f>
        <v>0.0032999999999999995</v>
      </c>
      <c r="M122" s="16">
        <f>0</f>
        <v>0</v>
      </c>
      <c r="N122" s="22">
        <f>IF(ABS(I122-J122)&lt;0.000000000001,0,(L122-M122)/(I122-J122))</f>
        <v>0.0000010971814851527564</v>
      </c>
      <c r="O122" s="16">
        <f>L122-N122*I122</f>
        <v>0.0024749999999999998</v>
      </c>
      <c r="P122" s="22">
        <f>N122*COS(RADIANS(F122))</f>
        <v>-0.000001031013345260969</v>
      </c>
      <c r="Q122" s="22">
        <f>N122*SIN(RADIANS(F122))</f>
        <v>-3.752581688062157e-7</v>
      </c>
      <c r="R122" s="11">
        <f>AP122</f>
        <v>15275.584597894342</v>
      </c>
      <c r="S122" s="11">
        <f>AQ122</f>
        <v>-447.88416986753737</v>
      </c>
      <c r="T122" s="11">
        <f>AR122</f>
        <v>-240.16410637071579</v>
      </c>
      <c r="U122" s="11">
        <f>AS122</f>
        <v>2394.7610175888967</v>
      </c>
      <c r="V122" s="11">
        <f>AT122</f>
        <v>-145.34413141867853</v>
      </c>
      <c r="W122" s="11">
        <f>AU122</f>
        <v>-76.28090649260537</v>
      </c>
      <c r="X122" s="11">
        <f>AM122</f>
        <v>17670.345615483235</v>
      </c>
      <c r="Y122" s="11">
        <f>AN122</f>
        <v>-593.228301286216</v>
      </c>
      <c r="Z122" s="11">
        <f>AO122</f>
        <v>-316.4450128633212</v>
      </c>
      <c r="AA122" s="7">
        <v>1</v>
      </c>
      <c r="AB122" s="7">
        <v>1</v>
      </c>
      <c r="AC122" s="7">
        <v>1</v>
      </c>
      <c r="AD122" s="11">
        <f>X122*AA122</f>
        <v>17670.345615483235</v>
      </c>
      <c r="AE122" s="11">
        <f>Y122*AB122</f>
        <v>-593.228301286216</v>
      </c>
      <c r="AF122" s="11">
        <f>Z122*AC122</f>
        <v>-316.4450128633212</v>
      </c>
      <c r="AG122" s="7">
        <v>17670.345615483235</v>
      </c>
      <c r="AH122" s="7">
        <v>-593.228301286216</v>
      </c>
      <c r="AI122" s="7">
        <v>-316.4450128633212</v>
      </c>
      <c r="AJ122" s="16">
        <f>AD122-AG122</f>
        <v>0</v>
      </c>
      <c r="AK122" s="16">
        <f>SQRT((AE122-AH122)^2+(AF122-AI122)^2)</f>
        <v>0</v>
      </c>
      <c r="AL122" s="7" t="s">
        <v>190</v>
      </c>
      <c r="AM122" s="7">
        <v>17670.345615483235</v>
      </c>
      <c r="AN122" s="7">
        <v>-593.228301286216</v>
      </c>
      <c r="AO122" s="7">
        <v>-316.4450128633212</v>
      </c>
      <c r="AP122" s="7">
        <v>15275.584597894342</v>
      </c>
      <c r="AQ122" s="7">
        <v>-447.88416986753737</v>
      </c>
      <c r="AR122" s="7">
        <v>-240.16410637071579</v>
      </c>
      <c r="AS122" s="7">
        <v>2394.7610175888967</v>
      </c>
      <c r="AT122" s="7">
        <v>-145.34413141867853</v>
      </c>
      <c r="AU122" s="7">
        <v>-76.28090649260537</v>
      </c>
    </row>
    <row r="123" spans="1:47" x14ac:dyDescent="0.25">
      <c r="A123" s="7" t="s">
        <v>426</v>
      </c>
      <c r="B123" s="7">
        <v>3</v>
      </c>
      <c r="C123" s="19">
        <v>200</v>
      </c>
      <c r="D123" s="7" t="s">
        <v>427</v>
      </c>
      <c r="E123" s="7" t="s">
        <v>200</v>
      </c>
      <c r="F123" s="20">
        <v>199.99999999999997</v>
      </c>
      <c r="G123" s="7" t="s">
        <v>194</v>
      </c>
      <c r="H123" s="21">
        <v>1.5000000000000002</v>
      </c>
      <c r="I123" s="11">
        <f>MAX(('Geometry'!$G$13*COS(RADIANS(F123))+'Geometry'!$F$13*SIN(RADIANS(F123))),('Geometry'!$G$14*COS(RADIANS(F123))+'Geometry'!$F$14*SIN(RADIANS(F123))),('Geometry'!$G$15*COS(RADIANS(F123))+'Geometry'!$F$15*SIN(RADIANS(F123))),('Geometry'!$G$16*COS(RADIANS(F123))+'Geometry'!$F$16*SIN(RADIANS(F123))),('Geometry'!$G$17*COS(RADIANS(F123))+'Geometry'!$F$17*SIN(RADIANS(F123))),('Geometry'!$G$18*COS(RADIANS(F123))+'Geometry'!$F$18*SIN(RADIANS(F123))),('Geometry'!$G$19*COS(RADIANS(F123))+'Geometry'!$F$19*SIN(RADIANS(F123))),('Geometry'!$G$20*COS(RADIANS(F123))+'Geometry'!$F$20*SIN(RADIANS(F123))))</f>
        <v>751.9266513006627</v>
      </c>
      <c r="J123" s="11">
        <f>I123-H123*K123</f>
        <v>-1503.8533026013256</v>
      </c>
      <c r="K123" s="11">
        <f>I123-MIN(('Geometry'!$G$13*COS(RADIANS(F123))+'Geometry'!$F$13*SIN(RADIANS(F123))),('Geometry'!$G$14*COS(RADIANS(F123))+'Geometry'!$F$14*SIN(RADIANS(F123))),('Geometry'!$G$15*COS(RADIANS(F123))+'Geometry'!$F$15*SIN(RADIANS(F123))),('Geometry'!$G$16*COS(RADIANS(F123))+'Geometry'!$F$16*SIN(RADIANS(F123))),('Geometry'!$G$17*COS(RADIANS(F123))+'Geometry'!$F$17*SIN(RADIANS(F123))),('Geometry'!$G$18*COS(RADIANS(F123))+'Geometry'!$F$18*SIN(RADIANS(F123))),('Geometry'!$G$19*COS(RADIANS(F123))+'Geometry'!$F$19*SIN(RADIANS(F123))),('Geometry'!$G$20*COS(RADIANS(F123))+'Geometry'!$F$20*SIN(RADIANS(F123))))</f>
        <v>1503.8533026013254</v>
      </c>
      <c r="L123" s="16">
        <f>C_ecu</f>
        <v>0.003299999999999999</v>
      </c>
      <c r="M123" s="16">
        <f>0</f>
        <v>0</v>
      </c>
      <c r="N123" s="22">
        <f>IF(ABS(I123-J123)&lt;0.000000000001,0,(L123-M123)/(I123-J123))</f>
        <v>0.0000014629086468703416</v>
      </c>
      <c r="O123" s="16">
        <f>L123-N123*I123</f>
        <v>0.0021999999999999997</v>
      </c>
      <c r="P123" s="22">
        <f>N123*COS(RADIANS(F123))</f>
        <v>-0.0000013746844603479585</v>
      </c>
      <c r="Q123" s="22">
        <f>N123*SIN(RADIANS(F123))</f>
        <v>-5.003442250749543e-7</v>
      </c>
      <c r="R123" s="11">
        <f>AP123</f>
        <v>15275.584597894342</v>
      </c>
      <c r="S123" s="11">
        <f>AQ123</f>
        <v>-671.826254801306</v>
      </c>
      <c r="T123" s="11">
        <f>AR123</f>
        <v>-360.2461595560737</v>
      </c>
      <c r="U123" s="11">
        <f>AS123</f>
        <v>2394.7610175888967</v>
      </c>
      <c r="V123" s="11">
        <f>AT123</f>
        <v>-218.01619712801778</v>
      </c>
      <c r="W123" s="11">
        <f>AU123</f>
        <v>-114.42135973890804</v>
      </c>
      <c r="X123" s="11">
        <f>AM123</f>
        <v>17670.345615483235</v>
      </c>
      <c r="Y123" s="11">
        <f>AN123</f>
        <v>-889.8424519293239</v>
      </c>
      <c r="Z123" s="11">
        <f>AO123</f>
        <v>-474.6675192949818</v>
      </c>
      <c r="AA123" s="7">
        <v>1</v>
      </c>
      <c r="AB123" s="7">
        <v>1</v>
      </c>
      <c r="AC123" s="7">
        <v>1</v>
      </c>
      <c r="AD123" s="11">
        <f>X123*AA123</f>
        <v>17670.345615483235</v>
      </c>
      <c r="AE123" s="11">
        <f>Y123*AB123</f>
        <v>-889.8424519293239</v>
      </c>
      <c r="AF123" s="11">
        <f>Z123*AC123</f>
        <v>-474.6675192949818</v>
      </c>
      <c r="AG123" s="7">
        <v>17670.345615483235</v>
      </c>
      <c r="AH123" s="7">
        <v>-889.8424519293239</v>
      </c>
      <c r="AI123" s="7">
        <v>-474.6675192949818</v>
      </c>
      <c r="AJ123" s="16">
        <f>AD123-AG123</f>
        <v>0</v>
      </c>
      <c r="AK123" s="16">
        <f>SQRT((AE123-AH123)^2+(AF123-AI123)^2)</f>
        <v>0</v>
      </c>
      <c r="AL123" s="7" t="s">
        <v>190</v>
      </c>
      <c r="AM123" s="7">
        <v>17670.345615483235</v>
      </c>
      <c r="AN123" s="7">
        <v>-889.8424519293239</v>
      </c>
      <c r="AO123" s="7">
        <v>-474.6675192949818</v>
      </c>
      <c r="AP123" s="7">
        <v>15275.584597894342</v>
      </c>
      <c r="AQ123" s="7">
        <v>-671.826254801306</v>
      </c>
      <c r="AR123" s="7">
        <v>-360.2461595560737</v>
      </c>
      <c r="AS123" s="7">
        <v>2394.7610175888967</v>
      </c>
      <c r="AT123" s="7">
        <v>-218.01619712801778</v>
      </c>
      <c r="AU123" s="7">
        <v>-114.42135973890804</v>
      </c>
    </row>
    <row r="124" spans="1:47" x14ac:dyDescent="0.25">
      <c r="A124" s="7" t="s">
        <v>428</v>
      </c>
      <c r="B124" s="7">
        <v>4</v>
      </c>
      <c r="C124" s="19">
        <v>200</v>
      </c>
      <c r="D124" s="7" t="s">
        <v>429</v>
      </c>
      <c r="E124" s="7" t="s">
        <v>203</v>
      </c>
      <c r="F124" s="20">
        <v>199.99999999999997</v>
      </c>
      <c r="G124" s="7" t="s">
        <v>194</v>
      </c>
      <c r="H124" s="21">
        <v>1.2</v>
      </c>
      <c r="I124" s="11">
        <f>MAX(('Geometry'!$G$13*COS(RADIANS(F124))+'Geometry'!$F$13*SIN(RADIANS(F124))),('Geometry'!$G$14*COS(RADIANS(F124))+'Geometry'!$F$14*SIN(RADIANS(F124))),('Geometry'!$G$15*COS(RADIANS(F124))+'Geometry'!$F$15*SIN(RADIANS(F124))),('Geometry'!$G$16*COS(RADIANS(F124))+'Geometry'!$F$16*SIN(RADIANS(F124))),('Geometry'!$G$17*COS(RADIANS(F124))+'Geometry'!$F$17*SIN(RADIANS(F124))),('Geometry'!$G$18*COS(RADIANS(F124))+'Geometry'!$F$18*SIN(RADIANS(F124))),('Geometry'!$G$19*COS(RADIANS(F124))+'Geometry'!$F$19*SIN(RADIANS(F124))),('Geometry'!$G$20*COS(RADIANS(F124))+'Geometry'!$F$20*SIN(RADIANS(F124))))</f>
        <v>751.9266513006627</v>
      </c>
      <c r="J124" s="11">
        <f>I124-H124*K124</f>
        <v>-1052.6973118209278</v>
      </c>
      <c r="K124" s="11">
        <f>I124-MIN(('Geometry'!$G$13*COS(RADIANS(F124))+'Geometry'!$F$13*SIN(RADIANS(F124))),('Geometry'!$G$14*COS(RADIANS(F124))+'Geometry'!$F$14*SIN(RADIANS(F124))),('Geometry'!$G$15*COS(RADIANS(F124))+'Geometry'!$F$15*SIN(RADIANS(F124))),('Geometry'!$G$16*COS(RADIANS(F124))+'Geometry'!$F$16*SIN(RADIANS(F124))),('Geometry'!$G$17*COS(RADIANS(F124))+'Geometry'!$F$17*SIN(RADIANS(F124))),('Geometry'!$G$18*COS(RADIANS(F124))+'Geometry'!$F$18*SIN(RADIANS(F124))),('Geometry'!$G$19*COS(RADIANS(F124))+'Geometry'!$F$19*SIN(RADIANS(F124))),('Geometry'!$G$20*COS(RADIANS(F124))+'Geometry'!$F$20*SIN(RADIANS(F124))))</f>
        <v>1503.8533026013254</v>
      </c>
      <c r="L124" s="16">
        <f>C_ecu</f>
        <v>0.0033</v>
      </c>
      <c r="M124" s="16">
        <f>0</f>
        <v>0</v>
      </c>
      <c r="N124" s="22">
        <f>IF(ABS(I124-J124)&lt;0.000000000001,0,(L124-M124)/(I124-J124))</f>
        <v>0.0000018286358085879275</v>
      </c>
      <c r="O124" s="16">
        <f>L124-N124*I124</f>
        <v>0.0019249999999999998</v>
      </c>
      <c r="P124" s="22">
        <f>N124*COS(RADIANS(F124))</f>
        <v>-0.0000017183555754349485</v>
      </c>
      <c r="Q124" s="22">
        <f>N124*SIN(RADIANS(F124))</f>
        <v>-6.25430281343693e-7</v>
      </c>
      <c r="R124" s="11">
        <f>AP124</f>
        <v>15275.584597894342</v>
      </c>
      <c r="S124" s="11">
        <f>AQ124</f>
        <v>-895.7683397350747</v>
      </c>
      <c r="T124" s="11">
        <f>AR124</f>
        <v>-480.32821274143157</v>
      </c>
      <c r="U124" s="11">
        <f>AS124</f>
        <v>2394.7610175888967</v>
      </c>
      <c r="V124" s="11">
        <f>AT124</f>
        <v>-290.68826283735706</v>
      </c>
      <c r="W124" s="11">
        <f>AU124</f>
        <v>-152.56181298521074</v>
      </c>
      <c r="X124" s="11">
        <f>AM124</f>
        <v>17670.345615483235</v>
      </c>
      <c r="Y124" s="11">
        <f>AN124</f>
        <v>-1186.456602572432</v>
      </c>
      <c r="Z124" s="11">
        <f>AO124</f>
        <v>-632.8900257266424</v>
      </c>
      <c r="AA124" s="7">
        <v>1</v>
      </c>
      <c r="AB124" s="7">
        <v>1</v>
      </c>
      <c r="AC124" s="7">
        <v>1</v>
      </c>
      <c r="AD124" s="11">
        <f>X124*AA124</f>
        <v>17670.345615483235</v>
      </c>
      <c r="AE124" s="11">
        <f>Y124*AB124</f>
        <v>-1186.456602572432</v>
      </c>
      <c r="AF124" s="11">
        <f>Z124*AC124</f>
        <v>-632.8900257266424</v>
      </c>
      <c r="AG124" s="7">
        <v>17670.345615483235</v>
      </c>
      <c r="AH124" s="7">
        <v>-1186.456602572432</v>
      </c>
      <c r="AI124" s="7">
        <v>-632.8900257266424</v>
      </c>
      <c r="AJ124" s="16">
        <f>AD124-AG124</f>
        <v>0</v>
      </c>
      <c r="AK124" s="16">
        <f>SQRT((AE124-AH124)^2+(AF124-AI124)^2)</f>
        <v>0</v>
      </c>
      <c r="AL124" s="7" t="s">
        <v>190</v>
      </c>
      <c r="AM124" s="7">
        <v>17670.345615483235</v>
      </c>
      <c r="AN124" s="7">
        <v>-1186.456602572432</v>
      </c>
      <c r="AO124" s="7">
        <v>-632.8900257266424</v>
      </c>
      <c r="AP124" s="7">
        <v>15275.584597894342</v>
      </c>
      <c r="AQ124" s="7">
        <v>-895.7683397350747</v>
      </c>
      <c r="AR124" s="7">
        <v>-480.32821274143157</v>
      </c>
      <c r="AS124" s="7">
        <v>2394.7610175888967</v>
      </c>
      <c r="AT124" s="7">
        <v>-290.68826283735706</v>
      </c>
      <c r="AU124" s="7">
        <v>-152.56181298521074</v>
      </c>
    </row>
    <row r="125" spans="1:47" x14ac:dyDescent="0.25">
      <c r="A125" s="7" t="s">
        <v>430</v>
      </c>
      <c r="B125" s="7">
        <v>5</v>
      </c>
      <c r="C125" s="19">
        <v>200</v>
      </c>
      <c r="D125" s="7" t="s">
        <v>431</v>
      </c>
      <c r="E125" s="7" t="s">
        <v>206</v>
      </c>
      <c r="F125" s="20">
        <v>199.99999999999997</v>
      </c>
      <c r="G125" s="7" t="s">
        <v>194</v>
      </c>
      <c r="H125" s="21">
        <v>1.1</v>
      </c>
      <c r="I125" s="11">
        <f>MAX(('Geometry'!$G$13*COS(RADIANS(F125))+'Geometry'!$F$13*SIN(RADIANS(F125))),('Geometry'!$G$14*COS(RADIANS(F125))+'Geometry'!$F$14*SIN(RADIANS(F125))),('Geometry'!$G$15*COS(RADIANS(F125))+'Geometry'!$F$15*SIN(RADIANS(F125))),('Geometry'!$G$16*COS(RADIANS(F125))+'Geometry'!$F$16*SIN(RADIANS(F125))),('Geometry'!$G$17*COS(RADIANS(F125))+'Geometry'!$F$17*SIN(RADIANS(F125))),('Geometry'!$G$18*COS(RADIANS(F125))+'Geometry'!$F$18*SIN(RADIANS(F125))),('Geometry'!$G$19*COS(RADIANS(F125))+'Geometry'!$F$19*SIN(RADIANS(F125))),('Geometry'!$G$20*COS(RADIANS(F125))+'Geometry'!$F$20*SIN(RADIANS(F125))))</f>
        <v>751.9266513006627</v>
      </c>
      <c r="J125" s="11">
        <f>I125-H125*K125</f>
        <v>-902.3119815607955</v>
      </c>
      <c r="K125" s="11">
        <f>I125-MIN(('Geometry'!$G$13*COS(RADIANS(F125))+'Geometry'!$F$13*SIN(RADIANS(F125))),('Geometry'!$G$14*COS(RADIANS(F125))+'Geometry'!$F$14*SIN(RADIANS(F125))),('Geometry'!$G$15*COS(RADIANS(F125))+'Geometry'!$F$15*SIN(RADIANS(F125))),('Geometry'!$G$16*COS(RADIANS(F125))+'Geometry'!$F$16*SIN(RADIANS(F125))),('Geometry'!$G$17*COS(RADIANS(F125))+'Geometry'!$F$17*SIN(RADIANS(F125))),('Geometry'!$G$18*COS(RADIANS(F125))+'Geometry'!$F$18*SIN(RADIANS(F125))),('Geometry'!$G$19*COS(RADIANS(F125))+'Geometry'!$F$19*SIN(RADIANS(F125))),('Geometry'!$G$20*COS(RADIANS(F125))+'Geometry'!$F$20*SIN(RADIANS(F125))))</f>
        <v>1503.8533026013254</v>
      </c>
      <c r="L125" s="16">
        <f>C_ecu</f>
        <v>0.0033</v>
      </c>
      <c r="M125" s="16">
        <f>0</f>
        <v>0</v>
      </c>
      <c r="N125" s="22">
        <f>IF(ABS(I125-J125)&lt;0.000000000001,0,(L125-M125)/(I125-J125))</f>
        <v>0.000001994875427550466</v>
      </c>
      <c r="O125" s="16">
        <f>L125-N125*I125</f>
        <v>0.0018000000000000002</v>
      </c>
      <c r="P125" s="22">
        <f>N125*COS(RADIANS(F125))</f>
        <v>-0.000001874569718656307</v>
      </c>
      <c r="Q125" s="22">
        <f>N125*SIN(RADIANS(F125))</f>
        <v>-6.82287579647665e-7</v>
      </c>
      <c r="R125" s="11">
        <f>AP125</f>
        <v>15275.584597894342</v>
      </c>
      <c r="S125" s="11">
        <f>AQ125</f>
        <v>-1119.7104246688432</v>
      </c>
      <c r="T125" s="11">
        <f>AR125</f>
        <v>-600.4102659267894</v>
      </c>
      <c r="U125" s="11">
        <f>AS125</f>
        <v>2394.7610175888967</v>
      </c>
      <c r="V125" s="11">
        <f>AT125</f>
        <v>-363.3603285466962</v>
      </c>
      <c r="W125" s="11">
        <f>AU125</f>
        <v>-190.70226623151342</v>
      </c>
      <c r="X125" s="11">
        <f>AM125</f>
        <v>17670.345615483235</v>
      </c>
      <c r="Y125" s="11">
        <f>AN125</f>
        <v>-1483.07075321554</v>
      </c>
      <c r="Z125" s="11">
        <f>AO125</f>
        <v>-791.1125321583029</v>
      </c>
      <c r="AA125" s="7">
        <v>1</v>
      </c>
      <c r="AB125" s="7">
        <v>1</v>
      </c>
      <c r="AC125" s="7">
        <v>1</v>
      </c>
      <c r="AD125" s="11">
        <f>X125*AA125</f>
        <v>17670.345615483235</v>
      </c>
      <c r="AE125" s="11">
        <f>Y125*AB125</f>
        <v>-1483.07075321554</v>
      </c>
      <c r="AF125" s="11">
        <f>Z125*AC125</f>
        <v>-791.1125321583029</v>
      </c>
      <c r="AG125" s="7">
        <v>17670.345615483235</v>
      </c>
      <c r="AH125" s="7">
        <v>-1483.07075321554</v>
      </c>
      <c r="AI125" s="7">
        <v>-791.1125321583029</v>
      </c>
      <c r="AJ125" s="16">
        <f>AD125-AG125</f>
        <v>0</v>
      </c>
      <c r="AK125" s="16">
        <f>SQRT((AE125-AH125)^2+(AF125-AI125)^2)</f>
        <v>0</v>
      </c>
      <c r="AL125" s="7" t="s">
        <v>190</v>
      </c>
      <c r="AM125" s="7">
        <v>17670.345615483235</v>
      </c>
      <c r="AN125" s="7">
        <v>-1483.07075321554</v>
      </c>
      <c r="AO125" s="7">
        <v>-791.1125321583029</v>
      </c>
      <c r="AP125" s="7">
        <v>15275.584597894342</v>
      </c>
      <c r="AQ125" s="7">
        <v>-1119.7104246688432</v>
      </c>
      <c r="AR125" s="7">
        <v>-600.4102659267894</v>
      </c>
      <c r="AS125" s="7">
        <v>2394.7610175888967</v>
      </c>
      <c r="AT125" s="7">
        <v>-363.3603285466962</v>
      </c>
      <c r="AU125" s="7">
        <v>-190.70226623151342</v>
      </c>
    </row>
    <row r="126" spans="1:47" x14ac:dyDescent="0.25">
      <c r="A126" s="7" t="s">
        <v>432</v>
      </c>
      <c r="B126" s="7">
        <v>6</v>
      </c>
      <c r="C126" s="19">
        <v>200</v>
      </c>
      <c r="D126" s="7" t="s">
        <v>433</v>
      </c>
      <c r="E126" s="7" t="s">
        <v>229</v>
      </c>
      <c r="F126" s="20">
        <v>199.99999999999997</v>
      </c>
      <c r="G126" s="7" t="s">
        <v>194</v>
      </c>
      <c r="H126" s="21">
        <v>1.0000000000000002</v>
      </c>
      <c r="I126" s="11">
        <f>MAX(('Geometry'!$G$13*COS(RADIANS(F126))+'Geometry'!$F$13*SIN(RADIANS(F126))),('Geometry'!$G$14*COS(RADIANS(F126))+'Geometry'!$F$14*SIN(RADIANS(F126))),('Geometry'!$G$15*COS(RADIANS(F126))+'Geometry'!$F$15*SIN(RADIANS(F126))),('Geometry'!$G$16*COS(RADIANS(F126))+'Geometry'!$F$16*SIN(RADIANS(F126))),('Geometry'!$G$17*COS(RADIANS(F126))+'Geometry'!$F$17*SIN(RADIANS(F126))),('Geometry'!$G$18*COS(RADIANS(F126))+'Geometry'!$F$18*SIN(RADIANS(F126))),('Geometry'!$G$19*COS(RADIANS(F126))+'Geometry'!$F$19*SIN(RADIANS(F126))),('Geometry'!$G$20*COS(RADIANS(F126))+'Geometry'!$F$20*SIN(RADIANS(F126))))</f>
        <v>751.9266513006627</v>
      </c>
      <c r="J126" s="11">
        <f>I126-H126*K126</f>
        <v>-751.9266513006628</v>
      </c>
      <c r="K126" s="11">
        <f>I126-MIN(('Geometry'!$G$13*COS(RADIANS(F126))+'Geometry'!$F$13*SIN(RADIANS(F126))),('Geometry'!$G$14*COS(RADIANS(F126))+'Geometry'!$F$14*SIN(RADIANS(F126))),('Geometry'!$G$15*COS(RADIANS(F126))+'Geometry'!$F$15*SIN(RADIANS(F126))),('Geometry'!$G$16*COS(RADIANS(F126))+'Geometry'!$F$16*SIN(RADIANS(F126))),('Geometry'!$G$17*COS(RADIANS(F126))+'Geometry'!$F$17*SIN(RADIANS(F126))),('Geometry'!$G$18*COS(RADIANS(F126))+'Geometry'!$F$18*SIN(RADIANS(F126))),('Geometry'!$G$19*COS(RADIANS(F126))+'Geometry'!$F$19*SIN(RADIANS(F126))),('Geometry'!$G$20*COS(RADIANS(F126))+'Geometry'!$F$20*SIN(RADIANS(F126))))</f>
        <v>1503.8533026013254</v>
      </c>
      <c r="L126" s="16">
        <f>C_ecu</f>
        <v>0.0033</v>
      </c>
      <c r="M126" s="16">
        <f>0</f>
        <v>0</v>
      </c>
      <c r="N126" s="22">
        <f>IF(ABS(I126-J126)&lt;0.000000000001,0,(L126-M126)/(I126-J126))</f>
        <v>0.0000021943629703055128</v>
      </c>
      <c r="O126" s="16">
        <f>L126-N126*I126</f>
        <v>0.00165</v>
      </c>
      <c r="P126" s="22">
        <f>N126*COS(RADIANS(F126))</f>
        <v>-0.000002062026690521938</v>
      </c>
      <c r="Q126" s="22">
        <f>N126*SIN(RADIANS(F126))</f>
        <v>-7.505163376124314e-7</v>
      </c>
      <c r="R126" s="11">
        <f>AP126</f>
        <v>15275.584597894342</v>
      </c>
      <c r="S126" s="11">
        <f>AQ126</f>
        <v>-1343.652509602612</v>
      </c>
      <c r="T126" s="11">
        <f>AR126</f>
        <v>-720.4923191121474</v>
      </c>
      <c r="U126" s="11">
        <f>AS126</f>
        <v>2394.7610175888967</v>
      </c>
      <c r="V126" s="11">
        <f>AT126</f>
        <v>-436.03239425603556</v>
      </c>
      <c r="W126" s="11">
        <f>AU126</f>
        <v>-228.84271947781608</v>
      </c>
      <c r="X126" s="11">
        <f>AM126</f>
        <v>17670.345615483235</v>
      </c>
      <c r="Y126" s="11">
        <f>AN126</f>
        <v>-1779.6849038586479</v>
      </c>
      <c r="Z126" s="11">
        <f>AO126</f>
        <v>-949.3350385899636</v>
      </c>
      <c r="AA126" s="7">
        <v>1</v>
      </c>
      <c r="AB126" s="7">
        <v>1</v>
      </c>
      <c r="AC126" s="7">
        <v>1</v>
      </c>
      <c r="AD126" s="11">
        <f>X126*AA126</f>
        <v>17670.345615483235</v>
      </c>
      <c r="AE126" s="11">
        <f>Y126*AB126</f>
        <v>-1779.6849038586479</v>
      </c>
      <c r="AF126" s="11">
        <f>Z126*AC126</f>
        <v>-949.3350385899636</v>
      </c>
      <c r="AG126" s="7">
        <v>17670.345615483235</v>
      </c>
      <c r="AH126" s="7">
        <v>-1779.6849038586479</v>
      </c>
      <c r="AI126" s="7">
        <v>-949.3350385899636</v>
      </c>
      <c r="AJ126" s="16">
        <f>AD126-AG126</f>
        <v>0</v>
      </c>
      <c r="AK126" s="16">
        <f>SQRT((AE126-AH126)^2+(AF126-AI126)^2)</f>
        <v>0</v>
      </c>
      <c r="AL126" s="7" t="s">
        <v>190</v>
      </c>
      <c r="AM126" s="7">
        <v>17670.345615483235</v>
      </c>
      <c r="AN126" s="7">
        <v>-1779.6849038586479</v>
      </c>
      <c r="AO126" s="7">
        <v>-949.3350385899636</v>
      </c>
      <c r="AP126" s="7">
        <v>15275.584597894342</v>
      </c>
      <c r="AQ126" s="7">
        <v>-1343.652509602612</v>
      </c>
      <c r="AR126" s="7">
        <v>-720.4923191121474</v>
      </c>
      <c r="AS126" s="7">
        <v>2394.7610175888967</v>
      </c>
      <c r="AT126" s="7">
        <v>-436.03239425603556</v>
      </c>
      <c r="AU126" s="7">
        <v>-228.84271947781608</v>
      </c>
    </row>
    <row r="127" spans="1:47" x14ac:dyDescent="0.25">
      <c r="A127" s="7" t="s">
        <v>434</v>
      </c>
      <c r="B127" s="7">
        <v>1</v>
      </c>
      <c r="C127" s="19">
        <v>210</v>
      </c>
      <c r="D127" s="7" t="s">
        <v>435</v>
      </c>
      <c r="E127" s="7" t="s">
        <v>193</v>
      </c>
      <c r="F127" s="20">
        <v>209.99999999999997</v>
      </c>
      <c r="G127" s="7" t="s">
        <v>194</v>
      </c>
      <c r="H127" s="21">
        <v>3</v>
      </c>
      <c r="I127" s="11">
        <f>MAX(('Geometry'!$G$13*COS(RADIANS(F127))+'Geometry'!$F$13*SIN(RADIANS(F127))),('Geometry'!$G$14*COS(RADIANS(F127))+'Geometry'!$F$14*SIN(RADIANS(F127))),('Geometry'!$G$15*COS(RADIANS(F127))+'Geometry'!$F$15*SIN(RADIANS(F127))),('Geometry'!$G$16*COS(RADIANS(F127))+'Geometry'!$F$16*SIN(RADIANS(F127))),('Geometry'!$G$17*COS(RADIANS(F127))+'Geometry'!$F$17*SIN(RADIANS(F127))),('Geometry'!$G$18*COS(RADIANS(F127))+'Geometry'!$F$18*SIN(RADIANS(F127))),('Geometry'!$G$19*COS(RADIANS(F127))+'Geometry'!$F$19*SIN(RADIANS(F127))),('Geometry'!$G$20*COS(RADIANS(F127))+'Geometry'!$F$20*SIN(RADIANS(F127))))</f>
        <v>794.6152422706631</v>
      </c>
      <c r="J127" s="11">
        <f>I127-H127*K127</f>
        <v>-3973.0762113533156</v>
      </c>
      <c r="K127" s="11">
        <f>I127-MIN(('Geometry'!$G$13*COS(RADIANS(F127))+'Geometry'!$F$13*SIN(RADIANS(F127))),('Geometry'!$G$14*COS(RADIANS(F127))+'Geometry'!$F$14*SIN(RADIANS(F127))),('Geometry'!$G$15*COS(RADIANS(F127))+'Geometry'!$F$15*SIN(RADIANS(F127))),('Geometry'!$G$16*COS(RADIANS(F127))+'Geometry'!$F$16*SIN(RADIANS(F127))),('Geometry'!$G$17*COS(RADIANS(F127))+'Geometry'!$F$17*SIN(RADIANS(F127))),('Geometry'!$G$18*COS(RADIANS(F127))+'Geometry'!$F$18*SIN(RADIANS(F127))),('Geometry'!$G$19*COS(RADIANS(F127))+'Geometry'!$F$19*SIN(RADIANS(F127))),('Geometry'!$G$20*COS(RADIANS(F127))+'Geometry'!$F$20*SIN(RADIANS(F127))))</f>
        <v>1589.2304845413262</v>
      </c>
      <c r="L127" s="16">
        <f>C_ecu</f>
        <v>0.0033</v>
      </c>
      <c r="M127" s="16">
        <f>0</f>
        <v>0</v>
      </c>
      <c r="N127" s="22">
        <f>IF(ABS(I127-J127)&lt;0.000000000001,0,(L127-M127)/(I127-J127))</f>
        <v>6.921588848816194e-7</v>
      </c>
      <c r="O127" s="16">
        <f>L127-N127*I127</f>
        <v>0.00275</v>
      </c>
      <c r="P127" s="22">
        <f>N127*COS(RADIANS(F127))</f>
        <v>-5.994271777625911e-7</v>
      </c>
      <c r="Q127" s="22">
        <f>N127*SIN(RADIANS(F127))</f>
        <v>-3.460794424408097e-7</v>
      </c>
      <c r="R127" s="11">
        <f>AP127</f>
        <v>15282.054175314723</v>
      </c>
      <c r="S127" s="11">
        <f>AQ127</f>
        <v>-200.48941047684545</v>
      </c>
      <c r="T127" s="11">
        <f>AR127</f>
        <v>-163.91284853268996</v>
      </c>
      <c r="U127" s="11">
        <f>AS127</f>
        <v>2388.2914401685143</v>
      </c>
      <c r="V127" s="11">
        <f>AT127</f>
        <v>-64.45718011141277</v>
      </c>
      <c r="W127" s="11">
        <f>AU127</f>
        <v>-52.54386237535152</v>
      </c>
      <c r="X127" s="11">
        <f>AM127</f>
        <v>17670.345615483235</v>
      </c>
      <c r="Y127" s="11">
        <f>AN127</f>
        <v>-264.9465905882582</v>
      </c>
      <c r="Z127" s="11">
        <f>AO127</f>
        <v>-216.4567109080415</v>
      </c>
      <c r="AA127" s="7">
        <v>1</v>
      </c>
      <c r="AB127" s="7">
        <v>1</v>
      </c>
      <c r="AC127" s="7">
        <v>1</v>
      </c>
      <c r="AD127" s="11">
        <f>X127*AA127</f>
        <v>17670.345615483235</v>
      </c>
      <c r="AE127" s="11">
        <f>Y127*AB127</f>
        <v>-264.9465905882582</v>
      </c>
      <c r="AF127" s="11">
        <f>Z127*AC127</f>
        <v>-216.4567109080415</v>
      </c>
      <c r="AG127" s="7">
        <v>17670.345615483235</v>
      </c>
      <c r="AH127" s="7">
        <v>-264.9465905882582</v>
      </c>
      <c r="AI127" s="7">
        <v>-216.4567109080415</v>
      </c>
      <c r="AJ127" s="16">
        <f>AD127-AG127</f>
        <v>0</v>
      </c>
      <c r="AK127" s="16">
        <f>SQRT((AE127-AH127)^2+(AF127-AI127)^2)</f>
        <v>0</v>
      </c>
      <c r="AL127" s="7" t="s">
        <v>190</v>
      </c>
      <c r="AM127" s="7">
        <v>17670.345615483235</v>
      </c>
      <c r="AN127" s="7">
        <v>-264.9465905882582</v>
      </c>
      <c r="AO127" s="7">
        <v>-216.4567109080415</v>
      </c>
      <c r="AP127" s="7">
        <v>15282.054175314723</v>
      </c>
      <c r="AQ127" s="7">
        <v>-200.48941047684545</v>
      </c>
      <c r="AR127" s="7">
        <v>-163.91284853268996</v>
      </c>
      <c r="AS127" s="7">
        <v>2388.2914401685143</v>
      </c>
      <c r="AT127" s="7">
        <v>-64.45718011141277</v>
      </c>
      <c r="AU127" s="7">
        <v>-52.54386237535152</v>
      </c>
    </row>
    <row r="128" spans="1:47" x14ac:dyDescent="0.25">
      <c r="A128" s="7" t="s">
        <v>436</v>
      </c>
      <c r="B128" s="7">
        <v>2</v>
      </c>
      <c r="C128" s="19">
        <v>210</v>
      </c>
      <c r="D128" s="7" t="s">
        <v>437</v>
      </c>
      <c r="E128" s="7" t="s">
        <v>197</v>
      </c>
      <c r="F128" s="20">
        <v>210.00000000000003</v>
      </c>
      <c r="G128" s="7" t="s">
        <v>194</v>
      </c>
      <c r="H128" s="21">
        <v>2</v>
      </c>
      <c r="I128" s="11">
        <f>MAX(('Geometry'!$G$13*COS(RADIANS(F128))+'Geometry'!$F$13*SIN(RADIANS(F128))),('Geometry'!$G$14*COS(RADIANS(F128))+'Geometry'!$F$14*SIN(RADIANS(F128))),('Geometry'!$G$15*COS(RADIANS(F128))+'Geometry'!$F$15*SIN(RADIANS(F128))),('Geometry'!$G$16*COS(RADIANS(F128))+'Geometry'!$F$16*SIN(RADIANS(F128))),('Geometry'!$G$17*COS(RADIANS(F128))+'Geometry'!$F$17*SIN(RADIANS(F128))),('Geometry'!$G$18*COS(RADIANS(F128))+'Geometry'!$F$18*SIN(RADIANS(F128))),('Geometry'!$G$19*COS(RADIANS(F128))+'Geometry'!$F$19*SIN(RADIANS(F128))),('Geometry'!$G$20*COS(RADIANS(F128))+'Geometry'!$F$20*SIN(RADIANS(F128))))</f>
        <v>794.6152422706632</v>
      </c>
      <c r="J128" s="11">
        <f>I128-H128*K128</f>
        <v>-2383.8457268119896</v>
      </c>
      <c r="K128" s="11">
        <f>I128-MIN(('Geometry'!$G$13*COS(RADIANS(F128))+'Geometry'!$F$13*SIN(RADIANS(F128))),('Geometry'!$G$14*COS(RADIANS(F128))+'Geometry'!$F$14*SIN(RADIANS(F128))),('Geometry'!$G$15*COS(RADIANS(F128))+'Geometry'!$F$15*SIN(RADIANS(F128))),('Geometry'!$G$16*COS(RADIANS(F128))+'Geometry'!$F$16*SIN(RADIANS(F128))),('Geometry'!$G$17*COS(RADIANS(F128))+'Geometry'!$F$17*SIN(RADIANS(F128))),('Geometry'!$G$18*COS(RADIANS(F128))+'Geometry'!$F$18*SIN(RADIANS(F128))),('Geometry'!$G$19*COS(RADIANS(F128))+'Geometry'!$F$19*SIN(RADIANS(F128))),('Geometry'!$G$20*COS(RADIANS(F128))+'Geometry'!$F$20*SIN(RADIANS(F128))))</f>
        <v>1589.2304845413264</v>
      </c>
      <c r="L128" s="16">
        <f>C_ecu</f>
        <v>0.0033</v>
      </c>
      <c r="M128" s="16">
        <f>0</f>
        <v>0</v>
      </c>
      <c r="N128" s="22">
        <f>IF(ABS(I128-J128)&lt;0.000000000001,0,(L128-M128)/(I128-J128))</f>
        <v>0.0000010382383273224289</v>
      </c>
      <c r="O128" s="16">
        <f>L128-N128*I128</f>
        <v>0.0024749999999999998</v>
      </c>
      <c r="P128" s="22">
        <f>N128*COS(RADIANS(F128))</f>
        <v>-8.991407666438866e-7</v>
      </c>
      <c r="Q128" s="22">
        <f>N128*SIN(RADIANS(F128))</f>
        <v>-5.191191636612146e-7</v>
      </c>
      <c r="R128" s="11">
        <f>AP128</f>
        <v>15282.054175314723</v>
      </c>
      <c r="S128" s="11">
        <f>AQ128</f>
        <v>-400.9788209536909</v>
      </c>
      <c r="T128" s="11">
        <f>AR128</f>
        <v>-327.8256970653799</v>
      </c>
      <c r="U128" s="11">
        <f>AS128</f>
        <v>2388.2914401685143</v>
      </c>
      <c r="V128" s="11">
        <f>AT128</f>
        <v>-128.91436022282554</v>
      </c>
      <c r="W128" s="11">
        <f>AU128</f>
        <v>-105.08772475070305</v>
      </c>
      <c r="X128" s="11">
        <f>AM128</f>
        <v>17670.345615483235</v>
      </c>
      <c r="Y128" s="11">
        <f>AN128</f>
        <v>-529.8931811765164</v>
      </c>
      <c r="Z128" s="11">
        <f>AO128</f>
        <v>-432.913421816083</v>
      </c>
      <c r="AA128" s="7">
        <v>1</v>
      </c>
      <c r="AB128" s="7">
        <v>1</v>
      </c>
      <c r="AC128" s="7">
        <v>1</v>
      </c>
      <c r="AD128" s="11">
        <f>X128*AA128</f>
        <v>17670.345615483235</v>
      </c>
      <c r="AE128" s="11">
        <f>Y128*AB128</f>
        <v>-529.8931811765164</v>
      </c>
      <c r="AF128" s="11">
        <f>Z128*AC128</f>
        <v>-432.913421816083</v>
      </c>
      <c r="AG128" s="7">
        <v>17670.345615483235</v>
      </c>
      <c r="AH128" s="7">
        <v>-529.8931811765164</v>
      </c>
      <c r="AI128" s="7">
        <v>-432.913421816083</v>
      </c>
      <c r="AJ128" s="16">
        <f>AD128-AG128</f>
        <v>0</v>
      </c>
      <c r="AK128" s="16">
        <f>SQRT((AE128-AH128)^2+(AF128-AI128)^2)</f>
        <v>0</v>
      </c>
      <c r="AL128" s="7" t="s">
        <v>190</v>
      </c>
      <c r="AM128" s="7">
        <v>17670.345615483235</v>
      </c>
      <c r="AN128" s="7">
        <v>-529.8931811765164</v>
      </c>
      <c r="AO128" s="7">
        <v>-432.913421816083</v>
      </c>
      <c r="AP128" s="7">
        <v>15282.054175314723</v>
      </c>
      <c r="AQ128" s="7">
        <v>-400.9788209536909</v>
      </c>
      <c r="AR128" s="7">
        <v>-327.8256970653799</v>
      </c>
      <c r="AS128" s="7">
        <v>2388.2914401685143</v>
      </c>
      <c r="AT128" s="7">
        <v>-128.91436022282554</v>
      </c>
      <c r="AU128" s="7">
        <v>-105.08772475070305</v>
      </c>
    </row>
    <row r="129" spans="1:47" x14ac:dyDescent="0.25">
      <c r="A129" s="7" t="s">
        <v>438</v>
      </c>
      <c r="B129" s="7">
        <v>3</v>
      </c>
      <c r="C129" s="19">
        <v>210</v>
      </c>
      <c r="D129" s="7" t="s">
        <v>439</v>
      </c>
      <c r="E129" s="7" t="s">
        <v>200</v>
      </c>
      <c r="F129" s="20">
        <v>209.99999999999997</v>
      </c>
      <c r="G129" s="7" t="s">
        <v>194</v>
      </c>
      <c r="H129" s="21">
        <v>1.5000000000000002</v>
      </c>
      <c r="I129" s="11">
        <f>MAX(('Geometry'!$G$13*COS(RADIANS(F129))+'Geometry'!$F$13*SIN(RADIANS(F129))),('Geometry'!$G$14*COS(RADIANS(F129))+'Geometry'!$F$14*SIN(RADIANS(F129))),('Geometry'!$G$15*COS(RADIANS(F129))+'Geometry'!$F$15*SIN(RADIANS(F129))),('Geometry'!$G$16*COS(RADIANS(F129))+'Geometry'!$F$16*SIN(RADIANS(F129))),('Geometry'!$G$17*COS(RADIANS(F129))+'Geometry'!$F$17*SIN(RADIANS(F129))),('Geometry'!$G$18*COS(RADIANS(F129))+'Geometry'!$F$18*SIN(RADIANS(F129))),('Geometry'!$G$19*COS(RADIANS(F129))+'Geometry'!$F$19*SIN(RADIANS(F129))),('Geometry'!$G$20*COS(RADIANS(F129))+'Geometry'!$F$20*SIN(RADIANS(F129))))</f>
        <v>794.6152422706631</v>
      </c>
      <c r="J129" s="11">
        <f>I129-H129*K129</f>
        <v>-1589.2304845413264</v>
      </c>
      <c r="K129" s="11">
        <f>I129-MIN(('Geometry'!$G$13*COS(RADIANS(F129))+'Geometry'!$F$13*SIN(RADIANS(F129))),('Geometry'!$G$14*COS(RADIANS(F129))+'Geometry'!$F$14*SIN(RADIANS(F129))),('Geometry'!$G$15*COS(RADIANS(F129))+'Geometry'!$F$15*SIN(RADIANS(F129))),('Geometry'!$G$16*COS(RADIANS(F129))+'Geometry'!$F$16*SIN(RADIANS(F129))),('Geometry'!$G$17*COS(RADIANS(F129))+'Geometry'!$F$17*SIN(RADIANS(F129))),('Geometry'!$G$18*COS(RADIANS(F129))+'Geometry'!$F$18*SIN(RADIANS(F129))),('Geometry'!$G$19*COS(RADIANS(F129))+'Geometry'!$F$19*SIN(RADIANS(F129))),('Geometry'!$G$20*COS(RADIANS(F129))+'Geometry'!$F$20*SIN(RADIANS(F129))))</f>
        <v>1589.2304845413262</v>
      </c>
      <c r="L129" s="16">
        <f>C_ecu</f>
        <v>0.0033</v>
      </c>
      <c r="M129" s="16">
        <f>0</f>
        <v>0</v>
      </c>
      <c r="N129" s="22">
        <f>IF(ABS(I129-J129)&lt;0.000000000001,0,(L129-M129)/(I129-J129))</f>
        <v>0.0000013843177697632387</v>
      </c>
      <c r="O129" s="16">
        <f>L129-N129*I129</f>
        <v>0.0022</v>
      </c>
      <c r="P129" s="22">
        <f>N129*COS(RADIANS(F129))</f>
        <v>-0.0000011988543555251822</v>
      </c>
      <c r="Q129" s="22">
        <f>N129*SIN(RADIANS(F129))</f>
        <v>-6.921588848816194e-7</v>
      </c>
      <c r="R129" s="11">
        <f>AP129</f>
        <v>15282.054175314723</v>
      </c>
      <c r="S129" s="11">
        <f>AQ129</f>
        <v>-601.4682314305363</v>
      </c>
      <c r="T129" s="11">
        <f>AR129</f>
        <v>-491.7385455980698</v>
      </c>
      <c r="U129" s="11">
        <f>AS129</f>
        <v>2388.2914401685143</v>
      </c>
      <c r="V129" s="11">
        <f>AT129</f>
        <v>-193.37154033423826</v>
      </c>
      <c r="W129" s="11">
        <f>AU129</f>
        <v>-157.63158712605457</v>
      </c>
      <c r="X129" s="11">
        <f>AM129</f>
        <v>17670.345615483235</v>
      </c>
      <c r="Y129" s="11">
        <f>AN129</f>
        <v>-794.8397717647745</v>
      </c>
      <c r="Z129" s="11">
        <f>AO129</f>
        <v>-649.3701327241245</v>
      </c>
      <c r="AA129" s="7">
        <v>1</v>
      </c>
      <c r="AB129" s="7">
        <v>1</v>
      </c>
      <c r="AC129" s="7">
        <v>1</v>
      </c>
      <c r="AD129" s="11">
        <f>X129*AA129</f>
        <v>17670.345615483235</v>
      </c>
      <c r="AE129" s="11">
        <f>Y129*AB129</f>
        <v>-794.8397717647745</v>
      </c>
      <c r="AF129" s="11">
        <f>Z129*AC129</f>
        <v>-649.3701327241245</v>
      </c>
      <c r="AG129" s="7">
        <v>17670.345615483235</v>
      </c>
      <c r="AH129" s="7">
        <v>-794.8397717647745</v>
      </c>
      <c r="AI129" s="7">
        <v>-649.3701327241245</v>
      </c>
      <c r="AJ129" s="16">
        <f>AD129-AG129</f>
        <v>0</v>
      </c>
      <c r="AK129" s="16">
        <f>SQRT((AE129-AH129)^2+(AF129-AI129)^2)</f>
        <v>0</v>
      </c>
      <c r="AL129" s="7" t="s">
        <v>190</v>
      </c>
      <c r="AM129" s="7">
        <v>17670.345615483235</v>
      </c>
      <c r="AN129" s="7">
        <v>-794.8397717647745</v>
      </c>
      <c r="AO129" s="7">
        <v>-649.3701327241245</v>
      </c>
      <c r="AP129" s="7">
        <v>15282.054175314723</v>
      </c>
      <c r="AQ129" s="7">
        <v>-601.4682314305363</v>
      </c>
      <c r="AR129" s="7">
        <v>-491.7385455980698</v>
      </c>
      <c r="AS129" s="7">
        <v>2388.2914401685143</v>
      </c>
      <c r="AT129" s="7">
        <v>-193.37154033423826</v>
      </c>
      <c r="AU129" s="7">
        <v>-157.63158712605457</v>
      </c>
    </row>
    <row r="130" spans="1:47" x14ac:dyDescent="0.25">
      <c r="A130" s="7" t="s">
        <v>440</v>
      </c>
      <c r="B130" s="7">
        <v>4</v>
      </c>
      <c r="C130" s="19">
        <v>210</v>
      </c>
      <c r="D130" s="7" t="s">
        <v>441</v>
      </c>
      <c r="E130" s="7" t="s">
        <v>203</v>
      </c>
      <c r="F130" s="20">
        <v>210.00000000000003</v>
      </c>
      <c r="G130" s="7" t="s">
        <v>194</v>
      </c>
      <c r="H130" s="21">
        <v>1.2</v>
      </c>
      <c r="I130" s="11">
        <f>MAX(('Geometry'!$G$13*COS(RADIANS(F130))+'Geometry'!$F$13*SIN(RADIANS(F130))),('Geometry'!$G$14*COS(RADIANS(F130))+'Geometry'!$F$14*SIN(RADIANS(F130))),('Geometry'!$G$15*COS(RADIANS(F130))+'Geometry'!$F$15*SIN(RADIANS(F130))),('Geometry'!$G$16*COS(RADIANS(F130))+'Geometry'!$F$16*SIN(RADIANS(F130))),('Geometry'!$G$17*COS(RADIANS(F130))+'Geometry'!$F$17*SIN(RADIANS(F130))),('Geometry'!$G$18*COS(RADIANS(F130))+'Geometry'!$F$18*SIN(RADIANS(F130))),('Geometry'!$G$19*COS(RADIANS(F130))+'Geometry'!$F$19*SIN(RADIANS(F130))),('Geometry'!$G$20*COS(RADIANS(F130))+'Geometry'!$F$20*SIN(RADIANS(F130))))</f>
        <v>794.6152422706632</v>
      </c>
      <c r="J130" s="11">
        <f>I130-H130*K130</f>
        <v>-1112.4613391789285</v>
      </c>
      <c r="K130" s="11">
        <f>I130-MIN(('Geometry'!$G$13*COS(RADIANS(F130))+'Geometry'!$F$13*SIN(RADIANS(F130))),('Geometry'!$G$14*COS(RADIANS(F130))+'Geometry'!$F$14*SIN(RADIANS(F130))),('Geometry'!$G$15*COS(RADIANS(F130))+'Geometry'!$F$15*SIN(RADIANS(F130))),('Geometry'!$G$16*COS(RADIANS(F130))+'Geometry'!$F$16*SIN(RADIANS(F130))),('Geometry'!$G$17*COS(RADIANS(F130))+'Geometry'!$F$17*SIN(RADIANS(F130))),('Geometry'!$G$18*COS(RADIANS(F130))+'Geometry'!$F$18*SIN(RADIANS(F130))),('Geometry'!$G$19*COS(RADIANS(F130))+'Geometry'!$F$19*SIN(RADIANS(F130))),('Geometry'!$G$20*COS(RADIANS(F130))+'Geometry'!$F$20*SIN(RADIANS(F130))))</f>
        <v>1589.2304845413264</v>
      </c>
      <c r="L130" s="16">
        <f>C_ecu</f>
        <v>0.0033</v>
      </c>
      <c r="M130" s="16">
        <f>0</f>
        <v>0</v>
      </c>
      <c r="N130" s="22">
        <f>IF(ABS(I130-J130)&lt;0.000000000001,0,(L130-M130)/(I130-J130))</f>
        <v>0.0000017303972122040484</v>
      </c>
      <c r="O130" s="16">
        <f>L130-N130*I130</f>
        <v>0.001925</v>
      </c>
      <c r="P130" s="22">
        <f>N130*COS(RADIANS(F130))</f>
        <v>-0.0000014985679444064777</v>
      </c>
      <c r="Q130" s="22">
        <f>N130*SIN(RADIANS(F130))</f>
        <v>-8.651986061020243e-7</v>
      </c>
      <c r="R130" s="11">
        <f>AP130</f>
        <v>15282.054175314723</v>
      </c>
      <c r="S130" s="11">
        <f>AQ130</f>
        <v>-801.9576419073818</v>
      </c>
      <c r="T130" s="11">
        <f>AR130</f>
        <v>-655.6513941307599</v>
      </c>
      <c r="U130" s="11">
        <f>AS130</f>
        <v>2388.2914401685143</v>
      </c>
      <c r="V130" s="11">
        <f>AT130</f>
        <v>-257.8287204456511</v>
      </c>
      <c r="W130" s="11">
        <f>AU130</f>
        <v>-210.1754495014061</v>
      </c>
      <c r="X130" s="11">
        <f>AM130</f>
        <v>17670.345615483235</v>
      </c>
      <c r="Y130" s="11">
        <f>AN130</f>
        <v>-1059.7863623530327</v>
      </c>
      <c r="Z130" s="11">
        <f>AO130</f>
        <v>-865.826843632166</v>
      </c>
      <c r="AA130" s="7">
        <v>1</v>
      </c>
      <c r="AB130" s="7">
        <v>1</v>
      </c>
      <c r="AC130" s="7">
        <v>1</v>
      </c>
      <c r="AD130" s="11">
        <f>X130*AA130</f>
        <v>17670.345615483235</v>
      </c>
      <c r="AE130" s="11">
        <f>Y130*AB130</f>
        <v>-1059.7863623530327</v>
      </c>
      <c r="AF130" s="11">
        <f>Z130*AC130</f>
        <v>-865.826843632166</v>
      </c>
      <c r="AG130" s="7">
        <v>17670.345615483235</v>
      </c>
      <c r="AH130" s="7">
        <v>-1059.7863623530327</v>
      </c>
      <c r="AI130" s="7">
        <v>-865.826843632166</v>
      </c>
      <c r="AJ130" s="16">
        <f>AD130-AG130</f>
        <v>0</v>
      </c>
      <c r="AK130" s="16">
        <f>SQRT((AE130-AH130)^2+(AF130-AI130)^2)</f>
        <v>0</v>
      </c>
      <c r="AL130" s="7" t="s">
        <v>190</v>
      </c>
      <c r="AM130" s="7">
        <v>17670.345615483235</v>
      </c>
      <c r="AN130" s="7">
        <v>-1059.7863623530327</v>
      </c>
      <c r="AO130" s="7">
        <v>-865.826843632166</v>
      </c>
      <c r="AP130" s="7">
        <v>15282.054175314723</v>
      </c>
      <c r="AQ130" s="7">
        <v>-801.9576419073818</v>
      </c>
      <c r="AR130" s="7">
        <v>-655.6513941307599</v>
      </c>
      <c r="AS130" s="7">
        <v>2388.2914401685143</v>
      </c>
      <c r="AT130" s="7">
        <v>-257.8287204456511</v>
      </c>
      <c r="AU130" s="7">
        <v>-210.1754495014061</v>
      </c>
    </row>
    <row r="131" spans="1:47" x14ac:dyDescent="0.25">
      <c r="A131" s="7" t="s">
        <v>442</v>
      </c>
      <c r="B131" s="7">
        <v>5</v>
      </c>
      <c r="C131" s="19">
        <v>210</v>
      </c>
      <c r="D131" s="7" t="s">
        <v>443</v>
      </c>
      <c r="E131" s="7" t="s">
        <v>206</v>
      </c>
      <c r="F131" s="20">
        <v>210.00000000000003</v>
      </c>
      <c r="G131" s="7" t="s">
        <v>194</v>
      </c>
      <c r="H131" s="21">
        <v>1.1</v>
      </c>
      <c r="I131" s="11">
        <f>MAX(('Geometry'!$G$13*COS(RADIANS(F131))+'Geometry'!$F$13*SIN(RADIANS(F131))),('Geometry'!$G$14*COS(RADIANS(F131))+'Geometry'!$F$14*SIN(RADIANS(F131))),('Geometry'!$G$15*COS(RADIANS(F131))+'Geometry'!$F$15*SIN(RADIANS(F131))),('Geometry'!$G$16*COS(RADIANS(F131))+'Geometry'!$F$16*SIN(RADIANS(F131))),('Geometry'!$G$17*COS(RADIANS(F131))+'Geometry'!$F$17*SIN(RADIANS(F131))),('Geometry'!$G$18*COS(RADIANS(F131))+'Geometry'!$F$18*SIN(RADIANS(F131))),('Geometry'!$G$19*COS(RADIANS(F131))+'Geometry'!$F$19*SIN(RADIANS(F131))),('Geometry'!$G$20*COS(RADIANS(F131))+'Geometry'!$F$20*SIN(RADIANS(F131))))</f>
        <v>794.6152422706632</v>
      </c>
      <c r="J131" s="11">
        <f>I131-H131*K131</f>
        <v>-953.5382907247961</v>
      </c>
      <c r="K131" s="11">
        <f>I131-MIN(('Geometry'!$G$13*COS(RADIANS(F131))+'Geometry'!$F$13*SIN(RADIANS(F131))),('Geometry'!$G$14*COS(RADIANS(F131))+'Geometry'!$F$14*SIN(RADIANS(F131))),('Geometry'!$G$15*COS(RADIANS(F131))+'Geometry'!$F$15*SIN(RADIANS(F131))),('Geometry'!$G$16*COS(RADIANS(F131))+'Geometry'!$F$16*SIN(RADIANS(F131))),('Geometry'!$G$17*COS(RADIANS(F131))+'Geometry'!$F$17*SIN(RADIANS(F131))),('Geometry'!$G$18*COS(RADIANS(F131))+'Geometry'!$F$18*SIN(RADIANS(F131))),('Geometry'!$G$19*COS(RADIANS(F131))+'Geometry'!$F$19*SIN(RADIANS(F131))),('Geometry'!$G$20*COS(RADIANS(F131))+'Geometry'!$F$20*SIN(RADIANS(F131))))</f>
        <v>1589.2304845413264</v>
      </c>
      <c r="L131" s="16">
        <f>C_ecu</f>
        <v>0.0033</v>
      </c>
      <c r="M131" s="16">
        <f>0</f>
        <v>0</v>
      </c>
      <c r="N131" s="22">
        <f>IF(ABS(I131-J131)&lt;0.000000000001,0,(L131-M131)/(I131-J131))</f>
        <v>0.0000018877060496771433</v>
      </c>
      <c r="O131" s="16">
        <f>L131-N131*I131</f>
        <v>0.0018000000000000002</v>
      </c>
      <c r="P131" s="22">
        <f>N131*COS(RADIANS(F131))</f>
        <v>-0.0000016348013938979755</v>
      </c>
      <c r="Q131" s="22">
        <f>N131*SIN(RADIANS(F131))</f>
        <v>-9.438530248385719e-7</v>
      </c>
      <c r="R131" s="11">
        <f>AP131</f>
        <v>15282.054175314723</v>
      </c>
      <c r="S131" s="11">
        <f>AQ131</f>
        <v>-1002.4470523842272</v>
      </c>
      <c r="T131" s="11">
        <f>AR131</f>
        <v>-819.5642426634496</v>
      </c>
      <c r="U131" s="11">
        <f>AS131</f>
        <v>2388.2914401685143</v>
      </c>
      <c r="V131" s="11">
        <f>AT131</f>
        <v>-322.28590055706377</v>
      </c>
      <c r="W131" s="11">
        <f>AU131</f>
        <v>-262.7193118767576</v>
      </c>
      <c r="X131" s="11">
        <f>AM131</f>
        <v>17670.345615483235</v>
      </c>
      <c r="Y131" s="11">
        <f>AN131</f>
        <v>-1324.7329529412907</v>
      </c>
      <c r="Z131" s="11">
        <f>AO131</f>
        <v>-1082.2835545402074</v>
      </c>
      <c r="AA131" s="7">
        <v>1</v>
      </c>
      <c r="AB131" s="7">
        <v>1</v>
      </c>
      <c r="AC131" s="7">
        <v>1</v>
      </c>
      <c r="AD131" s="11">
        <f>X131*AA131</f>
        <v>17670.345615483235</v>
      </c>
      <c r="AE131" s="11">
        <f>Y131*AB131</f>
        <v>-1324.7329529412907</v>
      </c>
      <c r="AF131" s="11">
        <f>Z131*AC131</f>
        <v>-1082.2835545402074</v>
      </c>
      <c r="AG131" s="7">
        <v>17670.345615483235</v>
      </c>
      <c r="AH131" s="7">
        <v>-1324.7329529412907</v>
      </c>
      <c r="AI131" s="7">
        <v>-1082.2835545402074</v>
      </c>
      <c r="AJ131" s="16">
        <f>AD131-AG131</f>
        <v>0</v>
      </c>
      <c r="AK131" s="16">
        <f>SQRT((AE131-AH131)^2+(AF131-AI131)^2)</f>
        <v>0</v>
      </c>
      <c r="AL131" s="7" t="s">
        <v>190</v>
      </c>
      <c r="AM131" s="7">
        <v>17670.345615483235</v>
      </c>
      <c r="AN131" s="7">
        <v>-1324.7329529412907</v>
      </c>
      <c r="AO131" s="7">
        <v>-1082.2835545402074</v>
      </c>
      <c r="AP131" s="7">
        <v>15282.054175314723</v>
      </c>
      <c r="AQ131" s="7">
        <v>-1002.4470523842272</v>
      </c>
      <c r="AR131" s="7">
        <v>-819.5642426634496</v>
      </c>
      <c r="AS131" s="7">
        <v>2388.2914401685143</v>
      </c>
      <c r="AT131" s="7">
        <v>-322.28590055706377</v>
      </c>
      <c r="AU131" s="7">
        <v>-262.7193118767576</v>
      </c>
    </row>
    <row r="132" spans="1:47" x14ac:dyDescent="0.25">
      <c r="A132" s="7" t="s">
        <v>444</v>
      </c>
      <c r="B132" s="7">
        <v>6</v>
      </c>
      <c r="C132" s="19">
        <v>210</v>
      </c>
      <c r="D132" s="7" t="s">
        <v>445</v>
      </c>
      <c r="E132" s="7" t="s">
        <v>229</v>
      </c>
      <c r="F132" s="20">
        <v>210.00000000000003</v>
      </c>
      <c r="G132" s="7" t="s">
        <v>194</v>
      </c>
      <c r="H132" s="21">
        <v>1</v>
      </c>
      <c r="I132" s="11">
        <f>MAX(('Geometry'!$G$13*COS(RADIANS(F132))+'Geometry'!$F$13*SIN(RADIANS(F132))),('Geometry'!$G$14*COS(RADIANS(F132))+'Geometry'!$F$14*SIN(RADIANS(F132))),('Geometry'!$G$15*COS(RADIANS(F132))+'Geometry'!$F$15*SIN(RADIANS(F132))),('Geometry'!$G$16*COS(RADIANS(F132))+'Geometry'!$F$16*SIN(RADIANS(F132))),('Geometry'!$G$17*COS(RADIANS(F132))+'Geometry'!$F$17*SIN(RADIANS(F132))),('Geometry'!$G$18*COS(RADIANS(F132))+'Geometry'!$F$18*SIN(RADIANS(F132))),('Geometry'!$G$19*COS(RADIANS(F132))+'Geometry'!$F$19*SIN(RADIANS(F132))),('Geometry'!$G$20*COS(RADIANS(F132))+'Geometry'!$F$20*SIN(RADIANS(F132))))</f>
        <v>794.6152422706632</v>
      </c>
      <c r="J132" s="11">
        <f>I132-H132*K132</f>
        <v>-794.6152422706632</v>
      </c>
      <c r="K132" s="11">
        <f>I132-MIN(('Geometry'!$G$13*COS(RADIANS(F132))+'Geometry'!$F$13*SIN(RADIANS(F132))),('Geometry'!$G$14*COS(RADIANS(F132))+'Geometry'!$F$14*SIN(RADIANS(F132))),('Geometry'!$G$15*COS(RADIANS(F132))+'Geometry'!$F$15*SIN(RADIANS(F132))),('Geometry'!$G$16*COS(RADIANS(F132))+'Geometry'!$F$16*SIN(RADIANS(F132))),('Geometry'!$G$17*COS(RADIANS(F132))+'Geometry'!$F$17*SIN(RADIANS(F132))),('Geometry'!$G$18*COS(RADIANS(F132))+'Geometry'!$F$18*SIN(RADIANS(F132))),('Geometry'!$G$19*COS(RADIANS(F132))+'Geometry'!$F$19*SIN(RADIANS(F132))),('Geometry'!$G$20*COS(RADIANS(F132))+'Geometry'!$F$20*SIN(RADIANS(F132))))</f>
        <v>1589.2304845413264</v>
      </c>
      <c r="L132" s="16">
        <f>C_ecu</f>
        <v>0.0033</v>
      </c>
      <c r="M132" s="16">
        <f>0</f>
        <v>0</v>
      </c>
      <c r="N132" s="22">
        <f>IF(ABS(I132-J132)&lt;0.000000000001,0,(L132-M132)/(I132-J132))</f>
        <v>0.0000020764766546448578</v>
      </c>
      <c r="O132" s="16">
        <f>L132-N132*I132</f>
        <v>0.00165</v>
      </c>
      <c r="P132" s="22">
        <f>N132*COS(RADIANS(F132))</f>
        <v>-0.0000017982815332877731</v>
      </c>
      <c r="Q132" s="22">
        <f>N132*SIN(RADIANS(F132))</f>
        <v>-0.000001038238327322429</v>
      </c>
      <c r="R132" s="11">
        <f>AP132</f>
        <v>15282.054175314723</v>
      </c>
      <c r="S132" s="11">
        <f>AQ132</f>
        <v>-1202.9364628610726</v>
      </c>
      <c r="T132" s="11">
        <f>AR132</f>
        <v>-983.4770911961396</v>
      </c>
      <c r="U132" s="11">
        <f>AS132</f>
        <v>2388.2914401685143</v>
      </c>
      <c r="V132" s="11">
        <f>AT132</f>
        <v>-386.7430806684765</v>
      </c>
      <c r="W132" s="11">
        <f>AU132</f>
        <v>-315.26317425210914</v>
      </c>
      <c r="X132" s="11">
        <f>AM132</f>
        <v>17670.345615483235</v>
      </c>
      <c r="Y132" s="11">
        <f>AN132</f>
        <v>-1589.679543529549</v>
      </c>
      <c r="Z132" s="11">
        <f>AO132</f>
        <v>-1298.740265448249</v>
      </c>
      <c r="AA132" s="7">
        <v>1</v>
      </c>
      <c r="AB132" s="7">
        <v>1</v>
      </c>
      <c r="AC132" s="7">
        <v>1</v>
      </c>
      <c r="AD132" s="11">
        <f>X132*AA132</f>
        <v>17670.345615483235</v>
      </c>
      <c r="AE132" s="11">
        <f>Y132*AB132</f>
        <v>-1589.679543529549</v>
      </c>
      <c r="AF132" s="11">
        <f>Z132*AC132</f>
        <v>-1298.740265448249</v>
      </c>
      <c r="AG132" s="7">
        <v>17670.345615483235</v>
      </c>
      <c r="AH132" s="7">
        <v>-1589.679543529549</v>
      </c>
      <c r="AI132" s="7">
        <v>-1298.740265448249</v>
      </c>
      <c r="AJ132" s="16">
        <f>AD132-AG132</f>
        <v>0</v>
      </c>
      <c r="AK132" s="16">
        <f>SQRT((AE132-AH132)^2+(AF132-AI132)^2)</f>
        <v>0</v>
      </c>
      <c r="AL132" s="7" t="s">
        <v>190</v>
      </c>
      <c r="AM132" s="7">
        <v>17670.345615483235</v>
      </c>
      <c r="AN132" s="7">
        <v>-1589.679543529549</v>
      </c>
      <c r="AO132" s="7">
        <v>-1298.740265448249</v>
      </c>
      <c r="AP132" s="7">
        <v>15282.054175314723</v>
      </c>
      <c r="AQ132" s="7">
        <v>-1202.9364628610726</v>
      </c>
      <c r="AR132" s="7">
        <v>-983.4770911961396</v>
      </c>
      <c r="AS132" s="7">
        <v>2388.2914401685143</v>
      </c>
      <c r="AT132" s="7">
        <v>-386.7430806684765</v>
      </c>
      <c r="AU132" s="7">
        <v>-315.26317425210914</v>
      </c>
    </row>
    <row r="133" spans="1:47" x14ac:dyDescent="0.25">
      <c r="A133" s="7" t="s">
        <v>446</v>
      </c>
      <c r="B133" s="7">
        <v>1</v>
      </c>
      <c r="C133" s="19">
        <v>220</v>
      </c>
      <c r="D133" s="7" t="s">
        <v>447</v>
      </c>
      <c r="E133" s="7" t="s">
        <v>193</v>
      </c>
      <c r="F133" s="20">
        <v>219.99999999999994</v>
      </c>
      <c r="G133" s="7" t="s">
        <v>194</v>
      </c>
      <c r="H133" s="21">
        <v>3.000000000000001</v>
      </c>
      <c r="I133" s="11">
        <f>MAX(('Geometry'!$G$13*COS(RADIANS(F133))+'Geometry'!$F$13*SIN(RADIANS(F133))),('Geometry'!$G$14*COS(RADIANS(F133))+'Geometry'!$F$14*SIN(RADIANS(F133))),('Geometry'!$G$15*COS(RADIANS(F133))+'Geometry'!$F$15*SIN(RADIANS(F133))),('Geometry'!$G$16*COS(RADIANS(F133))+'Geometry'!$F$16*SIN(RADIANS(F133))),('Geometry'!$G$17*COS(RADIANS(F133))+'Geometry'!$F$17*SIN(RADIANS(F133))),('Geometry'!$G$18*COS(RADIANS(F133))+'Geometry'!$F$18*SIN(RADIANS(F133))),('Geometry'!$G$19*COS(RADIANS(F133))+'Geometry'!$F$19*SIN(RADIANS(F133))),('Geometry'!$G$20*COS(RADIANS(F133))+'Geometry'!$F$20*SIN(RADIANS(F133))))</f>
        <v>813.1598511989833</v>
      </c>
      <c r="J133" s="11">
        <f>I133-H133*K133</f>
        <v>-4065.7992559949175</v>
      </c>
      <c r="K133" s="11">
        <f>I133-MIN(('Geometry'!$G$13*COS(RADIANS(F133))+'Geometry'!$F$13*SIN(RADIANS(F133))),('Geometry'!$G$14*COS(RADIANS(F133))+'Geometry'!$F$14*SIN(RADIANS(F133))),('Geometry'!$G$15*COS(RADIANS(F133))+'Geometry'!$F$15*SIN(RADIANS(F133))),('Geometry'!$G$16*COS(RADIANS(F133))+'Geometry'!$F$16*SIN(RADIANS(F133))),('Geometry'!$G$17*COS(RADIANS(F133))+'Geometry'!$F$17*SIN(RADIANS(F133))),('Geometry'!$G$18*COS(RADIANS(F133))+'Geometry'!$F$18*SIN(RADIANS(F133))),('Geometry'!$G$19*COS(RADIANS(F133))+'Geometry'!$F$19*SIN(RADIANS(F133))),('Geometry'!$G$20*COS(RADIANS(F133))+'Geometry'!$F$20*SIN(RADIANS(F133))))</f>
        <v>1626.3197023979667</v>
      </c>
      <c r="L133" s="16">
        <f>C_ecu</f>
        <v>0.0033</v>
      </c>
      <c r="M133" s="16">
        <f>0</f>
        <v>0</v>
      </c>
      <c r="N133" s="22">
        <f>IF(ABS(I133-J133)&lt;0.000000000001,0,(L133-M133)/(I133-J133))</f>
        <v>6.763737771719041e-7</v>
      </c>
      <c r="O133" s="16">
        <f>L133-N133*I133</f>
        <v>0.00275</v>
      </c>
      <c r="P133" s="22">
        <f>N133*COS(RADIANS(F133))</f>
        <v>-5.181323734739312e-7</v>
      </c>
      <c r="Q133" s="22">
        <f>N133*SIN(RADIANS(F133))</f>
        <v>-4.3476468348298396e-7</v>
      </c>
      <c r="R133" s="11">
        <f>AP133</f>
        <v>15280.23649877504</v>
      </c>
      <c r="S133" s="11">
        <f>AQ133</f>
        <v>-177.1664342608735</v>
      </c>
      <c r="T133" s="11">
        <f>AR133</f>
        <v>-203.47258915346438</v>
      </c>
      <c r="U133" s="11">
        <f>AS133</f>
        <v>2390.1091167081927</v>
      </c>
      <c r="V133" s="11">
        <f>AT133</f>
        <v>-56.5876527158537</v>
      </c>
      <c r="W133" s="11">
        <f>AU133</f>
        <v>-65.06431870924268</v>
      </c>
      <c r="X133" s="11">
        <f>AM133</f>
        <v>17670.345615483235</v>
      </c>
      <c r="Y133" s="11">
        <f>AN133</f>
        <v>-233.7540869767272</v>
      </c>
      <c r="Z133" s="11">
        <f>AO133</f>
        <v>-268.53690786270704</v>
      </c>
      <c r="AA133" s="7">
        <v>1</v>
      </c>
      <c r="AB133" s="7">
        <v>1</v>
      </c>
      <c r="AC133" s="7">
        <v>1</v>
      </c>
      <c r="AD133" s="11">
        <f>X133*AA133</f>
        <v>17670.345615483235</v>
      </c>
      <c r="AE133" s="11">
        <f>Y133*AB133</f>
        <v>-233.7540869767272</v>
      </c>
      <c r="AF133" s="11">
        <f>Z133*AC133</f>
        <v>-268.53690786270704</v>
      </c>
      <c r="AG133" s="7">
        <v>17670.345615483235</v>
      </c>
      <c r="AH133" s="7">
        <v>-233.7540869767272</v>
      </c>
      <c r="AI133" s="7">
        <v>-268.53690786270704</v>
      </c>
      <c r="AJ133" s="16">
        <f>AD133-AG133</f>
        <v>0</v>
      </c>
      <c r="AK133" s="16">
        <f>SQRT((AE133-AH133)^2+(AF133-AI133)^2)</f>
        <v>0</v>
      </c>
      <c r="AL133" s="7" t="s">
        <v>190</v>
      </c>
      <c r="AM133" s="7">
        <v>17670.345615483235</v>
      </c>
      <c r="AN133" s="7">
        <v>-233.7540869767272</v>
      </c>
      <c r="AO133" s="7">
        <v>-268.53690786270704</v>
      </c>
      <c r="AP133" s="7">
        <v>15280.23649877504</v>
      </c>
      <c r="AQ133" s="7">
        <v>-177.1664342608735</v>
      </c>
      <c r="AR133" s="7">
        <v>-203.47258915346438</v>
      </c>
      <c r="AS133" s="7">
        <v>2390.1091167081927</v>
      </c>
      <c r="AT133" s="7">
        <v>-56.5876527158537</v>
      </c>
      <c r="AU133" s="7">
        <v>-65.06431870924268</v>
      </c>
    </row>
    <row r="134" spans="1:47" x14ac:dyDescent="0.25">
      <c r="A134" s="7" t="s">
        <v>448</v>
      </c>
      <c r="B134" s="7">
        <v>2</v>
      </c>
      <c r="C134" s="19">
        <v>220</v>
      </c>
      <c r="D134" s="7" t="s">
        <v>449</v>
      </c>
      <c r="E134" s="7" t="s">
        <v>197</v>
      </c>
      <c r="F134" s="20">
        <v>219.99999999999994</v>
      </c>
      <c r="G134" s="7" t="s">
        <v>194</v>
      </c>
      <c r="H134" s="21">
        <v>2.0000000000000004</v>
      </c>
      <c r="I134" s="11">
        <f>MAX(('Geometry'!$G$13*COS(RADIANS(F134))+'Geometry'!$F$13*SIN(RADIANS(F134))),('Geometry'!$G$14*COS(RADIANS(F134))+'Geometry'!$F$14*SIN(RADIANS(F134))),('Geometry'!$G$15*COS(RADIANS(F134))+'Geometry'!$F$15*SIN(RADIANS(F134))),('Geometry'!$G$16*COS(RADIANS(F134))+'Geometry'!$F$16*SIN(RADIANS(F134))),('Geometry'!$G$17*COS(RADIANS(F134))+'Geometry'!$F$17*SIN(RADIANS(F134))),('Geometry'!$G$18*COS(RADIANS(F134))+'Geometry'!$F$18*SIN(RADIANS(F134))),('Geometry'!$G$19*COS(RADIANS(F134))+'Geometry'!$F$19*SIN(RADIANS(F134))),('Geometry'!$G$20*COS(RADIANS(F134))+'Geometry'!$F$20*SIN(RADIANS(F134))))</f>
        <v>813.1598511989833</v>
      </c>
      <c r="J134" s="11">
        <f>I134-H134*K134</f>
        <v>-2439.4795535969506</v>
      </c>
      <c r="K134" s="11">
        <f>I134-MIN(('Geometry'!$G$13*COS(RADIANS(F134))+'Geometry'!$F$13*SIN(RADIANS(F134))),('Geometry'!$G$14*COS(RADIANS(F134))+'Geometry'!$F$14*SIN(RADIANS(F134))),('Geometry'!$G$15*COS(RADIANS(F134))+'Geometry'!$F$15*SIN(RADIANS(F134))),('Geometry'!$G$16*COS(RADIANS(F134))+'Geometry'!$F$16*SIN(RADIANS(F134))),('Geometry'!$G$17*COS(RADIANS(F134))+'Geometry'!$F$17*SIN(RADIANS(F134))),('Geometry'!$G$18*COS(RADIANS(F134))+'Geometry'!$F$18*SIN(RADIANS(F134))),('Geometry'!$G$19*COS(RADIANS(F134))+'Geometry'!$F$19*SIN(RADIANS(F134))),('Geometry'!$G$20*COS(RADIANS(F134))+'Geometry'!$F$20*SIN(RADIANS(F134))))</f>
        <v>1626.3197023979667</v>
      </c>
      <c r="L134" s="16">
        <f>C_ecu</f>
        <v>0.0033</v>
      </c>
      <c r="M134" s="16">
        <f>0</f>
        <v>0</v>
      </c>
      <c r="N134" s="22">
        <f>IF(ABS(I134-J134)&lt;0.000000000001,0,(L134-M134)/(I134-J134))</f>
        <v>0.0000010145606657578562</v>
      </c>
      <c r="O134" s="16">
        <f>L134-N134*I134</f>
        <v>0.002475</v>
      </c>
      <c r="P134" s="22">
        <f>N134*COS(RADIANS(F134))</f>
        <v>-7.771985602108968e-7</v>
      </c>
      <c r="Q134" s="22">
        <f>N134*SIN(RADIANS(F134))</f>
        <v>-6.521470252244759e-7</v>
      </c>
      <c r="R134" s="11">
        <f>AP134</f>
        <v>15280.23649877504</v>
      </c>
      <c r="S134" s="11">
        <f>AQ134</f>
        <v>-354.332868521747</v>
      </c>
      <c r="T134" s="11">
        <f>AR134</f>
        <v>-406.94517830692877</v>
      </c>
      <c r="U134" s="11">
        <f>AS134</f>
        <v>2390.1091167081927</v>
      </c>
      <c r="V134" s="11">
        <f>AT134</f>
        <v>-113.1753054317074</v>
      </c>
      <c r="W134" s="11">
        <f>AU134</f>
        <v>-130.12863741848537</v>
      </c>
      <c r="X134" s="11">
        <f>AM134</f>
        <v>17670.345615483235</v>
      </c>
      <c r="Y134" s="11">
        <f>AN134</f>
        <v>-467.5081739534544</v>
      </c>
      <c r="Z134" s="11">
        <f>AO134</f>
        <v>-537.0738157254141</v>
      </c>
      <c r="AA134" s="7">
        <v>1</v>
      </c>
      <c r="AB134" s="7">
        <v>1</v>
      </c>
      <c r="AC134" s="7">
        <v>1</v>
      </c>
      <c r="AD134" s="11">
        <f>X134*AA134</f>
        <v>17670.345615483235</v>
      </c>
      <c r="AE134" s="11">
        <f>Y134*AB134</f>
        <v>-467.5081739534544</v>
      </c>
      <c r="AF134" s="11">
        <f>Z134*AC134</f>
        <v>-537.0738157254141</v>
      </c>
      <c r="AG134" s="7">
        <v>17670.345615483235</v>
      </c>
      <c r="AH134" s="7">
        <v>-467.5081739534544</v>
      </c>
      <c r="AI134" s="7">
        <v>-537.0738157254141</v>
      </c>
      <c r="AJ134" s="16">
        <f>AD134-AG134</f>
        <v>0</v>
      </c>
      <c r="AK134" s="16">
        <f>SQRT((AE134-AH134)^2+(AF134-AI134)^2)</f>
        <v>0</v>
      </c>
      <c r="AL134" s="7" t="s">
        <v>190</v>
      </c>
      <c r="AM134" s="7">
        <v>17670.345615483235</v>
      </c>
      <c r="AN134" s="7">
        <v>-467.5081739534544</v>
      </c>
      <c r="AO134" s="7">
        <v>-537.0738157254141</v>
      </c>
      <c r="AP134" s="7">
        <v>15280.23649877504</v>
      </c>
      <c r="AQ134" s="7">
        <v>-354.332868521747</v>
      </c>
      <c r="AR134" s="7">
        <v>-406.94517830692877</v>
      </c>
      <c r="AS134" s="7">
        <v>2390.1091167081927</v>
      </c>
      <c r="AT134" s="7">
        <v>-113.1753054317074</v>
      </c>
      <c r="AU134" s="7">
        <v>-130.12863741848537</v>
      </c>
    </row>
    <row r="135" spans="1:47" x14ac:dyDescent="0.25">
      <c r="A135" s="7" t="s">
        <v>450</v>
      </c>
      <c r="B135" s="7">
        <v>3</v>
      </c>
      <c r="C135" s="19">
        <v>220</v>
      </c>
      <c r="D135" s="7" t="s">
        <v>451</v>
      </c>
      <c r="E135" s="7" t="s">
        <v>200</v>
      </c>
      <c r="F135" s="20">
        <v>219.99999999999994</v>
      </c>
      <c r="G135" s="7" t="s">
        <v>194</v>
      </c>
      <c r="H135" s="21">
        <v>1.5000000000000004</v>
      </c>
      <c r="I135" s="11">
        <f>MAX(('Geometry'!$G$13*COS(RADIANS(F135))+'Geometry'!$F$13*SIN(RADIANS(F135))),('Geometry'!$G$14*COS(RADIANS(F135))+'Geometry'!$F$14*SIN(RADIANS(F135))),('Geometry'!$G$15*COS(RADIANS(F135))+'Geometry'!$F$15*SIN(RADIANS(F135))),('Geometry'!$G$16*COS(RADIANS(F135))+'Geometry'!$F$16*SIN(RADIANS(F135))),('Geometry'!$G$17*COS(RADIANS(F135))+'Geometry'!$F$17*SIN(RADIANS(F135))),('Geometry'!$G$18*COS(RADIANS(F135))+'Geometry'!$F$18*SIN(RADIANS(F135))),('Geometry'!$G$19*COS(RADIANS(F135))+'Geometry'!$F$19*SIN(RADIANS(F135))),('Geometry'!$G$20*COS(RADIANS(F135))+'Geometry'!$F$20*SIN(RADIANS(F135))))</f>
        <v>813.1598511989833</v>
      </c>
      <c r="J135" s="11">
        <f>I135-H135*K135</f>
        <v>-1626.3197023979671</v>
      </c>
      <c r="K135" s="11">
        <f>I135-MIN(('Geometry'!$G$13*COS(RADIANS(F135))+'Geometry'!$F$13*SIN(RADIANS(F135))),('Geometry'!$G$14*COS(RADIANS(F135))+'Geometry'!$F$14*SIN(RADIANS(F135))),('Geometry'!$G$15*COS(RADIANS(F135))+'Geometry'!$F$15*SIN(RADIANS(F135))),('Geometry'!$G$16*COS(RADIANS(F135))+'Geometry'!$F$16*SIN(RADIANS(F135))),('Geometry'!$G$17*COS(RADIANS(F135))+'Geometry'!$F$17*SIN(RADIANS(F135))),('Geometry'!$G$18*COS(RADIANS(F135))+'Geometry'!$F$18*SIN(RADIANS(F135))),('Geometry'!$G$19*COS(RADIANS(F135))+'Geometry'!$F$19*SIN(RADIANS(F135))),('Geometry'!$G$20*COS(RADIANS(F135))+'Geometry'!$F$20*SIN(RADIANS(F135))))</f>
        <v>1626.3197023979667</v>
      </c>
      <c r="L135" s="16">
        <f>C_ecu</f>
        <v>0.0033</v>
      </c>
      <c r="M135" s="16">
        <f>0</f>
        <v>0</v>
      </c>
      <c r="N135" s="22">
        <f>IF(ABS(I135-J135)&lt;0.000000000001,0,(L135-M135)/(I135-J135))</f>
        <v>0.0000013527475543438082</v>
      </c>
      <c r="O135" s="16">
        <f>L135-N135*I135</f>
        <v>0.0022</v>
      </c>
      <c r="P135" s="22">
        <f>N135*COS(RADIANS(F135))</f>
        <v>-0.0000010362647469478624</v>
      </c>
      <c r="Q135" s="22">
        <f>N135*SIN(RADIANS(F135))</f>
        <v>-8.695293669659679e-7</v>
      </c>
      <c r="R135" s="11">
        <f>AP135</f>
        <v>15280.23649877504</v>
      </c>
      <c r="S135" s="11">
        <f>AQ135</f>
        <v>-531.4993027826205</v>
      </c>
      <c r="T135" s="11">
        <f>AR135</f>
        <v>-610.4177674603932</v>
      </c>
      <c r="U135" s="11">
        <f>AS135</f>
        <v>2390.1091167081927</v>
      </c>
      <c r="V135" s="11">
        <f>AT135</f>
        <v>-169.76295814756108</v>
      </c>
      <c r="W135" s="11">
        <f>AU135</f>
        <v>-195.19295612772802</v>
      </c>
      <c r="X135" s="11">
        <f>AM135</f>
        <v>17670.345615483235</v>
      </c>
      <c r="Y135" s="11">
        <f>AN135</f>
        <v>-701.2622609301815</v>
      </c>
      <c r="Z135" s="11">
        <f>AO135</f>
        <v>-805.610723588121</v>
      </c>
      <c r="AA135" s="7">
        <v>1</v>
      </c>
      <c r="AB135" s="7">
        <v>1</v>
      </c>
      <c r="AC135" s="7">
        <v>1</v>
      </c>
      <c r="AD135" s="11">
        <f>X135*AA135</f>
        <v>17670.345615483235</v>
      </c>
      <c r="AE135" s="11">
        <f>Y135*AB135</f>
        <v>-701.2622609301815</v>
      </c>
      <c r="AF135" s="11">
        <f>Z135*AC135</f>
        <v>-805.610723588121</v>
      </c>
      <c r="AG135" s="7">
        <v>17670.345615483235</v>
      </c>
      <c r="AH135" s="7">
        <v>-701.2622609301815</v>
      </c>
      <c r="AI135" s="7">
        <v>-805.610723588121</v>
      </c>
      <c r="AJ135" s="16">
        <f>AD135-AG135</f>
        <v>0</v>
      </c>
      <c r="AK135" s="16">
        <f>SQRT((AE135-AH135)^2+(AF135-AI135)^2)</f>
        <v>0</v>
      </c>
      <c r="AL135" s="7" t="s">
        <v>190</v>
      </c>
      <c r="AM135" s="7">
        <v>17670.345615483235</v>
      </c>
      <c r="AN135" s="7">
        <v>-701.2622609301815</v>
      </c>
      <c r="AO135" s="7">
        <v>-805.610723588121</v>
      </c>
      <c r="AP135" s="7">
        <v>15280.23649877504</v>
      </c>
      <c r="AQ135" s="7">
        <v>-531.4993027826205</v>
      </c>
      <c r="AR135" s="7">
        <v>-610.4177674603932</v>
      </c>
      <c r="AS135" s="7">
        <v>2390.1091167081927</v>
      </c>
      <c r="AT135" s="7">
        <v>-169.76295814756108</v>
      </c>
      <c r="AU135" s="7">
        <v>-195.19295612772802</v>
      </c>
    </row>
    <row r="136" spans="1:47" x14ac:dyDescent="0.25">
      <c r="A136" s="7" t="s">
        <v>452</v>
      </c>
      <c r="B136" s="7">
        <v>4</v>
      </c>
      <c r="C136" s="19">
        <v>220</v>
      </c>
      <c r="D136" s="7" t="s">
        <v>453</v>
      </c>
      <c r="E136" s="7" t="s">
        <v>203</v>
      </c>
      <c r="F136" s="20">
        <v>219.99999999999994</v>
      </c>
      <c r="G136" s="7" t="s">
        <v>194</v>
      </c>
      <c r="H136" s="21">
        <v>1.2</v>
      </c>
      <c r="I136" s="11">
        <f>MAX(('Geometry'!$G$13*COS(RADIANS(F136))+'Geometry'!$F$13*SIN(RADIANS(F136))),('Geometry'!$G$14*COS(RADIANS(F136))+'Geometry'!$F$14*SIN(RADIANS(F136))),('Geometry'!$G$15*COS(RADIANS(F136))+'Geometry'!$F$15*SIN(RADIANS(F136))),('Geometry'!$G$16*COS(RADIANS(F136))+'Geometry'!$F$16*SIN(RADIANS(F136))),('Geometry'!$G$17*COS(RADIANS(F136))+'Geometry'!$F$17*SIN(RADIANS(F136))),('Geometry'!$G$18*COS(RADIANS(F136))+'Geometry'!$F$18*SIN(RADIANS(F136))),('Geometry'!$G$19*COS(RADIANS(F136))+'Geometry'!$F$19*SIN(RADIANS(F136))),('Geometry'!$G$20*COS(RADIANS(F136))+'Geometry'!$F$20*SIN(RADIANS(F136))))</f>
        <v>813.1598511989833</v>
      </c>
      <c r="J136" s="11">
        <f>I136-H136*K136</f>
        <v>-1138.4237916785767</v>
      </c>
      <c r="K136" s="11">
        <f>I136-MIN(('Geometry'!$G$13*COS(RADIANS(F136))+'Geometry'!$F$13*SIN(RADIANS(F136))),('Geometry'!$G$14*COS(RADIANS(F136))+'Geometry'!$F$14*SIN(RADIANS(F136))),('Geometry'!$G$15*COS(RADIANS(F136))+'Geometry'!$F$15*SIN(RADIANS(F136))),('Geometry'!$G$16*COS(RADIANS(F136))+'Geometry'!$F$16*SIN(RADIANS(F136))),('Geometry'!$G$17*COS(RADIANS(F136))+'Geometry'!$F$17*SIN(RADIANS(F136))),('Geometry'!$G$18*COS(RADIANS(F136))+'Geometry'!$F$18*SIN(RADIANS(F136))),('Geometry'!$G$19*COS(RADIANS(F136))+'Geometry'!$F$19*SIN(RADIANS(F136))),('Geometry'!$G$20*COS(RADIANS(F136))+'Geometry'!$F$20*SIN(RADIANS(F136))))</f>
        <v>1626.3197023979667</v>
      </c>
      <c r="L136" s="16">
        <f>C_ecu</f>
        <v>0.0033</v>
      </c>
      <c r="M136" s="16">
        <f>0</f>
        <v>0</v>
      </c>
      <c r="N136" s="22">
        <f>IF(ABS(I136-J136)&lt;0.000000000001,0,(L136-M136)/(I136-J136))</f>
        <v>0.0000016909344429297605</v>
      </c>
      <c r="O136" s="16">
        <f>L136-N136*I136</f>
        <v>0.0019249999999999998</v>
      </c>
      <c r="P136" s="22">
        <f>N136*COS(RADIANS(F136))</f>
        <v>-0.0000012953309336848282</v>
      </c>
      <c r="Q136" s="22">
        <f>N136*SIN(RADIANS(F136))</f>
        <v>-0.00000108691170870746</v>
      </c>
      <c r="R136" s="11">
        <f>AP136</f>
        <v>15280.23649877504</v>
      </c>
      <c r="S136" s="11">
        <f>AQ136</f>
        <v>-708.665737043494</v>
      </c>
      <c r="T136" s="11">
        <f>AR136</f>
        <v>-813.8903566138575</v>
      </c>
      <c r="U136" s="11">
        <f>AS136</f>
        <v>2390.1091167081927</v>
      </c>
      <c r="V136" s="11">
        <f>AT136</f>
        <v>-226.3506108634148</v>
      </c>
      <c r="W136" s="11">
        <f>AU136</f>
        <v>-260.25727483697074</v>
      </c>
      <c r="X136" s="11">
        <f>AM136</f>
        <v>17670.345615483235</v>
      </c>
      <c r="Y136" s="11">
        <f>AN136</f>
        <v>-935.0163479069088</v>
      </c>
      <c r="Z136" s="11">
        <f>AO136</f>
        <v>-1074.1476314508282</v>
      </c>
      <c r="AA136" s="7">
        <v>1</v>
      </c>
      <c r="AB136" s="7">
        <v>1</v>
      </c>
      <c r="AC136" s="7">
        <v>1</v>
      </c>
      <c r="AD136" s="11">
        <f>X136*AA136</f>
        <v>17670.345615483235</v>
      </c>
      <c r="AE136" s="11">
        <f>Y136*AB136</f>
        <v>-935.0163479069088</v>
      </c>
      <c r="AF136" s="11">
        <f>Z136*AC136</f>
        <v>-1074.1476314508282</v>
      </c>
      <c r="AG136" s="7">
        <v>17670.345615483235</v>
      </c>
      <c r="AH136" s="7">
        <v>-935.0163479069088</v>
      </c>
      <c r="AI136" s="7">
        <v>-1074.1476314508282</v>
      </c>
      <c r="AJ136" s="16">
        <f>AD136-AG136</f>
        <v>0</v>
      </c>
      <c r="AK136" s="16">
        <f>SQRT((AE136-AH136)^2+(AF136-AI136)^2)</f>
        <v>0</v>
      </c>
      <c r="AL136" s="7" t="s">
        <v>190</v>
      </c>
      <c r="AM136" s="7">
        <v>17670.345615483235</v>
      </c>
      <c r="AN136" s="7">
        <v>-935.0163479069088</v>
      </c>
      <c r="AO136" s="7">
        <v>-1074.1476314508282</v>
      </c>
      <c r="AP136" s="7">
        <v>15280.23649877504</v>
      </c>
      <c r="AQ136" s="7">
        <v>-708.665737043494</v>
      </c>
      <c r="AR136" s="7">
        <v>-813.8903566138575</v>
      </c>
      <c r="AS136" s="7">
        <v>2390.1091167081927</v>
      </c>
      <c r="AT136" s="7">
        <v>-226.3506108634148</v>
      </c>
      <c r="AU136" s="7">
        <v>-260.25727483697074</v>
      </c>
    </row>
    <row r="137" spans="1:47" x14ac:dyDescent="0.25">
      <c r="A137" s="7" t="s">
        <v>454</v>
      </c>
      <c r="B137" s="7">
        <v>5</v>
      </c>
      <c r="C137" s="19">
        <v>220</v>
      </c>
      <c r="D137" s="7" t="s">
        <v>455</v>
      </c>
      <c r="E137" s="7" t="s">
        <v>206</v>
      </c>
      <c r="F137" s="20">
        <v>219.99999999999994</v>
      </c>
      <c r="G137" s="7" t="s">
        <v>194</v>
      </c>
      <c r="H137" s="21">
        <v>1.1000000000000003</v>
      </c>
      <c r="I137" s="11">
        <f>MAX(('Geometry'!$G$13*COS(RADIANS(F137))+'Geometry'!$F$13*SIN(RADIANS(F137))),('Geometry'!$G$14*COS(RADIANS(F137))+'Geometry'!$F$14*SIN(RADIANS(F137))),('Geometry'!$G$15*COS(RADIANS(F137))+'Geometry'!$F$15*SIN(RADIANS(F137))),('Geometry'!$G$16*COS(RADIANS(F137))+'Geometry'!$F$16*SIN(RADIANS(F137))),('Geometry'!$G$17*COS(RADIANS(F137))+'Geometry'!$F$17*SIN(RADIANS(F137))),('Geometry'!$G$18*COS(RADIANS(F137))+'Geometry'!$F$18*SIN(RADIANS(F137))),('Geometry'!$G$19*COS(RADIANS(F137))+'Geometry'!$F$19*SIN(RADIANS(F137))),('Geometry'!$G$20*COS(RADIANS(F137))+'Geometry'!$F$20*SIN(RADIANS(F137))))</f>
        <v>813.1598511989833</v>
      </c>
      <c r="J137" s="11">
        <f>I137-H137*K137</f>
        <v>-975.7918214387803</v>
      </c>
      <c r="K137" s="11">
        <f>I137-MIN(('Geometry'!$G$13*COS(RADIANS(F137))+'Geometry'!$F$13*SIN(RADIANS(F137))),('Geometry'!$G$14*COS(RADIANS(F137))+'Geometry'!$F$14*SIN(RADIANS(F137))),('Geometry'!$G$15*COS(RADIANS(F137))+'Geometry'!$F$15*SIN(RADIANS(F137))),('Geometry'!$G$16*COS(RADIANS(F137))+'Geometry'!$F$16*SIN(RADIANS(F137))),('Geometry'!$G$17*COS(RADIANS(F137))+'Geometry'!$F$17*SIN(RADIANS(F137))),('Geometry'!$G$18*COS(RADIANS(F137))+'Geometry'!$F$18*SIN(RADIANS(F137))),('Geometry'!$G$19*COS(RADIANS(F137))+'Geometry'!$F$19*SIN(RADIANS(F137))),('Geometry'!$G$20*COS(RADIANS(F137))+'Geometry'!$F$20*SIN(RADIANS(F137))))</f>
        <v>1626.3197023979667</v>
      </c>
      <c r="L137" s="16">
        <f>C_ecu</f>
        <v>0.0032999999999999995</v>
      </c>
      <c r="M137" s="16">
        <f>0</f>
        <v>0</v>
      </c>
      <c r="N137" s="22">
        <f>IF(ABS(I137-J137)&lt;0.000000000001,0,(L137-M137)/(I137-J137))</f>
        <v>0.0000018446557559233748</v>
      </c>
      <c r="O137" s="16">
        <f>L137-N137*I137</f>
        <v>0.0018</v>
      </c>
      <c r="P137" s="22">
        <f>N137*COS(RADIANS(F137))</f>
        <v>-0.0000014130882912925398</v>
      </c>
      <c r="Q137" s="22">
        <f>N137*SIN(RADIANS(F137))</f>
        <v>-0.0000011857218640445017</v>
      </c>
      <c r="R137" s="11">
        <f>AP137</f>
        <v>15280.23649877504</v>
      </c>
      <c r="S137" s="11">
        <f>AQ137</f>
        <v>-885.8321713043674</v>
      </c>
      <c r="T137" s="11">
        <f>AR137</f>
        <v>-1017.3629457673218</v>
      </c>
      <c r="U137" s="11">
        <f>AS137</f>
        <v>2390.1091167081927</v>
      </c>
      <c r="V137" s="11">
        <f>AT137</f>
        <v>-282.93826357926844</v>
      </c>
      <c r="W137" s="11">
        <f>AU137</f>
        <v>-325.3215935462133</v>
      </c>
      <c r="X137" s="11">
        <f>AM137</f>
        <v>17670.345615483235</v>
      </c>
      <c r="Y137" s="11">
        <f>AN137</f>
        <v>-1168.770434883636</v>
      </c>
      <c r="Z137" s="11">
        <f>AO137</f>
        <v>-1342.684539313535</v>
      </c>
      <c r="AA137" s="7">
        <v>1</v>
      </c>
      <c r="AB137" s="7">
        <v>1</v>
      </c>
      <c r="AC137" s="7">
        <v>1</v>
      </c>
      <c r="AD137" s="11">
        <f>X137*AA137</f>
        <v>17670.345615483235</v>
      </c>
      <c r="AE137" s="11">
        <f>Y137*AB137</f>
        <v>-1168.770434883636</v>
      </c>
      <c r="AF137" s="11">
        <f>Z137*AC137</f>
        <v>-1342.684539313535</v>
      </c>
      <c r="AG137" s="7">
        <v>17670.345615483235</v>
      </c>
      <c r="AH137" s="7">
        <v>-1168.770434883636</v>
      </c>
      <c r="AI137" s="7">
        <v>-1342.684539313535</v>
      </c>
      <c r="AJ137" s="16">
        <f>AD137-AG137</f>
        <v>0</v>
      </c>
      <c r="AK137" s="16">
        <f>SQRT((AE137-AH137)^2+(AF137-AI137)^2)</f>
        <v>0</v>
      </c>
      <c r="AL137" s="7" t="s">
        <v>190</v>
      </c>
      <c r="AM137" s="7">
        <v>17670.345615483235</v>
      </c>
      <c r="AN137" s="7">
        <v>-1168.770434883636</v>
      </c>
      <c r="AO137" s="7">
        <v>-1342.684539313535</v>
      </c>
      <c r="AP137" s="7">
        <v>15280.23649877504</v>
      </c>
      <c r="AQ137" s="7">
        <v>-885.8321713043674</v>
      </c>
      <c r="AR137" s="7">
        <v>-1017.3629457673218</v>
      </c>
      <c r="AS137" s="7">
        <v>2390.1091167081927</v>
      </c>
      <c r="AT137" s="7">
        <v>-282.93826357926844</v>
      </c>
      <c r="AU137" s="7">
        <v>-325.3215935462133</v>
      </c>
    </row>
    <row r="138" spans="1:47" x14ac:dyDescent="0.25">
      <c r="A138" s="7" t="s">
        <v>456</v>
      </c>
      <c r="B138" s="7">
        <v>6</v>
      </c>
      <c r="C138" s="19">
        <v>220</v>
      </c>
      <c r="D138" s="7" t="s">
        <v>457</v>
      </c>
      <c r="E138" s="7" t="s">
        <v>229</v>
      </c>
      <c r="F138" s="20">
        <v>219.99999999999994</v>
      </c>
      <c r="G138" s="7" t="s">
        <v>194</v>
      </c>
      <c r="H138" s="21">
        <v>1.0000000000000002</v>
      </c>
      <c r="I138" s="11">
        <f>MAX(('Geometry'!$G$13*COS(RADIANS(F138))+'Geometry'!$F$13*SIN(RADIANS(F138))),('Geometry'!$G$14*COS(RADIANS(F138))+'Geometry'!$F$14*SIN(RADIANS(F138))),('Geometry'!$G$15*COS(RADIANS(F138))+'Geometry'!$F$15*SIN(RADIANS(F138))),('Geometry'!$G$16*COS(RADIANS(F138))+'Geometry'!$F$16*SIN(RADIANS(F138))),('Geometry'!$G$17*COS(RADIANS(F138))+'Geometry'!$F$17*SIN(RADIANS(F138))),('Geometry'!$G$18*COS(RADIANS(F138))+'Geometry'!$F$18*SIN(RADIANS(F138))),('Geometry'!$G$19*COS(RADIANS(F138))+'Geometry'!$F$19*SIN(RADIANS(F138))),('Geometry'!$G$20*COS(RADIANS(F138))+'Geometry'!$F$20*SIN(RADIANS(F138))))</f>
        <v>813.1598511989833</v>
      </c>
      <c r="J138" s="11">
        <f>I138-H138*K138</f>
        <v>-813.1598511989837</v>
      </c>
      <c r="K138" s="11">
        <f>I138-MIN(('Geometry'!$G$13*COS(RADIANS(F138))+'Geometry'!$F$13*SIN(RADIANS(F138))),('Geometry'!$G$14*COS(RADIANS(F138))+'Geometry'!$F$14*SIN(RADIANS(F138))),('Geometry'!$G$15*COS(RADIANS(F138))+'Geometry'!$F$15*SIN(RADIANS(F138))),('Geometry'!$G$16*COS(RADIANS(F138))+'Geometry'!$F$16*SIN(RADIANS(F138))),('Geometry'!$G$17*COS(RADIANS(F138))+'Geometry'!$F$17*SIN(RADIANS(F138))),('Geometry'!$G$18*COS(RADIANS(F138))+'Geometry'!$F$18*SIN(RADIANS(F138))),('Geometry'!$G$19*COS(RADIANS(F138))+'Geometry'!$F$19*SIN(RADIANS(F138))),('Geometry'!$G$20*COS(RADIANS(F138))+'Geometry'!$F$20*SIN(RADIANS(F138))))</f>
        <v>1626.3197023979667</v>
      </c>
      <c r="L138" s="16">
        <f>C_ecu</f>
        <v>0.0033</v>
      </c>
      <c r="M138" s="16">
        <f>0</f>
        <v>0</v>
      </c>
      <c r="N138" s="22">
        <f>IF(ABS(I138-J138)&lt;0.000000000001,0,(L138-M138)/(I138-J138))</f>
        <v>0.0000020291213315157124</v>
      </c>
      <c r="O138" s="16">
        <f>L138-N138*I138</f>
        <v>0.0016500000000000002</v>
      </c>
      <c r="P138" s="22">
        <f>N138*COS(RADIANS(F138))</f>
        <v>-0.0000015543971204217936</v>
      </c>
      <c r="Q138" s="22">
        <f>N138*SIN(RADIANS(F138))</f>
        <v>-0.0000013042940504489518</v>
      </c>
      <c r="R138" s="11">
        <f>AP138</f>
        <v>15280.23649877504</v>
      </c>
      <c r="S138" s="11">
        <f>AQ138</f>
        <v>-1062.998605565241</v>
      </c>
      <c r="T138" s="11">
        <f>AR138</f>
        <v>-1220.8355349207864</v>
      </c>
      <c r="U138" s="11">
        <f>AS138</f>
        <v>2390.1091167081927</v>
      </c>
      <c r="V138" s="11">
        <f>AT138</f>
        <v>-339.52591629512216</v>
      </c>
      <c r="W138" s="11">
        <f>AU138</f>
        <v>-390.38591225545605</v>
      </c>
      <c r="X138" s="11">
        <f>AM138</f>
        <v>17670.345615483235</v>
      </c>
      <c r="Y138" s="11">
        <f>AN138</f>
        <v>-1402.524521860363</v>
      </c>
      <c r="Z138" s="11">
        <f>AO138</f>
        <v>-1611.221447176242</v>
      </c>
      <c r="AA138" s="7">
        <v>1</v>
      </c>
      <c r="AB138" s="7">
        <v>1</v>
      </c>
      <c r="AC138" s="7">
        <v>1</v>
      </c>
      <c r="AD138" s="11">
        <f>X138*AA138</f>
        <v>17670.345615483235</v>
      </c>
      <c r="AE138" s="11">
        <f>Y138*AB138</f>
        <v>-1402.524521860363</v>
      </c>
      <c r="AF138" s="11">
        <f>Z138*AC138</f>
        <v>-1611.221447176242</v>
      </c>
      <c r="AG138" s="7">
        <v>17670.345615483235</v>
      </c>
      <c r="AH138" s="7">
        <v>-1402.524521860363</v>
      </c>
      <c r="AI138" s="7">
        <v>-1611.221447176242</v>
      </c>
      <c r="AJ138" s="16">
        <f>AD138-AG138</f>
        <v>0</v>
      </c>
      <c r="AK138" s="16">
        <f>SQRT((AE138-AH138)^2+(AF138-AI138)^2)</f>
        <v>0</v>
      </c>
      <c r="AL138" s="7" t="s">
        <v>190</v>
      </c>
      <c r="AM138" s="7">
        <v>17670.345615483235</v>
      </c>
      <c r="AN138" s="7">
        <v>-1402.524521860363</v>
      </c>
      <c r="AO138" s="7">
        <v>-1611.221447176242</v>
      </c>
      <c r="AP138" s="7">
        <v>15280.23649877504</v>
      </c>
      <c r="AQ138" s="7">
        <v>-1062.998605565241</v>
      </c>
      <c r="AR138" s="7">
        <v>-1220.8355349207864</v>
      </c>
      <c r="AS138" s="7">
        <v>2390.1091167081927</v>
      </c>
      <c r="AT138" s="7">
        <v>-339.52591629512216</v>
      </c>
      <c r="AU138" s="7">
        <v>-390.38591225545605</v>
      </c>
    </row>
    <row r="139" spans="1:47" x14ac:dyDescent="0.25">
      <c r="A139" s="7" t="s">
        <v>458</v>
      </c>
      <c r="B139" s="7">
        <v>1</v>
      </c>
      <c r="C139" s="19">
        <v>230</v>
      </c>
      <c r="D139" s="7" t="s">
        <v>459</v>
      </c>
      <c r="E139" s="7" t="s">
        <v>193</v>
      </c>
      <c r="F139" s="20">
        <v>230</v>
      </c>
      <c r="G139" s="7" t="s">
        <v>194</v>
      </c>
      <c r="H139" s="21">
        <v>2.9999999999999996</v>
      </c>
      <c r="I139" s="11">
        <f>MAX(('Geometry'!$G$13*COS(RADIANS(F139))+'Geometry'!$F$13*SIN(RADIANS(F139))),('Geometry'!$G$14*COS(RADIANS(F139))+'Geometry'!$F$14*SIN(RADIANS(F139))),('Geometry'!$G$15*COS(RADIANS(F139))+'Geometry'!$F$15*SIN(RADIANS(F139))),('Geometry'!$G$16*COS(RADIANS(F139))+'Geometry'!$F$16*SIN(RADIANS(F139))),('Geometry'!$G$17*COS(RADIANS(F139))+'Geometry'!$F$17*SIN(RADIANS(F139))),('Geometry'!$G$18*COS(RADIANS(F139))+'Geometry'!$F$18*SIN(RADIANS(F139))),('Geometry'!$G$19*COS(RADIANS(F139))+'Geometry'!$F$19*SIN(RADIANS(F139))),('Geometry'!$G$20*COS(RADIANS(F139))+'Geometry'!$F$20*SIN(RADIANS(F139))))</f>
        <v>831.6483762138491</v>
      </c>
      <c r="J139" s="11">
        <f>I139-H139*K139</f>
        <v>-4158.241881069244</v>
      </c>
      <c r="K139" s="11">
        <f>I139-MIN(('Geometry'!$G$13*COS(RADIANS(F139))+'Geometry'!$F$13*SIN(RADIANS(F139))),('Geometry'!$G$14*COS(RADIANS(F139))+'Geometry'!$F$14*SIN(RADIANS(F139))),('Geometry'!$G$15*COS(RADIANS(F139))+'Geometry'!$F$15*SIN(RADIANS(F139))),('Geometry'!$G$16*COS(RADIANS(F139))+'Geometry'!$F$16*SIN(RADIANS(F139))),('Geometry'!$G$17*COS(RADIANS(F139))+'Geometry'!$F$17*SIN(RADIANS(F139))),('Geometry'!$G$18*COS(RADIANS(F139))+'Geometry'!$F$18*SIN(RADIANS(F139))),('Geometry'!$G$19*COS(RADIANS(F139))+'Geometry'!$F$19*SIN(RADIANS(F139))),('Geometry'!$G$20*COS(RADIANS(F139))+'Geometry'!$F$20*SIN(RADIANS(F139))))</f>
        <v>1663.2967524276983</v>
      </c>
      <c r="L139" s="16">
        <f>C_ecu</f>
        <v>0.0033</v>
      </c>
      <c r="M139" s="16">
        <f>0</f>
        <v>0</v>
      </c>
      <c r="N139" s="22">
        <f>IF(ABS(I139-J139)&lt;0.000000000001,0,(L139-M139)/(I139-J139))</f>
        <v>6.613371897675343e-7</v>
      </c>
      <c r="O139" s="16">
        <f>L139-N139*I139</f>
        <v>0.00275</v>
      </c>
      <c r="P139" s="22">
        <f>N139*COS(RADIANS(F139))</f>
        <v>-4.2509935140748674e-7</v>
      </c>
      <c r="Q139" s="22">
        <f>N139*SIN(RADIANS(F139))</f>
        <v>-5.066136792493406e-7</v>
      </c>
      <c r="R139" s="11">
        <f>AP139</f>
        <v>15287.791794906805</v>
      </c>
      <c r="S139" s="11">
        <f>AQ139</f>
        <v>-147.10070667336393</v>
      </c>
      <c r="T139" s="11">
        <f>AR139</f>
        <v>-232.7686044443746</v>
      </c>
      <c r="U139" s="11">
        <f>AS139</f>
        <v>2382.5538205764324</v>
      </c>
      <c r="V139" s="11">
        <f>AT139</f>
        <v>-46.60182976368627</v>
      </c>
      <c r="W139" s="11">
        <f>AU139</f>
        <v>-73.95867245689048</v>
      </c>
      <c r="X139" s="11">
        <f>AM139</f>
        <v>17670.345615483235</v>
      </c>
      <c r="Y139" s="11">
        <f>AN139</f>
        <v>-193.70253643705018</v>
      </c>
      <c r="Z139" s="11">
        <f>AO139</f>
        <v>-306.72727690126504</v>
      </c>
      <c r="AA139" s="7">
        <v>1</v>
      </c>
      <c r="AB139" s="7">
        <v>1</v>
      </c>
      <c r="AC139" s="7">
        <v>1</v>
      </c>
      <c r="AD139" s="11">
        <f>X139*AA139</f>
        <v>17670.345615483235</v>
      </c>
      <c r="AE139" s="11">
        <f>Y139*AB139</f>
        <v>-193.70253643705018</v>
      </c>
      <c r="AF139" s="11">
        <f>Z139*AC139</f>
        <v>-306.72727690126504</v>
      </c>
      <c r="AG139" s="7">
        <v>17670.345615483235</v>
      </c>
      <c r="AH139" s="7">
        <v>-193.70253643705018</v>
      </c>
      <c r="AI139" s="7">
        <v>-306.72727690126504</v>
      </c>
      <c r="AJ139" s="16">
        <f>AD139-AG139</f>
        <v>0</v>
      </c>
      <c r="AK139" s="16">
        <f>SQRT((AE139-AH139)^2+(AF139-AI139)^2)</f>
        <v>0</v>
      </c>
      <c r="AL139" s="7" t="s">
        <v>190</v>
      </c>
      <c r="AM139" s="7">
        <v>17670.345615483235</v>
      </c>
      <c r="AN139" s="7">
        <v>-193.70253643705018</v>
      </c>
      <c r="AO139" s="7">
        <v>-306.72727690126504</v>
      </c>
      <c r="AP139" s="7">
        <v>15287.791794906805</v>
      </c>
      <c r="AQ139" s="7">
        <v>-147.10070667336393</v>
      </c>
      <c r="AR139" s="7">
        <v>-232.7686044443746</v>
      </c>
      <c r="AS139" s="7">
        <v>2382.5538205764324</v>
      </c>
      <c r="AT139" s="7">
        <v>-46.60182976368627</v>
      </c>
      <c r="AU139" s="7">
        <v>-73.95867245689048</v>
      </c>
    </row>
    <row r="140" spans="1:47" x14ac:dyDescent="0.25">
      <c r="A140" s="7" t="s">
        <v>460</v>
      </c>
      <c r="B140" s="7">
        <v>2</v>
      </c>
      <c r="C140" s="19">
        <v>230</v>
      </c>
      <c r="D140" s="7" t="s">
        <v>461</v>
      </c>
      <c r="E140" s="7" t="s">
        <v>197</v>
      </c>
      <c r="F140" s="20">
        <v>230</v>
      </c>
      <c r="G140" s="7" t="s">
        <v>194</v>
      </c>
      <c r="H140" s="21">
        <v>2</v>
      </c>
      <c r="I140" s="11">
        <f>MAX(('Geometry'!$G$13*COS(RADIANS(F140))+'Geometry'!$F$13*SIN(RADIANS(F140))),('Geometry'!$G$14*COS(RADIANS(F140))+'Geometry'!$F$14*SIN(RADIANS(F140))),('Geometry'!$G$15*COS(RADIANS(F140))+'Geometry'!$F$15*SIN(RADIANS(F140))),('Geometry'!$G$16*COS(RADIANS(F140))+'Geometry'!$F$16*SIN(RADIANS(F140))),('Geometry'!$G$17*COS(RADIANS(F140))+'Geometry'!$F$17*SIN(RADIANS(F140))),('Geometry'!$G$18*COS(RADIANS(F140))+'Geometry'!$F$18*SIN(RADIANS(F140))),('Geometry'!$G$19*COS(RADIANS(F140))+'Geometry'!$F$19*SIN(RADIANS(F140))),('Geometry'!$G$20*COS(RADIANS(F140))+'Geometry'!$F$20*SIN(RADIANS(F140))))</f>
        <v>831.6483762138491</v>
      </c>
      <c r="J140" s="11">
        <f>I140-H140*K140</f>
        <v>-2494.9451286415474</v>
      </c>
      <c r="K140" s="11">
        <f>I140-MIN(('Geometry'!$G$13*COS(RADIANS(F140))+'Geometry'!$F$13*SIN(RADIANS(F140))),('Geometry'!$G$14*COS(RADIANS(F140))+'Geometry'!$F$14*SIN(RADIANS(F140))),('Geometry'!$G$15*COS(RADIANS(F140))+'Geometry'!$F$15*SIN(RADIANS(F140))),('Geometry'!$G$16*COS(RADIANS(F140))+'Geometry'!$F$16*SIN(RADIANS(F140))),('Geometry'!$G$17*COS(RADIANS(F140))+'Geometry'!$F$17*SIN(RADIANS(F140))),('Geometry'!$G$18*COS(RADIANS(F140))+'Geometry'!$F$18*SIN(RADIANS(F140))),('Geometry'!$G$19*COS(RADIANS(F140))+'Geometry'!$F$19*SIN(RADIANS(F140))),('Geometry'!$G$20*COS(RADIANS(F140))+'Geometry'!$F$20*SIN(RADIANS(F140))))</f>
        <v>1663.2967524276983</v>
      </c>
      <c r="L140" s="16">
        <f>C_ecu</f>
        <v>0.0033</v>
      </c>
      <c r="M140" s="16">
        <f>0</f>
        <v>0</v>
      </c>
      <c r="N140" s="22">
        <f>IF(ABS(I140-J140)&lt;0.000000000001,0,(L140-M140)/(I140-J140))</f>
        <v>9.920057846513012e-7</v>
      </c>
      <c r="O140" s="16">
        <f>L140-N140*I140</f>
        <v>0.0024749999999999998</v>
      </c>
      <c r="P140" s="22">
        <f>N140*COS(RADIANS(F140))</f>
        <v>-6.376490271112299e-7</v>
      </c>
      <c r="Q140" s="22">
        <f>N140*SIN(RADIANS(F140))</f>
        <v>-7.599205188740108e-7</v>
      </c>
      <c r="R140" s="11">
        <f>AP140</f>
        <v>15287.791794906805</v>
      </c>
      <c r="S140" s="11">
        <f>AQ140</f>
        <v>-294.20141334672786</v>
      </c>
      <c r="T140" s="11">
        <f>AR140</f>
        <v>-465.5372088887492</v>
      </c>
      <c r="U140" s="11">
        <f>AS140</f>
        <v>2382.5538205764324</v>
      </c>
      <c r="V140" s="11">
        <f>AT140</f>
        <v>-93.20365952737254</v>
      </c>
      <c r="W140" s="11">
        <f>AU140</f>
        <v>-147.91734491378097</v>
      </c>
      <c r="X140" s="11">
        <f>AM140</f>
        <v>17670.345615483235</v>
      </c>
      <c r="Y140" s="11">
        <f>AN140</f>
        <v>-387.40507287410037</v>
      </c>
      <c r="Z140" s="11">
        <f>AO140</f>
        <v>-613.4545538025301</v>
      </c>
      <c r="AA140" s="7">
        <v>1</v>
      </c>
      <c r="AB140" s="7">
        <v>1</v>
      </c>
      <c r="AC140" s="7">
        <v>1</v>
      </c>
      <c r="AD140" s="11">
        <f>X140*AA140</f>
        <v>17670.345615483235</v>
      </c>
      <c r="AE140" s="11">
        <f>Y140*AB140</f>
        <v>-387.40507287410037</v>
      </c>
      <c r="AF140" s="11">
        <f>Z140*AC140</f>
        <v>-613.4545538025301</v>
      </c>
      <c r="AG140" s="7">
        <v>17670.345615483235</v>
      </c>
      <c r="AH140" s="7">
        <v>-387.40507287410037</v>
      </c>
      <c r="AI140" s="7">
        <v>-613.4545538025301</v>
      </c>
      <c r="AJ140" s="16">
        <f>AD140-AG140</f>
        <v>0</v>
      </c>
      <c r="AK140" s="16">
        <f>SQRT((AE140-AH140)^2+(AF140-AI140)^2)</f>
        <v>0</v>
      </c>
      <c r="AL140" s="7" t="s">
        <v>190</v>
      </c>
      <c r="AM140" s="7">
        <v>17670.345615483235</v>
      </c>
      <c r="AN140" s="7">
        <v>-387.40507287410037</v>
      </c>
      <c r="AO140" s="7">
        <v>-613.4545538025301</v>
      </c>
      <c r="AP140" s="7">
        <v>15287.791794906805</v>
      </c>
      <c r="AQ140" s="7">
        <v>-294.20141334672786</v>
      </c>
      <c r="AR140" s="7">
        <v>-465.5372088887492</v>
      </c>
      <c r="AS140" s="7">
        <v>2382.5538205764324</v>
      </c>
      <c r="AT140" s="7">
        <v>-93.20365952737254</v>
      </c>
      <c r="AU140" s="7">
        <v>-147.91734491378097</v>
      </c>
    </row>
    <row r="141" spans="1:47" x14ac:dyDescent="0.25">
      <c r="A141" s="7" t="s">
        <v>462</v>
      </c>
      <c r="B141" s="7">
        <v>3</v>
      </c>
      <c r="C141" s="19">
        <v>230</v>
      </c>
      <c r="D141" s="7" t="s">
        <v>463</v>
      </c>
      <c r="E141" s="7" t="s">
        <v>200</v>
      </c>
      <c r="F141" s="20">
        <v>230</v>
      </c>
      <c r="G141" s="7" t="s">
        <v>194</v>
      </c>
      <c r="H141" s="21">
        <v>1.4999999999999998</v>
      </c>
      <c r="I141" s="11">
        <f>MAX(('Geometry'!$G$13*COS(RADIANS(F141))+'Geometry'!$F$13*SIN(RADIANS(F141))),('Geometry'!$G$14*COS(RADIANS(F141))+'Geometry'!$F$14*SIN(RADIANS(F141))),('Geometry'!$G$15*COS(RADIANS(F141))+'Geometry'!$F$15*SIN(RADIANS(F141))),('Geometry'!$G$16*COS(RADIANS(F141))+'Geometry'!$F$16*SIN(RADIANS(F141))),('Geometry'!$G$17*COS(RADIANS(F141))+'Geometry'!$F$17*SIN(RADIANS(F141))),('Geometry'!$G$18*COS(RADIANS(F141))+'Geometry'!$F$18*SIN(RADIANS(F141))),('Geometry'!$G$19*COS(RADIANS(F141))+'Geometry'!$F$19*SIN(RADIANS(F141))),('Geometry'!$G$20*COS(RADIANS(F141))+'Geometry'!$F$20*SIN(RADIANS(F141))))</f>
        <v>831.6483762138491</v>
      </c>
      <c r="J141" s="11">
        <f>I141-H141*K141</f>
        <v>-1663.296752427698</v>
      </c>
      <c r="K141" s="11">
        <f>I141-MIN(('Geometry'!$G$13*COS(RADIANS(F141))+'Geometry'!$F$13*SIN(RADIANS(F141))),('Geometry'!$G$14*COS(RADIANS(F141))+'Geometry'!$F$14*SIN(RADIANS(F141))),('Geometry'!$G$15*COS(RADIANS(F141))+'Geometry'!$F$15*SIN(RADIANS(F141))),('Geometry'!$G$16*COS(RADIANS(F141))+'Geometry'!$F$16*SIN(RADIANS(F141))),('Geometry'!$G$17*COS(RADIANS(F141))+'Geometry'!$F$17*SIN(RADIANS(F141))),('Geometry'!$G$18*COS(RADIANS(F141))+'Geometry'!$F$18*SIN(RADIANS(F141))),('Geometry'!$G$19*COS(RADIANS(F141))+'Geometry'!$F$19*SIN(RADIANS(F141))),('Geometry'!$G$20*COS(RADIANS(F141))+'Geometry'!$F$20*SIN(RADIANS(F141))))</f>
        <v>1663.2967524276983</v>
      </c>
      <c r="L141" s="16">
        <f>C_ecu</f>
        <v>0.0033</v>
      </c>
      <c r="M141" s="16">
        <f>0</f>
        <v>0</v>
      </c>
      <c r="N141" s="22">
        <f>IF(ABS(I141-J141)&lt;0.000000000001,0,(L141-M141)/(I141-J141))</f>
        <v>0.0000013226743795350684</v>
      </c>
      <c r="O141" s="16">
        <f>L141-N141*I141</f>
        <v>0.0021999999999999997</v>
      </c>
      <c r="P141" s="22">
        <f>N141*COS(RADIANS(F141))</f>
        <v>-8.501987028149733e-7</v>
      </c>
      <c r="Q141" s="22">
        <f>N141*SIN(RADIANS(F141))</f>
        <v>-0.0000010132273584986811</v>
      </c>
      <c r="R141" s="11">
        <f>AP141</f>
        <v>15287.791794906805</v>
      </c>
      <c r="S141" s="11">
        <f>AQ141</f>
        <v>-441.3021200200917</v>
      </c>
      <c r="T141" s="11">
        <f>AR141</f>
        <v>-698.3058133331238</v>
      </c>
      <c r="U141" s="11">
        <f>AS141</f>
        <v>2382.5538205764324</v>
      </c>
      <c r="V141" s="11">
        <f>AT141</f>
        <v>-139.80548929105882</v>
      </c>
      <c r="W141" s="11">
        <f>AU141</f>
        <v>-221.87601737067143</v>
      </c>
      <c r="X141" s="11">
        <f>AM141</f>
        <v>17670.345615483235</v>
      </c>
      <c r="Y141" s="11">
        <f>AN141</f>
        <v>-581.1076093111506</v>
      </c>
      <c r="Z141" s="11">
        <f>AO141</f>
        <v>-920.1818307037951</v>
      </c>
      <c r="AA141" s="7">
        <v>1</v>
      </c>
      <c r="AB141" s="7">
        <v>1</v>
      </c>
      <c r="AC141" s="7">
        <v>1</v>
      </c>
      <c r="AD141" s="11">
        <f>X141*AA141</f>
        <v>17670.345615483235</v>
      </c>
      <c r="AE141" s="11">
        <f>Y141*AB141</f>
        <v>-581.1076093111506</v>
      </c>
      <c r="AF141" s="11">
        <f>Z141*AC141</f>
        <v>-920.1818307037951</v>
      </c>
      <c r="AG141" s="7">
        <v>17670.345615483235</v>
      </c>
      <c r="AH141" s="7">
        <v>-581.1076093111506</v>
      </c>
      <c r="AI141" s="7">
        <v>-920.1818307037951</v>
      </c>
      <c r="AJ141" s="16">
        <f>AD141-AG141</f>
        <v>0</v>
      </c>
      <c r="AK141" s="16">
        <f>SQRT((AE141-AH141)^2+(AF141-AI141)^2)</f>
        <v>0</v>
      </c>
      <c r="AL141" s="7" t="s">
        <v>190</v>
      </c>
      <c r="AM141" s="7">
        <v>17670.345615483235</v>
      </c>
      <c r="AN141" s="7">
        <v>-581.1076093111506</v>
      </c>
      <c r="AO141" s="7">
        <v>-920.1818307037951</v>
      </c>
      <c r="AP141" s="7">
        <v>15287.791794906805</v>
      </c>
      <c r="AQ141" s="7">
        <v>-441.3021200200917</v>
      </c>
      <c r="AR141" s="7">
        <v>-698.3058133331238</v>
      </c>
      <c r="AS141" s="7">
        <v>2382.5538205764324</v>
      </c>
      <c r="AT141" s="7">
        <v>-139.80548929105882</v>
      </c>
      <c r="AU141" s="7">
        <v>-221.87601737067143</v>
      </c>
    </row>
    <row r="142" spans="1:47" x14ac:dyDescent="0.25">
      <c r="A142" s="7" t="s">
        <v>464</v>
      </c>
      <c r="B142" s="7">
        <v>4</v>
      </c>
      <c r="C142" s="19">
        <v>230</v>
      </c>
      <c r="D142" s="7" t="s">
        <v>465</v>
      </c>
      <c r="E142" s="7" t="s">
        <v>203</v>
      </c>
      <c r="F142" s="20">
        <v>230</v>
      </c>
      <c r="G142" s="7" t="s">
        <v>194</v>
      </c>
      <c r="H142" s="21">
        <v>1.2</v>
      </c>
      <c r="I142" s="11">
        <f>MAX(('Geometry'!$G$13*COS(RADIANS(F142))+'Geometry'!$F$13*SIN(RADIANS(F142))),('Geometry'!$G$14*COS(RADIANS(F142))+'Geometry'!$F$14*SIN(RADIANS(F142))),('Geometry'!$G$15*COS(RADIANS(F142))+'Geometry'!$F$15*SIN(RADIANS(F142))),('Geometry'!$G$16*COS(RADIANS(F142))+'Geometry'!$F$16*SIN(RADIANS(F142))),('Geometry'!$G$17*COS(RADIANS(F142))+'Geometry'!$F$17*SIN(RADIANS(F142))),('Geometry'!$G$18*COS(RADIANS(F142))+'Geometry'!$F$18*SIN(RADIANS(F142))),('Geometry'!$G$19*COS(RADIANS(F142))+'Geometry'!$F$19*SIN(RADIANS(F142))),('Geometry'!$G$20*COS(RADIANS(F142))+'Geometry'!$F$20*SIN(RADIANS(F142))))</f>
        <v>831.6483762138491</v>
      </c>
      <c r="J142" s="11">
        <f>I142-H142*K142</f>
        <v>-1164.3077266993887</v>
      </c>
      <c r="K142" s="11">
        <f>I142-MIN(('Geometry'!$G$13*COS(RADIANS(F142))+'Geometry'!$F$13*SIN(RADIANS(F142))),('Geometry'!$G$14*COS(RADIANS(F142))+'Geometry'!$F$14*SIN(RADIANS(F142))),('Geometry'!$G$15*COS(RADIANS(F142))+'Geometry'!$F$15*SIN(RADIANS(F142))),('Geometry'!$G$16*COS(RADIANS(F142))+'Geometry'!$F$16*SIN(RADIANS(F142))),('Geometry'!$G$17*COS(RADIANS(F142))+'Geometry'!$F$17*SIN(RADIANS(F142))),('Geometry'!$G$18*COS(RADIANS(F142))+'Geometry'!$F$18*SIN(RADIANS(F142))),('Geometry'!$G$19*COS(RADIANS(F142))+'Geometry'!$F$19*SIN(RADIANS(F142))),('Geometry'!$G$20*COS(RADIANS(F142))+'Geometry'!$F$20*SIN(RADIANS(F142))))</f>
        <v>1663.2967524276983</v>
      </c>
      <c r="L142" s="16">
        <f>C_ecu</f>
        <v>0.0033</v>
      </c>
      <c r="M142" s="16">
        <f>0</f>
        <v>0</v>
      </c>
      <c r="N142" s="22">
        <f>IF(ABS(I142-J142)&lt;0.000000000001,0,(L142-M142)/(I142-J142))</f>
        <v>0.0000016533429744188353</v>
      </c>
      <c r="O142" s="16">
        <f>L142-N142*I142</f>
        <v>0.0019249999999999998</v>
      </c>
      <c r="P142" s="22">
        <f>N142*COS(RADIANS(F142))</f>
        <v>-0.0000010627483785187166</v>
      </c>
      <c r="Q142" s="22">
        <f>N142*SIN(RADIANS(F142))</f>
        <v>-0.0000012665341981233513</v>
      </c>
      <c r="R142" s="11">
        <f>AP142</f>
        <v>15287.791794906805</v>
      </c>
      <c r="S142" s="11">
        <f>AQ142</f>
        <v>-588.4028266934557</v>
      </c>
      <c r="T142" s="11">
        <f>AR142</f>
        <v>-931.0744177774984</v>
      </c>
      <c r="U142" s="11">
        <f>AS142</f>
        <v>2382.5538205764324</v>
      </c>
      <c r="V142" s="11">
        <f>AT142</f>
        <v>-186.40731905474507</v>
      </c>
      <c r="W142" s="11">
        <f>AU142</f>
        <v>-295.83468982756193</v>
      </c>
      <c r="X142" s="11">
        <f>AM142</f>
        <v>17670.345615483235</v>
      </c>
      <c r="Y142" s="11">
        <f>AN142</f>
        <v>-774.8101457482007</v>
      </c>
      <c r="Z142" s="11">
        <f>AO142</f>
        <v>-1226.9091076050602</v>
      </c>
      <c r="AA142" s="7">
        <v>1</v>
      </c>
      <c r="AB142" s="7">
        <v>1</v>
      </c>
      <c r="AC142" s="7">
        <v>1</v>
      </c>
      <c r="AD142" s="11">
        <f>X142*AA142</f>
        <v>17670.345615483235</v>
      </c>
      <c r="AE142" s="11">
        <f>Y142*AB142</f>
        <v>-774.8101457482007</v>
      </c>
      <c r="AF142" s="11">
        <f>Z142*AC142</f>
        <v>-1226.9091076050602</v>
      </c>
      <c r="AG142" s="7">
        <v>17670.345615483235</v>
      </c>
      <c r="AH142" s="7">
        <v>-774.8101457482007</v>
      </c>
      <c r="AI142" s="7">
        <v>-1226.9091076050602</v>
      </c>
      <c r="AJ142" s="16">
        <f>AD142-AG142</f>
        <v>0</v>
      </c>
      <c r="AK142" s="16">
        <f>SQRT((AE142-AH142)^2+(AF142-AI142)^2)</f>
        <v>0</v>
      </c>
      <c r="AL142" s="7" t="s">
        <v>190</v>
      </c>
      <c r="AM142" s="7">
        <v>17670.345615483235</v>
      </c>
      <c r="AN142" s="7">
        <v>-774.8101457482007</v>
      </c>
      <c r="AO142" s="7">
        <v>-1226.9091076050602</v>
      </c>
      <c r="AP142" s="7">
        <v>15287.791794906805</v>
      </c>
      <c r="AQ142" s="7">
        <v>-588.4028266934557</v>
      </c>
      <c r="AR142" s="7">
        <v>-931.0744177774984</v>
      </c>
      <c r="AS142" s="7">
        <v>2382.5538205764324</v>
      </c>
      <c r="AT142" s="7">
        <v>-186.40731905474507</v>
      </c>
      <c r="AU142" s="7">
        <v>-295.83468982756193</v>
      </c>
    </row>
    <row r="143" spans="1:47" x14ac:dyDescent="0.25">
      <c r="A143" s="7" t="s">
        <v>466</v>
      </c>
      <c r="B143" s="7">
        <v>5</v>
      </c>
      <c r="C143" s="19">
        <v>230</v>
      </c>
      <c r="D143" s="7" t="s">
        <v>467</v>
      </c>
      <c r="E143" s="7" t="s">
        <v>229</v>
      </c>
      <c r="F143" s="20">
        <v>230</v>
      </c>
      <c r="G143" s="7" t="s">
        <v>194</v>
      </c>
      <c r="H143" s="21">
        <v>1</v>
      </c>
      <c r="I143" s="11">
        <f>MAX(('Geometry'!$G$13*COS(RADIANS(F143))+'Geometry'!$F$13*SIN(RADIANS(F143))),('Geometry'!$G$14*COS(RADIANS(F143))+'Geometry'!$F$14*SIN(RADIANS(F143))),('Geometry'!$G$15*COS(RADIANS(F143))+'Geometry'!$F$15*SIN(RADIANS(F143))),('Geometry'!$G$16*COS(RADIANS(F143))+'Geometry'!$F$16*SIN(RADIANS(F143))),('Geometry'!$G$17*COS(RADIANS(F143))+'Geometry'!$F$17*SIN(RADIANS(F143))),('Geometry'!$G$18*COS(RADIANS(F143))+'Geometry'!$F$18*SIN(RADIANS(F143))),('Geometry'!$G$19*COS(RADIANS(F143))+'Geometry'!$F$19*SIN(RADIANS(F143))),('Geometry'!$G$20*COS(RADIANS(F143))+'Geometry'!$F$20*SIN(RADIANS(F143))))</f>
        <v>831.6483762138491</v>
      </c>
      <c r="J143" s="11">
        <f>I143-H143*K143</f>
        <v>-831.6483762138491</v>
      </c>
      <c r="K143" s="11">
        <f>I143-MIN(('Geometry'!$G$13*COS(RADIANS(F143))+'Geometry'!$F$13*SIN(RADIANS(F143))),('Geometry'!$G$14*COS(RADIANS(F143))+'Geometry'!$F$14*SIN(RADIANS(F143))),('Geometry'!$G$15*COS(RADIANS(F143))+'Geometry'!$F$15*SIN(RADIANS(F143))),('Geometry'!$G$16*COS(RADIANS(F143))+'Geometry'!$F$16*SIN(RADIANS(F143))),('Geometry'!$G$17*COS(RADIANS(F143))+'Geometry'!$F$17*SIN(RADIANS(F143))),('Geometry'!$G$18*COS(RADIANS(F143))+'Geometry'!$F$18*SIN(RADIANS(F143))),('Geometry'!$G$19*COS(RADIANS(F143))+'Geometry'!$F$19*SIN(RADIANS(F143))),('Geometry'!$G$20*COS(RADIANS(F143))+'Geometry'!$F$20*SIN(RADIANS(F143))))</f>
        <v>1663.2967524276983</v>
      </c>
      <c r="L143" s="16">
        <f>C_ecu</f>
        <v>0.0033</v>
      </c>
      <c r="M143" s="16">
        <f>0</f>
        <v>0</v>
      </c>
      <c r="N143" s="22">
        <f>IF(ABS(I143-J143)&lt;0.000000000001,0,(L143-M143)/(I143-J143))</f>
        <v>0.0000019840115693026024</v>
      </c>
      <c r="O143" s="16">
        <f>L143-N143*I143</f>
        <v>0.00165</v>
      </c>
      <c r="P143" s="22">
        <f>N143*COS(RADIANS(F143))</f>
        <v>-0.0000012752980542224599</v>
      </c>
      <c r="Q143" s="22">
        <f>N143*SIN(RADIANS(F143))</f>
        <v>-0.0000015198410377480215</v>
      </c>
      <c r="R143" s="11">
        <f>AP143</f>
        <v>15287.791794906805</v>
      </c>
      <c r="S143" s="11">
        <f>AQ143</f>
        <v>-882.6042400401834</v>
      </c>
      <c r="T143" s="11">
        <f>AR143</f>
        <v>-1396.6116266662475</v>
      </c>
      <c r="U143" s="11">
        <f>AS143</f>
        <v>2382.5538205764324</v>
      </c>
      <c r="V143" s="11">
        <f>AT143</f>
        <v>-279.61097858211764</v>
      </c>
      <c r="W143" s="11">
        <f>AU143</f>
        <v>-443.75203474134287</v>
      </c>
      <c r="X143" s="11">
        <f>AM143</f>
        <v>17670.345615483235</v>
      </c>
      <c r="Y143" s="11">
        <f>AN143</f>
        <v>-1162.215218622301</v>
      </c>
      <c r="Z143" s="11">
        <f>AO143</f>
        <v>-1840.3636614075901</v>
      </c>
      <c r="AA143" s="7">
        <v>1</v>
      </c>
      <c r="AB143" s="7">
        <v>1</v>
      </c>
      <c r="AC143" s="7">
        <v>1</v>
      </c>
      <c r="AD143" s="11">
        <f>X143*AA143</f>
        <v>17670.345615483235</v>
      </c>
      <c r="AE143" s="11">
        <f>Y143*AB143</f>
        <v>-1162.215218622301</v>
      </c>
      <c r="AF143" s="11">
        <f>Z143*AC143</f>
        <v>-1840.3636614075901</v>
      </c>
      <c r="AG143" s="7">
        <v>17670.345615483235</v>
      </c>
      <c r="AH143" s="7">
        <v>-1162.215218622301</v>
      </c>
      <c r="AI143" s="7">
        <v>-1840.3636614075901</v>
      </c>
      <c r="AJ143" s="16">
        <f>AD143-AG143</f>
        <v>0</v>
      </c>
      <c r="AK143" s="16">
        <f>SQRT((AE143-AH143)^2+(AF143-AI143)^2)</f>
        <v>0</v>
      </c>
      <c r="AL143" s="7" t="s">
        <v>190</v>
      </c>
      <c r="AM143" s="7">
        <v>17670.345615483235</v>
      </c>
      <c r="AN143" s="7">
        <v>-1162.215218622301</v>
      </c>
      <c r="AO143" s="7">
        <v>-1840.3636614075901</v>
      </c>
      <c r="AP143" s="7">
        <v>15287.791794906805</v>
      </c>
      <c r="AQ143" s="7">
        <v>-882.6042400401834</v>
      </c>
      <c r="AR143" s="7">
        <v>-1396.6116266662475</v>
      </c>
      <c r="AS143" s="7">
        <v>2382.5538205764324</v>
      </c>
      <c r="AT143" s="7">
        <v>-279.61097858211764</v>
      </c>
      <c r="AU143" s="7">
        <v>-443.75203474134287</v>
      </c>
    </row>
    <row r="144" spans="1:47" x14ac:dyDescent="0.25">
      <c r="A144" s="7" t="s">
        <v>468</v>
      </c>
      <c r="B144" s="7">
        <v>6</v>
      </c>
      <c r="C144" s="19">
        <v>230</v>
      </c>
      <c r="D144" s="7" t="s">
        <v>469</v>
      </c>
      <c r="E144" s="7" t="s">
        <v>206</v>
      </c>
      <c r="F144" s="20">
        <v>230</v>
      </c>
      <c r="G144" s="7" t="s">
        <v>194</v>
      </c>
      <c r="H144" s="21">
        <v>1.1</v>
      </c>
      <c r="I144" s="11">
        <f>MAX(('Geometry'!$G$13*COS(RADIANS(F144))+'Geometry'!$F$13*SIN(RADIANS(F144))),('Geometry'!$G$14*COS(RADIANS(F144))+'Geometry'!$F$14*SIN(RADIANS(F144))),('Geometry'!$G$15*COS(RADIANS(F144))+'Geometry'!$F$15*SIN(RADIANS(F144))),('Geometry'!$G$16*COS(RADIANS(F144))+'Geometry'!$F$16*SIN(RADIANS(F144))),('Geometry'!$G$17*COS(RADIANS(F144))+'Geometry'!$F$17*SIN(RADIANS(F144))),('Geometry'!$G$18*COS(RADIANS(F144))+'Geometry'!$F$18*SIN(RADIANS(F144))),('Geometry'!$G$19*COS(RADIANS(F144))+'Geometry'!$F$19*SIN(RADIANS(F144))),('Geometry'!$G$20*COS(RADIANS(F144))+'Geometry'!$F$20*SIN(RADIANS(F144))))</f>
        <v>831.6483762138491</v>
      </c>
      <c r="J144" s="11">
        <f>I144-H144*K144</f>
        <v>-997.9780514566191</v>
      </c>
      <c r="K144" s="11">
        <f>I144-MIN(('Geometry'!$G$13*COS(RADIANS(F144))+'Geometry'!$F$13*SIN(RADIANS(F144))),('Geometry'!$G$14*COS(RADIANS(F144))+'Geometry'!$F$14*SIN(RADIANS(F144))),('Geometry'!$G$15*COS(RADIANS(F144))+'Geometry'!$F$15*SIN(RADIANS(F144))),('Geometry'!$G$16*COS(RADIANS(F144))+'Geometry'!$F$16*SIN(RADIANS(F144))),('Geometry'!$G$17*COS(RADIANS(F144))+'Geometry'!$F$17*SIN(RADIANS(F144))),('Geometry'!$G$18*COS(RADIANS(F144))+'Geometry'!$F$18*SIN(RADIANS(F144))),('Geometry'!$G$19*COS(RADIANS(F144))+'Geometry'!$F$19*SIN(RADIANS(F144))),('Geometry'!$G$20*COS(RADIANS(F144))+'Geometry'!$F$20*SIN(RADIANS(F144))))</f>
        <v>1663.2967524276983</v>
      </c>
      <c r="L144" s="16">
        <f>C_ecu</f>
        <v>0.0033</v>
      </c>
      <c r="M144" s="16">
        <f>0</f>
        <v>0</v>
      </c>
      <c r="N144" s="22">
        <f>IF(ABS(I144-J144)&lt;0.000000000001,0,(L144-M144)/(I144-J144))</f>
        <v>0.0000018036468811841838</v>
      </c>
      <c r="O144" s="16">
        <f>L144-N144*I144</f>
        <v>0.0018</v>
      </c>
      <c r="P144" s="22">
        <f>N144*COS(RADIANS(F144))</f>
        <v>-0.0000011593618674749635</v>
      </c>
      <c r="Q144" s="22">
        <f>N144*SIN(RADIANS(F144))</f>
        <v>-0.0000013816736706800195</v>
      </c>
      <c r="R144" s="11">
        <f>AP144</f>
        <v>15287.791794906805</v>
      </c>
      <c r="S144" s="11">
        <f>AQ144</f>
        <v>-735.5035333668195</v>
      </c>
      <c r="T144" s="11">
        <f>AR144</f>
        <v>-1163.8430222218728</v>
      </c>
      <c r="U144" s="11">
        <f>AS144</f>
        <v>2382.5538205764324</v>
      </c>
      <c r="V144" s="11">
        <f>AT144</f>
        <v>-233.00914881843136</v>
      </c>
      <c r="W144" s="11">
        <f>AU144</f>
        <v>-369.79336228445237</v>
      </c>
      <c r="X144" s="11">
        <f>AM144</f>
        <v>17670.345615483235</v>
      </c>
      <c r="Y144" s="11">
        <f>AN144</f>
        <v>-968.5126821852509</v>
      </c>
      <c r="Z144" s="11">
        <f>AO144</f>
        <v>-1533.6363845063252</v>
      </c>
      <c r="AA144" s="7">
        <v>1</v>
      </c>
      <c r="AB144" s="7">
        <v>1</v>
      </c>
      <c r="AC144" s="7">
        <v>1</v>
      </c>
      <c r="AD144" s="11">
        <f>X144*AA144</f>
        <v>17670.345615483235</v>
      </c>
      <c r="AE144" s="11">
        <f>Y144*AB144</f>
        <v>-968.5126821852509</v>
      </c>
      <c r="AF144" s="11">
        <f>Z144*AC144</f>
        <v>-1533.6363845063252</v>
      </c>
      <c r="AG144" s="7">
        <v>17670.345615483235</v>
      </c>
      <c r="AH144" s="7">
        <v>-968.5126821852509</v>
      </c>
      <c r="AI144" s="7">
        <v>-1533.6363845063252</v>
      </c>
      <c r="AJ144" s="16">
        <f>AD144-AG144</f>
        <v>0</v>
      </c>
      <c r="AK144" s="16">
        <f>SQRT((AE144-AH144)^2+(AF144-AI144)^2)</f>
        <v>0</v>
      </c>
      <c r="AL144" s="7" t="s">
        <v>190</v>
      </c>
      <c r="AM144" s="7">
        <v>17670.345615483235</v>
      </c>
      <c r="AN144" s="7">
        <v>-968.5126821852509</v>
      </c>
      <c r="AO144" s="7">
        <v>-1533.6363845063252</v>
      </c>
      <c r="AP144" s="7">
        <v>15287.791794906805</v>
      </c>
      <c r="AQ144" s="7">
        <v>-735.5035333668195</v>
      </c>
      <c r="AR144" s="7">
        <v>-1163.8430222218728</v>
      </c>
      <c r="AS144" s="7">
        <v>2382.5538205764324</v>
      </c>
      <c r="AT144" s="7">
        <v>-233.00914881843136</v>
      </c>
      <c r="AU144" s="7">
        <v>-369.79336228445237</v>
      </c>
    </row>
    <row r="145" spans="1:47" x14ac:dyDescent="0.25">
      <c r="A145" s="7" t="s">
        <v>470</v>
      </c>
      <c r="B145" s="7">
        <v>1</v>
      </c>
      <c r="C145" s="19">
        <v>240</v>
      </c>
      <c r="D145" s="7" t="s">
        <v>471</v>
      </c>
      <c r="E145" s="7" t="s">
        <v>200</v>
      </c>
      <c r="F145" s="20">
        <v>240</v>
      </c>
      <c r="G145" s="7" t="s">
        <v>194</v>
      </c>
      <c r="H145" s="21">
        <v>1.5</v>
      </c>
      <c r="I145" s="11">
        <f>MAX(('Geometry'!$G$13*COS(RADIANS(F145))+'Geometry'!$F$13*SIN(RADIANS(F145))),('Geometry'!$G$14*COS(RADIANS(F145))+'Geometry'!$F$14*SIN(RADIANS(F145))),('Geometry'!$G$15*COS(RADIANS(F145))+'Geometry'!$F$15*SIN(RADIANS(F145))),('Geometry'!$G$16*COS(RADIANS(F145))+'Geometry'!$F$16*SIN(RADIANS(F145))),('Geometry'!$G$17*COS(RADIANS(F145))+'Geometry'!$F$17*SIN(RADIANS(F145))),('Geometry'!$G$18*COS(RADIANS(F145))+'Geometry'!$F$18*SIN(RADIANS(F145))),('Geometry'!$G$19*COS(RADIANS(F145))+'Geometry'!$F$19*SIN(RADIANS(F145))),('Geometry'!$G$20*COS(RADIANS(F145))+'Geometry'!$F$20*SIN(RADIANS(F145))))</f>
        <v>849.5190528383291</v>
      </c>
      <c r="J145" s="11">
        <f>I145-H145*K145</f>
        <v>-1699.038105676658</v>
      </c>
      <c r="K145" s="11">
        <f>I145-MIN(('Geometry'!$G$13*COS(RADIANS(F145))+'Geometry'!$F$13*SIN(RADIANS(F145))),('Geometry'!$G$14*COS(RADIANS(F145))+'Geometry'!$F$14*SIN(RADIANS(F145))),('Geometry'!$G$15*COS(RADIANS(F145))+'Geometry'!$F$15*SIN(RADIANS(F145))),('Geometry'!$G$16*COS(RADIANS(F145))+'Geometry'!$F$16*SIN(RADIANS(F145))),('Geometry'!$G$17*COS(RADIANS(F145))+'Geometry'!$F$17*SIN(RADIANS(F145))),('Geometry'!$G$18*COS(RADIANS(F145))+'Geometry'!$F$18*SIN(RADIANS(F145))),('Geometry'!$G$19*COS(RADIANS(F145))+'Geometry'!$F$19*SIN(RADIANS(F145))),('Geometry'!$G$20*COS(RADIANS(F145))+'Geometry'!$F$20*SIN(RADIANS(F145))))</f>
        <v>1699.0381056766582</v>
      </c>
      <c r="L145" s="16">
        <f>C_ecu</f>
        <v>0.0033</v>
      </c>
      <c r="M145" s="16">
        <f>0</f>
        <v>0</v>
      </c>
      <c r="N145" s="22">
        <f>IF(ABS(I145-J145)&lt;0.000000000001,0,(L145-M145)/(I145-J145))</f>
        <v>0.0000012948502995015694</v>
      </c>
      <c r="O145" s="16">
        <f>L145-N145*I145</f>
        <v>0.0021999999999999997</v>
      </c>
      <c r="P145" s="22">
        <f>N145*COS(RADIANS(F145))</f>
        <v>-6.474251497507852e-7</v>
      </c>
      <c r="Q145" s="22">
        <f>N145*SIN(RADIANS(F145))</f>
        <v>-0.0000011213732534662478</v>
      </c>
      <c r="R145" s="11">
        <f>AP145</f>
        <v>15289.900765931869</v>
      </c>
      <c r="S145" s="11">
        <f>AQ145</f>
        <v>-341.39464731742794</v>
      </c>
      <c r="T145" s="11">
        <f>AR145</f>
        <v>-764.9806756412997</v>
      </c>
      <c r="U145" s="11">
        <f>AS145</f>
        <v>2380.444849551365</v>
      </c>
      <c r="V145" s="11">
        <f>AT145</f>
        <v>-105.15277472304324</v>
      </c>
      <c r="W145" s="11">
        <f>AU145</f>
        <v>-244.89268533361798</v>
      </c>
      <c r="X145" s="11">
        <f>AM145</f>
        <v>17670.345615483235</v>
      </c>
      <c r="Y145" s="11">
        <f>AN145</f>
        <v>-446.54742204047113</v>
      </c>
      <c r="Z145" s="11">
        <f>AO145</f>
        <v>-1009.8733609749177</v>
      </c>
      <c r="AA145" s="7">
        <v>1</v>
      </c>
      <c r="AB145" s="7">
        <v>1</v>
      </c>
      <c r="AC145" s="7">
        <v>1</v>
      </c>
      <c r="AD145" s="11">
        <f>X145*AA145</f>
        <v>17670.345615483235</v>
      </c>
      <c r="AE145" s="11">
        <f>Y145*AB145</f>
        <v>-446.54742204047113</v>
      </c>
      <c r="AF145" s="11">
        <f>Z145*AC145</f>
        <v>-1009.8733609749177</v>
      </c>
      <c r="AG145" s="7">
        <v>17670.345615483235</v>
      </c>
      <c r="AH145" s="7">
        <v>-446.54742204047113</v>
      </c>
      <c r="AI145" s="7">
        <v>-1009.8733609749177</v>
      </c>
      <c r="AJ145" s="16">
        <f>AD145-AG145</f>
        <v>0</v>
      </c>
      <c r="AK145" s="16">
        <f>SQRT((AE145-AH145)^2+(AF145-AI145)^2)</f>
        <v>0</v>
      </c>
      <c r="AL145" s="7" t="s">
        <v>190</v>
      </c>
      <c r="AM145" s="7">
        <v>17670.345615483235</v>
      </c>
      <c r="AN145" s="7">
        <v>-446.54742204047113</v>
      </c>
      <c r="AO145" s="7">
        <v>-1009.8733609749177</v>
      </c>
      <c r="AP145" s="7">
        <v>15289.900765931869</v>
      </c>
      <c r="AQ145" s="7">
        <v>-341.39464731742794</v>
      </c>
      <c r="AR145" s="7">
        <v>-764.9806756412997</v>
      </c>
      <c r="AS145" s="7">
        <v>2380.444849551365</v>
      </c>
      <c r="AT145" s="7">
        <v>-105.15277472304324</v>
      </c>
      <c r="AU145" s="7">
        <v>-244.89268533361798</v>
      </c>
    </row>
    <row r="146" spans="1:47" x14ac:dyDescent="0.25">
      <c r="A146" s="7" t="s">
        <v>472</v>
      </c>
      <c r="B146" s="7">
        <v>2</v>
      </c>
      <c r="C146" s="19">
        <v>240</v>
      </c>
      <c r="D146" s="7" t="s">
        <v>473</v>
      </c>
      <c r="E146" s="7" t="s">
        <v>206</v>
      </c>
      <c r="F146" s="20">
        <v>239.99999999999994</v>
      </c>
      <c r="G146" s="7" t="s">
        <v>194</v>
      </c>
      <c r="H146" s="21">
        <v>1.1000000000000003</v>
      </c>
      <c r="I146" s="11">
        <f>MAX(('Geometry'!$G$13*COS(RADIANS(F146))+'Geometry'!$F$13*SIN(RADIANS(F146))),('Geometry'!$G$14*COS(RADIANS(F146))+'Geometry'!$F$14*SIN(RADIANS(F146))),('Geometry'!$G$15*COS(RADIANS(F146))+'Geometry'!$F$15*SIN(RADIANS(F146))),('Geometry'!$G$16*COS(RADIANS(F146))+'Geometry'!$F$16*SIN(RADIANS(F146))),('Geometry'!$G$17*COS(RADIANS(F146))+'Geometry'!$F$17*SIN(RADIANS(F146))),('Geometry'!$G$18*COS(RADIANS(F146))+'Geometry'!$F$18*SIN(RADIANS(F146))),('Geometry'!$G$19*COS(RADIANS(F146))+'Geometry'!$F$19*SIN(RADIANS(F146))),('Geometry'!$G$20*COS(RADIANS(F146))+'Geometry'!$F$20*SIN(RADIANS(F146))))</f>
        <v>849.5190528383289</v>
      </c>
      <c r="J146" s="11">
        <f>I146-H146*K146</f>
        <v>-1019.4228634059953</v>
      </c>
      <c r="K146" s="11">
        <f>I146-MIN(('Geometry'!$G$13*COS(RADIANS(F146))+'Geometry'!$F$13*SIN(RADIANS(F146))),('Geometry'!$G$14*COS(RADIANS(F146))+'Geometry'!$F$14*SIN(RADIANS(F146))),('Geometry'!$G$15*COS(RADIANS(F146))+'Geometry'!$F$15*SIN(RADIANS(F146))),('Geometry'!$G$16*COS(RADIANS(F146))+'Geometry'!$F$16*SIN(RADIANS(F146))),('Geometry'!$G$17*COS(RADIANS(F146))+'Geometry'!$F$17*SIN(RADIANS(F146))),('Geometry'!$G$18*COS(RADIANS(F146))+'Geometry'!$F$18*SIN(RADIANS(F146))),('Geometry'!$G$19*COS(RADIANS(F146))+'Geometry'!$F$19*SIN(RADIANS(F146))),('Geometry'!$G$20*COS(RADIANS(F146))+'Geometry'!$F$20*SIN(RADIANS(F146))))</f>
        <v>1699.0381056766578</v>
      </c>
      <c r="L146" s="16">
        <f>C_ecu</f>
        <v>0.0032999999999999995</v>
      </c>
      <c r="M146" s="16">
        <f>0</f>
        <v>0</v>
      </c>
      <c r="N146" s="22">
        <f>IF(ABS(I146-J146)&lt;0.000000000001,0,(L146-M146)/(I146-J146))</f>
        <v>0.000001765704953865776</v>
      </c>
      <c r="O146" s="16">
        <f>L146-N146*I146</f>
        <v>0.0018000000000000002</v>
      </c>
      <c r="P146" s="22">
        <f>N146*COS(RADIANS(F146))</f>
        <v>-8.828524769328889e-7</v>
      </c>
      <c r="Q146" s="22">
        <f>N146*SIN(RADIANS(F146))</f>
        <v>-0.0000015291453456357922</v>
      </c>
      <c r="R146" s="11">
        <f>AP146</f>
        <v>15289.900765931869</v>
      </c>
      <c r="S146" s="11">
        <f>AQ146</f>
        <v>-568.9910788623798</v>
      </c>
      <c r="T146" s="11">
        <f>AR146</f>
        <v>-1274.9677927354994</v>
      </c>
      <c r="U146" s="11">
        <f>AS146</f>
        <v>2380.444849551365</v>
      </c>
      <c r="V146" s="11">
        <f>AT146</f>
        <v>-175.25462453840538</v>
      </c>
      <c r="W146" s="11">
        <f>AU146</f>
        <v>-408.15447555603</v>
      </c>
      <c r="X146" s="11">
        <f>AM146</f>
        <v>17670.345615483235</v>
      </c>
      <c r="Y146" s="11">
        <f>AN146</f>
        <v>-744.2457034007853</v>
      </c>
      <c r="Z146" s="11">
        <f>AO146</f>
        <v>-1683.1222682915295</v>
      </c>
      <c r="AA146" s="7">
        <v>1</v>
      </c>
      <c r="AB146" s="7">
        <v>1</v>
      </c>
      <c r="AC146" s="7">
        <v>1</v>
      </c>
      <c r="AD146" s="11">
        <f>X146*AA146</f>
        <v>17670.345615483235</v>
      </c>
      <c r="AE146" s="11">
        <f>Y146*AB146</f>
        <v>-744.2457034007853</v>
      </c>
      <c r="AF146" s="11">
        <f>Z146*AC146</f>
        <v>-1683.1222682915295</v>
      </c>
      <c r="AG146" s="7">
        <v>17670.345615483235</v>
      </c>
      <c r="AH146" s="7">
        <v>-744.2457034007853</v>
      </c>
      <c r="AI146" s="7">
        <v>-1683.1222682915295</v>
      </c>
      <c r="AJ146" s="16">
        <f>AD146-AG146</f>
        <v>0</v>
      </c>
      <c r="AK146" s="16">
        <f>SQRT((AE146-AH146)^2+(AF146-AI146)^2)</f>
        <v>0</v>
      </c>
      <c r="AL146" s="7" t="s">
        <v>190</v>
      </c>
      <c r="AM146" s="7">
        <v>17670.345615483235</v>
      </c>
      <c r="AN146" s="7">
        <v>-744.2457034007853</v>
      </c>
      <c r="AO146" s="7">
        <v>-1683.1222682915295</v>
      </c>
      <c r="AP146" s="7">
        <v>15289.900765931869</v>
      </c>
      <c r="AQ146" s="7">
        <v>-568.9910788623798</v>
      </c>
      <c r="AR146" s="7">
        <v>-1274.9677927354994</v>
      </c>
      <c r="AS146" s="7">
        <v>2380.444849551365</v>
      </c>
      <c r="AT146" s="7">
        <v>-175.25462453840538</v>
      </c>
      <c r="AU146" s="7">
        <v>-408.15447555603</v>
      </c>
    </row>
    <row r="147" spans="1:47" x14ac:dyDescent="0.25">
      <c r="A147" s="7" t="s">
        <v>474</v>
      </c>
      <c r="B147" s="7">
        <v>3</v>
      </c>
      <c r="C147" s="19">
        <v>240</v>
      </c>
      <c r="D147" s="7" t="s">
        <v>475</v>
      </c>
      <c r="E147" s="7" t="s">
        <v>229</v>
      </c>
      <c r="F147" s="20">
        <v>239.99999999999994</v>
      </c>
      <c r="G147" s="7" t="s">
        <v>194</v>
      </c>
      <c r="H147" s="21">
        <v>1</v>
      </c>
      <c r="I147" s="11">
        <f>MAX(('Geometry'!$G$13*COS(RADIANS(F147))+'Geometry'!$F$13*SIN(RADIANS(F147))),('Geometry'!$G$14*COS(RADIANS(F147))+'Geometry'!$F$14*SIN(RADIANS(F147))),('Geometry'!$G$15*COS(RADIANS(F147))+'Geometry'!$F$15*SIN(RADIANS(F147))),('Geometry'!$G$16*COS(RADIANS(F147))+'Geometry'!$F$16*SIN(RADIANS(F147))),('Geometry'!$G$17*COS(RADIANS(F147))+'Geometry'!$F$17*SIN(RADIANS(F147))),('Geometry'!$G$18*COS(RADIANS(F147))+'Geometry'!$F$18*SIN(RADIANS(F147))),('Geometry'!$G$19*COS(RADIANS(F147))+'Geometry'!$F$19*SIN(RADIANS(F147))),('Geometry'!$G$20*COS(RADIANS(F147))+'Geometry'!$F$20*SIN(RADIANS(F147))))</f>
        <v>849.5190528383289</v>
      </c>
      <c r="J147" s="11">
        <f>I147-H147*K147</f>
        <v>-849.5190528383289</v>
      </c>
      <c r="K147" s="11">
        <f>I147-MIN(('Geometry'!$G$13*COS(RADIANS(F147))+'Geometry'!$F$13*SIN(RADIANS(F147))),('Geometry'!$G$14*COS(RADIANS(F147))+'Geometry'!$F$14*SIN(RADIANS(F147))),('Geometry'!$G$15*COS(RADIANS(F147))+'Geometry'!$F$15*SIN(RADIANS(F147))),('Geometry'!$G$16*COS(RADIANS(F147))+'Geometry'!$F$16*SIN(RADIANS(F147))),('Geometry'!$G$17*COS(RADIANS(F147))+'Geometry'!$F$17*SIN(RADIANS(F147))),('Geometry'!$G$18*COS(RADIANS(F147))+'Geometry'!$F$18*SIN(RADIANS(F147))),('Geometry'!$G$19*COS(RADIANS(F147))+'Geometry'!$F$19*SIN(RADIANS(F147))),('Geometry'!$G$20*COS(RADIANS(F147))+'Geometry'!$F$20*SIN(RADIANS(F147))))</f>
        <v>1699.0381056766578</v>
      </c>
      <c r="L147" s="16">
        <f>C_ecu</f>
        <v>0.0032999999999999995</v>
      </c>
      <c r="M147" s="16">
        <f>0</f>
        <v>0</v>
      </c>
      <c r="N147" s="22">
        <f>IF(ABS(I147-J147)&lt;0.000000000001,0,(L147-M147)/(I147-J147))</f>
        <v>0.000001942275449252354</v>
      </c>
      <c r="O147" s="16">
        <f>L147-N147*I147</f>
        <v>0.0016499999999999998</v>
      </c>
      <c r="P147" s="22">
        <f>N147*COS(RADIANS(F147))</f>
        <v>-9.71137724626178e-7</v>
      </c>
      <c r="Q147" s="22">
        <f>N147*SIN(RADIANS(F147))</f>
        <v>-0.0000016820598801993718</v>
      </c>
      <c r="R147" s="11">
        <f>AP147</f>
        <v>15289.900765931869</v>
      </c>
      <c r="S147" s="11">
        <f>AQ147</f>
        <v>-682.7892946348559</v>
      </c>
      <c r="T147" s="11">
        <f>AR147</f>
        <v>-1529.9613512825995</v>
      </c>
      <c r="U147" s="11">
        <f>AS147</f>
        <v>2380.444849551365</v>
      </c>
      <c r="V147" s="11">
        <f>AT147</f>
        <v>-210.30554944608647</v>
      </c>
      <c r="W147" s="11">
        <f>AU147</f>
        <v>-489.78537066723595</v>
      </c>
      <c r="X147" s="11">
        <f>AM147</f>
        <v>17670.345615483235</v>
      </c>
      <c r="Y147" s="11">
        <f>AN147</f>
        <v>-893.0948440809423</v>
      </c>
      <c r="Z147" s="11">
        <f>AO147</f>
        <v>-2019.7467219498353</v>
      </c>
      <c r="AA147" s="7">
        <v>1</v>
      </c>
      <c r="AB147" s="7">
        <v>1</v>
      </c>
      <c r="AC147" s="7">
        <v>1</v>
      </c>
      <c r="AD147" s="11">
        <f>X147*AA147</f>
        <v>17670.345615483235</v>
      </c>
      <c r="AE147" s="11">
        <f>Y147*AB147</f>
        <v>-893.0948440809423</v>
      </c>
      <c r="AF147" s="11">
        <f>Z147*AC147</f>
        <v>-2019.7467219498353</v>
      </c>
      <c r="AG147" s="7">
        <v>17670.345615483235</v>
      </c>
      <c r="AH147" s="7">
        <v>-893.0948440809423</v>
      </c>
      <c r="AI147" s="7">
        <v>-2019.7467219498353</v>
      </c>
      <c r="AJ147" s="16">
        <f>AD147-AG147</f>
        <v>0</v>
      </c>
      <c r="AK147" s="16">
        <f>SQRT((AE147-AH147)^2+(AF147-AI147)^2)</f>
        <v>0</v>
      </c>
      <c r="AL147" s="7" t="s">
        <v>190</v>
      </c>
      <c r="AM147" s="7">
        <v>17670.345615483235</v>
      </c>
      <c r="AN147" s="7">
        <v>-893.0948440809423</v>
      </c>
      <c r="AO147" s="7">
        <v>-2019.7467219498353</v>
      </c>
      <c r="AP147" s="7">
        <v>15289.900765931869</v>
      </c>
      <c r="AQ147" s="7">
        <v>-682.7892946348559</v>
      </c>
      <c r="AR147" s="7">
        <v>-1529.9613512825995</v>
      </c>
      <c r="AS147" s="7">
        <v>2380.444849551365</v>
      </c>
      <c r="AT147" s="7">
        <v>-210.30554944608647</v>
      </c>
      <c r="AU147" s="7">
        <v>-489.78537066723595</v>
      </c>
    </row>
    <row r="148" spans="1:47" x14ac:dyDescent="0.25">
      <c r="A148" s="7" t="s">
        <v>476</v>
      </c>
      <c r="B148" s="7">
        <v>4</v>
      </c>
      <c r="C148" s="19">
        <v>240</v>
      </c>
      <c r="D148" s="7" t="s">
        <v>477</v>
      </c>
      <c r="E148" s="7" t="s">
        <v>193</v>
      </c>
      <c r="F148" s="20">
        <v>240</v>
      </c>
      <c r="G148" s="7" t="s">
        <v>194</v>
      </c>
      <c r="H148" s="21">
        <v>3</v>
      </c>
      <c r="I148" s="11">
        <f>MAX(('Geometry'!$G$13*COS(RADIANS(F148))+'Geometry'!$F$13*SIN(RADIANS(F148))),('Geometry'!$G$14*COS(RADIANS(F148))+'Geometry'!$F$14*SIN(RADIANS(F148))),('Geometry'!$G$15*COS(RADIANS(F148))+'Geometry'!$F$15*SIN(RADIANS(F148))),('Geometry'!$G$16*COS(RADIANS(F148))+'Geometry'!$F$16*SIN(RADIANS(F148))),('Geometry'!$G$17*COS(RADIANS(F148))+'Geometry'!$F$17*SIN(RADIANS(F148))),('Geometry'!$G$18*COS(RADIANS(F148))+'Geometry'!$F$18*SIN(RADIANS(F148))),('Geometry'!$G$19*COS(RADIANS(F148))+'Geometry'!$F$19*SIN(RADIANS(F148))),('Geometry'!$G$20*COS(RADIANS(F148))+'Geometry'!$F$20*SIN(RADIANS(F148))))</f>
        <v>849.5190528383291</v>
      </c>
      <c r="J148" s="11">
        <f>I148-H148*K148</f>
        <v>-4247.595264191646</v>
      </c>
      <c r="K148" s="11">
        <f>I148-MIN(('Geometry'!$G$13*COS(RADIANS(F148))+'Geometry'!$F$13*SIN(RADIANS(F148))),('Geometry'!$G$14*COS(RADIANS(F148))+'Geometry'!$F$14*SIN(RADIANS(F148))),('Geometry'!$G$15*COS(RADIANS(F148))+'Geometry'!$F$15*SIN(RADIANS(F148))),('Geometry'!$G$16*COS(RADIANS(F148))+'Geometry'!$F$16*SIN(RADIANS(F148))),('Geometry'!$G$17*COS(RADIANS(F148))+'Geometry'!$F$17*SIN(RADIANS(F148))),('Geometry'!$G$18*COS(RADIANS(F148))+'Geometry'!$F$18*SIN(RADIANS(F148))),('Geometry'!$G$19*COS(RADIANS(F148))+'Geometry'!$F$19*SIN(RADIANS(F148))),('Geometry'!$G$20*COS(RADIANS(F148))+'Geometry'!$F$20*SIN(RADIANS(F148))))</f>
        <v>1699.0381056766582</v>
      </c>
      <c r="L148" s="16">
        <f>C_ecu</f>
        <v>0.0033</v>
      </c>
      <c r="M148" s="16">
        <f>0</f>
        <v>0</v>
      </c>
      <c r="N148" s="22">
        <f>IF(ABS(I148-J148)&lt;0.000000000001,0,(L148-M148)/(I148-J148))</f>
        <v>6.474251497507847e-7</v>
      </c>
      <c r="O148" s="16">
        <f>L148-N148*I148</f>
        <v>0.00275</v>
      </c>
      <c r="P148" s="22">
        <f>N148*COS(RADIANS(F148))</f>
        <v>-3.237125748753926e-7</v>
      </c>
      <c r="Q148" s="22">
        <f>N148*SIN(RADIANS(F148))</f>
        <v>-5.606866267331239e-7</v>
      </c>
      <c r="R148" s="11">
        <f>AP148</f>
        <v>15289.900765931869</v>
      </c>
      <c r="S148" s="11">
        <f>AQ148</f>
        <v>-113.79821577247596</v>
      </c>
      <c r="T148" s="11">
        <f>AR148</f>
        <v>-254.9935585470999</v>
      </c>
      <c r="U148" s="11">
        <f>AS148</f>
        <v>2380.444849551365</v>
      </c>
      <c r="V148" s="11">
        <f>AT148</f>
        <v>-35.05092490768108</v>
      </c>
      <c r="W148" s="11">
        <f>AU148</f>
        <v>-81.630895111206</v>
      </c>
      <c r="X148" s="11">
        <f>AM148</f>
        <v>17670.345615483235</v>
      </c>
      <c r="Y148" s="11">
        <f>AN148</f>
        <v>-148.84914068015703</v>
      </c>
      <c r="Z148" s="11">
        <f>AO148</f>
        <v>-336.62445365830587</v>
      </c>
      <c r="AA148" s="7">
        <v>1</v>
      </c>
      <c r="AB148" s="7">
        <v>1</v>
      </c>
      <c r="AC148" s="7">
        <v>1</v>
      </c>
      <c r="AD148" s="11">
        <f>X148*AA148</f>
        <v>17670.345615483235</v>
      </c>
      <c r="AE148" s="11">
        <f>Y148*AB148</f>
        <v>-148.84914068015703</v>
      </c>
      <c r="AF148" s="11">
        <f>Z148*AC148</f>
        <v>-336.62445365830587</v>
      </c>
      <c r="AG148" s="7">
        <v>17670.345615483235</v>
      </c>
      <c r="AH148" s="7">
        <v>-148.84914068015703</v>
      </c>
      <c r="AI148" s="7">
        <v>-336.62445365830587</v>
      </c>
      <c r="AJ148" s="16">
        <f>AD148-AG148</f>
        <v>0</v>
      </c>
      <c r="AK148" s="16">
        <f>SQRT((AE148-AH148)^2+(AF148-AI148)^2)</f>
        <v>0</v>
      </c>
      <c r="AL148" s="7" t="s">
        <v>190</v>
      </c>
      <c r="AM148" s="7">
        <v>17670.345615483235</v>
      </c>
      <c r="AN148" s="7">
        <v>-148.84914068015703</v>
      </c>
      <c r="AO148" s="7">
        <v>-336.62445365830587</v>
      </c>
      <c r="AP148" s="7">
        <v>15289.900765931869</v>
      </c>
      <c r="AQ148" s="7">
        <v>-113.79821577247596</v>
      </c>
      <c r="AR148" s="7">
        <v>-254.9935585470999</v>
      </c>
      <c r="AS148" s="7">
        <v>2380.444849551365</v>
      </c>
      <c r="AT148" s="7">
        <v>-35.05092490768108</v>
      </c>
      <c r="AU148" s="7">
        <v>-81.630895111206</v>
      </c>
    </row>
    <row r="149" spans="1:47" x14ac:dyDescent="0.25">
      <c r="A149" s="7" t="s">
        <v>478</v>
      </c>
      <c r="B149" s="7">
        <v>5</v>
      </c>
      <c r="C149" s="19">
        <v>240</v>
      </c>
      <c r="D149" s="7" t="s">
        <v>479</v>
      </c>
      <c r="E149" s="7" t="s">
        <v>197</v>
      </c>
      <c r="F149" s="20">
        <v>239.99999999999994</v>
      </c>
      <c r="G149" s="7" t="s">
        <v>194</v>
      </c>
      <c r="H149" s="21">
        <v>2</v>
      </c>
      <c r="I149" s="11">
        <f>MAX(('Geometry'!$G$13*COS(RADIANS(F149))+'Geometry'!$F$13*SIN(RADIANS(F149))),('Geometry'!$G$14*COS(RADIANS(F149))+'Geometry'!$F$14*SIN(RADIANS(F149))),('Geometry'!$G$15*COS(RADIANS(F149))+'Geometry'!$F$15*SIN(RADIANS(F149))),('Geometry'!$G$16*COS(RADIANS(F149))+'Geometry'!$F$16*SIN(RADIANS(F149))),('Geometry'!$G$17*COS(RADIANS(F149))+'Geometry'!$F$17*SIN(RADIANS(F149))),('Geometry'!$G$18*COS(RADIANS(F149))+'Geometry'!$F$18*SIN(RADIANS(F149))),('Geometry'!$G$19*COS(RADIANS(F149))+'Geometry'!$F$19*SIN(RADIANS(F149))),('Geometry'!$G$20*COS(RADIANS(F149))+'Geometry'!$F$20*SIN(RADIANS(F149))))</f>
        <v>849.5190528383289</v>
      </c>
      <c r="J149" s="11">
        <f>I149-H149*K149</f>
        <v>-2548.557158514987</v>
      </c>
      <c r="K149" s="11">
        <f>I149-MIN(('Geometry'!$G$13*COS(RADIANS(F149))+'Geometry'!$F$13*SIN(RADIANS(F149))),('Geometry'!$G$14*COS(RADIANS(F149))+'Geometry'!$F$14*SIN(RADIANS(F149))),('Geometry'!$G$15*COS(RADIANS(F149))+'Geometry'!$F$15*SIN(RADIANS(F149))),('Geometry'!$G$16*COS(RADIANS(F149))+'Geometry'!$F$16*SIN(RADIANS(F149))),('Geometry'!$G$17*COS(RADIANS(F149))+'Geometry'!$F$17*SIN(RADIANS(F149))),('Geometry'!$G$18*COS(RADIANS(F149))+'Geometry'!$F$18*SIN(RADIANS(F149))),('Geometry'!$G$19*COS(RADIANS(F149))+'Geometry'!$F$19*SIN(RADIANS(F149))),('Geometry'!$G$20*COS(RADIANS(F149))+'Geometry'!$F$20*SIN(RADIANS(F149))))</f>
        <v>1699.0381056766578</v>
      </c>
      <c r="L149" s="16">
        <f>C_ecu</f>
        <v>0.0032999999999999995</v>
      </c>
      <c r="M149" s="16">
        <f>0</f>
        <v>0</v>
      </c>
      <c r="N149" s="22">
        <f>IF(ABS(I149-J149)&lt;0.000000000001,0,(L149-M149)/(I149-J149))</f>
        <v>9.71137724626177e-7</v>
      </c>
      <c r="O149" s="16">
        <f>L149-N149*I149</f>
        <v>0.0024749999999999998</v>
      </c>
      <c r="P149" s="22">
        <f>N149*COS(RADIANS(F149))</f>
        <v>-4.85568862313089e-7</v>
      </c>
      <c r="Q149" s="22">
        <f>N149*SIN(RADIANS(F149))</f>
        <v>-8.410299400996859e-7</v>
      </c>
      <c r="R149" s="11">
        <f>AP149</f>
        <v>15289.900765931869</v>
      </c>
      <c r="S149" s="11">
        <f>AQ149</f>
        <v>-227.5964315449519</v>
      </c>
      <c r="T149" s="11">
        <f>AR149</f>
        <v>-509.9871170941998</v>
      </c>
      <c r="U149" s="11">
        <f>AS149</f>
        <v>2380.444849551365</v>
      </c>
      <c r="V149" s="11">
        <f>AT149</f>
        <v>-70.10184981536216</v>
      </c>
      <c r="W149" s="11">
        <f>AU149</f>
        <v>-163.261790222412</v>
      </c>
      <c r="X149" s="11">
        <f>AM149</f>
        <v>17670.345615483235</v>
      </c>
      <c r="Y149" s="11">
        <f>AN149</f>
        <v>-297.69828136031407</v>
      </c>
      <c r="Z149" s="11">
        <f>AO149</f>
        <v>-673.2489073166117</v>
      </c>
      <c r="AA149" s="7">
        <v>1</v>
      </c>
      <c r="AB149" s="7">
        <v>1</v>
      </c>
      <c r="AC149" s="7">
        <v>1</v>
      </c>
      <c r="AD149" s="11">
        <f>X149*AA149</f>
        <v>17670.345615483235</v>
      </c>
      <c r="AE149" s="11">
        <f>Y149*AB149</f>
        <v>-297.69828136031407</v>
      </c>
      <c r="AF149" s="11">
        <f>Z149*AC149</f>
        <v>-673.2489073166117</v>
      </c>
      <c r="AG149" s="7">
        <v>17670.345615483235</v>
      </c>
      <c r="AH149" s="7">
        <v>-297.69828136031407</v>
      </c>
      <c r="AI149" s="7">
        <v>-673.2489073166117</v>
      </c>
      <c r="AJ149" s="16">
        <f>AD149-AG149</f>
        <v>0</v>
      </c>
      <c r="AK149" s="16">
        <f>SQRT((AE149-AH149)^2+(AF149-AI149)^2)</f>
        <v>0</v>
      </c>
      <c r="AL149" s="7" t="s">
        <v>190</v>
      </c>
      <c r="AM149" s="7">
        <v>17670.345615483235</v>
      </c>
      <c r="AN149" s="7">
        <v>-297.69828136031407</v>
      </c>
      <c r="AO149" s="7">
        <v>-673.2489073166117</v>
      </c>
      <c r="AP149" s="7">
        <v>15289.900765931869</v>
      </c>
      <c r="AQ149" s="7">
        <v>-227.5964315449519</v>
      </c>
      <c r="AR149" s="7">
        <v>-509.9871170941998</v>
      </c>
      <c r="AS149" s="7">
        <v>2380.444849551365</v>
      </c>
      <c r="AT149" s="7">
        <v>-70.10184981536216</v>
      </c>
      <c r="AU149" s="7">
        <v>-163.261790222412</v>
      </c>
    </row>
    <row r="150" spans="1:47" x14ac:dyDescent="0.25">
      <c r="A150" s="7" t="s">
        <v>480</v>
      </c>
      <c r="B150" s="7">
        <v>6</v>
      </c>
      <c r="C150" s="19">
        <v>240</v>
      </c>
      <c r="D150" s="7" t="s">
        <v>481</v>
      </c>
      <c r="E150" s="7" t="s">
        <v>203</v>
      </c>
      <c r="F150" s="20">
        <v>239.99999999999994</v>
      </c>
      <c r="G150" s="7" t="s">
        <v>194</v>
      </c>
      <c r="H150" s="21">
        <v>1.2000000000000004</v>
      </c>
      <c r="I150" s="11">
        <f>MAX(('Geometry'!$G$13*COS(RADIANS(F150))+'Geometry'!$F$13*SIN(RADIANS(F150))),('Geometry'!$G$14*COS(RADIANS(F150))+'Geometry'!$F$14*SIN(RADIANS(F150))),('Geometry'!$G$15*COS(RADIANS(F150))+'Geometry'!$F$15*SIN(RADIANS(F150))),('Geometry'!$G$16*COS(RADIANS(F150))+'Geometry'!$F$16*SIN(RADIANS(F150))),('Geometry'!$G$17*COS(RADIANS(F150))+'Geometry'!$F$17*SIN(RADIANS(F150))),('Geometry'!$G$18*COS(RADIANS(F150))+'Geometry'!$F$18*SIN(RADIANS(F150))),('Geometry'!$G$19*COS(RADIANS(F150))+'Geometry'!$F$19*SIN(RADIANS(F150))),('Geometry'!$G$20*COS(RADIANS(F150))+'Geometry'!$F$20*SIN(RADIANS(F150))))</f>
        <v>849.5190528383289</v>
      </c>
      <c r="J150" s="11">
        <f>I150-H150*K150</f>
        <v>-1189.326673973661</v>
      </c>
      <c r="K150" s="11">
        <f>I150-MIN(('Geometry'!$G$13*COS(RADIANS(F150))+'Geometry'!$F$13*SIN(RADIANS(F150))),('Geometry'!$G$14*COS(RADIANS(F150))+'Geometry'!$F$14*SIN(RADIANS(F150))),('Geometry'!$G$15*COS(RADIANS(F150))+'Geometry'!$F$15*SIN(RADIANS(F150))),('Geometry'!$G$16*COS(RADIANS(F150))+'Geometry'!$F$16*SIN(RADIANS(F150))),('Geometry'!$G$17*COS(RADIANS(F150))+'Geometry'!$F$17*SIN(RADIANS(F150))),('Geometry'!$G$18*COS(RADIANS(F150))+'Geometry'!$F$18*SIN(RADIANS(F150))),('Geometry'!$G$19*COS(RADIANS(F150))+'Geometry'!$F$19*SIN(RADIANS(F150))),('Geometry'!$G$20*COS(RADIANS(F150))+'Geometry'!$F$20*SIN(RADIANS(F150))))</f>
        <v>1699.0381056766578</v>
      </c>
      <c r="L150" s="16">
        <f>C_ecu</f>
        <v>0.0032999999999999995</v>
      </c>
      <c r="M150" s="16">
        <f>0</f>
        <v>0</v>
      </c>
      <c r="N150" s="22">
        <f>IF(ABS(I150-J150)&lt;0.000000000001,0,(L150-M150)/(I150-J150))</f>
        <v>0.0000016185628743769615</v>
      </c>
      <c r="O150" s="16">
        <f>L150-N150*I150</f>
        <v>0.001925</v>
      </c>
      <c r="P150" s="22">
        <f>N150*COS(RADIANS(F150))</f>
        <v>-8.092814371884816e-7</v>
      </c>
      <c r="Q150" s="22">
        <f>N150*SIN(RADIANS(F150))</f>
        <v>-0.0000014017165668328096</v>
      </c>
      <c r="R150" s="11">
        <f>AP150</f>
        <v>15289.900765931869</v>
      </c>
      <c r="S150" s="11">
        <f>AQ150</f>
        <v>-455.1928630899038</v>
      </c>
      <c r="T150" s="11">
        <f>AR150</f>
        <v>-1019.9742341883996</v>
      </c>
      <c r="U150" s="11">
        <f>AS150</f>
        <v>2380.444849551365</v>
      </c>
      <c r="V150" s="11">
        <f>AT150</f>
        <v>-140.20369963072432</v>
      </c>
      <c r="W150" s="11">
        <f>AU150</f>
        <v>-326.523580444824</v>
      </c>
      <c r="X150" s="11">
        <f>AM150</f>
        <v>17670.345615483235</v>
      </c>
      <c r="Y150" s="11">
        <f>AN150</f>
        <v>-595.3965627206281</v>
      </c>
      <c r="Z150" s="11">
        <f>AO150</f>
        <v>-1346.4978146332235</v>
      </c>
      <c r="AA150" s="7">
        <v>1</v>
      </c>
      <c r="AB150" s="7">
        <v>1</v>
      </c>
      <c r="AC150" s="7">
        <v>1</v>
      </c>
      <c r="AD150" s="11">
        <f>X150*AA150</f>
        <v>17670.345615483235</v>
      </c>
      <c r="AE150" s="11">
        <f>Y150*AB150</f>
        <v>-595.3965627206281</v>
      </c>
      <c r="AF150" s="11">
        <f>Z150*AC150</f>
        <v>-1346.4978146332235</v>
      </c>
      <c r="AG150" s="7">
        <v>17670.345615483235</v>
      </c>
      <c r="AH150" s="7">
        <v>-595.3965627206281</v>
      </c>
      <c r="AI150" s="7">
        <v>-1346.4978146332235</v>
      </c>
      <c r="AJ150" s="16">
        <f>AD150-AG150</f>
        <v>0</v>
      </c>
      <c r="AK150" s="16">
        <f>SQRT((AE150-AH150)^2+(AF150-AI150)^2)</f>
        <v>0</v>
      </c>
      <c r="AL150" s="7" t="s">
        <v>190</v>
      </c>
      <c r="AM150" s="7">
        <v>17670.345615483235</v>
      </c>
      <c r="AN150" s="7">
        <v>-595.3965627206281</v>
      </c>
      <c r="AO150" s="7">
        <v>-1346.4978146332235</v>
      </c>
      <c r="AP150" s="7">
        <v>15289.900765931869</v>
      </c>
      <c r="AQ150" s="7">
        <v>-455.1928630899038</v>
      </c>
      <c r="AR150" s="7">
        <v>-1019.9742341883996</v>
      </c>
      <c r="AS150" s="7">
        <v>2380.444849551365</v>
      </c>
      <c r="AT150" s="7">
        <v>-140.20369963072432</v>
      </c>
      <c r="AU150" s="7">
        <v>-326.523580444824</v>
      </c>
    </row>
    <row r="151" spans="1:47" x14ac:dyDescent="0.25">
      <c r="A151" s="7" t="s">
        <v>482</v>
      </c>
      <c r="B151" s="7">
        <v>1</v>
      </c>
      <c r="C151" s="19">
        <v>250</v>
      </c>
      <c r="D151" s="7" t="s">
        <v>483</v>
      </c>
      <c r="E151" s="7" t="s">
        <v>193</v>
      </c>
      <c r="F151" s="20">
        <v>250</v>
      </c>
      <c r="G151" s="7" t="s">
        <v>194</v>
      </c>
      <c r="H151" s="21">
        <v>2.9999999999999996</v>
      </c>
      <c r="I151" s="11">
        <f>MAX(('Geometry'!$G$13*COS(RADIANS(F151))+'Geometry'!$F$13*SIN(RADIANS(F151))),('Geometry'!$G$14*COS(RADIANS(F151))+'Geometry'!$F$14*SIN(RADIANS(F151))),('Geometry'!$G$15*COS(RADIANS(F151))+'Geometry'!$F$15*SIN(RADIANS(F151))),('Geometry'!$G$16*COS(RADIANS(F151))+'Geometry'!$F$16*SIN(RADIANS(F151))),('Geometry'!$G$17*COS(RADIANS(F151))+'Geometry'!$F$17*SIN(RADIANS(F151))),('Geometry'!$G$18*COS(RADIANS(F151))+'Geometry'!$F$18*SIN(RADIANS(F151))),('Geometry'!$G$19*COS(RADIANS(F151))+'Geometry'!$F$19*SIN(RADIANS(F151))),('Geometry'!$G$20*COS(RADIANS(F151))+'Geometry'!$F$20*SIN(RADIANS(F151))))</f>
        <v>841.5775229196989</v>
      </c>
      <c r="J151" s="11">
        <f>I151-H151*K151</f>
        <v>-4207.887614598494</v>
      </c>
      <c r="K151" s="11">
        <f>I151-MIN(('Geometry'!$G$13*COS(RADIANS(F151))+'Geometry'!$F$13*SIN(RADIANS(F151))),('Geometry'!$G$14*COS(RADIANS(F151))+'Geometry'!$F$14*SIN(RADIANS(F151))),('Geometry'!$G$15*COS(RADIANS(F151))+'Geometry'!$F$15*SIN(RADIANS(F151))),('Geometry'!$G$16*COS(RADIANS(F151))+'Geometry'!$F$16*SIN(RADIANS(F151))),('Geometry'!$G$17*COS(RADIANS(F151))+'Geometry'!$F$17*SIN(RADIANS(F151))),('Geometry'!$G$18*COS(RADIANS(F151))+'Geometry'!$F$18*SIN(RADIANS(F151))),('Geometry'!$G$19*COS(RADIANS(F151))+'Geometry'!$F$19*SIN(RADIANS(F151))),('Geometry'!$G$20*COS(RADIANS(F151))+'Geometry'!$F$20*SIN(RADIANS(F151))))</f>
        <v>1683.1550458393979</v>
      </c>
      <c r="L151" s="16">
        <f>C_ecu</f>
        <v>0.0033</v>
      </c>
      <c r="M151" s="16">
        <f>0</f>
        <v>0</v>
      </c>
      <c r="N151" s="22">
        <f>IF(ABS(I151-J151)&lt;0.000000000001,0,(L151-M151)/(I151-J151))</f>
        <v>6.535345645780508e-7</v>
      </c>
      <c r="O151" s="16">
        <f>L151-N151*I151</f>
        <v>0.00275</v>
      </c>
      <c r="P151" s="22">
        <f>N151*COS(RADIANS(F151))</f>
        <v>-2.2352198544526336e-7</v>
      </c>
      <c r="Q151" s="22">
        <f>N151*SIN(RADIANS(F151))</f>
        <v>-6.141216077625262e-7</v>
      </c>
      <c r="R151" s="11">
        <f>AP151</f>
        <v>15276.903228450983</v>
      </c>
      <c r="S151" s="11">
        <f>AQ151</f>
        <v>-79.98262871229697</v>
      </c>
      <c r="T151" s="11">
        <f>AR151</f>
        <v>-278.10534146687365</v>
      </c>
      <c r="U151" s="11">
        <f>AS151</f>
        <v>2393.4423870322516</v>
      </c>
      <c r="V151" s="11">
        <f>AT151</f>
        <v>-23.71261199210657</v>
      </c>
      <c r="W151" s="11">
        <f>AU151</f>
        <v>-89.58151322519441</v>
      </c>
      <c r="X151" s="11">
        <f>AM151</f>
        <v>17670.345615483235</v>
      </c>
      <c r="Y151" s="11">
        <f>AN151</f>
        <v>-103.69524070440356</v>
      </c>
      <c r="Z151" s="11">
        <f>AO151</f>
        <v>-367.68685469206804</v>
      </c>
      <c r="AA151" s="7">
        <v>1</v>
      </c>
      <c r="AB151" s="7">
        <v>1</v>
      </c>
      <c r="AC151" s="7">
        <v>1</v>
      </c>
      <c r="AD151" s="11">
        <f>X151*AA151</f>
        <v>17670.345615483235</v>
      </c>
      <c r="AE151" s="11">
        <f>Y151*AB151</f>
        <v>-103.69524070440356</v>
      </c>
      <c r="AF151" s="11">
        <f>Z151*AC151</f>
        <v>-367.68685469206804</v>
      </c>
      <c r="AG151" s="7">
        <v>17670.345615483235</v>
      </c>
      <c r="AH151" s="7">
        <v>-103.69524070440356</v>
      </c>
      <c r="AI151" s="7">
        <v>-367.68685469206804</v>
      </c>
      <c r="AJ151" s="16">
        <f>AD151-AG151</f>
        <v>0</v>
      </c>
      <c r="AK151" s="16">
        <f>SQRT((AE151-AH151)^2+(AF151-AI151)^2)</f>
        <v>0</v>
      </c>
      <c r="AL151" s="7" t="s">
        <v>190</v>
      </c>
      <c r="AM151" s="7">
        <v>17670.345615483235</v>
      </c>
      <c r="AN151" s="7">
        <v>-103.69524070440356</v>
      </c>
      <c r="AO151" s="7">
        <v>-367.68685469206804</v>
      </c>
      <c r="AP151" s="7">
        <v>15276.903228450983</v>
      </c>
      <c r="AQ151" s="7">
        <v>-79.98262871229697</v>
      </c>
      <c r="AR151" s="7">
        <v>-278.10534146687365</v>
      </c>
      <c r="AS151" s="7">
        <v>2393.4423870322516</v>
      </c>
      <c r="AT151" s="7">
        <v>-23.71261199210657</v>
      </c>
      <c r="AU151" s="7">
        <v>-89.58151322519441</v>
      </c>
    </row>
    <row r="152" spans="1:47" x14ac:dyDescent="0.25">
      <c r="A152" s="7" t="s">
        <v>484</v>
      </c>
      <c r="B152" s="7">
        <v>2</v>
      </c>
      <c r="C152" s="19">
        <v>250</v>
      </c>
      <c r="D152" s="7" t="s">
        <v>485</v>
      </c>
      <c r="E152" s="7" t="s">
        <v>197</v>
      </c>
      <c r="F152" s="20">
        <v>250</v>
      </c>
      <c r="G152" s="7" t="s">
        <v>194</v>
      </c>
      <c r="H152" s="21">
        <v>1.9999999999999996</v>
      </c>
      <c r="I152" s="11">
        <f>MAX(('Geometry'!$G$13*COS(RADIANS(F152))+'Geometry'!$F$13*SIN(RADIANS(F152))),('Geometry'!$G$14*COS(RADIANS(F152))+'Geometry'!$F$14*SIN(RADIANS(F152))),('Geometry'!$G$15*COS(RADIANS(F152))+'Geometry'!$F$15*SIN(RADIANS(F152))),('Geometry'!$G$16*COS(RADIANS(F152))+'Geometry'!$F$16*SIN(RADIANS(F152))),('Geometry'!$G$17*COS(RADIANS(F152))+'Geometry'!$F$17*SIN(RADIANS(F152))),('Geometry'!$G$18*COS(RADIANS(F152))+'Geometry'!$F$18*SIN(RADIANS(F152))),('Geometry'!$G$19*COS(RADIANS(F152))+'Geometry'!$F$19*SIN(RADIANS(F152))),('Geometry'!$G$20*COS(RADIANS(F152))+'Geometry'!$F$20*SIN(RADIANS(F152))))</f>
        <v>841.5775229196989</v>
      </c>
      <c r="J152" s="11">
        <f>I152-H152*K152</f>
        <v>-2524.732568759096</v>
      </c>
      <c r="K152" s="11">
        <f>I152-MIN(('Geometry'!$G$13*COS(RADIANS(F152))+'Geometry'!$F$13*SIN(RADIANS(F152))),('Geometry'!$G$14*COS(RADIANS(F152))+'Geometry'!$F$14*SIN(RADIANS(F152))),('Geometry'!$G$15*COS(RADIANS(F152))+'Geometry'!$F$15*SIN(RADIANS(F152))),('Geometry'!$G$16*COS(RADIANS(F152))+'Geometry'!$F$16*SIN(RADIANS(F152))),('Geometry'!$G$17*COS(RADIANS(F152))+'Geometry'!$F$17*SIN(RADIANS(F152))),('Geometry'!$G$18*COS(RADIANS(F152))+'Geometry'!$F$18*SIN(RADIANS(F152))),('Geometry'!$G$19*COS(RADIANS(F152))+'Geometry'!$F$19*SIN(RADIANS(F152))),('Geometry'!$G$20*COS(RADIANS(F152))+'Geometry'!$F$20*SIN(RADIANS(F152))))</f>
        <v>1683.1550458393979</v>
      </c>
      <c r="L152" s="16">
        <f>C_ecu</f>
        <v>0.0033</v>
      </c>
      <c r="M152" s="16">
        <f>0</f>
        <v>0</v>
      </c>
      <c r="N152" s="22">
        <f>IF(ABS(I152-J152)&lt;0.000000000001,0,(L152-M152)/(I152-J152))</f>
        <v>9.803018468670764e-7</v>
      </c>
      <c r="O152" s="16">
        <f>L152-N152*I152</f>
        <v>0.0024749999999999998</v>
      </c>
      <c r="P152" s="22">
        <f>N152*COS(RADIANS(F152))</f>
        <v>-3.3528297816789503e-7</v>
      </c>
      <c r="Q152" s="22">
        <f>N152*SIN(RADIANS(F152))</f>
        <v>-9.211824116437893e-7</v>
      </c>
      <c r="R152" s="11">
        <f>AP152</f>
        <v>15276.903228450983</v>
      </c>
      <c r="S152" s="11">
        <f>AQ152</f>
        <v>-159.96525742459394</v>
      </c>
      <c r="T152" s="11">
        <f>AR152</f>
        <v>-556.2106829337473</v>
      </c>
      <c r="U152" s="11">
        <f>AS152</f>
        <v>2393.4423870322516</v>
      </c>
      <c r="V152" s="11">
        <f>AT152</f>
        <v>-47.42522398421314</v>
      </c>
      <c r="W152" s="11">
        <f>AU152</f>
        <v>-179.16302645038883</v>
      </c>
      <c r="X152" s="11">
        <f>AM152</f>
        <v>17670.345615483235</v>
      </c>
      <c r="Y152" s="11">
        <f>AN152</f>
        <v>-207.39048140880712</v>
      </c>
      <c r="Z152" s="11">
        <f>AO152</f>
        <v>-735.3737093841361</v>
      </c>
      <c r="AA152" s="7">
        <v>1</v>
      </c>
      <c r="AB152" s="7">
        <v>1</v>
      </c>
      <c r="AC152" s="7">
        <v>1</v>
      </c>
      <c r="AD152" s="11">
        <f>X152*AA152</f>
        <v>17670.345615483235</v>
      </c>
      <c r="AE152" s="11">
        <f>Y152*AB152</f>
        <v>-207.39048140880712</v>
      </c>
      <c r="AF152" s="11">
        <f>Z152*AC152</f>
        <v>-735.3737093841361</v>
      </c>
      <c r="AG152" s="7">
        <v>17670.345615483235</v>
      </c>
      <c r="AH152" s="7">
        <v>-207.39048140880712</v>
      </c>
      <c r="AI152" s="7">
        <v>-735.3737093841361</v>
      </c>
      <c r="AJ152" s="16">
        <f>AD152-AG152</f>
        <v>0</v>
      </c>
      <c r="AK152" s="16">
        <f>SQRT((AE152-AH152)^2+(AF152-AI152)^2)</f>
        <v>0</v>
      </c>
      <c r="AL152" s="7" t="s">
        <v>190</v>
      </c>
      <c r="AM152" s="7">
        <v>17670.345615483235</v>
      </c>
      <c r="AN152" s="7">
        <v>-207.39048140880712</v>
      </c>
      <c r="AO152" s="7">
        <v>-735.3737093841361</v>
      </c>
      <c r="AP152" s="7">
        <v>15276.903228450983</v>
      </c>
      <c r="AQ152" s="7">
        <v>-159.96525742459394</v>
      </c>
      <c r="AR152" s="7">
        <v>-556.2106829337473</v>
      </c>
      <c r="AS152" s="7">
        <v>2393.4423870322516</v>
      </c>
      <c r="AT152" s="7">
        <v>-47.42522398421314</v>
      </c>
      <c r="AU152" s="7">
        <v>-179.16302645038883</v>
      </c>
    </row>
    <row r="153" spans="1:47" x14ac:dyDescent="0.25">
      <c r="A153" s="7" t="s">
        <v>486</v>
      </c>
      <c r="B153" s="7">
        <v>3</v>
      </c>
      <c r="C153" s="19">
        <v>250</v>
      </c>
      <c r="D153" s="7" t="s">
        <v>487</v>
      </c>
      <c r="E153" s="7" t="s">
        <v>200</v>
      </c>
      <c r="F153" s="20">
        <v>250</v>
      </c>
      <c r="G153" s="7" t="s">
        <v>194</v>
      </c>
      <c r="H153" s="21">
        <v>1.4999999999999998</v>
      </c>
      <c r="I153" s="11">
        <f>MAX(('Geometry'!$G$13*COS(RADIANS(F153))+'Geometry'!$F$13*SIN(RADIANS(F153))),('Geometry'!$G$14*COS(RADIANS(F153))+'Geometry'!$F$14*SIN(RADIANS(F153))),('Geometry'!$G$15*COS(RADIANS(F153))+'Geometry'!$F$15*SIN(RADIANS(F153))),('Geometry'!$G$16*COS(RADIANS(F153))+'Geometry'!$F$16*SIN(RADIANS(F153))),('Geometry'!$G$17*COS(RADIANS(F153))+'Geometry'!$F$17*SIN(RADIANS(F153))),('Geometry'!$G$18*COS(RADIANS(F153))+'Geometry'!$F$18*SIN(RADIANS(F153))),('Geometry'!$G$19*COS(RADIANS(F153))+'Geometry'!$F$19*SIN(RADIANS(F153))),('Geometry'!$G$20*COS(RADIANS(F153))+'Geometry'!$F$20*SIN(RADIANS(F153))))</f>
        <v>841.5775229196989</v>
      </c>
      <c r="J153" s="11">
        <f>I153-H153*K153</f>
        <v>-1683.1550458393974</v>
      </c>
      <c r="K153" s="11">
        <f>I153-MIN(('Geometry'!$G$13*COS(RADIANS(F153))+'Geometry'!$F$13*SIN(RADIANS(F153))),('Geometry'!$G$14*COS(RADIANS(F153))+'Geometry'!$F$14*SIN(RADIANS(F153))),('Geometry'!$G$15*COS(RADIANS(F153))+'Geometry'!$F$15*SIN(RADIANS(F153))),('Geometry'!$G$16*COS(RADIANS(F153))+'Geometry'!$F$16*SIN(RADIANS(F153))),('Geometry'!$G$17*COS(RADIANS(F153))+'Geometry'!$F$17*SIN(RADIANS(F153))),('Geometry'!$G$18*COS(RADIANS(F153))+'Geometry'!$F$18*SIN(RADIANS(F153))),('Geometry'!$G$19*COS(RADIANS(F153))+'Geometry'!$F$19*SIN(RADIANS(F153))),('Geometry'!$G$20*COS(RADIANS(F153))+'Geometry'!$F$20*SIN(RADIANS(F153))))</f>
        <v>1683.1550458393979</v>
      </c>
      <c r="L153" s="16">
        <f>C_ecu</f>
        <v>0.0033</v>
      </c>
      <c r="M153" s="16">
        <f>0</f>
        <v>0</v>
      </c>
      <c r="N153" s="22">
        <f>IF(ABS(I153-J153)&lt;0.000000000001,0,(L153-M153)/(I153-J153))</f>
        <v>0.0000013070691291561017</v>
      </c>
      <c r="O153" s="16">
        <f>L153-N153*I153</f>
        <v>0.0021999999999999997</v>
      </c>
      <c r="P153" s="22">
        <f>N153*COS(RADIANS(F153))</f>
        <v>-4.470439708905267e-7</v>
      </c>
      <c r="Q153" s="22">
        <f>N153*SIN(RADIANS(F153))</f>
        <v>-0.0000012282432155250523</v>
      </c>
      <c r="R153" s="11">
        <f>AP153</f>
        <v>15276.903228450983</v>
      </c>
      <c r="S153" s="11">
        <f>AQ153</f>
        <v>-239.94788613689096</v>
      </c>
      <c r="T153" s="11">
        <f>AR153</f>
        <v>-834.3160244006208</v>
      </c>
      <c r="U153" s="11">
        <f>AS153</f>
        <v>2393.4423870322516</v>
      </c>
      <c r="V153" s="11">
        <f>AT153</f>
        <v>-71.13783597631972</v>
      </c>
      <c r="W153" s="11">
        <f>AU153</f>
        <v>-268.74453967558327</v>
      </c>
      <c r="X153" s="11">
        <f>AM153</f>
        <v>17670.345615483235</v>
      </c>
      <c r="Y153" s="11">
        <f>AN153</f>
        <v>-311.0857221132107</v>
      </c>
      <c r="Z153" s="11">
        <f>AO153</f>
        <v>-1103.0605640762042</v>
      </c>
      <c r="AA153" s="7">
        <v>1</v>
      </c>
      <c r="AB153" s="7">
        <v>1</v>
      </c>
      <c r="AC153" s="7">
        <v>1</v>
      </c>
      <c r="AD153" s="11">
        <f>X153*AA153</f>
        <v>17670.345615483235</v>
      </c>
      <c r="AE153" s="11">
        <f>Y153*AB153</f>
        <v>-311.0857221132107</v>
      </c>
      <c r="AF153" s="11">
        <f>Z153*AC153</f>
        <v>-1103.0605640762042</v>
      </c>
      <c r="AG153" s="7">
        <v>17670.345615483235</v>
      </c>
      <c r="AH153" s="7">
        <v>-311.0857221132107</v>
      </c>
      <c r="AI153" s="7">
        <v>-1103.0605640762042</v>
      </c>
      <c r="AJ153" s="16">
        <f>AD153-AG153</f>
        <v>0</v>
      </c>
      <c r="AK153" s="16">
        <f>SQRT((AE153-AH153)^2+(AF153-AI153)^2)</f>
        <v>0</v>
      </c>
      <c r="AL153" s="7" t="s">
        <v>190</v>
      </c>
      <c r="AM153" s="7">
        <v>17670.345615483235</v>
      </c>
      <c r="AN153" s="7">
        <v>-311.0857221132107</v>
      </c>
      <c r="AO153" s="7">
        <v>-1103.0605640762042</v>
      </c>
      <c r="AP153" s="7">
        <v>15276.903228450983</v>
      </c>
      <c r="AQ153" s="7">
        <v>-239.94788613689096</v>
      </c>
      <c r="AR153" s="7">
        <v>-834.3160244006208</v>
      </c>
      <c r="AS153" s="7">
        <v>2393.4423870322516</v>
      </c>
      <c r="AT153" s="7">
        <v>-71.13783597631972</v>
      </c>
      <c r="AU153" s="7">
        <v>-268.74453967558327</v>
      </c>
    </row>
    <row r="154" spans="1:47" x14ac:dyDescent="0.25">
      <c r="A154" s="7" t="s">
        <v>488</v>
      </c>
      <c r="B154" s="7">
        <v>4</v>
      </c>
      <c r="C154" s="19">
        <v>250</v>
      </c>
      <c r="D154" s="7" t="s">
        <v>489</v>
      </c>
      <c r="E154" s="7" t="s">
        <v>203</v>
      </c>
      <c r="F154" s="20">
        <v>250</v>
      </c>
      <c r="G154" s="7" t="s">
        <v>194</v>
      </c>
      <c r="H154" s="21">
        <v>1.2</v>
      </c>
      <c r="I154" s="11">
        <f>MAX(('Geometry'!$G$13*COS(RADIANS(F154))+'Geometry'!$F$13*SIN(RADIANS(F154))),('Geometry'!$G$14*COS(RADIANS(F154))+'Geometry'!$F$14*SIN(RADIANS(F154))),('Geometry'!$G$15*COS(RADIANS(F154))+'Geometry'!$F$15*SIN(RADIANS(F154))),('Geometry'!$G$16*COS(RADIANS(F154))+'Geometry'!$F$16*SIN(RADIANS(F154))),('Geometry'!$G$17*COS(RADIANS(F154))+'Geometry'!$F$17*SIN(RADIANS(F154))),('Geometry'!$G$18*COS(RADIANS(F154))+'Geometry'!$F$18*SIN(RADIANS(F154))),('Geometry'!$G$19*COS(RADIANS(F154))+'Geometry'!$F$19*SIN(RADIANS(F154))),('Geometry'!$G$20*COS(RADIANS(F154))+'Geometry'!$F$20*SIN(RADIANS(F154))))</f>
        <v>841.5775229196989</v>
      </c>
      <c r="J154" s="11">
        <f>I154-H154*K154</f>
        <v>-1178.2085320875783</v>
      </c>
      <c r="K154" s="11">
        <f>I154-MIN(('Geometry'!$G$13*COS(RADIANS(F154))+'Geometry'!$F$13*SIN(RADIANS(F154))),('Geometry'!$G$14*COS(RADIANS(F154))+'Geometry'!$F$14*SIN(RADIANS(F154))),('Geometry'!$G$15*COS(RADIANS(F154))+'Geometry'!$F$15*SIN(RADIANS(F154))),('Geometry'!$G$16*COS(RADIANS(F154))+'Geometry'!$F$16*SIN(RADIANS(F154))),('Geometry'!$G$17*COS(RADIANS(F154))+'Geometry'!$F$17*SIN(RADIANS(F154))),('Geometry'!$G$18*COS(RADIANS(F154))+'Geometry'!$F$18*SIN(RADIANS(F154))),('Geometry'!$G$19*COS(RADIANS(F154))+'Geometry'!$F$19*SIN(RADIANS(F154))),('Geometry'!$G$20*COS(RADIANS(F154))+'Geometry'!$F$20*SIN(RADIANS(F154))))</f>
        <v>1683.1550458393979</v>
      </c>
      <c r="L154" s="16">
        <f>C_ecu</f>
        <v>0.0033000000000000004</v>
      </c>
      <c r="M154" s="16">
        <f>0</f>
        <v>0</v>
      </c>
      <c r="N154" s="22">
        <f>IF(ABS(I154-J154)&lt;0.000000000001,0,(L154-M154)/(I154-J154))</f>
        <v>0.0000016338364114451274</v>
      </c>
      <c r="O154" s="16">
        <f>L154-N154*I154</f>
        <v>0.001925</v>
      </c>
      <c r="P154" s="22">
        <f>N154*COS(RADIANS(F154))</f>
        <v>-5.588049636131584e-7</v>
      </c>
      <c r="Q154" s="22">
        <f>N154*SIN(RADIANS(F154))</f>
        <v>-0.0000015353040194063156</v>
      </c>
      <c r="R154" s="11">
        <f>AP154</f>
        <v>15276.903228450983</v>
      </c>
      <c r="S154" s="11">
        <f>AQ154</f>
        <v>-319.9305148491879</v>
      </c>
      <c r="T154" s="11">
        <f>AR154</f>
        <v>-1112.4213658674946</v>
      </c>
      <c r="U154" s="11">
        <f>AS154</f>
        <v>2393.4423870322516</v>
      </c>
      <c r="V154" s="11">
        <f>AT154</f>
        <v>-94.85044796842628</v>
      </c>
      <c r="W154" s="11">
        <f>AU154</f>
        <v>-358.32605290077765</v>
      </c>
      <c r="X154" s="11">
        <f>AM154</f>
        <v>17670.345615483235</v>
      </c>
      <c r="Y154" s="11">
        <f>AN154</f>
        <v>-414.78096281761424</v>
      </c>
      <c r="Z154" s="11">
        <f>AO154</f>
        <v>-1470.7474187682722</v>
      </c>
      <c r="AA154" s="7">
        <v>1</v>
      </c>
      <c r="AB154" s="7">
        <v>1</v>
      </c>
      <c r="AC154" s="7">
        <v>1</v>
      </c>
      <c r="AD154" s="11">
        <f>X154*AA154</f>
        <v>17670.345615483235</v>
      </c>
      <c r="AE154" s="11">
        <f>Y154*AB154</f>
        <v>-414.78096281761424</v>
      </c>
      <c r="AF154" s="11">
        <f>Z154*AC154</f>
        <v>-1470.7474187682722</v>
      </c>
      <c r="AG154" s="7">
        <v>17670.345615483235</v>
      </c>
      <c r="AH154" s="7">
        <v>-414.78096281761424</v>
      </c>
      <c r="AI154" s="7">
        <v>-1470.7474187682722</v>
      </c>
      <c r="AJ154" s="16">
        <f>AD154-AG154</f>
        <v>0</v>
      </c>
      <c r="AK154" s="16">
        <f>SQRT((AE154-AH154)^2+(AF154-AI154)^2)</f>
        <v>0</v>
      </c>
      <c r="AL154" s="7" t="s">
        <v>190</v>
      </c>
      <c r="AM154" s="7">
        <v>17670.345615483235</v>
      </c>
      <c r="AN154" s="7">
        <v>-414.78096281761424</v>
      </c>
      <c r="AO154" s="7">
        <v>-1470.7474187682722</v>
      </c>
      <c r="AP154" s="7">
        <v>15276.903228450983</v>
      </c>
      <c r="AQ154" s="7">
        <v>-319.9305148491879</v>
      </c>
      <c r="AR154" s="7">
        <v>-1112.4213658674946</v>
      </c>
      <c r="AS154" s="7">
        <v>2393.4423870322516</v>
      </c>
      <c r="AT154" s="7">
        <v>-94.85044796842628</v>
      </c>
      <c r="AU154" s="7">
        <v>-358.32605290077765</v>
      </c>
    </row>
    <row r="155" spans="1:47" x14ac:dyDescent="0.25">
      <c r="A155" s="7" t="s">
        <v>490</v>
      </c>
      <c r="B155" s="7">
        <v>5</v>
      </c>
      <c r="C155" s="19">
        <v>250</v>
      </c>
      <c r="D155" s="7" t="s">
        <v>491</v>
      </c>
      <c r="E155" s="7" t="s">
        <v>206</v>
      </c>
      <c r="F155" s="20">
        <v>250</v>
      </c>
      <c r="G155" s="7" t="s">
        <v>194</v>
      </c>
      <c r="H155" s="21">
        <v>1.0999999999999999</v>
      </c>
      <c r="I155" s="11">
        <f>MAX(('Geometry'!$G$13*COS(RADIANS(F155))+'Geometry'!$F$13*SIN(RADIANS(F155))),('Geometry'!$G$14*COS(RADIANS(F155))+'Geometry'!$F$14*SIN(RADIANS(F155))),('Geometry'!$G$15*COS(RADIANS(F155))+'Geometry'!$F$15*SIN(RADIANS(F155))),('Geometry'!$G$16*COS(RADIANS(F155))+'Geometry'!$F$16*SIN(RADIANS(F155))),('Geometry'!$G$17*COS(RADIANS(F155))+'Geometry'!$F$17*SIN(RADIANS(F155))),('Geometry'!$G$18*COS(RADIANS(F155))+'Geometry'!$F$18*SIN(RADIANS(F155))),('Geometry'!$G$19*COS(RADIANS(F155))+'Geometry'!$F$19*SIN(RADIANS(F155))),('Geometry'!$G$20*COS(RADIANS(F155))+'Geometry'!$F$20*SIN(RADIANS(F155))))</f>
        <v>841.5775229196989</v>
      </c>
      <c r="J155" s="11">
        <f>I155-H155*K155</f>
        <v>-1009.8930275036386</v>
      </c>
      <c r="K155" s="11">
        <f>I155-MIN(('Geometry'!$G$13*COS(RADIANS(F155))+'Geometry'!$F$13*SIN(RADIANS(F155))),('Geometry'!$G$14*COS(RADIANS(F155))+'Geometry'!$F$14*SIN(RADIANS(F155))),('Geometry'!$G$15*COS(RADIANS(F155))+'Geometry'!$F$15*SIN(RADIANS(F155))),('Geometry'!$G$16*COS(RADIANS(F155))+'Geometry'!$F$16*SIN(RADIANS(F155))),('Geometry'!$G$17*COS(RADIANS(F155))+'Geometry'!$F$17*SIN(RADIANS(F155))),('Geometry'!$G$18*COS(RADIANS(F155))+'Geometry'!$F$18*SIN(RADIANS(F155))),('Geometry'!$G$19*COS(RADIANS(F155))+'Geometry'!$F$19*SIN(RADIANS(F155))),('Geometry'!$G$20*COS(RADIANS(F155))+'Geometry'!$F$20*SIN(RADIANS(F155))))</f>
        <v>1683.1550458393979</v>
      </c>
      <c r="L155" s="16">
        <f>C_ecu</f>
        <v>0.0033000000000000004</v>
      </c>
      <c r="M155" s="16">
        <f>0</f>
        <v>0</v>
      </c>
      <c r="N155" s="22">
        <f>IF(ABS(I155-J155)&lt;0.000000000001,0,(L155-M155)/(I155-J155))</f>
        <v>0.0000017823669943037752</v>
      </c>
      <c r="O155" s="16">
        <f>L155-N155*I155</f>
        <v>0.0018000000000000002</v>
      </c>
      <c r="P155" s="22">
        <f>N155*COS(RADIANS(F155))</f>
        <v>-6.096054148507183e-7</v>
      </c>
      <c r="Q155" s="22">
        <f>N155*SIN(RADIANS(F155))</f>
        <v>-0.0000016748771120796169</v>
      </c>
      <c r="R155" s="11">
        <f>AP155</f>
        <v>15276.903228450983</v>
      </c>
      <c r="S155" s="11">
        <f>AQ155</f>
        <v>-399.9131435614849</v>
      </c>
      <c r="T155" s="11">
        <f>AR155</f>
        <v>-1390.526707334368</v>
      </c>
      <c r="U155" s="11">
        <f>AS155</f>
        <v>2393.4423870322516</v>
      </c>
      <c r="V155" s="11">
        <f>AT155</f>
        <v>-118.56305996053284</v>
      </c>
      <c r="W155" s="11">
        <f>AU155</f>
        <v>-447.907566125972</v>
      </c>
      <c r="X155" s="11">
        <f>AM155</f>
        <v>17670.345615483235</v>
      </c>
      <c r="Y155" s="11">
        <f>AN155</f>
        <v>-518.4762035220177</v>
      </c>
      <c r="Z155" s="11">
        <f>AO155</f>
        <v>-1838.43427346034</v>
      </c>
      <c r="AA155" s="7">
        <v>1</v>
      </c>
      <c r="AB155" s="7">
        <v>1</v>
      </c>
      <c r="AC155" s="7">
        <v>1</v>
      </c>
      <c r="AD155" s="11">
        <f>X155*AA155</f>
        <v>17670.345615483235</v>
      </c>
      <c r="AE155" s="11">
        <f>Y155*AB155</f>
        <v>-518.4762035220177</v>
      </c>
      <c r="AF155" s="11">
        <f>Z155*AC155</f>
        <v>-1838.43427346034</v>
      </c>
      <c r="AG155" s="7">
        <v>17670.345615483235</v>
      </c>
      <c r="AH155" s="7">
        <v>-518.4762035220177</v>
      </c>
      <c r="AI155" s="7">
        <v>-1838.43427346034</v>
      </c>
      <c r="AJ155" s="16">
        <f>AD155-AG155</f>
        <v>0</v>
      </c>
      <c r="AK155" s="16">
        <f>SQRT((AE155-AH155)^2+(AF155-AI155)^2)</f>
        <v>0</v>
      </c>
      <c r="AL155" s="7" t="s">
        <v>190</v>
      </c>
      <c r="AM155" s="7">
        <v>17670.345615483235</v>
      </c>
      <c r="AN155" s="7">
        <v>-518.4762035220177</v>
      </c>
      <c r="AO155" s="7">
        <v>-1838.43427346034</v>
      </c>
      <c r="AP155" s="7">
        <v>15276.903228450983</v>
      </c>
      <c r="AQ155" s="7">
        <v>-399.9131435614849</v>
      </c>
      <c r="AR155" s="7">
        <v>-1390.526707334368</v>
      </c>
      <c r="AS155" s="7">
        <v>2393.4423870322516</v>
      </c>
      <c r="AT155" s="7">
        <v>-118.56305996053284</v>
      </c>
      <c r="AU155" s="7">
        <v>-447.907566125972</v>
      </c>
    </row>
    <row r="156" spans="1:47" x14ac:dyDescent="0.25">
      <c r="A156" s="7" t="s">
        <v>492</v>
      </c>
      <c r="B156" s="7">
        <v>6</v>
      </c>
      <c r="C156" s="19">
        <v>250</v>
      </c>
      <c r="D156" s="7" t="s">
        <v>493</v>
      </c>
      <c r="E156" s="7" t="s">
        <v>229</v>
      </c>
      <c r="F156" s="20">
        <v>250</v>
      </c>
      <c r="G156" s="7" t="s">
        <v>194</v>
      </c>
      <c r="H156" s="21">
        <v>0.9999999999999999</v>
      </c>
      <c r="I156" s="11">
        <f>MAX(('Geometry'!$G$13*COS(RADIANS(F156))+'Geometry'!$F$13*SIN(RADIANS(F156))),('Geometry'!$G$14*COS(RADIANS(F156))+'Geometry'!$F$14*SIN(RADIANS(F156))),('Geometry'!$G$15*COS(RADIANS(F156))+'Geometry'!$F$15*SIN(RADIANS(F156))),('Geometry'!$G$16*COS(RADIANS(F156))+'Geometry'!$F$16*SIN(RADIANS(F156))),('Geometry'!$G$17*COS(RADIANS(F156))+'Geometry'!$F$17*SIN(RADIANS(F156))),('Geometry'!$G$18*COS(RADIANS(F156))+'Geometry'!$F$18*SIN(RADIANS(F156))),('Geometry'!$G$19*COS(RADIANS(F156))+'Geometry'!$F$19*SIN(RADIANS(F156))),('Geometry'!$G$20*COS(RADIANS(F156))+'Geometry'!$F$20*SIN(RADIANS(F156))))</f>
        <v>841.5775229196989</v>
      </c>
      <c r="J156" s="11">
        <f>I156-H156*K156</f>
        <v>-841.5775229196987</v>
      </c>
      <c r="K156" s="11">
        <f>I156-MIN(('Geometry'!$G$13*COS(RADIANS(F156))+'Geometry'!$F$13*SIN(RADIANS(F156))),('Geometry'!$G$14*COS(RADIANS(F156))+'Geometry'!$F$14*SIN(RADIANS(F156))),('Geometry'!$G$15*COS(RADIANS(F156))+'Geometry'!$F$15*SIN(RADIANS(F156))),('Geometry'!$G$16*COS(RADIANS(F156))+'Geometry'!$F$16*SIN(RADIANS(F156))),('Geometry'!$G$17*COS(RADIANS(F156))+'Geometry'!$F$17*SIN(RADIANS(F156))),('Geometry'!$G$18*COS(RADIANS(F156))+'Geometry'!$F$18*SIN(RADIANS(F156))),('Geometry'!$G$19*COS(RADIANS(F156))+'Geometry'!$F$19*SIN(RADIANS(F156))),('Geometry'!$G$20*COS(RADIANS(F156))+'Geometry'!$F$20*SIN(RADIANS(F156))))</f>
        <v>1683.1550458393979</v>
      </c>
      <c r="L156" s="16">
        <f>C_ecu</f>
        <v>0.0033000000000000004</v>
      </c>
      <c r="M156" s="16">
        <f>0</f>
        <v>0</v>
      </c>
      <c r="N156" s="22">
        <f>IF(ABS(I156-J156)&lt;0.000000000001,0,(L156-M156)/(I156-J156))</f>
        <v>0.0000019606036937341528</v>
      </c>
      <c r="O156" s="16">
        <f>L156-N156*I156</f>
        <v>0.00165</v>
      </c>
      <c r="P156" s="22">
        <f>N156*COS(RADIANS(F156))</f>
        <v>-6.705659563357901e-7</v>
      </c>
      <c r="Q156" s="22">
        <f>N156*SIN(RADIANS(F156))</f>
        <v>-0.0000018423648232875786</v>
      </c>
      <c r="R156" s="11">
        <f>AP156</f>
        <v>15276.903228450983</v>
      </c>
      <c r="S156" s="11">
        <f>AQ156</f>
        <v>-479.8957722737819</v>
      </c>
      <c r="T156" s="11">
        <f>AR156</f>
        <v>-1668.6320488012416</v>
      </c>
      <c r="U156" s="11">
        <f>AS156</f>
        <v>2393.4423870322516</v>
      </c>
      <c r="V156" s="11">
        <f>AT156</f>
        <v>-142.27567195263944</v>
      </c>
      <c r="W156" s="11">
        <f>AU156</f>
        <v>-537.4890793511665</v>
      </c>
      <c r="X156" s="11">
        <f>AM156</f>
        <v>17670.345615483235</v>
      </c>
      <c r="Y156" s="11">
        <f>AN156</f>
        <v>-622.1714442264214</v>
      </c>
      <c r="Z156" s="11">
        <f>AO156</f>
        <v>-2206.1211281524083</v>
      </c>
      <c r="AA156" s="7">
        <v>1</v>
      </c>
      <c r="AB156" s="7">
        <v>1</v>
      </c>
      <c r="AC156" s="7">
        <v>1</v>
      </c>
      <c r="AD156" s="11">
        <f>X156*AA156</f>
        <v>17670.345615483235</v>
      </c>
      <c r="AE156" s="11">
        <f>Y156*AB156</f>
        <v>-622.1714442264214</v>
      </c>
      <c r="AF156" s="11">
        <f>Z156*AC156</f>
        <v>-2206.1211281524083</v>
      </c>
      <c r="AG156" s="7">
        <v>17670.345615483235</v>
      </c>
      <c r="AH156" s="7">
        <v>-622.1714442264214</v>
      </c>
      <c r="AI156" s="7">
        <v>-2206.1211281524083</v>
      </c>
      <c r="AJ156" s="16">
        <f>AD156-AG156</f>
        <v>0</v>
      </c>
      <c r="AK156" s="16">
        <f>SQRT((AE156-AH156)^2+(AF156-AI156)^2)</f>
        <v>0</v>
      </c>
      <c r="AL156" s="7" t="s">
        <v>190</v>
      </c>
      <c r="AM156" s="7">
        <v>17670.345615483235</v>
      </c>
      <c r="AN156" s="7">
        <v>-622.1714442264214</v>
      </c>
      <c r="AO156" s="7">
        <v>-2206.1211281524083</v>
      </c>
      <c r="AP156" s="7">
        <v>15276.903228450983</v>
      </c>
      <c r="AQ156" s="7">
        <v>-479.8957722737819</v>
      </c>
      <c r="AR156" s="7">
        <v>-1668.6320488012416</v>
      </c>
      <c r="AS156" s="7">
        <v>2393.4423870322516</v>
      </c>
      <c r="AT156" s="7">
        <v>-142.27567195263944</v>
      </c>
      <c r="AU156" s="7">
        <v>-537.4890793511665</v>
      </c>
    </row>
    <row r="157" spans="1:47" x14ac:dyDescent="0.25">
      <c r="A157" s="7" t="s">
        <v>494</v>
      </c>
      <c r="B157" s="7">
        <v>1</v>
      </c>
      <c r="C157" s="19">
        <v>260</v>
      </c>
      <c r="D157" s="7" t="s">
        <v>495</v>
      </c>
      <c r="E157" s="7" t="s">
        <v>193</v>
      </c>
      <c r="F157" s="20">
        <v>260</v>
      </c>
      <c r="G157" s="7" t="s">
        <v>194</v>
      </c>
      <c r="H157" s="21">
        <v>3</v>
      </c>
      <c r="I157" s="11">
        <f>MAX(('Geometry'!$G$13*COS(RADIANS(F157))+'Geometry'!$F$13*SIN(RADIANS(F157))),('Geometry'!$G$14*COS(RADIANS(F157))+'Geometry'!$F$14*SIN(RADIANS(F157))),('Geometry'!$G$15*COS(RADIANS(F157))+'Geometry'!$F$15*SIN(RADIANS(F157))),('Geometry'!$G$16*COS(RADIANS(F157))+'Geometry'!$F$16*SIN(RADIANS(F157))),('Geometry'!$G$17*COS(RADIANS(F157))+'Geometry'!$F$17*SIN(RADIANS(F157))),('Geometry'!$G$18*COS(RADIANS(F157))+'Geometry'!$F$18*SIN(RADIANS(F157))),('Geometry'!$G$19*COS(RADIANS(F157))+'Geometry'!$F$19*SIN(RADIANS(F157))),('Geometry'!$G$20*COS(RADIANS(F157))+'Geometry'!$F$20*SIN(RADIANS(F157))))</f>
        <v>808.0650858259281</v>
      </c>
      <c r="J157" s="11">
        <f>I157-H157*K157</f>
        <v>-4040.3254291296407</v>
      </c>
      <c r="K157" s="11">
        <f>I157-MIN(('Geometry'!$G$13*COS(RADIANS(F157))+'Geometry'!$F$13*SIN(RADIANS(F157))),('Geometry'!$G$14*COS(RADIANS(F157))+'Geometry'!$F$14*SIN(RADIANS(F157))),('Geometry'!$G$15*COS(RADIANS(F157))+'Geometry'!$F$15*SIN(RADIANS(F157))),('Geometry'!$G$16*COS(RADIANS(F157))+'Geometry'!$F$16*SIN(RADIANS(F157))),('Geometry'!$G$17*COS(RADIANS(F157))+'Geometry'!$F$17*SIN(RADIANS(F157))),('Geometry'!$G$18*COS(RADIANS(F157))+'Geometry'!$F$18*SIN(RADIANS(F157))),('Geometry'!$G$19*COS(RADIANS(F157))+'Geometry'!$F$19*SIN(RADIANS(F157))),('Geometry'!$G$20*COS(RADIANS(F157))+'Geometry'!$F$20*SIN(RADIANS(F157))))</f>
        <v>1616.1301716518562</v>
      </c>
      <c r="L157" s="16">
        <f>C_ecu</f>
        <v>0.0033</v>
      </c>
      <c r="M157" s="16">
        <f>0</f>
        <v>0</v>
      </c>
      <c r="N157" s="22">
        <f>IF(ABS(I157-J157)&lt;0.000000000001,0,(L157-M157)/(I157-J157))</f>
        <v>6.806382426953167e-7</v>
      </c>
      <c r="O157" s="16">
        <f>L157-N157*I157</f>
        <v>0.00275</v>
      </c>
      <c r="P157" s="22">
        <f>N157*COS(RADIANS(F157))</f>
        <v>-1.1819159049446361e-7</v>
      </c>
      <c r="Q157" s="22">
        <f>N157*SIN(RADIANS(F157))</f>
        <v>-6.702978184029528e-7</v>
      </c>
      <c r="R157" s="11">
        <f>AP157</f>
        <v>15273.411330637564</v>
      </c>
      <c r="S157" s="11">
        <f>AQ157</f>
        <v>-43.04266521655821</v>
      </c>
      <c r="T157" s="11">
        <f>AR157</f>
        <v>-303.41387055856654</v>
      </c>
      <c r="U157" s="11">
        <f>AS157</f>
        <v>2396.934284845672</v>
      </c>
      <c r="V157" s="11">
        <f>AT157</f>
        <v>-12.260077872437062</v>
      </c>
      <c r="W157" s="11">
        <f>AU157</f>
        <v>-97.14054886417682</v>
      </c>
      <c r="X157" s="11">
        <f>AM157</f>
        <v>17670.345615483235</v>
      </c>
      <c r="Y157" s="11">
        <f>AN157</f>
        <v>-55.30274308899527</v>
      </c>
      <c r="Z157" s="11">
        <f>AO157</f>
        <v>-400.55441942274336</v>
      </c>
      <c r="AA157" s="7">
        <v>1</v>
      </c>
      <c r="AB157" s="7">
        <v>1</v>
      </c>
      <c r="AC157" s="7">
        <v>1</v>
      </c>
      <c r="AD157" s="11">
        <f>X157*AA157</f>
        <v>17670.345615483235</v>
      </c>
      <c r="AE157" s="11">
        <f>Y157*AB157</f>
        <v>-55.30274308899527</v>
      </c>
      <c r="AF157" s="11">
        <f>Z157*AC157</f>
        <v>-400.55441942274336</v>
      </c>
      <c r="AG157" s="7">
        <v>17670.345615483235</v>
      </c>
      <c r="AH157" s="7">
        <v>-55.30274308899527</v>
      </c>
      <c r="AI157" s="7">
        <v>-400.55441942274336</v>
      </c>
      <c r="AJ157" s="16">
        <f>AD157-AG157</f>
        <v>0</v>
      </c>
      <c r="AK157" s="16">
        <f>SQRT((AE157-AH157)^2+(AF157-AI157)^2)</f>
        <v>0</v>
      </c>
      <c r="AL157" s="7" t="s">
        <v>190</v>
      </c>
      <c r="AM157" s="7">
        <v>17670.345615483235</v>
      </c>
      <c r="AN157" s="7">
        <v>-55.30274308899527</v>
      </c>
      <c r="AO157" s="7">
        <v>-400.55441942274336</v>
      </c>
      <c r="AP157" s="7">
        <v>15273.411330637564</v>
      </c>
      <c r="AQ157" s="7">
        <v>-43.04266521655821</v>
      </c>
      <c r="AR157" s="7">
        <v>-303.41387055856654</v>
      </c>
      <c r="AS157" s="7">
        <v>2396.934284845672</v>
      </c>
      <c r="AT157" s="7">
        <v>-12.260077872437062</v>
      </c>
      <c r="AU157" s="7">
        <v>-97.14054886417682</v>
      </c>
    </row>
    <row r="158" spans="1:47" x14ac:dyDescent="0.25">
      <c r="A158" s="7" t="s">
        <v>496</v>
      </c>
      <c r="B158" s="7">
        <v>2</v>
      </c>
      <c r="C158" s="19">
        <v>260</v>
      </c>
      <c r="D158" s="7" t="s">
        <v>497</v>
      </c>
      <c r="E158" s="7" t="s">
        <v>197</v>
      </c>
      <c r="F158" s="20">
        <v>260</v>
      </c>
      <c r="G158" s="7" t="s">
        <v>194</v>
      </c>
      <c r="H158" s="21">
        <v>2.0000000000000004</v>
      </c>
      <c r="I158" s="11">
        <f>MAX(('Geometry'!$G$13*COS(RADIANS(F158))+'Geometry'!$F$13*SIN(RADIANS(F158))),('Geometry'!$G$14*COS(RADIANS(F158))+'Geometry'!$F$14*SIN(RADIANS(F158))),('Geometry'!$G$15*COS(RADIANS(F158))+'Geometry'!$F$15*SIN(RADIANS(F158))),('Geometry'!$G$16*COS(RADIANS(F158))+'Geometry'!$F$16*SIN(RADIANS(F158))),('Geometry'!$G$17*COS(RADIANS(F158))+'Geometry'!$F$17*SIN(RADIANS(F158))),('Geometry'!$G$18*COS(RADIANS(F158))+'Geometry'!$F$18*SIN(RADIANS(F158))),('Geometry'!$G$19*COS(RADIANS(F158))+'Geometry'!$F$19*SIN(RADIANS(F158))),('Geometry'!$G$20*COS(RADIANS(F158))+'Geometry'!$F$20*SIN(RADIANS(F158))))</f>
        <v>808.0650858259281</v>
      </c>
      <c r="J158" s="11">
        <f>I158-H158*K158</f>
        <v>-2424.1952574777847</v>
      </c>
      <c r="K158" s="11">
        <f>I158-MIN(('Geometry'!$G$13*COS(RADIANS(F158))+'Geometry'!$F$13*SIN(RADIANS(F158))),('Geometry'!$G$14*COS(RADIANS(F158))+'Geometry'!$F$14*SIN(RADIANS(F158))),('Geometry'!$G$15*COS(RADIANS(F158))+'Geometry'!$F$15*SIN(RADIANS(F158))),('Geometry'!$G$16*COS(RADIANS(F158))+'Geometry'!$F$16*SIN(RADIANS(F158))),('Geometry'!$G$17*COS(RADIANS(F158))+'Geometry'!$F$17*SIN(RADIANS(F158))),('Geometry'!$G$18*COS(RADIANS(F158))+'Geometry'!$F$18*SIN(RADIANS(F158))),('Geometry'!$G$19*COS(RADIANS(F158))+'Geometry'!$F$19*SIN(RADIANS(F158))),('Geometry'!$G$20*COS(RADIANS(F158))+'Geometry'!$F$20*SIN(RADIANS(F158))))</f>
        <v>1616.1301716518562</v>
      </c>
      <c r="L158" s="16">
        <f>C_ecu</f>
        <v>0.0032999999999999995</v>
      </c>
      <c r="M158" s="16">
        <f>0</f>
        <v>0</v>
      </c>
      <c r="N158" s="22">
        <f>IF(ABS(I158-J158)&lt;0.000000000001,0,(L158-M158)/(I158-J158))</f>
        <v>0.0000010209573640429748</v>
      </c>
      <c r="O158" s="16">
        <f>L158-N158*I158</f>
        <v>0.0024749999999999998</v>
      </c>
      <c r="P158" s="22">
        <f>N158*COS(RADIANS(F158))</f>
        <v>-1.7728738574169539e-7</v>
      </c>
      <c r="Q158" s="22">
        <f>N158*SIN(RADIANS(F158))</f>
        <v>-0.000001005446727604429</v>
      </c>
      <c r="R158" s="11">
        <f>AP158</f>
        <v>15273.411330637564</v>
      </c>
      <c r="S158" s="11">
        <f>AQ158</f>
        <v>-86.08533043311643</v>
      </c>
      <c r="T158" s="11">
        <f>AR158</f>
        <v>-606.8277411171331</v>
      </c>
      <c r="U158" s="11">
        <f>AS158</f>
        <v>2396.934284845672</v>
      </c>
      <c r="V158" s="11">
        <f>AT158</f>
        <v>-24.520155744874124</v>
      </c>
      <c r="W158" s="11">
        <f>AU158</f>
        <v>-194.28109772835364</v>
      </c>
      <c r="X158" s="11">
        <f>AM158</f>
        <v>17670.345615483235</v>
      </c>
      <c r="Y158" s="11">
        <f>AN158</f>
        <v>-110.60548617799054</v>
      </c>
      <c r="Z158" s="11">
        <f>AO158</f>
        <v>-801.1088388454867</v>
      </c>
      <c r="AA158" s="7">
        <v>1</v>
      </c>
      <c r="AB158" s="7">
        <v>1</v>
      </c>
      <c r="AC158" s="7">
        <v>1</v>
      </c>
      <c r="AD158" s="11">
        <f>X158*AA158</f>
        <v>17670.345615483235</v>
      </c>
      <c r="AE158" s="11">
        <f>Y158*AB158</f>
        <v>-110.60548617799054</v>
      </c>
      <c r="AF158" s="11">
        <f>Z158*AC158</f>
        <v>-801.1088388454867</v>
      </c>
      <c r="AG158" s="7">
        <v>17670.345615483235</v>
      </c>
      <c r="AH158" s="7">
        <v>-110.60548617799054</v>
      </c>
      <c r="AI158" s="7">
        <v>-801.1088388454867</v>
      </c>
      <c r="AJ158" s="16">
        <f>AD158-AG158</f>
        <v>0</v>
      </c>
      <c r="AK158" s="16">
        <f>SQRT((AE158-AH158)^2+(AF158-AI158)^2)</f>
        <v>0</v>
      </c>
      <c r="AL158" s="7" t="s">
        <v>190</v>
      </c>
      <c r="AM158" s="7">
        <v>17670.345615483235</v>
      </c>
      <c r="AN158" s="7">
        <v>-110.60548617799054</v>
      </c>
      <c r="AO158" s="7">
        <v>-801.1088388454867</v>
      </c>
      <c r="AP158" s="7">
        <v>15273.411330637564</v>
      </c>
      <c r="AQ158" s="7">
        <v>-86.08533043311643</v>
      </c>
      <c r="AR158" s="7">
        <v>-606.8277411171331</v>
      </c>
      <c r="AS158" s="7">
        <v>2396.934284845672</v>
      </c>
      <c r="AT158" s="7">
        <v>-24.520155744874124</v>
      </c>
      <c r="AU158" s="7">
        <v>-194.28109772835364</v>
      </c>
    </row>
    <row r="159" spans="1:47" x14ac:dyDescent="0.25">
      <c r="A159" s="7" t="s">
        <v>498</v>
      </c>
      <c r="B159" s="7">
        <v>3</v>
      </c>
      <c r="C159" s="19">
        <v>260</v>
      </c>
      <c r="D159" s="7" t="s">
        <v>499</v>
      </c>
      <c r="E159" s="7" t="s">
        <v>200</v>
      </c>
      <c r="F159" s="20">
        <v>260</v>
      </c>
      <c r="G159" s="7" t="s">
        <v>194</v>
      </c>
      <c r="H159" s="21">
        <v>1.5</v>
      </c>
      <c r="I159" s="11">
        <f>MAX(('Geometry'!$G$13*COS(RADIANS(F159))+'Geometry'!$F$13*SIN(RADIANS(F159))),('Geometry'!$G$14*COS(RADIANS(F159))+'Geometry'!$F$14*SIN(RADIANS(F159))),('Geometry'!$G$15*COS(RADIANS(F159))+'Geometry'!$F$15*SIN(RADIANS(F159))),('Geometry'!$G$16*COS(RADIANS(F159))+'Geometry'!$F$16*SIN(RADIANS(F159))),('Geometry'!$G$17*COS(RADIANS(F159))+'Geometry'!$F$17*SIN(RADIANS(F159))),('Geometry'!$G$18*COS(RADIANS(F159))+'Geometry'!$F$18*SIN(RADIANS(F159))),('Geometry'!$G$19*COS(RADIANS(F159))+'Geometry'!$F$19*SIN(RADIANS(F159))),('Geometry'!$G$20*COS(RADIANS(F159))+'Geometry'!$F$20*SIN(RADIANS(F159))))</f>
        <v>808.0650858259281</v>
      </c>
      <c r="J159" s="11">
        <f>I159-H159*K159</f>
        <v>-1616.1301716518562</v>
      </c>
      <c r="K159" s="11">
        <f>I159-MIN(('Geometry'!$G$13*COS(RADIANS(F159))+'Geometry'!$F$13*SIN(RADIANS(F159))),('Geometry'!$G$14*COS(RADIANS(F159))+'Geometry'!$F$14*SIN(RADIANS(F159))),('Geometry'!$G$15*COS(RADIANS(F159))+'Geometry'!$F$15*SIN(RADIANS(F159))),('Geometry'!$G$16*COS(RADIANS(F159))+'Geometry'!$F$16*SIN(RADIANS(F159))),('Geometry'!$G$17*COS(RADIANS(F159))+'Geometry'!$F$17*SIN(RADIANS(F159))),('Geometry'!$G$18*COS(RADIANS(F159))+'Geometry'!$F$18*SIN(RADIANS(F159))),('Geometry'!$G$19*COS(RADIANS(F159))+'Geometry'!$F$19*SIN(RADIANS(F159))),('Geometry'!$G$20*COS(RADIANS(F159))+'Geometry'!$F$20*SIN(RADIANS(F159))))</f>
        <v>1616.1301716518562</v>
      </c>
      <c r="L159" s="16">
        <f>C_ecu</f>
        <v>0.0032999999999999995</v>
      </c>
      <c r="M159" s="16">
        <f>0</f>
        <v>0</v>
      </c>
      <c r="N159" s="22">
        <f>IF(ABS(I159-J159)&lt;0.000000000001,0,(L159-M159)/(I159-J159))</f>
        <v>0.0000013612764853906333</v>
      </c>
      <c r="O159" s="16">
        <f>L159-N159*I159</f>
        <v>0.0021999999999999997</v>
      </c>
      <c r="P159" s="22">
        <f>N159*COS(RADIANS(F159))</f>
        <v>-2.3638318098892722e-7</v>
      </c>
      <c r="Q159" s="22">
        <f>N159*SIN(RADIANS(F159))</f>
        <v>-0.0000013405956368059057</v>
      </c>
      <c r="R159" s="11">
        <f>AP159</f>
        <v>15273.411330637564</v>
      </c>
      <c r="S159" s="11">
        <f>AQ159</f>
        <v>-129.12799564967463</v>
      </c>
      <c r="T159" s="11">
        <f>AR159</f>
        <v>-910.2416116756999</v>
      </c>
      <c r="U159" s="11">
        <f>AS159</f>
        <v>2396.934284845672</v>
      </c>
      <c r="V159" s="11">
        <f>AT159</f>
        <v>-36.7802336173112</v>
      </c>
      <c r="W159" s="11">
        <f>AU159</f>
        <v>-291.42164659253046</v>
      </c>
      <c r="X159" s="11">
        <f>AM159</f>
        <v>17670.345615483235</v>
      </c>
      <c r="Y159" s="11">
        <f>AN159</f>
        <v>-165.90822926698584</v>
      </c>
      <c r="Z159" s="11">
        <f>AO159</f>
        <v>-1201.6632582682303</v>
      </c>
      <c r="AA159" s="7">
        <v>1</v>
      </c>
      <c r="AB159" s="7">
        <v>1</v>
      </c>
      <c r="AC159" s="7">
        <v>1</v>
      </c>
      <c r="AD159" s="11">
        <f>X159*AA159</f>
        <v>17670.345615483235</v>
      </c>
      <c r="AE159" s="11">
        <f>Y159*AB159</f>
        <v>-165.90822926698584</v>
      </c>
      <c r="AF159" s="11">
        <f>Z159*AC159</f>
        <v>-1201.6632582682303</v>
      </c>
      <c r="AG159" s="7">
        <v>17670.345615483235</v>
      </c>
      <c r="AH159" s="7">
        <v>-165.90822926698584</v>
      </c>
      <c r="AI159" s="7">
        <v>-1201.6632582682303</v>
      </c>
      <c r="AJ159" s="16">
        <f>AD159-AG159</f>
        <v>0</v>
      </c>
      <c r="AK159" s="16">
        <f>SQRT((AE159-AH159)^2+(AF159-AI159)^2)</f>
        <v>0</v>
      </c>
      <c r="AL159" s="7" t="s">
        <v>190</v>
      </c>
      <c r="AM159" s="7">
        <v>17670.345615483235</v>
      </c>
      <c r="AN159" s="7">
        <v>-165.90822926698584</v>
      </c>
      <c r="AO159" s="7">
        <v>-1201.6632582682303</v>
      </c>
      <c r="AP159" s="7">
        <v>15273.411330637564</v>
      </c>
      <c r="AQ159" s="7">
        <v>-129.12799564967463</v>
      </c>
      <c r="AR159" s="7">
        <v>-910.2416116756999</v>
      </c>
      <c r="AS159" s="7">
        <v>2396.934284845672</v>
      </c>
      <c r="AT159" s="7">
        <v>-36.7802336173112</v>
      </c>
      <c r="AU159" s="7">
        <v>-291.42164659253046</v>
      </c>
    </row>
    <row r="160" spans="1:47" x14ac:dyDescent="0.25">
      <c r="A160" s="7" t="s">
        <v>500</v>
      </c>
      <c r="B160" s="7">
        <v>4</v>
      </c>
      <c r="C160" s="19">
        <v>260</v>
      </c>
      <c r="D160" s="7" t="s">
        <v>501</v>
      </c>
      <c r="E160" s="7" t="s">
        <v>203</v>
      </c>
      <c r="F160" s="20">
        <v>260</v>
      </c>
      <c r="G160" s="7" t="s">
        <v>194</v>
      </c>
      <c r="H160" s="21">
        <v>1.2</v>
      </c>
      <c r="I160" s="11">
        <f>MAX(('Geometry'!$G$13*COS(RADIANS(F160))+'Geometry'!$F$13*SIN(RADIANS(F160))),('Geometry'!$G$14*COS(RADIANS(F160))+'Geometry'!$F$14*SIN(RADIANS(F160))),('Geometry'!$G$15*COS(RADIANS(F160))+'Geometry'!$F$15*SIN(RADIANS(F160))),('Geometry'!$G$16*COS(RADIANS(F160))+'Geometry'!$F$16*SIN(RADIANS(F160))),('Geometry'!$G$17*COS(RADIANS(F160))+'Geometry'!$F$17*SIN(RADIANS(F160))),('Geometry'!$G$18*COS(RADIANS(F160))+'Geometry'!$F$18*SIN(RADIANS(F160))),('Geometry'!$G$19*COS(RADIANS(F160))+'Geometry'!$F$19*SIN(RADIANS(F160))),('Geometry'!$G$20*COS(RADIANS(F160))+'Geometry'!$F$20*SIN(RADIANS(F160))))</f>
        <v>808.0650858259281</v>
      </c>
      <c r="J160" s="11">
        <f>I160-H160*K160</f>
        <v>-1131.2911201562995</v>
      </c>
      <c r="K160" s="11">
        <f>I160-MIN(('Geometry'!$G$13*COS(RADIANS(F160))+'Geometry'!$F$13*SIN(RADIANS(F160))),('Geometry'!$G$14*COS(RADIANS(F160))+'Geometry'!$F$14*SIN(RADIANS(F160))),('Geometry'!$G$15*COS(RADIANS(F160))+'Geometry'!$F$15*SIN(RADIANS(F160))),('Geometry'!$G$16*COS(RADIANS(F160))+'Geometry'!$F$16*SIN(RADIANS(F160))),('Geometry'!$G$17*COS(RADIANS(F160))+'Geometry'!$F$17*SIN(RADIANS(F160))),('Geometry'!$G$18*COS(RADIANS(F160))+'Geometry'!$F$18*SIN(RADIANS(F160))),('Geometry'!$G$19*COS(RADIANS(F160))+'Geometry'!$F$19*SIN(RADIANS(F160))),('Geometry'!$G$20*COS(RADIANS(F160))+'Geometry'!$F$20*SIN(RADIANS(F160))))</f>
        <v>1616.1301716518562</v>
      </c>
      <c r="L160" s="16">
        <f>C_ecu</f>
        <v>0.0033</v>
      </c>
      <c r="M160" s="16">
        <f>0</f>
        <v>0</v>
      </c>
      <c r="N160" s="22">
        <f>IF(ABS(I160-J160)&lt;0.000000000001,0,(L160-M160)/(I160-J160))</f>
        <v>0.0000017015956067382918</v>
      </c>
      <c r="O160" s="16">
        <f>L160-N160*I160</f>
        <v>0.001925</v>
      </c>
      <c r="P160" s="22">
        <f>N160*COS(RADIANS(F160))</f>
        <v>-2.95478976236159e-7</v>
      </c>
      <c r="Q160" s="22">
        <f>N160*SIN(RADIANS(F160))</f>
        <v>-0.000001675744546007382</v>
      </c>
      <c r="R160" s="11">
        <f>AP160</f>
        <v>15273.411330637564</v>
      </c>
      <c r="S160" s="11">
        <f>AQ160</f>
        <v>-172.17066086623285</v>
      </c>
      <c r="T160" s="11">
        <f>AR160</f>
        <v>-1213.6554822342662</v>
      </c>
      <c r="U160" s="11">
        <f>AS160</f>
        <v>2396.934284845672</v>
      </c>
      <c r="V160" s="11">
        <f>AT160</f>
        <v>-49.04031148974825</v>
      </c>
      <c r="W160" s="11">
        <f>AU160</f>
        <v>-388.5621954567073</v>
      </c>
      <c r="X160" s="11">
        <f>AM160</f>
        <v>17670.345615483235</v>
      </c>
      <c r="Y160" s="11">
        <f>AN160</f>
        <v>-221.21097235598108</v>
      </c>
      <c r="Z160" s="11">
        <f>AO160</f>
        <v>-1602.2176776909735</v>
      </c>
      <c r="AA160" s="7">
        <v>1</v>
      </c>
      <c r="AB160" s="7">
        <v>1</v>
      </c>
      <c r="AC160" s="7">
        <v>1</v>
      </c>
      <c r="AD160" s="11">
        <f>X160*AA160</f>
        <v>17670.345615483235</v>
      </c>
      <c r="AE160" s="11">
        <f>Y160*AB160</f>
        <v>-221.21097235598108</v>
      </c>
      <c r="AF160" s="11">
        <f>Z160*AC160</f>
        <v>-1602.2176776909735</v>
      </c>
      <c r="AG160" s="7">
        <v>17670.345615483235</v>
      </c>
      <c r="AH160" s="7">
        <v>-221.21097235598108</v>
      </c>
      <c r="AI160" s="7">
        <v>-1602.2176776909735</v>
      </c>
      <c r="AJ160" s="16">
        <f>AD160-AG160</f>
        <v>0</v>
      </c>
      <c r="AK160" s="16">
        <f>SQRT((AE160-AH160)^2+(AF160-AI160)^2)</f>
        <v>0</v>
      </c>
      <c r="AL160" s="7" t="s">
        <v>190</v>
      </c>
      <c r="AM160" s="7">
        <v>17670.345615483235</v>
      </c>
      <c r="AN160" s="7">
        <v>-221.21097235598108</v>
      </c>
      <c r="AO160" s="7">
        <v>-1602.2176776909735</v>
      </c>
      <c r="AP160" s="7">
        <v>15273.411330637564</v>
      </c>
      <c r="AQ160" s="7">
        <v>-172.17066086623285</v>
      </c>
      <c r="AR160" s="7">
        <v>-1213.6554822342662</v>
      </c>
      <c r="AS160" s="7">
        <v>2396.934284845672</v>
      </c>
      <c r="AT160" s="7">
        <v>-49.04031148974825</v>
      </c>
      <c r="AU160" s="7">
        <v>-388.5621954567073</v>
      </c>
    </row>
    <row r="161" spans="1:47" x14ac:dyDescent="0.25">
      <c r="A161" s="7" t="s">
        <v>502</v>
      </c>
      <c r="B161" s="7">
        <v>5</v>
      </c>
      <c r="C161" s="19">
        <v>260</v>
      </c>
      <c r="D161" s="7" t="s">
        <v>503</v>
      </c>
      <c r="E161" s="7" t="s">
        <v>206</v>
      </c>
      <c r="F161" s="20">
        <v>260</v>
      </c>
      <c r="G161" s="7" t="s">
        <v>194</v>
      </c>
      <c r="H161" s="21">
        <v>1.1000000000000003</v>
      </c>
      <c r="I161" s="11">
        <f>MAX(('Geometry'!$G$13*COS(RADIANS(F161))+'Geometry'!$F$13*SIN(RADIANS(F161))),('Geometry'!$G$14*COS(RADIANS(F161))+'Geometry'!$F$14*SIN(RADIANS(F161))),('Geometry'!$G$15*COS(RADIANS(F161))+'Geometry'!$F$15*SIN(RADIANS(F161))),('Geometry'!$G$16*COS(RADIANS(F161))+'Geometry'!$F$16*SIN(RADIANS(F161))),('Geometry'!$G$17*COS(RADIANS(F161))+'Geometry'!$F$17*SIN(RADIANS(F161))),('Geometry'!$G$18*COS(RADIANS(F161))+'Geometry'!$F$18*SIN(RADIANS(F161))),('Geometry'!$G$19*COS(RADIANS(F161))+'Geometry'!$F$19*SIN(RADIANS(F161))),('Geometry'!$G$20*COS(RADIANS(F161))+'Geometry'!$F$20*SIN(RADIANS(F161))))</f>
        <v>808.0650858259281</v>
      </c>
      <c r="J161" s="11">
        <f>I161-H161*K161</f>
        <v>-969.678102991114</v>
      </c>
      <c r="K161" s="11">
        <f>I161-MIN(('Geometry'!$G$13*COS(RADIANS(F161))+'Geometry'!$F$13*SIN(RADIANS(F161))),('Geometry'!$G$14*COS(RADIANS(F161))+'Geometry'!$F$14*SIN(RADIANS(F161))),('Geometry'!$G$15*COS(RADIANS(F161))+'Geometry'!$F$15*SIN(RADIANS(F161))),('Geometry'!$G$16*COS(RADIANS(F161))+'Geometry'!$F$16*SIN(RADIANS(F161))),('Geometry'!$G$17*COS(RADIANS(F161))+'Geometry'!$F$17*SIN(RADIANS(F161))),('Geometry'!$G$18*COS(RADIANS(F161))+'Geometry'!$F$18*SIN(RADIANS(F161))),('Geometry'!$G$19*COS(RADIANS(F161))+'Geometry'!$F$19*SIN(RADIANS(F161))),('Geometry'!$G$20*COS(RADIANS(F161))+'Geometry'!$F$20*SIN(RADIANS(F161))))</f>
        <v>1616.1301716518562</v>
      </c>
      <c r="L161" s="16">
        <f>C_ecu</f>
        <v>0.0033</v>
      </c>
      <c r="M161" s="16">
        <f>0</f>
        <v>0</v>
      </c>
      <c r="N161" s="22">
        <f>IF(ABS(I161-J161)&lt;0.000000000001,0,(L161-M161)/(I161-J161))</f>
        <v>0.0000018562861164417725</v>
      </c>
      <c r="O161" s="16">
        <f>L161-N161*I161</f>
        <v>0.0018000000000000002</v>
      </c>
      <c r="P161" s="22">
        <f>N161*COS(RADIANS(F161))</f>
        <v>-3.223407013485371e-7</v>
      </c>
      <c r="Q161" s="22">
        <f>N161*SIN(RADIANS(F161))</f>
        <v>-0.00000182808495928078</v>
      </c>
      <c r="R161" s="11">
        <f>AP161</f>
        <v>15273.411330637564</v>
      </c>
      <c r="S161" s="11">
        <f>AQ161</f>
        <v>-215.21332608279107</v>
      </c>
      <c r="T161" s="11">
        <f>AR161</f>
        <v>-1517.0693527928331</v>
      </c>
      <c r="U161" s="11">
        <f>AS161</f>
        <v>2396.934284845672</v>
      </c>
      <c r="V161" s="11">
        <f>AT161</f>
        <v>-61.300389362185314</v>
      </c>
      <c r="W161" s="11">
        <f>AU161</f>
        <v>-485.70274432088416</v>
      </c>
      <c r="X161" s="11">
        <f>AM161</f>
        <v>17670.345615483235</v>
      </c>
      <c r="Y161" s="11">
        <f>AN161</f>
        <v>-276.51371544497636</v>
      </c>
      <c r="Z161" s="11">
        <f>AO161</f>
        <v>-2002.772097113717</v>
      </c>
      <c r="AA161" s="7">
        <v>1</v>
      </c>
      <c r="AB161" s="7">
        <v>1</v>
      </c>
      <c r="AC161" s="7">
        <v>1</v>
      </c>
      <c r="AD161" s="11">
        <f>X161*AA161</f>
        <v>17670.345615483235</v>
      </c>
      <c r="AE161" s="11">
        <f>Y161*AB161</f>
        <v>-276.51371544497636</v>
      </c>
      <c r="AF161" s="11">
        <f>Z161*AC161</f>
        <v>-2002.772097113717</v>
      </c>
      <c r="AG161" s="7">
        <v>17670.345615483235</v>
      </c>
      <c r="AH161" s="7">
        <v>-276.51371544497636</v>
      </c>
      <c r="AI161" s="7">
        <v>-2002.772097113717</v>
      </c>
      <c r="AJ161" s="16">
        <f>AD161-AG161</f>
        <v>0</v>
      </c>
      <c r="AK161" s="16">
        <f>SQRT((AE161-AH161)^2+(AF161-AI161)^2)</f>
        <v>0</v>
      </c>
      <c r="AL161" s="7" t="s">
        <v>190</v>
      </c>
      <c r="AM161" s="7">
        <v>17670.345615483235</v>
      </c>
      <c r="AN161" s="7">
        <v>-276.51371544497636</v>
      </c>
      <c r="AO161" s="7">
        <v>-2002.772097113717</v>
      </c>
      <c r="AP161" s="7">
        <v>15273.411330637564</v>
      </c>
      <c r="AQ161" s="7">
        <v>-215.21332608279107</v>
      </c>
      <c r="AR161" s="7">
        <v>-1517.0693527928331</v>
      </c>
      <c r="AS161" s="7">
        <v>2396.934284845672</v>
      </c>
      <c r="AT161" s="7">
        <v>-61.300389362185314</v>
      </c>
      <c r="AU161" s="7">
        <v>-485.70274432088416</v>
      </c>
    </row>
    <row r="162" spans="1:47" x14ac:dyDescent="0.25">
      <c r="A162" s="7" t="s">
        <v>504</v>
      </c>
      <c r="B162" s="7">
        <v>1</v>
      </c>
      <c r="C162" s="19">
        <v>270</v>
      </c>
      <c r="D162" s="7" t="s">
        <v>505</v>
      </c>
      <c r="E162" s="7" t="s">
        <v>193</v>
      </c>
      <c r="F162" s="20">
        <v>270</v>
      </c>
      <c r="G162" s="7" t="s">
        <v>194</v>
      </c>
      <c r="H162" s="21">
        <v>3</v>
      </c>
      <c r="I162" s="11">
        <f>MAX(('Geometry'!$G$13*COS(RADIANS(F162))+'Geometry'!$F$13*SIN(RADIANS(F162))),('Geometry'!$G$14*COS(RADIANS(F162))+'Geometry'!$F$14*SIN(RADIANS(F162))),('Geometry'!$G$15*COS(RADIANS(F162))+'Geometry'!$F$15*SIN(RADIANS(F162))),('Geometry'!$G$16*COS(RADIANS(F162))+'Geometry'!$F$16*SIN(RADIANS(F162))),('Geometry'!$G$17*COS(RADIANS(F162))+'Geometry'!$F$17*SIN(RADIANS(F162))),('Geometry'!$G$18*COS(RADIANS(F162))+'Geometry'!$F$18*SIN(RADIANS(F162))),('Geometry'!$G$19*COS(RADIANS(F162))+'Geometry'!$F$19*SIN(RADIANS(F162))),('Geometry'!$G$20*COS(RADIANS(F162))+'Geometry'!$F$20*SIN(RADIANS(F162))))</f>
        <v>750.0000000000001</v>
      </c>
      <c r="J162" s="11">
        <f>I162-H162*K162</f>
        <v>-3750.0000000000005</v>
      </c>
      <c r="K162" s="11">
        <f>I162-MIN(('Geometry'!$G$13*COS(RADIANS(F162))+'Geometry'!$F$13*SIN(RADIANS(F162))),('Geometry'!$G$14*COS(RADIANS(F162))+'Geometry'!$F$14*SIN(RADIANS(F162))),('Geometry'!$G$15*COS(RADIANS(F162))+'Geometry'!$F$15*SIN(RADIANS(F162))),('Geometry'!$G$16*COS(RADIANS(F162))+'Geometry'!$F$16*SIN(RADIANS(F162))),('Geometry'!$G$17*COS(RADIANS(F162))+'Geometry'!$F$17*SIN(RADIANS(F162))),('Geometry'!$G$18*COS(RADIANS(F162))+'Geometry'!$F$18*SIN(RADIANS(F162))),('Geometry'!$G$19*COS(RADIANS(F162))+'Geometry'!$F$19*SIN(RADIANS(F162))),('Geometry'!$G$20*COS(RADIANS(F162))+'Geometry'!$F$20*SIN(RADIANS(F162))))</f>
        <v>1500.0000000000002</v>
      </c>
      <c r="L162" s="16">
        <f>C_ecu</f>
        <v>0.0033</v>
      </c>
      <c r="M162" s="16">
        <f>0</f>
        <v>0</v>
      </c>
      <c r="N162" s="22">
        <f>IF(ABS(I162-J162)&lt;0.000000000001,0,(L162-M162)/(I162-J162))</f>
        <v>7.333333333333332e-7</v>
      </c>
      <c r="O162" s="16">
        <f>L162-N162*I162</f>
        <v>0.00275</v>
      </c>
      <c r="P162" s="22">
        <f>N162*COS(RADIANS(F162))</f>
        <v>-1.3471114790620882e-22</v>
      </c>
      <c r="Q162" s="22">
        <f>N162*SIN(RADIANS(F162))</f>
        <v>-7.333333333333332e-7</v>
      </c>
      <c r="R162" s="11">
        <f>AP162</f>
        <v>15260.444169480968</v>
      </c>
      <c r="S162" s="11">
        <f>AQ162</f>
        <v>-0.0008350156762243781</v>
      </c>
      <c r="T162" s="11">
        <f>AR162</f>
        <v>-330.42775276837955</v>
      </c>
      <c r="U162" s="11">
        <f>AS162</f>
        <v>2409.9014460022663</v>
      </c>
      <c r="V162" s="11">
        <f>AT162</f>
        <v>-1.991006516125358e-14</v>
      </c>
      <c r="W162" s="11">
        <f>AU162</f>
        <v>-104.66037549268799</v>
      </c>
      <c r="X162" s="11">
        <f>AM162</f>
        <v>17670.345615483235</v>
      </c>
      <c r="Y162" s="11">
        <f>AN162</f>
        <v>-0.0008350156762442883</v>
      </c>
      <c r="Z162" s="11">
        <f>AO162</f>
        <v>-435.0881282610674</v>
      </c>
      <c r="AA162" s="7">
        <v>1</v>
      </c>
      <c r="AB162" s="7">
        <v>1</v>
      </c>
      <c r="AC162" s="7">
        <v>1</v>
      </c>
      <c r="AD162" s="11">
        <f>X162*AA162</f>
        <v>17670.345615483235</v>
      </c>
      <c r="AE162" s="11">
        <f>Y162*AB162</f>
        <v>-0.0008350156762442883</v>
      </c>
      <c r="AF162" s="11">
        <f>Z162*AC162</f>
        <v>-435.0881282610674</v>
      </c>
      <c r="AG162" s="7">
        <v>17670.345615483235</v>
      </c>
      <c r="AH162" s="7">
        <v>-0.0008350156762442883</v>
      </c>
      <c r="AI162" s="7">
        <v>-435.0881282610674</v>
      </c>
      <c r="AJ162" s="16">
        <f>AD162-AG162</f>
        <v>0</v>
      </c>
      <c r="AK162" s="16">
        <f>SQRT((AE162-AH162)^2+(AF162-AI162)^2)</f>
        <v>0</v>
      </c>
      <c r="AL162" s="7" t="s">
        <v>190</v>
      </c>
      <c r="AM162" s="7">
        <v>17670.345615483235</v>
      </c>
      <c r="AN162" s="7">
        <v>-0.0008350156762442883</v>
      </c>
      <c r="AO162" s="7">
        <v>-435.0881282610674</v>
      </c>
      <c r="AP162" s="7">
        <v>15260.444169480968</v>
      </c>
      <c r="AQ162" s="7">
        <v>-0.0008350156762243781</v>
      </c>
      <c r="AR162" s="7">
        <v>-330.42775276837955</v>
      </c>
      <c r="AS162" s="7">
        <v>2409.9014460022663</v>
      </c>
      <c r="AT162" s="7">
        <v>-1.991006516125358e-14</v>
      </c>
      <c r="AU162" s="7">
        <v>-104.66037549268799</v>
      </c>
    </row>
    <row r="163" spans="1:47" x14ac:dyDescent="0.25">
      <c r="A163" s="7" t="s">
        <v>506</v>
      </c>
      <c r="B163" s="7">
        <v>2</v>
      </c>
      <c r="C163" s="19">
        <v>270</v>
      </c>
      <c r="D163" s="7" t="s">
        <v>507</v>
      </c>
      <c r="E163" s="7" t="s">
        <v>197</v>
      </c>
      <c r="F163" s="20">
        <v>270</v>
      </c>
      <c r="G163" s="7" t="s">
        <v>194</v>
      </c>
      <c r="H163" s="21">
        <v>1.9999999999999998</v>
      </c>
      <c r="I163" s="11">
        <f>MAX(('Geometry'!$G$13*COS(RADIANS(F163))+'Geometry'!$F$13*SIN(RADIANS(F163))),('Geometry'!$G$14*COS(RADIANS(F163))+'Geometry'!$F$14*SIN(RADIANS(F163))),('Geometry'!$G$15*COS(RADIANS(F163))+'Geometry'!$F$15*SIN(RADIANS(F163))),('Geometry'!$G$16*COS(RADIANS(F163))+'Geometry'!$F$16*SIN(RADIANS(F163))),('Geometry'!$G$17*COS(RADIANS(F163))+'Geometry'!$F$17*SIN(RADIANS(F163))),('Geometry'!$G$18*COS(RADIANS(F163))+'Geometry'!$F$18*SIN(RADIANS(F163))),('Geometry'!$G$19*COS(RADIANS(F163))+'Geometry'!$F$19*SIN(RADIANS(F163))),('Geometry'!$G$20*COS(RADIANS(F163))+'Geometry'!$F$20*SIN(RADIANS(F163))))</f>
        <v>750.0000000000001</v>
      </c>
      <c r="J163" s="11">
        <f>I163-H163*K163</f>
        <v>-2250</v>
      </c>
      <c r="K163" s="11">
        <f>I163-MIN(('Geometry'!$G$13*COS(RADIANS(F163))+'Geometry'!$F$13*SIN(RADIANS(F163))),('Geometry'!$G$14*COS(RADIANS(F163))+'Geometry'!$F$14*SIN(RADIANS(F163))),('Geometry'!$G$15*COS(RADIANS(F163))+'Geometry'!$F$15*SIN(RADIANS(F163))),('Geometry'!$G$16*COS(RADIANS(F163))+'Geometry'!$F$16*SIN(RADIANS(F163))),('Geometry'!$G$17*COS(RADIANS(F163))+'Geometry'!$F$17*SIN(RADIANS(F163))),('Geometry'!$G$18*COS(RADIANS(F163))+'Geometry'!$F$18*SIN(RADIANS(F163))),('Geometry'!$G$19*COS(RADIANS(F163))+'Geometry'!$F$19*SIN(RADIANS(F163))),('Geometry'!$G$20*COS(RADIANS(F163))+'Geometry'!$F$20*SIN(RADIANS(F163))))</f>
        <v>1500.0000000000002</v>
      </c>
      <c r="L163" s="16">
        <f>C_ecu</f>
        <v>0.0033</v>
      </c>
      <c r="M163" s="16">
        <f>0</f>
        <v>0</v>
      </c>
      <c r="N163" s="22">
        <f>IF(ABS(I163-J163)&lt;0.000000000001,0,(L163-M163)/(I163-J163))</f>
        <v>0.0000010999999999999998</v>
      </c>
      <c r="O163" s="16">
        <f>L163-N163*I163</f>
        <v>0.0024749999999999998</v>
      </c>
      <c r="P163" s="22">
        <f>N163*COS(RADIANS(F163))</f>
        <v>-2.0206672185931323e-22</v>
      </c>
      <c r="Q163" s="22">
        <f>N163*SIN(RADIANS(F163))</f>
        <v>-0.0000010999999999999998</v>
      </c>
      <c r="R163" s="11">
        <f>AP163</f>
        <v>15260.444169480968</v>
      </c>
      <c r="S163" s="11">
        <f>AQ163</f>
        <v>-0.0016700313524487562</v>
      </c>
      <c r="T163" s="11">
        <f>AR163</f>
        <v>-660.8555055367591</v>
      </c>
      <c r="U163" s="11">
        <f>AS163</f>
        <v>2409.9014460022663</v>
      </c>
      <c r="V163" s="11">
        <f>AT163</f>
        <v>-3.982013032250716e-14</v>
      </c>
      <c r="W163" s="11">
        <f>AU163</f>
        <v>-209.32075098537598</v>
      </c>
      <c r="X163" s="11">
        <f>AM163</f>
        <v>17670.345615483235</v>
      </c>
      <c r="Y163" s="11">
        <f>AN163</f>
        <v>-0.0016700313524885765</v>
      </c>
      <c r="Z163" s="11">
        <f>AO163</f>
        <v>-870.1762565221348</v>
      </c>
      <c r="AA163" s="7">
        <v>1</v>
      </c>
      <c r="AB163" s="7">
        <v>1</v>
      </c>
      <c r="AC163" s="7">
        <v>1</v>
      </c>
      <c r="AD163" s="11">
        <f>X163*AA163</f>
        <v>17670.345615483235</v>
      </c>
      <c r="AE163" s="11">
        <f>Y163*AB163</f>
        <v>-0.0016700313524885765</v>
      </c>
      <c r="AF163" s="11">
        <f>Z163*AC163</f>
        <v>-870.1762565221348</v>
      </c>
      <c r="AG163" s="7">
        <v>17670.345615483235</v>
      </c>
      <c r="AH163" s="7">
        <v>-0.0016700313524885765</v>
      </c>
      <c r="AI163" s="7">
        <v>-870.1762565221348</v>
      </c>
      <c r="AJ163" s="16">
        <f>AD163-AG163</f>
        <v>0</v>
      </c>
      <c r="AK163" s="16">
        <f>SQRT((AE163-AH163)^2+(AF163-AI163)^2)</f>
        <v>0</v>
      </c>
      <c r="AL163" s="7" t="s">
        <v>190</v>
      </c>
      <c r="AM163" s="7">
        <v>17670.345615483235</v>
      </c>
      <c r="AN163" s="7">
        <v>-0.0016700313524885765</v>
      </c>
      <c r="AO163" s="7">
        <v>-870.1762565221348</v>
      </c>
      <c r="AP163" s="7">
        <v>15260.444169480968</v>
      </c>
      <c r="AQ163" s="7">
        <v>-0.0016700313524487562</v>
      </c>
      <c r="AR163" s="7">
        <v>-660.8555055367591</v>
      </c>
      <c r="AS163" s="7">
        <v>2409.9014460022663</v>
      </c>
      <c r="AT163" s="7">
        <v>-3.982013032250716e-14</v>
      </c>
      <c r="AU163" s="7">
        <v>-209.32075098537598</v>
      </c>
    </row>
    <row r="164" spans="1:47" x14ac:dyDescent="0.25">
      <c r="A164" s="7" t="s">
        <v>508</v>
      </c>
      <c r="B164" s="7">
        <v>3</v>
      </c>
      <c r="C164" s="19">
        <v>270</v>
      </c>
      <c r="D164" s="7" t="s">
        <v>509</v>
      </c>
      <c r="E164" s="7" t="s">
        <v>200</v>
      </c>
      <c r="F164" s="20">
        <v>270</v>
      </c>
      <c r="G164" s="7" t="s">
        <v>194</v>
      </c>
      <c r="H164" s="21">
        <v>1.4999999999999998</v>
      </c>
      <c r="I164" s="11">
        <f>MAX(('Geometry'!$G$13*COS(RADIANS(F164))+'Geometry'!$F$13*SIN(RADIANS(F164))),('Geometry'!$G$14*COS(RADIANS(F164))+'Geometry'!$F$14*SIN(RADIANS(F164))),('Geometry'!$G$15*COS(RADIANS(F164))+'Geometry'!$F$15*SIN(RADIANS(F164))),('Geometry'!$G$16*COS(RADIANS(F164))+'Geometry'!$F$16*SIN(RADIANS(F164))),('Geometry'!$G$17*COS(RADIANS(F164))+'Geometry'!$F$17*SIN(RADIANS(F164))),('Geometry'!$G$18*COS(RADIANS(F164))+'Geometry'!$F$18*SIN(RADIANS(F164))),('Geometry'!$G$19*COS(RADIANS(F164))+'Geometry'!$F$19*SIN(RADIANS(F164))),('Geometry'!$G$20*COS(RADIANS(F164))+'Geometry'!$F$20*SIN(RADIANS(F164))))</f>
        <v>750.0000000000001</v>
      </c>
      <c r="J164" s="11">
        <f>I164-H164*K164</f>
        <v>-1500</v>
      </c>
      <c r="K164" s="11">
        <f>I164-MIN(('Geometry'!$G$13*COS(RADIANS(F164))+'Geometry'!$F$13*SIN(RADIANS(F164))),('Geometry'!$G$14*COS(RADIANS(F164))+'Geometry'!$F$14*SIN(RADIANS(F164))),('Geometry'!$G$15*COS(RADIANS(F164))+'Geometry'!$F$15*SIN(RADIANS(F164))),('Geometry'!$G$16*COS(RADIANS(F164))+'Geometry'!$F$16*SIN(RADIANS(F164))),('Geometry'!$G$17*COS(RADIANS(F164))+'Geometry'!$F$17*SIN(RADIANS(F164))),('Geometry'!$G$18*COS(RADIANS(F164))+'Geometry'!$F$18*SIN(RADIANS(F164))),('Geometry'!$G$19*COS(RADIANS(F164))+'Geometry'!$F$19*SIN(RADIANS(F164))),('Geometry'!$G$20*COS(RADIANS(F164))+'Geometry'!$F$20*SIN(RADIANS(F164))))</f>
        <v>1500.0000000000002</v>
      </c>
      <c r="L164" s="16">
        <f>C_ecu</f>
        <v>0.0033</v>
      </c>
      <c r="M164" s="16">
        <f>0</f>
        <v>0</v>
      </c>
      <c r="N164" s="22">
        <f>IF(ABS(I164-J164)&lt;0.000000000001,0,(L164-M164)/(I164-J164))</f>
        <v>0.0000014666666666666665</v>
      </c>
      <c r="O164" s="16">
        <f>L164-N164*I164</f>
        <v>0.0021999999999999997</v>
      </c>
      <c r="P164" s="22">
        <f>N164*COS(RADIANS(F164))</f>
        <v>-2.6942229581241763e-22</v>
      </c>
      <c r="Q164" s="22">
        <f>N164*SIN(RADIANS(F164))</f>
        <v>-0.0000014666666666666665</v>
      </c>
      <c r="R164" s="11">
        <f>AP164</f>
        <v>15260.444169480968</v>
      </c>
      <c r="S164" s="11">
        <f>AQ164</f>
        <v>-0.002505047028673135</v>
      </c>
      <c r="T164" s="11">
        <f>AR164</f>
        <v>-991.2832583051386</v>
      </c>
      <c r="U164" s="11">
        <f>AS164</f>
        <v>2409.9014460022663</v>
      </c>
      <c r="V164" s="11">
        <f>AT164</f>
        <v>-5.973019548376076e-14</v>
      </c>
      <c r="W164" s="11">
        <f>AU164</f>
        <v>-313.981126478064</v>
      </c>
      <c r="X164" s="11">
        <f>AM164</f>
        <v>17670.345615483235</v>
      </c>
      <c r="Y164" s="11">
        <f>AN164</f>
        <v>-0.0025050470287328644</v>
      </c>
      <c r="Z164" s="11">
        <f>AO164</f>
        <v>-1305.2643847832023</v>
      </c>
      <c r="AA164" s="7">
        <v>1</v>
      </c>
      <c r="AB164" s="7">
        <v>1</v>
      </c>
      <c r="AC164" s="7">
        <v>1</v>
      </c>
      <c r="AD164" s="11">
        <f>X164*AA164</f>
        <v>17670.345615483235</v>
      </c>
      <c r="AE164" s="11">
        <f>Y164*AB164</f>
        <v>-0.0025050470287328644</v>
      </c>
      <c r="AF164" s="11">
        <f>Z164*AC164</f>
        <v>-1305.2643847832023</v>
      </c>
      <c r="AG164" s="7">
        <v>17670.345615483235</v>
      </c>
      <c r="AH164" s="7">
        <v>-0.0025050470287328644</v>
      </c>
      <c r="AI164" s="7">
        <v>-1305.2643847832023</v>
      </c>
      <c r="AJ164" s="16">
        <f>AD164-AG164</f>
        <v>0</v>
      </c>
      <c r="AK164" s="16">
        <f>SQRT((AE164-AH164)^2+(AF164-AI164)^2)</f>
        <v>0</v>
      </c>
      <c r="AL164" s="7" t="s">
        <v>190</v>
      </c>
      <c r="AM164" s="7">
        <v>17670.345615483235</v>
      </c>
      <c r="AN164" s="7">
        <v>-0.0025050470287328644</v>
      </c>
      <c r="AO164" s="7">
        <v>-1305.2643847832023</v>
      </c>
      <c r="AP164" s="7">
        <v>15260.444169480968</v>
      </c>
      <c r="AQ164" s="7">
        <v>-0.002505047028673135</v>
      </c>
      <c r="AR164" s="7">
        <v>-991.2832583051386</v>
      </c>
      <c r="AS164" s="7">
        <v>2409.9014460022663</v>
      </c>
      <c r="AT164" s="7">
        <v>-5.973019548376076e-14</v>
      </c>
      <c r="AU164" s="7">
        <v>-313.981126478064</v>
      </c>
    </row>
    <row r="165" spans="1:47" x14ac:dyDescent="0.25">
      <c r="A165" s="7" t="s">
        <v>510</v>
      </c>
      <c r="B165" s="7">
        <v>4</v>
      </c>
      <c r="C165" s="19">
        <v>270</v>
      </c>
      <c r="D165" s="7" t="s">
        <v>511</v>
      </c>
      <c r="E165" s="7" t="s">
        <v>203</v>
      </c>
      <c r="F165" s="20">
        <v>270</v>
      </c>
      <c r="G165" s="7" t="s">
        <v>194</v>
      </c>
      <c r="H165" s="21">
        <v>1.1999999999999997</v>
      </c>
      <c r="I165" s="11">
        <f>MAX(('Geometry'!$G$13*COS(RADIANS(F165))+'Geometry'!$F$13*SIN(RADIANS(F165))),('Geometry'!$G$14*COS(RADIANS(F165))+'Geometry'!$F$14*SIN(RADIANS(F165))),('Geometry'!$G$15*COS(RADIANS(F165))+'Geometry'!$F$15*SIN(RADIANS(F165))),('Geometry'!$G$16*COS(RADIANS(F165))+'Geometry'!$F$16*SIN(RADIANS(F165))),('Geometry'!$G$17*COS(RADIANS(F165))+'Geometry'!$F$17*SIN(RADIANS(F165))),('Geometry'!$G$18*COS(RADIANS(F165))+'Geometry'!$F$18*SIN(RADIANS(F165))),('Geometry'!$G$19*COS(RADIANS(F165))+'Geometry'!$F$19*SIN(RADIANS(F165))),('Geometry'!$G$20*COS(RADIANS(F165))+'Geometry'!$F$20*SIN(RADIANS(F165))))</f>
        <v>750.0000000000001</v>
      </c>
      <c r="J165" s="11">
        <f>I165-H165*K165</f>
        <v>-1050</v>
      </c>
      <c r="K165" s="11">
        <f>I165-MIN(('Geometry'!$G$13*COS(RADIANS(F165))+'Geometry'!$F$13*SIN(RADIANS(F165))),('Geometry'!$G$14*COS(RADIANS(F165))+'Geometry'!$F$14*SIN(RADIANS(F165))),('Geometry'!$G$15*COS(RADIANS(F165))+'Geometry'!$F$15*SIN(RADIANS(F165))),('Geometry'!$G$16*COS(RADIANS(F165))+'Geometry'!$F$16*SIN(RADIANS(F165))),('Geometry'!$G$17*COS(RADIANS(F165))+'Geometry'!$F$17*SIN(RADIANS(F165))),('Geometry'!$G$18*COS(RADIANS(F165))+'Geometry'!$F$18*SIN(RADIANS(F165))),('Geometry'!$G$19*COS(RADIANS(F165))+'Geometry'!$F$19*SIN(RADIANS(F165))),('Geometry'!$G$20*COS(RADIANS(F165))+'Geometry'!$F$20*SIN(RADIANS(F165))))</f>
        <v>1500.0000000000002</v>
      </c>
      <c r="L165" s="16">
        <f>C_ecu</f>
        <v>0.0033</v>
      </c>
      <c r="M165" s="16">
        <f>0</f>
        <v>0</v>
      </c>
      <c r="N165" s="22">
        <f>IF(ABS(I165-J165)&lt;0.000000000001,0,(L165-M165)/(I165-J165))</f>
        <v>0.0000018333333333333333</v>
      </c>
      <c r="O165" s="16">
        <f>L165-N165*I165</f>
        <v>0.0019249999999999998</v>
      </c>
      <c r="P165" s="22">
        <f>N165*COS(RADIANS(F165))</f>
        <v>-3.367778697655221e-22</v>
      </c>
      <c r="Q165" s="22">
        <f>N165*SIN(RADIANS(F165))</f>
        <v>-0.0000018333333333333333</v>
      </c>
      <c r="R165" s="11">
        <f>AP165</f>
        <v>15260.444169480968</v>
      </c>
      <c r="S165" s="11">
        <f>AQ165</f>
        <v>-0.0033400627048975123</v>
      </c>
      <c r="T165" s="11">
        <f>AR165</f>
        <v>-1321.7110110735182</v>
      </c>
      <c r="U165" s="11">
        <f>AS165</f>
        <v>2409.9014460022663</v>
      </c>
      <c r="V165" s="11">
        <f>AT165</f>
        <v>-7.964026064501432e-14</v>
      </c>
      <c r="W165" s="11">
        <f>AU165</f>
        <v>-418.64150197075196</v>
      </c>
      <c r="X165" s="11">
        <f>AM165</f>
        <v>17670.345615483235</v>
      </c>
      <c r="Y165" s="11">
        <f>AN165</f>
        <v>-0.003340062704977153</v>
      </c>
      <c r="Z165" s="11">
        <f>AO165</f>
        <v>-1740.3525130442697</v>
      </c>
      <c r="AA165" s="7">
        <v>1</v>
      </c>
      <c r="AB165" s="7">
        <v>1</v>
      </c>
      <c r="AC165" s="7">
        <v>1</v>
      </c>
      <c r="AD165" s="11">
        <f>X165*AA165</f>
        <v>17670.345615483235</v>
      </c>
      <c r="AE165" s="11">
        <f>Y165*AB165</f>
        <v>-0.003340062704977153</v>
      </c>
      <c r="AF165" s="11">
        <f>Z165*AC165</f>
        <v>-1740.3525130442697</v>
      </c>
      <c r="AG165" s="7">
        <v>17670.345615483235</v>
      </c>
      <c r="AH165" s="7">
        <v>-0.003340062704977153</v>
      </c>
      <c r="AI165" s="7">
        <v>-1740.3525130442697</v>
      </c>
      <c r="AJ165" s="16">
        <f>AD165-AG165</f>
        <v>0</v>
      </c>
      <c r="AK165" s="16">
        <f>SQRT((AE165-AH165)^2+(AF165-AI165)^2)</f>
        <v>0</v>
      </c>
      <c r="AL165" s="7" t="s">
        <v>190</v>
      </c>
      <c r="AM165" s="7">
        <v>17670.345615483235</v>
      </c>
      <c r="AN165" s="7">
        <v>-0.003340062704977153</v>
      </c>
      <c r="AO165" s="7">
        <v>-1740.3525130442697</v>
      </c>
      <c r="AP165" s="7">
        <v>15260.444169480968</v>
      </c>
      <c r="AQ165" s="7">
        <v>-0.0033400627048975123</v>
      </c>
      <c r="AR165" s="7">
        <v>-1321.7110110735182</v>
      </c>
      <c r="AS165" s="7">
        <v>2409.9014460022663</v>
      </c>
      <c r="AT165" s="7">
        <v>-7.964026064501432e-14</v>
      </c>
      <c r="AU165" s="7">
        <v>-418.64150197075196</v>
      </c>
    </row>
    <row r="166" spans="1:47" x14ac:dyDescent="0.25">
      <c r="A166" s="7" t="s">
        <v>512</v>
      </c>
      <c r="B166" s="7">
        <v>5</v>
      </c>
      <c r="C166" s="19">
        <v>270</v>
      </c>
      <c r="D166" s="7" t="s">
        <v>513</v>
      </c>
      <c r="E166" s="7" t="s">
        <v>206</v>
      </c>
      <c r="F166" s="20">
        <v>270</v>
      </c>
      <c r="G166" s="7" t="s">
        <v>194</v>
      </c>
      <c r="H166" s="21">
        <v>1.1</v>
      </c>
      <c r="I166" s="11">
        <f>MAX(('Geometry'!$G$13*COS(RADIANS(F166))+'Geometry'!$F$13*SIN(RADIANS(F166))),('Geometry'!$G$14*COS(RADIANS(F166))+'Geometry'!$F$14*SIN(RADIANS(F166))),('Geometry'!$G$15*COS(RADIANS(F166))+'Geometry'!$F$15*SIN(RADIANS(F166))),('Geometry'!$G$16*COS(RADIANS(F166))+'Geometry'!$F$16*SIN(RADIANS(F166))),('Geometry'!$G$17*COS(RADIANS(F166))+'Geometry'!$F$17*SIN(RADIANS(F166))),('Geometry'!$G$18*COS(RADIANS(F166))+'Geometry'!$F$18*SIN(RADIANS(F166))),('Geometry'!$G$19*COS(RADIANS(F166))+'Geometry'!$F$19*SIN(RADIANS(F166))),('Geometry'!$G$20*COS(RADIANS(F166))+'Geometry'!$F$20*SIN(RADIANS(F166))))</f>
        <v>750.0000000000001</v>
      </c>
      <c r="J166" s="11">
        <f>I166-H166*K166</f>
        <v>-900.0000000000003</v>
      </c>
      <c r="K166" s="11">
        <f>I166-MIN(('Geometry'!$G$13*COS(RADIANS(F166))+'Geometry'!$F$13*SIN(RADIANS(F166))),('Geometry'!$G$14*COS(RADIANS(F166))+'Geometry'!$F$14*SIN(RADIANS(F166))),('Geometry'!$G$15*COS(RADIANS(F166))+'Geometry'!$F$15*SIN(RADIANS(F166))),('Geometry'!$G$16*COS(RADIANS(F166))+'Geometry'!$F$16*SIN(RADIANS(F166))),('Geometry'!$G$17*COS(RADIANS(F166))+'Geometry'!$F$17*SIN(RADIANS(F166))),('Geometry'!$G$18*COS(RADIANS(F166))+'Geometry'!$F$18*SIN(RADIANS(F166))),('Geometry'!$G$19*COS(RADIANS(F166))+'Geometry'!$F$19*SIN(RADIANS(F166))),('Geometry'!$G$20*COS(RADIANS(F166))+'Geometry'!$F$20*SIN(RADIANS(F166))))</f>
        <v>1500.0000000000002</v>
      </c>
      <c r="L166" s="16">
        <f>C_ecu</f>
        <v>0.0033</v>
      </c>
      <c r="M166" s="16">
        <f>0</f>
        <v>0</v>
      </c>
      <c r="N166" s="22">
        <f>IF(ABS(I166-J166)&lt;0.000000000001,0,(L166-M166)/(I166-J166))</f>
        <v>0.0000019999999999999995</v>
      </c>
      <c r="O166" s="16">
        <f>L166-N166*I166</f>
        <v>0.0018000000000000002</v>
      </c>
      <c r="P166" s="22">
        <f>N166*COS(RADIANS(F166))</f>
        <v>-3.6739403974420583e-22</v>
      </c>
      <c r="Q166" s="22">
        <f>N166*SIN(RADIANS(F166))</f>
        <v>-0.0000019999999999999995</v>
      </c>
      <c r="R166" s="11">
        <f>AP166</f>
        <v>15260.444169480968</v>
      </c>
      <c r="S166" s="11">
        <f>AQ166</f>
        <v>-0.004175078381121891</v>
      </c>
      <c r="T166" s="11">
        <f>AR166</f>
        <v>-1652.1387638418978</v>
      </c>
      <c r="U166" s="11">
        <f>AS166</f>
        <v>2409.9014460022663</v>
      </c>
      <c r="V166" s="11">
        <f>AT166</f>
        <v>-9.955032580626791e-14</v>
      </c>
      <c r="W166" s="11">
        <f>AU166</f>
        <v>-523.30187746344</v>
      </c>
      <c r="X166" s="11">
        <f>AM166</f>
        <v>17670.345615483235</v>
      </c>
      <c r="Y166" s="11">
        <f>AN166</f>
        <v>-0.004175078381221441</v>
      </c>
      <c r="Z166" s="11">
        <f>AO166</f>
        <v>-2175.4406413053375</v>
      </c>
      <c r="AA166" s="7">
        <v>1</v>
      </c>
      <c r="AB166" s="7">
        <v>1</v>
      </c>
      <c r="AC166" s="7">
        <v>1</v>
      </c>
      <c r="AD166" s="11">
        <f>X166*AA166</f>
        <v>17670.345615483235</v>
      </c>
      <c r="AE166" s="11">
        <f>Y166*AB166</f>
        <v>-0.004175078381221441</v>
      </c>
      <c r="AF166" s="11">
        <f>Z166*AC166</f>
        <v>-2175.4406413053375</v>
      </c>
      <c r="AG166" s="7">
        <v>17670.345615483235</v>
      </c>
      <c r="AH166" s="7">
        <v>-0.004175078381221441</v>
      </c>
      <c r="AI166" s="7">
        <v>-2175.4406413053375</v>
      </c>
      <c r="AJ166" s="16">
        <f>AD166-AG166</f>
        <v>0</v>
      </c>
      <c r="AK166" s="16">
        <f>SQRT((AE166-AH166)^2+(AF166-AI166)^2)</f>
        <v>0</v>
      </c>
      <c r="AL166" s="7" t="s">
        <v>190</v>
      </c>
      <c r="AM166" s="7">
        <v>17670.345615483235</v>
      </c>
      <c r="AN166" s="7">
        <v>-0.004175078381221441</v>
      </c>
      <c r="AO166" s="7">
        <v>-2175.4406413053375</v>
      </c>
      <c r="AP166" s="7">
        <v>15260.444169480968</v>
      </c>
      <c r="AQ166" s="7">
        <v>-0.004175078381121891</v>
      </c>
      <c r="AR166" s="7">
        <v>-1652.1387638418978</v>
      </c>
      <c r="AS166" s="7">
        <v>2409.9014460022663</v>
      </c>
      <c r="AT166" s="7">
        <v>-9.955032580626791e-14</v>
      </c>
      <c r="AU166" s="7">
        <v>-523.30187746344</v>
      </c>
    </row>
    <row r="167" spans="1:47" x14ac:dyDescent="0.25">
      <c r="A167" s="7" t="s">
        <v>514</v>
      </c>
      <c r="B167" s="7">
        <v>1</v>
      </c>
      <c r="C167" s="19">
        <v>280</v>
      </c>
      <c r="D167" s="7" t="s">
        <v>515</v>
      </c>
      <c r="E167" s="7" t="s">
        <v>206</v>
      </c>
      <c r="F167" s="20">
        <v>280</v>
      </c>
      <c r="G167" s="7" t="s">
        <v>194</v>
      </c>
      <c r="H167" s="21">
        <v>1.1</v>
      </c>
      <c r="I167" s="11">
        <f>MAX(('Geometry'!$G$13*COS(RADIANS(F167))+'Geometry'!$F$13*SIN(RADIANS(F167))),('Geometry'!$G$14*COS(RADIANS(F167))+'Geometry'!$F$14*SIN(RADIANS(F167))),('Geometry'!$G$15*COS(RADIANS(F167))+'Geometry'!$F$15*SIN(RADIANS(F167))),('Geometry'!$G$16*COS(RADIANS(F167))+'Geometry'!$F$16*SIN(RADIANS(F167))),('Geometry'!$G$17*COS(RADIANS(F167))+'Geometry'!$F$17*SIN(RADIANS(F167))),('Geometry'!$G$18*COS(RADIANS(F167))+'Geometry'!$F$18*SIN(RADIANS(F167))),('Geometry'!$G$19*COS(RADIANS(F167))+'Geometry'!$F$19*SIN(RADIANS(F167))),('Geometry'!$G$20*COS(RADIANS(F167))+'Geometry'!$F$20*SIN(RADIANS(F167))))</f>
        <v>808.0650858259281</v>
      </c>
      <c r="J167" s="11">
        <f>I167-H167*K167</f>
        <v>-969.6781029911139</v>
      </c>
      <c r="K167" s="11">
        <f>I167-MIN(('Geometry'!$G$13*COS(RADIANS(F167))+'Geometry'!$F$13*SIN(RADIANS(F167))),('Geometry'!$G$14*COS(RADIANS(F167))+'Geometry'!$F$14*SIN(RADIANS(F167))),('Geometry'!$G$15*COS(RADIANS(F167))+'Geometry'!$F$15*SIN(RADIANS(F167))),('Geometry'!$G$16*COS(RADIANS(F167))+'Geometry'!$F$16*SIN(RADIANS(F167))),('Geometry'!$G$17*COS(RADIANS(F167))+'Geometry'!$F$17*SIN(RADIANS(F167))),('Geometry'!$G$18*COS(RADIANS(F167))+'Geometry'!$F$18*SIN(RADIANS(F167))),('Geometry'!$G$19*COS(RADIANS(F167))+'Geometry'!$F$19*SIN(RADIANS(F167))),('Geometry'!$G$20*COS(RADIANS(F167))+'Geometry'!$F$20*SIN(RADIANS(F167))))</f>
        <v>1616.1301716518562</v>
      </c>
      <c r="L167" s="16">
        <f>C_ecu</f>
        <v>0.0033</v>
      </c>
      <c r="M167" s="16">
        <f>0</f>
        <v>0</v>
      </c>
      <c r="N167" s="22">
        <f>IF(ABS(I167-J167)&lt;0.000000000001,0,(L167-M167)/(I167-J167))</f>
        <v>0.0000018562861164417727</v>
      </c>
      <c r="O167" s="16">
        <f>L167-N167*I167</f>
        <v>0.0018000000000000002</v>
      </c>
      <c r="P167" s="22">
        <f>N167*COS(RADIANS(F167))</f>
        <v>3.223407013485364e-7</v>
      </c>
      <c r="Q167" s="22">
        <f>N167*SIN(RADIANS(F167))</f>
        <v>-0.0000018280849592807803</v>
      </c>
      <c r="R167" s="11">
        <f>AP167</f>
        <v>15273.40570302067</v>
      </c>
      <c r="S167" s="11">
        <f>AQ167</f>
        <v>215.20163016105505</v>
      </c>
      <c r="T167" s="11">
        <f>AR167</f>
        <v>-1517.0569792550057</v>
      </c>
      <c r="U167" s="11">
        <f>AS167</f>
        <v>2396.9399124625647</v>
      </c>
      <c r="V167" s="11">
        <f>AT167</f>
        <v>61.30038613332269</v>
      </c>
      <c r="W167" s="11">
        <f>AU167</f>
        <v>-485.7028455841956</v>
      </c>
      <c r="X167" s="11">
        <f>AM167</f>
        <v>17670.345615483235</v>
      </c>
      <c r="Y167" s="11">
        <f>AN167</f>
        <v>276.50201629437777</v>
      </c>
      <c r="Z167" s="11">
        <f>AO167</f>
        <v>-2002.759824839201</v>
      </c>
      <c r="AA167" s="7">
        <v>1</v>
      </c>
      <c r="AB167" s="7">
        <v>1</v>
      </c>
      <c r="AC167" s="7">
        <v>1</v>
      </c>
      <c r="AD167" s="11">
        <f>X167*AA167</f>
        <v>17670.345615483235</v>
      </c>
      <c r="AE167" s="11">
        <f>Y167*AB167</f>
        <v>276.50201629437777</v>
      </c>
      <c r="AF167" s="11">
        <f>Z167*AC167</f>
        <v>-2002.759824839201</v>
      </c>
      <c r="AG167" s="7">
        <v>17670.345615483235</v>
      </c>
      <c r="AH167" s="7">
        <v>276.50201629437777</v>
      </c>
      <c r="AI167" s="7">
        <v>-2002.759824839201</v>
      </c>
      <c r="AJ167" s="16">
        <f>AD167-AG167</f>
        <v>0</v>
      </c>
      <c r="AK167" s="16">
        <f>SQRT((AE167-AH167)^2+(AF167-AI167)^2)</f>
        <v>0</v>
      </c>
      <c r="AL167" s="7" t="s">
        <v>190</v>
      </c>
      <c r="AM167" s="7">
        <v>17670.345615483235</v>
      </c>
      <c r="AN167" s="7">
        <v>276.50201629437777</v>
      </c>
      <c r="AO167" s="7">
        <v>-2002.759824839201</v>
      </c>
      <c r="AP167" s="7">
        <v>15273.40570302067</v>
      </c>
      <c r="AQ167" s="7">
        <v>215.20163016105505</v>
      </c>
      <c r="AR167" s="7">
        <v>-1517.0569792550057</v>
      </c>
      <c r="AS167" s="7">
        <v>2396.9399124625647</v>
      </c>
      <c r="AT167" s="7">
        <v>61.30038613332269</v>
      </c>
      <c r="AU167" s="7">
        <v>-485.7028455841956</v>
      </c>
    </row>
    <row r="168" spans="1:47" x14ac:dyDescent="0.25">
      <c r="A168" s="7" t="s">
        <v>516</v>
      </c>
      <c r="B168" s="7">
        <v>2</v>
      </c>
      <c r="C168" s="19">
        <v>280</v>
      </c>
      <c r="D168" s="7" t="s">
        <v>517</v>
      </c>
      <c r="E168" s="7" t="s">
        <v>193</v>
      </c>
      <c r="F168" s="20">
        <v>280</v>
      </c>
      <c r="G168" s="7" t="s">
        <v>194</v>
      </c>
      <c r="H168" s="21">
        <v>3</v>
      </c>
      <c r="I168" s="11">
        <f>MAX(('Geometry'!$G$13*COS(RADIANS(F168))+'Geometry'!$F$13*SIN(RADIANS(F168))),('Geometry'!$G$14*COS(RADIANS(F168))+'Geometry'!$F$14*SIN(RADIANS(F168))),('Geometry'!$G$15*COS(RADIANS(F168))+'Geometry'!$F$15*SIN(RADIANS(F168))),('Geometry'!$G$16*COS(RADIANS(F168))+'Geometry'!$F$16*SIN(RADIANS(F168))),('Geometry'!$G$17*COS(RADIANS(F168))+'Geometry'!$F$17*SIN(RADIANS(F168))),('Geometry'!$G$18*COS(RADIANS(F168))+'Geometry'!$F$18*SIN(RADIANS(F168))),('Geometry'!$G$19*COS(RADIANS(F168))+'Geometry'!$F$19*SIN(RADIANS(F168))),('Geometry'!$G$20*COS(RADIANS(F168))+'Geometry'!$F$20*SIN(RADIANS(F168))))</f>
        <v>808.0650858259281</v>
      </c>
      <c r="J168" s="11">
        <f>I168-H168*K168</f>
        <v>-4040.3254291296403</v>
      </c>
      <c r="K168" s="11">
        <f>I168-MIN(('Geometry'!$G$13*COS(RADIANS(F168))+'Geometry'!$F$13*SIN(RADIANS(F168))),('Geometry'!$G$14*COS(RADIANS(F168))+'Geometry'!$F$14*SIN(RADIANS(F168))),('Geometry'!$G$15*COS(RADIANS(F168))+'Geometry'!$F$15*SIN(RADIANS(F168))),('Geometry'!$G$16*COS(RADIANS(F168))+'Geometry'!$F$16*SIN(RADIANS(F168))),('Geometry'!$G$17*COS(RADIANS(F168))+'Geometry'!$F$17*SIN(RADIANS(F168))),('Geometry'!$G$18*COS(RADIANS(F168))+'Geometry'!$F$18*SIN(RADIANS(F168))),('Geometry'!$G$19*COS(RADIANS(F168))+'Geometry'!$F$19*SIN(RADIANS(F168))),('Geometry'!$G$20*COS(RADIANS(F168))+'Geometry'!$F$20*SIN(RADIANS(F168))))</f>
        <v>1616.1301716518562</v>
      </c>
      <c r="L168" s="16">
        <f>C_ecu</f>
        <v>0.0033</v>
      </c>
      <c r="M168" s="16">
        <f>0</f>
        <v>0</v>
      </c>
      <c r="N168" s="22">
        <f>IF(ABS(I168-J168)&lt;0.000000000001,0,(L168-M168)/(I168-J168))</f>
        <v>6.806382426953168e-7</v>
      </c>
      <c r="O168" s="16">
        <f>L168-N168*I168</f>
        <v>0.00275</v>
      </c>
      <c r="P168" s="22">
        <f>N168*COS(RADIANS(F168))</f>
        <v>1.1819159049446337e-7</v>
      </c>
      <c r="Q168" s="22">
        <f>N168*SIN(RADIANS(F168))</f>
        <v>-6.702978184029529e-7</v>
      </c>
      <c r="R168" s="11">
        <f>AP168</f>
        <v>15273.40570302067</v>
      </c>
      <c r="S168" s="11">
        <f>AQ168</f>
        <v>43.040326032211006</v>
      </c>
      <c r="T168" s="11">
        <f>AR168</f>
        <v>-303.4113958510011</v>
      </c>
      <c r="U168" s="11">
        <f>AS168</f>
        <v>2396.9399124625647</v>
      </c>
      <c r="V168" s="11">
        <f>AT168</f>
        <v>12.260077226664537</v>
      </c>
      <c r="W168" s="11">
        <f>AU168</f>
        <v>-97.14056911683912</v>
      </c>
      <c r="X168" s="11">
        <f>AM168</f>
        <v>17670.345615483235</v>
      </c>
      <c r="Y168" s="11">
        <f>AN168</f>
        <v>55.30040325887555</v>
      </c>
      <c r="Z168" s="11">
        <f>AO168</f>
        <v>-400.55196496784015</v>
      </c>
      <c r="AA168" s="7">
        <v>1</v>
      </c>
      <c r="AB168" s="7">
        <v>1</v>
      </c>
      <c r="AC168" s="7">
        <v>1</v>
      </c>
      <c r="AD168" s="11">
        <f>X168*AA168</f>
        <v>17670.345615483235</v>
      </c>
      <c r="AE168" s="11">
        <f>Y168*AB168</f>
        <v>55.30040325887555</v>
      </c>
      <c r="AF168" s="11">
        <f>Z168*AC168</f>
        <v>-400.55196496784015</v>
      </c>
      <c r="AG168" s="7">
        <v>17670.345615483235</v>
      </c>
      <c r="AH168" s="7">
        <v>55.30040325887555</v>
      </c>
      <c r="AI168" s="7">
        <v>-400.55196496784015</v>
      </c>
      <c r="AJ168" s="16">
        <f>AD168-AG168</f>
        <v>0</v>
      </c>
      <c r="AK168" s="16">
        <f>SQRT((AE168-AH168)^2+(AF168-AI168)^2)</f>
        <v>0</v>
      </c>
      <c r="AL168" s="7" t="s">
        <v>190</v>
      </c>
      <c r="AM168" s="7">
        <v>17670.345615483235</v>
      </c>
      <c r="AN168" s="7">
        <v>55.30040325887555</v>
      </c>
      <c r="AO168" s="7">
        <v>-400.55196496784015</v>
      </c>
      <c r="AP168" s="7">
        <v>15273.40570302067</v>
      </c>
      <c r="AQ168" s="7">
        <v>43.040326032211006</v>
      </c>
      <c r="AR168" s="7">
        <v>-303.4113958510011</v>
      </c>
      <c r="AS168" s="7">
        <v>2396.9399124625647</v>
      </c>
      <c r="AT168" s="7">
        <v>12.260077226664537</v>
      </c>
      <c r="AU168" s="7">
        <v>-97.14056911683912</v>
      </c>
    </row>
    <row r="169" spans="1:47" x14ac:dyDescent="0.25">
      <c r="A169" s="7" t="s">
        <v>518</v>
      </c>
      <c r="B169" s="7">
        <v>3</v>
      </c>
      <c r="C169" s="19">
        <v>280</v>
      </c>
      <c r="D169" s="7" t="s">
        <v>519</v>
      </c>
      <c r="E169" s="7" t="s">
        <v>197</v>
      </c>
      <c r="F169" s="20">
        <v>280</v>
      </c>
      <c r="G169" s="7" t="s">
        <v>194</v>
      </c>
      <c r="H169" s="21">
        <v>2</v>
      </c>
      <c r="I169" s="11">
        <f>MAX(('Geometry'!$G$13*COS(RADIANS(F169))+'Geometry'!$F$13*SIN(RADIANS(F169))),('Geometry'!$G$14*COS(RADIANS(F169))+'Geometry'!$F$14*SIN(RADIANS(F169))),('Geometry'!$G$15*COS(RADIANS(F169))+'Geometry'!$F$15*SIN(RADIANS(F169))),('Geometry'!$G$16*COS(RADIANS(F169))+'Geometry'!$F$16*SIN(RADIANS(F169))),('Geometry'!$G$17*COS(RADIANS(F169))+'Geometry'!$F$17*SIN(RADIANS(F169))),('Geometry'!$G$18*COS(RADIANS(F169))+'Geometry'!$F$18*SIN(RADIANS(F169))),('Geometry'!$G$19*COS(RADIANS(F169))+'Geometry'!$F$19*SIN(RADIANS(F169))),('Geometry'!$G$20*COS(RADIANS(F169))+'Geometry'!$F$20*SIN(RADIANS(F169))))</f>
        <v>808.0650858259281</v>
      </c>
      <c r="J169" s="11">
        <f>I169-H169*K169</f>
        <v>-2424.1952574777843</v>
      </c>
      <c r="K169" s="11">
        <f>I169-MIN(('Geometry'!$G$13*COS(RADIANS(F169))+'Geometry'!$F$13*SIN(RADIANS(F169))),('Geometry'!$G$14*COS(RADIANS(F169))+'Geometry'!$F$14*SIN(RADIANS(F169))),('Geometry'!$G$15*COS(RADIANS(F169))+'Geometry'!$F$15*SIN(RADIANS(F169))),('Geometry'!$G$16*COS(RADIANS(F169))+'Geometry'!$F$16*SIN(RADIANS(F169))),('Geometry'!$G$17*COS(RADIANS(F169))+'Geometry'!$F$17*SIN(RADIANS(F169))),('Geometry'!$G$18*COS(RADIANS(F169))+'Geometry'!$F$18*SIN(RADIANS(F169))),('Geometry'!$G$19*COS(RADIANS(F169))+'Geometry'!$F$19*SIN(RADIANS(F169))),('Geometry'!$G$20*COS(RADIANS(F169))+'Geometry'!$F$20*SIN(RADIANS(F169))))</f>
        <v>1616.1301716518562</v>
      </c>
      <c r="L169" s="16">
        <f>C_ecu</f>
        <v>0.0033</v>
      </c>
      <c r="M169" s="16">
        <f>0</f>
        <v>0</v>
      </c>
      <c r="N169" s="22">
        <f>IF(ABS(I169-J169)&lt;0.000000000001,0,(L169-M169)/(I169-J169))</f>
        <v>0.000001020957364042975</v>
      </c>
      <c r="O169" s="16">
        <f>L169-N169*I169</f>
        <v>0.0024749999999999998</v>
      </c>
      <c r="P169" s="22">
        <f>N169*COS(RADIANS(F169))</f>
        <v>1.7728738574169504e-7</v>
      </c>
      <c r="Q169" s="22">
        <f>N169*SIN(RADIANS(F169))</f>
        <v>-0.0000010054467276044293</v>
      </c>
      <c r="R169" s="11">
        <f>AP169</f>
        <v>15273.40570302067</v>
      </c>
      <c r="S169" s="11">
        <f>AQ169</f>
        <v>86.08065206442201</v>
      </c>
      <c r="T169" s="11">
        <f>AR169</f>
        <v>-606.8227917020022</v>
      </c>
      <c r="U169" s="11">
        <f>AS169</f>
        <v>2396.9399124625647</v>
      </c>
      <c r="V169" s="11">
        <f>AT169</f>
        <v>24.520154453329074</v>
      </c>
      <c r="W169" s="11">
        <f>AU169</f>
        <v>-194.28113823367823</v>
      </c>
      <c r="X169" s="11">
        <f>AM169</f>
        <v>17670.345615483235</v>
      </c>
      <c r="Y169" s="11">
        <f>AN169</f>
        <v>110.6008065177511</v>
      </c>
      <c r="Z169" s="11">
        <f>AO169</f>
        <v>-801.1039299356803</v>
      </c>
      <c r="AA169" s="7">
        <v>1</v>
      </c>
      <c r="AB169" s="7">
        <v>1</v>
      </c>
      <c r="AC169" s="7">
        <v>1</v>
      </c>
      <c r="AD169" s="11">
        <f>X169*AA169</f>
        <v>17670.345615483235</v>
      </c>
      <c r="AE169" s="11">
        <f>Y169*AB169</f>
        <v>110.6008065177511</v>
      </c>
      <c r="AF169" s="11">
        <f>Z169*AC169</f>
        <v>-801.1039299356803</v>
      </c>
      <c r="AG169" s="7">
        <v>17670.345615483235</v>
      </c>
      <c r="AH169" s="7">
        <v>110.6008065177511</v>
      </c>
      <c r="AI169" s="7">
        <v>-801.1039299356803</v>
      </c>
      <c r="AJ169" s="16">
        <f>AD169-AG169</f>
        <v>0</v>
      </c>
      <c r="AK169" s="16">
        <f>SQRT((AE169-AH169)^2+(AF169-AI169)^2)</f>
        <v>0</v>
      </c>
      <c r="AL169" s="7" t="s">
        <v>190</v>
      </c>
      <c r="AM169" s="7">
        <v>17670.345615483235</v>
      </c>
      <c r="AN169" s="7">
        <v>110.6008065177511</v>
      </c>
      <c r="AO169" s="7">
        <v>-801.1039299356803</v>
      </c>
      <c r="AP169" s="7">
        <v>15273.40570302067</v>
      </c>
      <c r="AQ169" s="7">
        <v>86.08065206442201</v>
      </c>
      <c r="AR169" s="7">
        <v>-606.8227917020022</v>
      </c>
      <c r="AS169" s="7">
        <v>2396.9399124625647</v>
      </c>
      <c r="AT169" s="7">
        <v>24.520154453329074</v>
      </c>
      <c r="AU169" s="7">
        <v>-194.28113823367823</v>
      </c>
    </row>
    <row r="170" spans="1:47" x14ac:dyDescent="0.25">
      <c r="A170" s="7" t="s">
        <v>520</v>
      </c>
      <c r="B170" s="7">
        <v>4</v>
      </c>
      <c r="C170" s="19">
        <v>280</v>
      </c>
      <c r="D170" s="7" t="s">
        <v>521</v>
      </c>
      <c r="E170" s="7" t="s">
        <v>200</v>
      </c>
      <c r="F170" s="20">
        <v>280</v>
      </c>
      <c r="G170" s="7" t="s">
        <v>194</v>
      </c>
      <c r="H170" s="21">
        <v>1.5</v>
      </c>
      <c r="I170" s="11">
        <f>MAX(('Geometry'!$G$13*COS(RADIANS(F170))+'Geometry'!$F$13*SIN(RADIANS(F170))),('Geometry'!$G$14*COS(RADIANS(F170))+'Geometry'!$F$14*SIN(RADIANS(F170))),('Geometry'!$G$15*COS(RADIANS(F170))+'Geometry'!$F$15*SIN(RADIANS(F170))),('Geometry'!$G$16*COS(RADIANS(F170))+'Geometry'!$F$16*SIN(RADIANS(F170))),('Geometry'!$G$17*COS(RADIANS(F170))+'Geometry'!$F$17*SIN(RADIANS(F170))),('Geometry'!$G$18*COS(RADIANS(F170))+'Geometry'!$F$18*SIN(RADIANS(F170))),('Geometry'!$G$19*COS(RADIANS(F170))+'Geometry'!$F$19*SIN(RADIANS(F170))),('Geometry'!$G$20*COS(RADIANS(F170))+'Geometry'!$F$20*SIN(RADIANS(F170))))</f>
        <v>808.0650858259281</v>
      </c>
      <c r="J170" s="11">
        <f>I170-H170*K170</f>
        <v>-1616.130171651856</v>
      </c>
      <c r="K170" s="11">
        <f>I170-MIN(('Geometry'!$G$13*COS(RADIANS(F170))+'Geometry'!$F$13*SIN(RADIANS(F170))),('Geometry'!$G$14*COS(RADIANS(F170))+'Geometry'!$F$14*SIN(RADIANS(F170))),('Geometry'!$G$15*COS(RADIANS(F170))+'Geometry'!$F$15*SIN(RADIANS(F170))),('Geometry'!$G$16*COS(RADIANS(F170))+'Geometry'!$F$16*SIN(RADIANS(F170))),('Geometry'!$G$17*COS(RADIANS(F170))+'Geometry'!$F$17*SIN(RADIANS(F170))),('Geometry'!$G$18*COS(RADIANS(F170))+'Geometry'!$F$18*SIN(RADIANS(F170))),('Geometry'!$G$19*COS(RADIANS(F170))+'Geometry'!$F$19*SIN(RADIANS(F170))),('Geometry'!$G$20*COS(RADIANS(F170))+'Geometry'!$F$20*SIN(RADIANS(F170))))</f>
        <v>1616.1301716518562</v>
      </c>
      <c r="L170" s="16">
        <f>C_ecu</f>
        <v>0.0033</v>
      </c>
      <c r="M170" s="16">
        <f>0</f>
        <v>0</v>
      </c>
      <c r="N170" s="22">
        <f>IF(ABS(I170-J170)&lt;0.000000000001,0,(L170-M170)/(I170-J170))</f>
        <v>0.0000013612764853906335</v>
      </c>
      <c r="O170" s="16">
        <f>L170-N170*I170</f>
        <v>0.0021999999999999997</v>
      </c>
      <c r="P170" s="22">
        <f>N170*COS(RADIANS(F170))</f>
        <v>2.3638318098892674e-7</v>
      </c>
      <c r="Q170" s="22">
        <f>N170*SIN(RADIANS(F170))</f>
        <v>-0.0000013405956368059059</v>
      </c>
      <c r="R170" s="11">
        <f>AP170</f>
        <v>15273.40570302067</v>
      </c>
      <c r="S170" s="11">
        <f>AQ170</f>
        <v>129.12097809663302</v>
      </c>
      <c r="T170" s="11">
        <f>AR170</f>
        <v>-910.2341875530033</v>
      </c>
      <c r="U170" s="11">
        <f>AS170</f>
        <v>2396.9399124625647</v>
      </c>
      <c r="V170" s="11">
        <f>AT170</f>
        <v>36.78023167999361</v>
      </c>
      <c r="W170" s="11">
        <f>AU170</f>
        <v>-291.4217073505174</v>
      </c>
      <c r="X170" s="11">
        <f>AM170</f>
        <v>17670.345615483235</v>
      </c>
      <c r="Y170" s="11">
        <f>AN170</f>
        <v>165.90120977662667</v>
      </c>
      <c r="Z170" s="11">
        <f>AO170</f>
        <v>-1201.6558949035207</v>
      </c>
      <c r="AA170" s="7">
        <v>1</v>
      </c>
      <c r="AB170" s="7">
        <v>1</v>
      </c>
      <c r="AC170" s="7">
        <v>1</v>
      </c>
      <c r="AD170" s="11">
        <f>X170*AA170</f>
        <v>17670.345615483235</v>
      </c>
      <c r="AE170" s="11">
        <f>Y170*AB170</f>
        <v>165.90120977662667</v>
      </c>
      <c r="AF170" s="11">
        <f>Z170*AC170</f>
        <v>-1201.6558949035207</v>
      </c>
      <c r="AG170" s="7">
        <v>17670.345615483235</v>
      </c>
      <c r="AH170" s="7">
        <v>165.90120977662667</v>
      </c>
      <c r="AI170" s="7">
        <v>-1201.6558949035207</v>
      </c>
      <c r="AJ170" s="16">
        <f>AD170-AG170</f>
        <v>0</v>
      </c>
      <c r="AK170" s="16">
        <f>SQRT((AE170-AH170)^2+(AF170-AI170)^2)</f>
        <v>0</v>
      </c>
      <c r="AL170" s="7" t="s">
        <v>190</v>
      </c>
      <c r="AM170" s="7">
        <v>17670.345615483235</v>
      </c>
      <c r="AN170" s="7">
        <v>165.90120977662667</v>
      </c>
      <c r="AO170" s="7">
        <v>-1201.6558949035207</v>
      </c>
      <c r="AP170" s="7">
        <v>15273.40570302067</v>
      </c>
      <c r="AQ170" s="7">
        <v>129.12097809663302</v>
      </c>
      <c r="AR170" s="7">
        <v>-910.2341875530033</v>
      </c>
      <c r="AS170" s="7">
        <v>2396.9399124625647</v>
      </c>
      <c r="AT170" s="7">
        <v>36.78023167999361</v>
      </c>
      <c r="AU170" s="7">
        <v>-291.4217073505174</v>
      </c>
    </row>
    <row r="171" spans="1:47" x14ac:dyDescent="0.25">
      <c r="A171" s="7" t="s">
        <v>522</v>
      </c>
      <c r="B171" s="7">
        <v>5</v>
      </c>
      <c r="C171" s="19">
        <v>280</v>
      </c>
      <c r="D171" s="7" t="s">
        <v>523</v>
      </c>
      <c r="E171" s="7" t="s">
        <v>203</v>
      </c>
      <c r="F171" s="20">
        <v>280</v>
      </c>
      <c r="G171" s="7" t="s">
        <v>194</v>
      </c>
      <c r="H171" s="21">
        <v>1.2</v>
      </c>
      <c r="I171" s="11">
        <f>MAX(('Geometry'!$G$13*COS(RADIANS(F171))+'Geometry'!$F$13*SIN(RADIANS(F171))),('Geometry'!$G$14*COS(RADIANS(F171))+'Geometry'!$F$14*SIN(RADIANS(F171))),('Geometry'!$G$15*COS(RADIANS(F171))+'Geometry'!$F$15*SIN(RADIANS(F171))),('Geometry'!$G$16*COS(RADIANS(F171))+'Geometry'!$F$16*SIN(RADIANS(F171))),('Geometry'!$G$17*COS(RADIANS(F171))+'Geometry'!$F$17*SIN(RADIANS(F171))),('Geometry'!$G$18*COS(RADIANS(F171))+'Geometry'!$F$18*SIN(RADIANS(F171))),('Geometry'!$G$19*COS(RADIANS(F171))+'Geometry'!$F$19*SIN(RADIANS(F171))),('Geometry'!$G$20*COS(RADIANS(F171))+'Geometry'!$F$20*SIN(RADIANS(F171))))</f>
        <v>808.0650858259281</v>
      </c>
      <c r="J171" s="11">
        <f>I171-H171*K171</f>
        <v>-1131.2911201562995</v>
      </c>
      <c r="K171" s="11">
        <f>I171-MIN(('Geometry'!$G$13*COS(RADIANS(F171))+'Geometry'!$F$13*SIN(RADIANS(F171))),('Geometry'!$G$14*COS(RADIANS(F171))+'Geometry'!$F$14*SIN(RADIANS(F171))),('Geometry'!$G$15*COS(RADIANS(F171))+'Geometry'!$F$15*SIN(RADIANS(F171))),('Geometry'!$G$16*COS(RADIANS(F171))+'Geometry'!$F$16*SIN(RADIANS(F171))),('Geometry'!$G$17*COS(RADIANS(F171))+'Geometry'!$F$17*SIN(RADIANS(F171))),('Geometry'!$G$18*COS(RADIANS(F171))+'Geometry'!$F$18*SIN(RADIANS(F171))),('Geometry'!$G$19*COS(RADIANS(F171))+'Geometry'!$F$19*SIN(RADIANS(F171))),('Geometry'!$G$20*COS(RADIANS(F171))+'Geometry'!$F$20*SIN(RADIANS(F171))))</f>
        <v>1616.1301716518562</v>
      </c>
      <c r="L171" s="16">
        <f>C_ecu</f>
        <v>0.0033</v>
      </c>
      <c r="M171" s="16">
        <f>0</f>
        <v>0</v>
      </c>
      <c r="N171" s="22">
        <f>IF(ABS(I171-J171)&lt;0.000000000001,0,(L171-M171)/(I171-J171))</f>
        <v>0.0000017015956067382918</v>
      </c>
      <c r="O171" s="16">
        <f>L171-N171*I171</f>
        <v>0.001925</v>
      </c>
      <c r="P171" s="22">
        <f>N171*COS(RADIANS(F171))</f>
        <v>2.954789762361584e-7</v>
      </c>
      <c r="Q171" s="22">
        <f>N171*SIN(RADIANS(F171))</f>
        <v>-0.000001675744546007382</v>
      </c>
      <c r="R171" s="11">
        <f>AP171</f>
        <v>15273.40570302067</v>
      </c>
      <c r="S171" s="11">
        <f>AQ171</f>
        <v>172.16130412884402</v>
      </c>
      <c r="T171" s="11">
        <f>AR171</f>
        <v>-1213.6455834040044</v>
      </c>
      <c r="U171" s="11">
        <f>AS171</f>
        <v>2396.9399124625647</v>
      </c>
      <c r="V171" s="11">
        <f>AT171</f>
        <v>49.04030890665815</v>
      </c>
      <c r="W171" s="11">
        <f>AU171</f>
        <v>-388.56227646735647</v>
      </c>
      <c r="X171" s="11">
        <f>AM171</f>
        <v>17670.345615483235</v>
      </c>
      <c r="Y171" s="11">
        <f>AN171</f>
        <v>221.2016130355022</v>
      </c>
      <c r="Z171" s="11">
        <f>AO171</f>
        <v>-1602.2078598713606</v>
      </c>
      <c r="AA171" s="7">
        <v>1</v>
      </c>
      <c r="AB171" s="7">
        <v>1</v>
      </c>
      <c r="AC171" s="7">
        <v>1</v>
      </c>
      <c r="AD171" s="11">
        <f>X171*AA171</f>
        <v>17670.345615483235</v>
      </c>
      <c r="AE171" s="11">
        <f>Y171*AB171</f>
        <v>221.2016130355022</v>
      </c>
      <c r="AF171" s="11">
        <f>Z171*AC171</f>
        <v>-1602.2078598713606</v>
      </c>
      <c r="AG171" s="7">
        <v>17670.345615483235</v>
      </c>
      <c r="AH171" s="7">
        <v>221.2016130355022</v>
      </c>
      <c r="AI171" s="7">
        <v>-1602.2078598713606</v>
      </c>
      <c r="AJ171" s="16">
        <f>AD171-AG171</f>
        <v>0</v>
      </c>
      <c r="AK171" s="16">
        <f>SQRT((AE171-AH171)^2+(AF171-AI171)^2)</f>
        <v>0</v>
      </c>
      <c r="AL171" s="7" t="s">
        <v>190</v>
      </c>
      <c r="AM171" s="7">
        <v>17670.345615483235</v>
      </c>
      <c r="AN171" s="7">
        <v>221.2016130355022</v>
      </c>
      <c r="AO171" s="7">
        <v>-1602.2078598713606</v>
      </c>
      <c r="AP171" s="7">
        <v>15273.40570302067</v>
      </c>
      <c r="AQ171" s="7">
        <v>172.16130412884402</v>
      </c>
      <c r="AR171" s="7">
        <v>-1213.6455834040044</v>
      </c>
      <c r="AS171" s="7">
        <v>2396.9399124625647</v>
      </c>
      <c r="AT171" s="7">
        <v>49.04030890665815</v>
      </c>
      <c r="AU171" s="7">
        <v>-388.56227646735647</v>
      </c>
    </row>
    <row r="172" spans="1:47" x14ac:dyDescent="0.25">
      <c r="A172" s="7" t="s">
        <v>524</v>
      </c>
      <c r="B172" s="7">
        <v>1</v>
      </c>
      <c r="C172" s="19">
        <v>290</v>
      </c>
      <c r="D172" s="7" t="s">
        <v>525</v>
      </c>
      <c r="E172" s="7" t="s">
        <v>193</v>
      </c>
      <c r="F172" s="20">
        <v>290</v>
      </c>
      <c r="G172" s="7" t="s">
        <v>194</v>
      </c>
      <c r="H172" s="21">
        <v>3.0000000000000004</v>
      </c>
      <c r="I172" s="11">
        <f>MAX(('Geometry'!$G$13*COS(RADIANS(F172))+'Geometry'!$F$13*SIN(RADIANS(F172))),('Geometry'!$G$14*COS(RADIANS(F172))+'Geometry'!$F$14*SIN(RADIANS(F172))),('Geometry'!$G$15*COS(RADIANS(F172))+'Geometry'!$F$15*SIN(RADIANS(F172))),('Geometry'!$G$16*COS(RADIANS(F172))+'Geometry'!$F$16*SIN(RADIANS(F172))),('Geometry'!$G$17*COS(RADIANS(F172))+'Geometry'!$F$17*SIN(RADIANS(F172))),('Geometry'!$G$18*COS(RADIANS(F172))+'Geometry'!$F$18*SIN(RADIANS(F172))),('Geometry'!$G$19*COS(RADIANS(F172))+'Geometry'!$F$19*SIN(RADIANS(F172))),('Geometry'!$G$20*COS(RADIANS(F172))+'Geometry'!$F$20*SIN(RADIANS(F172))))</f>
        <v>841.5775229196987</v>
      </c>
      <c r="J172" s="11">
        <f>I172-H172*K172</f>
        <v>-4207.887614598494</v>
      </c>
      <c r="K172" s="11">
        <f>I172-MIN(('Geometry'!$G$13*COS(RADIANS(F172))+'Geometry'!$F$13*SIN(RADIANS(F172))),('Geometry'!$G$14*COS(RADIANS(F172))+'Geometry'!$F$14*SIN(RADIANS(F172))),('Geometry'!$G$15*COS(RADIANS(F172))+'Geometry'!$F$15*SIN(RADIANS(F172))),('Geometry'!$G$16*COS(RADIANS(F172))+'Geometry'!$F$16*SIN(RADIANS(F172))),('Geometry'!$G$17*COS(RADIANS(F172))+'Geometry'!$F$17*SIN(RADIANS(F172))),('Geometry'!$G$18*COS(RADIANS(F172))+'Geometry'!$F$18*SIN(RADIANS(F172))),('Geometry'!$G$19*COS(RADIANS(F172))+'Geometry'!$F$19*SIN(RADIANS(F172))),('Geometry'!$G$20*COS(RADIANS(F172))+'Geometry'!$F$20*SIN(RADIANS(F172))))</f>
        <v>1683.1550458393974</v>
      </c>
      <c r="L172" s="16">
        <f>C_ecu</f>
        <v>0.0033</v>
      </c>
      <c r="M172" s="16">
        <f>0</f>
        <v>0</v>
      </c>
      <c r="N172" s="22">
        <f>IF(ABS(I172-J172)&lt;0.000000000001,0,(L172-M172)/(I172-J172))</f>
        <v>6.535345645780508e-7</v>
      </c>
      <c r="O172" s="16">
        <f>L172-N172*I172</f>
        <v>0.00275</v>
      </c>
      <c r="P172" s="22">
        <f>N172*COS(RADIANS(F172))</f>
        <v>2.2352198544526363e-7</v>
      </c>
      <c r="Q172" s="22">
        <f>N172*SIN(RADIANS(F172))</f>
        <v>-6.141216077625261e-7</v>
      </c>
      <c r="R172" s="11">
        <f>AP172</f>
        <v>15276.900239631199</v>
      </c>
      <c r="S172" s="11">
        <f>AQ172</f>
        <v>79.98044667193732</v>
      </c>
      <c r="T172" s="11">
        <f>AR172</f>
        <v>-278.10654781587914</v>
      </c>
      <c r="U172" s="11">
        <f>AS172</f>
        <v>2393.4453758520362</v>
      </c>
      <c r="V172" s="11">
        <f>AT172</f>
        <v>23.712637775055086</v>
      </c>
      <c r="W172" s="11">
        <f>AU172</f>
        <v>-89.58160683297345</v>
      </c>
      <c r="X172" s="11">
        <f>AM172</f>
        <v>17670.345615483235</v>
      </c>
      <c r="Y172" s="11">
        <f>AN172</f>
        <v>103.6930844469924</v>
      </c>
      <c r="Z172" s="11">
        <f>AO172</f>
        <v>-367.6881546488527</v>
      </c>
      <c r="AA172" s="7">
        <v>1</v>
      </c>
      <c r="AB172" s="7">
        <v>1</v>
      </c>
      <c r="AC172" s="7">
        <v>1</v>
      </c>
      <c r="AD172" s="11">
        <f>X172*AA172</f>
        <v>17670.345615483235</v>
      </c>
      <c r="AE172" s="11">
        <f>Y172*AB172</f>
        <v>103.6930844469924</v>
      </c>
      <c r="AF172" s="11">
        <f>Z172*AC172</f>
        <v>-367.6881546488527</v>
      </c>
      <c r="AG172" s="7">
        <v>17670.345615483235</v>
      </c>
      <c r="AH172" s="7">
        <v>103.6930844469924</v>
      </c>
      <c r="AI172" s="7">
        <v>-367.6881546488527</v>
      </c>
      <c r="AJ172" s="16">
        <f>AD172-AG172</f>
        <v>0</v>
      </c>
      <c r="AK172" s="16">
        <f>SQRT((AE172-AH172)^2+(AF172-AI172)^2)</f>
        <v>0</v>
      </c>
      <c r="AL172" s="7" t="s">
        <v>190</v>
      </c>
      <c r="AM172" s="7">
        <v>17670.345615483235</v>
      </c>
      <c r="AN172" s="7">
        <v>103.6930844469924</v>
      </c>
      <c r="AO172" s="7">
        <v>-367.6881546488527</v>
      </c>
      <c r="AP172" s="7">
        <v>15276.900239631199</v>
      </c>
      <c r="AQ172" s="7">
        <v>79.98044667193732</v>
      </c>
      <c r="AR172" s="7">
        <v>-278.10654781587914</v>
      </c>
      <c r="AS172" s="7">
        <v>2393.4453758520362</v>
      </c>
      <c r="AT172" s="7">
        <v>23.712637775055086</v>
      </c>
      <c r="AU172" s="7">
        <v>-89.58160683297345</v>
      </c>
    </row>
    <row r="173" spans="1:47" x14ac:dyDescent="0.25">
      <c r="A173" s="7" t="s">
        <v>526</v>
      </c>
      <c r="B173" s="7">
        <v>2</v>
      </c>
      <c r="C173" s="19">
        <v>290</v>
      </c>
      <c r="D173" s="7" t="s">
        <v>527</v>
      </c>
      <c r="E173" s="7" t="s">
        <v>197</v>
      </c>
      <c r="F173" s="20">
        <v>290</v>
      </c>
      <c r="G173" s="7" t="s">
        <v>194</v>
      </c>
      <c r="H173" s="21">
        <v>2</v>
      </c>
      <c r="I173" s="11">
        <f>MAX(('Geometry'!$G$13*COS(RADIANS(F173))+'Geometry'!$F$13*SIN(RADIANS(F173))),('Geometry'!$G$14*COS(RADIANS(F173))+'Geometry'!$F$14*SIN(RADIANS(F173))),('Geometry'!$G$15*COS(RADIANS(F173))+'Geometry'!$F$15*SIN(RADIANS(F173))),('Geometry'!$G$16*COS(RADIANS(F173))+'Geometry'!$F$16*SIN(RADIANS(F173))),('Geometry'!$G$17*COS(RADIANS(F173))+'Geometry'!$F$17*SIN(RADIANS(F173))),('Geometry'!$G$18*COS(RADIANS(F173))+'Geometry'!$F$18*SIN(RADIANS(F173))),('Geometry'!$G$19*COS(RADIANS(F173))+'Geometry'!$F$19*SIN(RADIANS(F173))),('Geometry'!$G$20*COS(RADIANS(F173))+'Geometry'!$F$20*SIN(RADIANS(F173))))</f>
        <v>841.5775229196987</v>
      </c>
      <c r="J173" s="11">
        <f>I173-H173*K173</f>
        <v>-2524.732568759096</v>
      </c>
      <c r="K173" s="11">
        <f>I173-MIN(('Geometry'!$G$13*COS(RADIANS(F173))+'Geometry'!$F$13*SIN(RADIANS(F173))),('Geometry'!$G$14*COS(RADIANS(F173))+'Geometry'!$F$14*SIN(RADIANS(F173))),('Geometry'!$G$15*COS(RADIANS(F173))+'Geometry'!$F$15*SIN(RADIANS(F173))),('Geometry'!$G$16*COS(RADIANS(F173))+'Geometry'!$F$16*SIN(RADIANS(F173))),('Geometry'!$G$17*COS(RADIANS(F173))+'Geometry'!$F$17*SIN(RADIANS(F173))),('Geometry'!$G$18*COS(RADIANS(F173))+'Geometry'!$F$18*SIN(RADIANS(F173))),('Geometry'!$G$19*COS(RADIANS(F173))+'Geometry'!$F$19*SIN(RADIANS(F173))),('Geometry'!$G$20*COS(RADIANS(F173))+'Geometry'!$F$20*SIN(RADIANS(F173))))</f>
        <v>1683.1550458393974</v>
      </c>
      <c r="L173" s="16">
        <f>C_ecu</f>
        <v>0.0033</v>
      </c>
      <c r="M173" s="16">
        <f>0</f>
        <v>0</v>
      </c>
      <c r="N173" s="22">
        <f>IF(ABS(I173-J173)&lt;0.000000000001,0,(L173-M173)/(I173-J173))</f>
        <v>9.803018468670764e-7</v>
      </c>
      <c r="O173" s="16">
        <f>L173-N173*I173</f>
        <v>0.0024749999999999998</v>
      </c>
      <c r="P173" s="22">
        <f>N173*COS(RADIANS(F173))</f>
        <v>3.3528297816789545e-7</v>
      </c>
      <c r="Q173" s="22">
        <f>N173*SIN(RADIANS(F173))</f>
        <v>-9.211824116437892e-7</v>
      </c>
      <c r="R173" s="11">
        <f>AP173</f>
        <v>15276.900239631199</v>
      </c>
      <c r="S173" s="11">
        <f>AQ173</f>
        <v>159.96089334387463</v>
      </c>
      <c r="T173" s="11">
        <f>AR173</f>
        <v>-556.2130956317583</v>
      </c>
      <c r="U173" s="11">
        <f>AS173</f>
        <v>2393.4453758520362</v>
      </c>
      <c r="V173" s="11">
        <f>AT173</f>
        <v>47.42527555011017</v>
      </c>
      <c r="W173" s="11">
        <f>AU173</f>
        <v>-179.1632136659469</v>
      </c>
      <c r="X173" s="11">
        <f>AM173</f>
        <v>17670.345615483235</v>
      </c>
      <c r="Y173" s="11">
        <f>AN173</f>
        <v>207.3861688939848</v>
      </c>
      <c r="Z173" s="11">
        <f>AO173</f>
        <v>-735.3763092977053</v>
      </c>
      <c r="AA173" s="7">
        <v>1</v>
      </c>
      <c r="AB173" s="7">
        <v>1</v>
      </c>
      <c r="AC173" s="7">
        <v>1</v>
      </c>
      <c r="AD173" s="11">
        <f>X173*AA173</f>
        <v>17670.345615483235</v>
      </c>
      <c r="AE173" s="11">
        <f>Y173*AB173</f>
        <v>207.3861688939848</v>
      </c>
      <c r="AF173" s="11">
        <f>Z173*AC173</f>
        <v>-735.3763092977053</v>
      </c>
      <c r="AG173" s="7">
        <v>17670.345615483235</v>
      </c>
      <c r="AH173" s="7">
        <v>207.3861688939848</v>
      </c>
      <c r="AI173" s="7">
        <v>-735.3763092977053</v>
      </c>
      <c r="AJ173" s="16">
        <f>AD173-AG173</f>
        <v>0</v>
      </c>
      <c r="AK173" s="16">
        <f>SQRT((AE173-AH173)^2+(AF173-AI173)^2)</f>
        <v>0</v>
      </c>
      <c r="AL173" s="7" t="s">
        <v>190</v>
      </c>
      <c r="AM173" s="7">
        <v>17670.345615483235</v>
      </c>
      <c r="AN173" s="7">
        <v>207.3861688939848</v>
      </c>
      <c r="AO173" s="7">
        <v>-735.3763092977053</v>
      </c>
      <c r="AP173" s="7">
        <v>15276.900239631199</v>
      </c>
      <c r="AQ173" s="7">
        <v>159.96089334387463</v>
      </c>
      <c r="AR173" s="7">
        <v>-556.2130956317583</v>
      </c>
      <c r="AS173" s="7">
        <v>2393.4453758520362</v>
      </c>
      <c r="AT173" s="7">
        <v>47.42527555011017</v>
      </c>
      <c r="AU173" s="7">
        <v>-179.1632136659469</v>
      </c>
    </row>
    <row r="174" spans="1:47" x14ac:dyDescent="0.25">
      <c r="A174" s="7" t="s">
        <v>528</v>
      </c>
      <c r="B174" s="7">
        <v>3</v>
      </c>
      <c r="C174" s="19">
        <v>290</v>
      </c>
      <c r="D174" s="7" t="s">
        <v>529</v>
      </c>
      <c r="E174" s="7" t="s">
        <v>200</v>
      </c>
      <c r="F174" s="20">
        <v>290</v>
      </c>
      <c r="G174" s="7" t="s">
        <v>194</v>
      </c>
      <c r="H174" s="21">
        <v>1.5000000000000002</v>
      </c>
      <c r="I174" s="11">
        <f>MAX(('Geometry'!$G$13*COS(RADIANS(F174))+'Geometry'!$F$13*SIN(RADIANS(F174))),('Geometry'!$G$14*COS(RADIANS(F174))+'Geometry'!$F$14*SIN(RADIANS(F174))),('Geometry'!$G$15*COS(RADIANS(F174))+'Geometry'!$F$15*SIN(RADIANS(F174))),('Geometry'!$G$16*COS(RADIANS(F174))+'Geometry'!$F$16*SIN(RADIANS(F174))),('Geometry'!$G$17*COS(RADIANS(F174))+'Geometry'!$F$17*SIN(RADIANS(F174))),('Geometry'!$G$18*COS(RADIANS(F174))+'Geometry'!$F$18*SIN(RADIANS(F174))),('Geometry'!$G$19*COS(RADIANS(F174))+'Geometry'!$F$19*SIN(RADIANS(F174))),('Geometry'!$G$20*COS(RADIANS(F174))+'Geometry'!$F$20*SIN(RADIANS(F174))))</f>
        <v>841.5775229196987</v>
      </c>
      <c r="J174" s="11">
        <f>I174-H174*K174</f>
        <v>-1683.1550458393979</v>
      </c>
      <c r="K174" s="11">
        <f>I174-MIN(('Geometry'!$G$13*COS(RADIANS(F174))+'Geometry'!$F$13*SIN(RADIANS(F174))),('Geometry'!$G$14*COS(RADIANS(F174))+'Geometry'!$F$14*SIN(RADIANS(F174))),('Geometry'!$G$15*COS(RADIANS(F174))+'Geometry'!$F$15*SIN(RADIANS(F174))),('Geometry'!$G$16*COS(RADIANS(F174))+'Geometry'!$F$16*SIN(RADIANS(F174))),('Geometry'!$G$17*COS(RADIANS(F174))+'Geometry'!$F$17*SIN(RADIANS(F174))),('Geometry'!$G$18*COS(RADIANS(F174))+'Geometry'!$F$18*SIN(RADIANS(F174))),('Geometry'!$G$19*COS(RADIANS(F174))+'Geometry'!$F$19*SIN(RADIANS(F174))),('Geometry'!$G$20*COS(RADIANS(F174))+'Geometry'!$F$20*SIN(RADIANS(F174))))</f>
        <v>1683.1550458393974</v>
      </c>
      <c r="L174" s="16">
        <f>C_ecu</f>
        <v>0.0033</v>
      </c>
      <c r="M174" s="16">
        <f>0</f>
        <v>0</v>
      </c>
      <c r="N174" s="22">
        <f>IF(ABS(I174-J174)&lt;0.000000000001,0,(L174-M174)/(I174-J174))</f>
        <v>0.0000013070691291561017</v>
      </c>
      <c r="O174" s="16">
        <f>L174-N174*I174</f>
        <v>0.0022</v>
      </c>
      <c r="P174" s="22">
        <f>N174*COS(RADIANS(F174))</f>
        <v>4.4704397089052726e-7</v>
      </c>
      <c r="Q174" s="22">
        <f>N174*SIN(RADIANS(F174))</f>
        <v>-0.0000012282432155250521</v>
      </c>
      <c r="R174" s="11">
        <f>AP174</f>
        <v>15276.900239631199</v>
      </c>
      <c r="S174" s="11">
        <f>AQ174</f>
        <v>239.94134001581196</v>
      </c>
      <c r="T174" s="11">
        <f>AR174</f>
        <v>-834.3196434476375</v>
      </c>
      <c r="U174" s="11">
        <f>AS174</f>
        <v>2393.4453758520362</v>
      </c>
      <c r="V174" s="11">
        <f>AT174</f>
        <v>71.13791332516526</v>
      </c>
      <c r="W174" s="11">
        <f>AU174</f>
        <v>-268.7448204989204</v>
      </c>
      <c r="X174" s="11">
        <f>AM174</f>
        <v>17670.345615483235</v>
      </c>
      <c r="Y174" s="11">
        <f>AN174</f>
        <v>311.0792533409772</v>
      </c>
      <c r="Z174" s="11">
        <f>AO174</f>
        <v>-1103.0644639465577</v>
      </c>
      <c r="AA174" s="7">
        <v>1</v>
      </c>
      <c r="AB174" s="7">
        <v>1</v>
      </c>
      <c r="AC174" s="7">
        <v>1</v>
      </c>
      <c r="AD174" s="11">
        <f>X174*AA174</f>
        <v>17670.345615483235</v>
      </c>
      <c r="AE174" s="11">
        <f>Y174*AB174</f>
        <v>311.0792533409772</v>
      </c>
      <c r="AF174" s="11">
        <f>Z174*AC174</f>
        <v>-1103.0644639465577</v>
      </c>
      <c r="AG174" s="7">
        <v>17670.345615483235</v>
      </c>
      <c r="AH174" s="7">
        <v>311.0792533409772</v>
      </c>
      <c r="AI174" s="7">
        <v>-1103.0644639465577</v>
      </c>
      <c r="AJ174" s="16">
        <f>AD174-AG174</f>
        <v>0</v>
      </c>
      <c r="AK174" s="16">
        <f>SQRT((AE174-AH174)^2+(AF174-AI174)^2)</f>
        <v>0</v>
      </c>
      <c r="AL174" s="7" t="s">
        <v>190</v>
      </c>
      <c r="AM174" s="7">
        <v>17670.345615483235</v>
      </c>
      <c r="AN174" s="7">
        <v>311.0792533409772</v>
      </c>
      <c r="AO174" s="7">
        <v>-1103.0644639465577</v>
      </c>
      <c r="AP174" s="7">
        <v>15276.900239631199</v>
      </c>
      <c r="AQ174" s="7">
        <v>239.94134001581196</v>
      </c>
      <c r="AR174" s="7">
        <v>-834.3196434476375</v>
      </c>
      <c r="AS174" s="7">
        <v>2393.4453758520362</v>
      </c>
      <c r="AT174" s="7">
        <v>71.13791332516526</v>
      </c>
      <c r="AU174" s="7">
        <v>-268.7448204989204</v>
      </c>
    </row>
    <row r="175" spans="1:47" x14ac:dyDescent="0.25">
      <c r="A175" s="7" t="s">
        <v>530</v>
      </c>
      <c r="B175" s="7">
        <v>4</v>
      </c>
      <c r="C175" s="19">
        <v>290</v>
      </c>
      <c r="D175" s="7" t="s">
        <v>531</v>
      </c>
      <c r="E175" s="7" t="s">
        <v>203</v>
      </c>
      <c r="F175" s="20">
        <v>290</v>
      </c>
      <c r="G175" s="7" t="s">
        <v>194</v>
      </c>
      <c r="H175" s="21">
        <v>1.2</v>
      </c>
      <c r="I175" s="11">
        <f>MAX(('Geometry'!$G$13*COS(RADIANS(F175))+'Geometry'!$F$13*SIN(RADIANS(F175))),('Geometry'!$G$14*COS(RADIANS(F175))+'Geometry'!$F$14*SIN(RADIANS(F175))),('Geometry'!$G$15*COS(RADIANS(F175))+'Geometry'!$F$15*SIN(RADIANS(F175))),('Geometry'!$G$16*COS(RADIANS(F175))+'Geometry'!$F$16*SIN(RADIANS(F175))),('Geometry'!$G$17*COS(RADIANS(F175))+'Geometry'!$F$17*SIN(RADIANS(F175))),('Geometry'!$G$18*COS(RADIANS(F175))+'Geometry'!$F$18*SIN(RADIANS(F175))),('Geometry'!$G$19*COS(RADIANS(F175))+'Geometry'!$F$19*SIN(RADIANS(F175))),('Geometry'!$G$20*COS(RADIANS(F175))+'Geometry'!$F$20*SIN(RADIANS(F175))))</f>
        <v>841.5775229196987</v>
      </c>
      <c r="J175" s="11">
        <f>I175-H175*K175</f>
        <v>-1178.2085320875783</v>
      </c>
      <c r="K175" s="11">
        <f>I175-MIN(('Geometry'!$G$13*COS(RADIANS(F175))+'Geometry'!$F$13*SIN(RADIANS(F175))),('Geometry'!$G$14*COS(RADIANS(F175))+'Geometry'!$F$14*SIN(RADIANS(F175))),('Geometry'!$G$15*COS(RADIANS(F175))+'Geometry'!$F$15*SIN(RADIANS(F175))),('Geometry'!$G$16*COS(RADIANS(F175))+'Geometry'!$F$16*SIN(RADIANS(F175))),('Geometry'!$G$17*COS(RADIANS(F175))+'Geometry'!$F$17*SIN(RADIANS(F175))),('Geometry'!$G$18*COS(RADIANS(F175))+'Geometry'!$F$18*SIN(RADIANS(F175))),('Geometry'!$G$19*COS(RADIANS(F175))+'Geometry'!$F$19*SIN(RADIANS(F175))),('Geometry'!$G$20*COS(RADIANS(F175))+'Geometry'!$F$20*SIN(RADIANS(F175))))</f>
        <v>1683.1550458393974</v>
      </c>
      <c r="L175" s="16">
        <f>C_ecu</f>
        <v>0.0033</v>
      </c>
      <c r="M175" s="16">
        <f>0</f>
        <v>0</v>
      </c>
      <c r="N175" s="22">
        <f>IF(ABS(I175-J175)&lt;0.000000000001,0,(L175-M175)/(I175-J175))</f>
        <v>0.0000016338364114451272</v>
      </c>
      <c r="O175" s="16">
        <f>L175-N175*I175</f>
        <v>0.0019249999999999998</v>
      </c>
      <c r="P175" s="22">
        <f>N175*COS(RADIANS(F175))</f>
        <v>5.588049636131591e-7</v>
      </c>
      <c r="Q175" s="22">
        <f>N175*SIN(RADIANS(F175))</f>
        <v>-0.0000015353040194063152</v>
      </c>
      <c r="R175" s="11">
        <f>AP175</f>
        <v>15276.900239631199</v>
      </c>
      <c r="S175" s="11">
        <f>AQ175</f>
        <v>319.92178668774926</v>
      </c>
      <c r="T175" s="11">
        <f>AR175</f>
        <v>-1112.4261912635166</v>
      </c>
      <c r="U175" s="11">
        <f>AS175</f>
        <v>2393.4453758520362</v>
      </c>
      <c r="V175" s="11">
        <f>AT175</f>
        <v>94.85055110022034</v>
      </c>
      <c r="W175" s="11">
        <f>AU175</f>
        <v>-358.3264273318938</v>
      </c>
      <c r="X175" s="11">
        <f>AM175</f>
        <v>17670.345615483235</v>
      </c>
      <c r="Y175" s="11">
        <f>AN175</f>
        <v>414.7723377879696</v>
      </c>
      <c r="Z175" s="11">
        <f>AO175</f>
        <v>-1470.7526185954107</v>
      </c>
      <c r="AA175" s="7">
        <v>1</v>
      </c>
      <c r="AB175" s="7">
        <v>1</v>
      </c>
      <c r="AC175" s="7">
        <v>1</v>
      </c>
      <c r="AD175" s="11">
        <f>X175*AA175</f>
        <v>17670.345615483235</v>
      </c>
      <c r="AE175" s="11">
        <f>Y175*AB175</f>
        <v>414.7723377879696</v>
      </c>
      <c r="AF175" s="11">
        <f>Z175*AC175</f>
        <v>-1470.7526185954107</v>
      </c>
      <c r="AG175" s="7">
        <v>17670.345615483235</v>
      </c>
      <c r="AH175" s="7">
        <v>414.7723377879696</v>
      </c>
      <c r="AI175" s="7">
        <v>-1470.7526185954107</v>
      </c>
      <c r="AJ175" s="16">
        <f>AD175-AG175</f>
        <v>0</v>
      </c>
      <c r="AK175" s="16">
        <f>SQRT((AE175-AH175)^2+(AF175-AI175)^2)</f>
        <v>0</v>
      </c>
      <c r="AL175" s="7" t="s">
        <v>190</v>
      </c>
      <c r="AM175" s="7">
        <v>17670.345615483235</v>
      </c>
      <c r="AN175" s="7">
        <v>414.7723377879696</v>
      </c>
      <c r="AO175" s="7">
        <v>-1470.7526185954107</v>
      </c>
      <c r="AP175" s="7">
        <v>15276.900239631199</v>
      </c>
      <c r="AQ175" s="7">
        <v>319.92178668774926</v>
      </c>
      <c r="AR175" s="7">
        <v>-1112.4261912635166</v>
      </c>
      <c r="AS175" s="7">
        <v>2393.4453758520362</v>
      </c>
      <c r="AT175" s="7">
        <v>94.85055110022034</v>
      </c>
      <c r="AU175" s="7">
        <v>-358.3264273318938</v>
      </c>
    </row>
    <row r="176" spans="1:47" x14ac:dyDescent="0.25">
      <c r="A176" s="7" t="s">
        <v>532</v>
      </c>
      <c r="B176" s="7">
        <v>5</v>
      </c>
      <c r="C176" s="19">
        <v>290</v>
      </c>
      <c r="D176" s="7" t="s">
        <v>533</v>
      </c>
      <c r="E176" s="7" t="s">
        <v>206</v>
      </c>
      <c r="F176" s="20">
        <v>290</v>
      </c>
      <c r="G176" s="7" t="s">
        <v>194</v>
      </c>
      <c r="H176" s="21">
        <v>1.1000000000000003</v>
      </c>
      <c r="I176" s="11">
        <f>MAX(('Geometry'!$G$13*COS(RADIANS(F176))+'Geometry'!$F$13*SIN(RADIANS(F176))),('Geometry'!$G$14*COS(RADIANS(F176))+'Geometry'!$F$14*SIN(RADIANS(F176))),('Geometry'!$G$15*COS(RADIANS(F176))+'Geometry'!$F$15*SIN(RADIANS(F176))),('Geometry'!$G$16*COS(RADIANS(F176))+'Geometry'!$F$16*SIN(RADIANS(F176))),('Geometry'!$G$17*COS(RADIANS(F176))+'Geometry'!$F$17*SIN(RADIANS(F176))),('Geometry'!$G$18*COS(RADIANS(F176))+'Geometry'!$F$18*SIN(RADIANS(F176))),('Geometry'!$G$19*COS(RADIANS(F176))+'Geometry'!$F$19*SIN(RADIANS(F176))),('Geometry'!$G$20*COS(RADIANS(F176))+'Geometry'!$F$20*SIN(RADIANS(F176))))</f>
        <v>841.5775229196987</v>
      </c>
      <c r="J176" s="11">
        <f>I176-H176*K176</f>
        <v>-1009.8930275036387</v>
      </c>
      <c r="K176" s="11">
        <f>I176-MIN(('Geometry'!$G$13*COS(RADIANS(F176))+'Geometry'!$F$13*SIN(RADIANS(F176))),('Geometry'!$G$14*COS(RADIANS(F176))+'Geometry'!$F$14*SIN(RADIANS(F176))),('Geometry'!$G$15*COS(RADIANS(F176))+'Geometry'!$F$15*SIN(RADIANS(F176))),('Geometry'!$G$16*COS(RADIANS(F176))+'Geometry'!$F$16*SIN(RADIANS(F176))),('Geometry'!$G$17*COS(RADIANS(F176))+'Geometry'!$F$17*SIN(RADIANS(F176))),('Geometry'!$G$18*COS(RADIANS(F176))+'Geometry'!$F$18*SIN(RADIANS(F176))),('Geometry'!$G$19*COS(RADIANS(F176))+'Geometry'!$F$19*SIN(RADIANS(F176))),('Geometry'!$G$20*COS(RADIANS(F176))+'Geometry'!$F$20*SIN(RADIANS(F176))))</f>
        <v>1683.1550458393974</v>
      </c>
      <c r="L176" s="16">
        <f>C_ecu</f>
        <v>0.0033</v>
      </c>
      <c r="M176" s="16">
        <f>0</f>
        <v>0</v>
      </c>
      <c r="N176" s="22">
        <f>IF(ABS(I176-J176)&lt;0.000000000001,0,(L176-M176)/(I176-J176))</f>
        <v>0.000001782366994303775</v>
      </c>
      <c r="O176" s="16">
        <f>L176-N176*I176</f>
        <v>0.0018000000000000002</v>
      </c>
      <c r="P176" s="22">
        <f>N176*COS(RADIANS(F176))</f>
        <v>6.09605414850719e-7</v>
      </c>
      <c r="Q176" s="22">
        <f>N176*SIN(RADIANS(F176))</f>
        <v>-0.0000016748771120796165</v>
      </c>
      <c r="R176" s="11">
        <f>AP176</f>
        <v>15276.900239631199</v>
      </c>
      <c r="S176" s="11">
        <f>AQ176</f>
        <v>399.9022333596866</v>
      </c>
      <c r="T176" s="11">
        <f>AR176</f>
        <v>-1390.532739079396</v>
      </c>
      <c r="U176" s="11">
        <f>AS176</f>
        <v>2393.4453758520362</v>
      </c>
      <c r="V176" s="11">
        <f>AT176</f>
        <v>118.56318887527543</v>
      </c>
      <c r="W176" s="11">
        <f>AU176</f>
        <v>-447.9080341648673</v>
      </c>
      <c r="X176" s="11">
        <f>AM176</f>
        <v>17670.345615483235</v>
      </c>
      <c r="Y176" s="11">
        <f>AN176</f>
        <v>518.465422234962</v>
      </c>
      <c r="Z176" s="11">
        <f>AO176</f>
        <v>-1838.4407732442633</v>
      </c>
      <c r="AA176" s="7">
        <v>1</v>
      </c>
      <c r="AB176" s="7">
        <v>1</v>
      </c>
      <c r="AC176" s="7">
        <v>1</v>
      </c>
      <c r="AD176" s="11">
        <f>X176*AA176</f>
        <v>17670.345615483235</v>
      </c>
      <c r="AE176" s="11">
        <f>Y176*AB176</f>
        <v>518.465422234962</v>
      </c>
      <c r="AF176" s="11">
        <f>Z176*AC176</f>
        <v>-1838.4407732442633</v>
      </c>
      <c r="AG176" s="7">
        <v>17670.345615483235</v>
      </c>
      <c r="AH176" s="7">
        <v>518.465422234962</v>
      </c>
      <c r="AI176" s="7">
        <v>-1838.4407732442633</v>
      </c>
      <c r="AJ176" s="16">
        <f>AD176-AG176</f>
        <v>0</v>
      </c>
      <c r="AK176" s="16">
        <f>SQRT((AE176-AH176)^2+(AF176-AI176)^2)</f>
        <v>0</v>
      </c>
      <c r="AL176" s="7" t="s">
        <v>190</v>
      </c>
      <c r="AM176" s="7">
        <v>17670.345615483235</v>
      </c>
      <c r="AN176" s="7">
        <v>518.465422234962</v>
      </c>
      <c r="AO176" s="7">
        <v>-1838.4407732442633</v>
      </c>
      <c r="AP176" s="7">
        <v>15276.900239631199</v>
      </c>
      <c r="AQ176" s="7">
        <v>399.9022333596866</v>
      </c>
      <c r="AR176" s="7">
        <v>-1390.532739079396</v>
      </c>
      <c r="AS176" s="7">
        <v>2393.4453758520362</v>
      </c>
      <c r="AT176" s="7">
        <v>118.56318887527543</v>
      </c>
      <c r="AU176" s="7">
        <v>-447.9080341648673</v>
      </c>
    </row>
    <row r="177" spans="1:47" x14ac:dyDescent="0.25">
      <c r="A177" s="7" t="s">
        <v>534</v>
      </c>
      <c r="B177" s="7">
        <v>6</v>
      </c>
      <c r="C177" s="19">
        <v>290</v>
      </c>
      <c r="D177" s="7" t="s">
        <v>535</v>
      </c>
      <c r="E177" s="7" t="s">
        <v>229</v>
      </c>
      <c r="F177" s="20">
        <v>290</v>
      </c>
      <c r="G177" s="7" t="s">
        <v>194</v>
      </c>
      <c r="H177" s="21">
        <v>0.9999999999999999</v>
      </c>
      <c r="I177" s="11">
        <f>MAX(('Geometry'!$G$13*COS(RADIANS(F177))+'Geometry'!$F$13*SIN(RADIANS(F177))),('Geometry'!$G$14*COS(RADIANS(F177))+'Geometry'!$F$14*SIN(RADIANS(F177))),('Geometry'!$G$15*COS(RADIANS(F177))+'Geometry'!$F$15*SIN(RADIANS(F177))),('Geometry'!$G$16*COS(RADIANS(F177))+'Geometry'!$F$16*SIN(RADIANS(F177))),('Geometry'!$G$17*COS(RADIANS(F177))+'Geometry'!$F$17*SIN(RADIANS(F177))),('Geometry'!$G$18*COS(RADIANS(F177))+'Geometry'!$F$18*SIN(RADIANS(F177))),('Geometry'!$G$19*COS(RADIANS(F177))+'Geometry'!$F$19*SIN(RADIANS(F177))),('Geometry'!$G$20*COS(RADIANS(F177))+'Geometry'!$F$20*SIN(RADIANS(F177))))</f>
        <v>841.5775229196987</v>
      </c>
      <c r="J177" s="11">
        <f>I177-H177*K177</f>
        <v>-841.5775229196986</v>
      </c>
      <c r="K177" s="11">
        <f>I177-MIN(('Geometry'!$G$13*COS(RADIANS(F177))+'Geometry'!$F$13*SIN(RADIANS(F177))),('Geometry'!$G$14*COS(RADIANS(F177))+'Geometry'!$F$14*SIN(RADIANS(F177))),('Geometry'!$G$15*COS(RADIANS(F177))+'Geometry'!$F$15*SIN(RADIANS(F177))),('Geometry'!$G$16*COS(RADIANS(F177))+'Geometry'!$F$16*SIN(RADIANS(F177))),('Geometry'!$G$17*COS(RADIANS(F177))+'Geometry'!$F$17*SIN(RADIANS(F177))),('Geometry'!$G$18*COS(RADIANS(F177))+'Geometry'!$F$18*SIN(RADIANS(F177))),('Geometry'!$G$19*COS(RADIANS(F177))+'Geometry'!$F$19*SIN(RADIANS(F177))),('Geometry'!$G$20*COS(RADIANS(F177))+'Geometry'!$F$20*SIN(RADIANS(F177))))</f>
        <v>1683.1550458393974</v>
      </c>
      <c r="L177" s="16">
        <f>C_ecu</f>
        <v>0.0033</v>
      </c>
      <c r="M177" s="16">
        <f>0</f>
        <v>0</v>
      </c>
      <c r="N177" s="22">
        <f>IF(ABS(I177-J177)&lt;0.000000000001,0,(L177-M177)/(I177-J177))</f>
        <v>0.0000019606036937341528</v>
      </c>
      <c r="O177" s="16">
        <f>L177-N177*I177</f>
        <v>0.0016499999999999998</v>
      </c>
      <c r="P177" s="22">
        <f>N177*COS(RADIANS(F177))</f>
        <v>6.705659563357909e-7</v>
      </c>
      <c r="Q177" s="22">
        <f>N177*SIN(RADIANS(F177))</f>
        <v>-0.0000018423648232875784</v>
      </c>
      <c r="R177" s="11">
        <f>AP177</f>
        <v>15276.900239631199</v>
      </c>
      <c r="S177" s="11">
        <f>AQ177</f>
        <v>479.8826800316239</v>
      </c>
      <c r="T177" s="11">
        <f>AR177</f>
        <v>-1668.639286895275</v>
      </c>
      <c r="U177" s="11">
        <f>AS177</f>
        <v>2393.4453758520362</v>
      </c>
      <c r="V177" s="11">
        <f>AT177</f>
        <v>142.27582665033052</v>
      </c>
      <c r="W177" s="11">
        <f>AU177</f>
        <v>-537.4896409978408</v>
      </c>
      <c r="X177" s="11">
        <f>AM177</f>
        <v>17670.345615483235</v>
      </c>
      <c r="Y177" s="11">
        <f>AN177</f>
        <v>622.1585066819543</v>
      </c>
      <c r="Z177" s="11">
        <f>AO177</f>
        <v>-2206.1289278931154</v>
      </c>
      <c r="AA177" s="7">
        <v>1</v>
      </c>
      <c r="AB177" s="7">
        <v>1</v>
      </c>
      <c r="AC177" s="7">
        <v>1</v>
      </c>
      <c r="AD177" s="11">
        <f>X177*AA177</f>
        <v>17670.345615483235</v>
      </c>
      <c r="AE177" s="11">
        <f>Y177*AB177</f>
        <v>622.1585066819543</v>
      </c>
      <c r="AF177" s="11">
        <f>Z177*AC177</f>
        <v>-2206.1289278931154</v>
      </c>
      <c r="AG177" s="7">
        <v>17670.345615483235</v>
      </c>
      <c r="AH177" s="7">
        <v>622.1585066819543</v>
      </c>
      <c r="AI177" s="7">
        <v>-2206.1289278931154</v>
      </c>
      <c r="AJ177" s="16">
        <f>AD177-AG177</f>
        <v>0</v>
      </c>
      <c r="AK177" s="16">
        <f>SQRT((AE177-AH177)^2+(AF177-AI177)^2)</f>
        <v>0</v>
      </c>
      <c r="AL177" s="7" t="s">
        <v>190</v>
      </c>
      <c r="AM177" s="7">
        <v>17670.345615483235</v>
      </c>
      <c r="AN177" s="7">
        <v>622.1585066819543</v>
      </c>
      <c r="AO177" s="7">
        <v>-2206.1289278931154</v>
      </c>
      <c r="AP177" s="7">
        <v>15276.900239631199</v>
      </c>
      <c r="AQ177" s="7">
        <v>479.8826800316239</v>
      </c>
      <c r="AR177" s="7">
        <v>-1668.639286895275</v>
      </c>
      <c r="AS177" s="7">
        <v>2393.4453758520362</v>
      </c>
      <c r="AT177" s="7">
        <v>142.27582665033052</v>
      </c>
      <c r="AU177" s="7">
        <v>-537.4896409978408</v>
      </c>
    </row>
    <row r="178" spans="1:47" x14ac:dyDescent="0.25">
      <c r="A178" s="7" t="s">
        <v>536</v>
      </c>
      <c r="B178" s="7">
        <v>1</v>
      </c>
      <c r="C178" s="19">
        <v>300</v>
      </c>
      <c r="D178" s="7" t="s">
        <v>537</v>
      </c>
      <c r="E178" s="7" t="s">
        <v>193</v>
      </c>
      <c r="F178" s="20">
        <v>299.99999999999994</v>
      </c>
      <c r="G178" s="7" t="s">
        <v>194</v>
      </c>
      <c r="H178" s="21">
        <v>3</v>
      </c>
      <c r="I178" s="11">
        <f>MAX(('Geometry'!$G$13*COS(RADIANS(F178))+'Geometry'!$F$13*SIN(RADIANS(F178))),('Geometry'!$G$14*COS(RADIANS(F178))+'Geometry'!$F$14*SIN(RADIANS(F178))),('Geometry'!$G$15*COS(RADIANS(F178))+'Geometry'!$F$15*SIN(RADIANS(F178))),('Geometry'!$G$16*COS(RADIANS(F178))+'Geometry'!$F$16*SIN(RADIANS(F178))),('Geometry'!$G$17*COS(RADIANS(F178))+'Geometry'!$F$17*SIN(RADIANS(F178))),('Geometry'!$G$18*COS(RADIANS(F178))+'Geometry'!$F$18*SIN(RADIANS(F178))),('Geometry'!$G$19*COS(RADIANS(F178))+'Geometry'!$F$19*SIN(RADIANS(F178))),('Geometry'!$G$20*COS(RADIANS(F178))+'Geometry'!$F$20*SIN(RADIANS(F178))))</f>
        <v>849.519052838329</v>
      </c>
      <c r="J178" s="11">
        <f>I178-H178*K178</f>
        <v>-4247.595264191645</v>
      </c>
      <c r="K178" s="11">
        <f>I178-MIN(('Geometry'!$G$13*COS(RADIANS(F178))+'Geometry'!$F$13*SIN(RADIANS(F178))),('Geometry'!$G$14*COS(RADIANS(F178))+'Geometry'!$F$14*SIN(RADIANS(F178))),('Geometry'!$G$15*COS(RADIANS(F178))+'Geometry'!$F$15*SIN(RADIANS(F178))),('Geometry'!$G$16*COS(RADIANS(F178))+'Geometry'!$F$16*SIN(RADIANS(F178))),('Geometry'!$G$17*COS(RADIANS(F178))+'Geometry'!$F$17*SIN(RADIANS(F178))),('Geometry'!$G$18*COS(RADIANS(F178))+'Geometry'!$F$18*SIN(RADIANS(F178))),('Geometry'!$G$19*COS(RADIANS(F178))+'Geometry'!$F$19*SIN(RADIANS(F178))),('Geometry'!$G$20*COS(RADIANS(F178))+'Geometry'!$F$20*SIN(RADIANS(F178))))</f>
        <v>1699.038105676658</v>
      </c>
      <c r="L178" s="16">
        <f>C_ecu</f>
        <v>0.0033</v>
      </c>
      <c r="M178" s="16">
        <f>0</f>
        <v>0</v>
      </c>
      <c r="N178" s="22">
        <f>IF(ABS(I178-J178)&lt;0.000000000001,0,(L178-M178)/(I178-J178))</f>
        <v>6.474251497507848e-7</v>
      </c>
      <c r="O178" s="16">
        <f>L178-N178*I178</f>
        <v>0.00275</v>
      </c>
      <c r="P178" s="22">
        <f>N178*COS(RADIANS(F178))</f>
        <v>3.23712574875392e-7</v>
      </c>
      <c r="Q178" s="22">
        <f>N178*SIN(RADIANS(F178))</f>
        <v>-5.606866267331243e-7</v>
      </c>
      <c r="R178" s="11">
        <f>AP178</f>
        <v>15289.854043870042</v>
      </c>
      <c r="S178" s="11">
        <f>AQ178</f>
        <v>113.81547481367129</v>
      </c>
      <c r="T178" s="11">
        <f>AR178</f>
        <v>-255.0216341253911</v>
      </c>
      <c r="U178" s="11">
        <f>AS178</f>
        <v>2380.491571613195</v>
      </c>
      <c r="V178" s="11">
        <f>AT178</f>
        <v>35.051249806448325</v>
      </c>
      <c r="W178" s="11">
        <f>AU178</f>
        <v>-81.63181364956866</v>
      </c>
      <c r="X178" s="11">
        <f>AM178</f>
        <v>17670.345615483235</v>
      </c>
      <c r="Y178" s="11">
        <f>AN178</f>
        <v>148.86672462011964</v>
      </c>
      <c r="Z178" s="11">
        <f>AO178</f>
        <v>-336.6534477749597</v>
      </c>
      <c r="AA178" s="7">
        <v>1</v>
      </c>
      <c r="AB178" s="7">
        <v>1</v>
      </c>
      <c r="AC178" s="7">
        <v>1</v>
      </c>
      <c r="AD178" s="11">
        <f>X178*AA178</f>
        <v>17670.345615483235</v>
      </c>
      <c r="AE178" s="11">
        <f>Y178*AB178</f>
        <v>148.86672462011964</v>
      </c>
      <c r="AF178" s="11">
        <f>Z178*AC178</f>
        <v>-336.6534477749597</v>
      </c>
      <c r="AG178" s="7">
        <v>17670.345615483235</v>
      </c>
      <c r="AH178" s="7">
        <v>148.86672462011964</v>
      </c>
      <c r="AI178" s="7">
        <v>-336.6534477749597</v>
      </c>
      <c r="AJ178" s="16">
        <f>AD178-AG178</f>
        <v>0</v>
      </c>
      <c r="AK178" s="16">
        <f>SQRT((AE178-AH178)^2+(AF178-AI178)^2)</f>
        <v>0</v>
      </c>
      <c r="AL178" s="7" t="s">
        <v>190</v>
      </c>
      <c r="AM178" s="7">
        <v>17670.345615483235</v>
      </c>
      <c r="AN178" s="7">
        <v>148.86672462011964</v>
      </c>
      <c r="AO178" s="7">
        <v>-336.6534477749597</v>
      </c>
      <c r="AP178" s="7">
        <v>15289.854043870042</v>
      </c>
      <c r="AQ178" s="7">
        <v>113.81547481367129</v>
      </c>
      <c r="AR178" s="7">
        <v>-255.0216341253911</v>
      </c>
      <c r="AS178" s="7">
        <v>2380.491571613195</v>
      </c>
      <c r="AT178" s="7">
        <v>35.051249806448325</v>
      </c>
      <c r="AU178" s="7">
        <v>-81.63181364956866</v>
      </c>
    </row>
    <row r="179" spans="1:47" x14ac:dyDescent="0.25">
      <c r="A179" s="7" t="s">
        <v>538</v>
      </c>
      <c r="B179" s="7">
        <v>2</v>
      </c>
      <c r="C179" s="19">
        <v>300</v>
      </c>
      <c r="D179" s="7" t="s">
        <v>539</v>
      </c>
      <c r="E179" s="7" t="s">
        <v>197</v>
      </c>
      <c r="F179" s="20">
        <v>299.99999999999994</v>
      </c>
      <c r="G179" s="7" t="s">
        <v>194</v>
      </c>
      <c r="H179" s="21">
        <v>2</v>
      </c>
      <c r="I179" s="11">
        <f>MAX(('Geometry'!$G$13*COS(RADIANS(F179))+'Geometry'!$F$13*SIN(RADIANS(F179))),('Geometry'!$G$14*COS(RADIANS(F179))+'Geometry'!$F$14*SIN(RADIANS(F179))),('Geometry'!$G$15*COS(RADIANS(F179))+'Geometry'!$F$15*SIN(RADIANS(F179))),('Geometry'!$G$16*COS(RADIANS(F179))+'Geometry'!$F$16*SIN(RADIANS(F179))),('Geometry'!$G$17*COS(RADIANS(F179))+'Geometry'!$F$17*SIN(RADIANS(F179))),('Geometry'!$G$18*COS(RADIANS(F179))+'Geometry'!$F$18*SIN(RADIANS(F179))),('Geometry'!$G$19*COS(RADIANS(F179))+'Geometry'!$F$19*SIN(RADIANS(F179))),('Geometry'!$G$20*COS(RADIANS(F179))+'Geometry'!$F$20*SIN(RADIANS(F179))))</f>
        <v>849.519052838329</v>
      </c>
      <c r="J179" s="11">
        <f>I179-H179*K179</f>
        <v>-2548.557158514987</v>
      </c>
      <c r="K179" s="11">
        <f>I179-MIN(('Geometry'!$G$13*COS(RADIANS(F179))+'Geometry'!$F$13*SIN(RADIANS(F179))),('Geometry'!$G$14*COS(RADIANS(F179))+'Geometry'!$F$14*SIN(RADIANS(F179))),('Geometry'!$G$15*COS(RADIANS(F179))+'Geometry'!$F$15*SIN(RADIANS(F179))),('Geometry'!$G$16*COS(RADIANS(F179))+'Geometry'!$F$16*SIN(RADIANS(F179))),('Geometry'!$G$17*COS(RADIANS(F179))+'Geometry'!$F$17*SIN(RADIANS(F179))),('Geometry'!$G$18*COS(RADIANS(F179))+'Geometry'!$F$18*SIN(RADIANS(F179))),('Geometry'!$G$19*COS(RADIANS(F179))+'Geometry'!$F$19*SIN(RADIANS(F179))),('Geometry'!$G$20*COS(RADIANS(F179))+'Geometry'!$F$20*SIN(RADIANS(F179))))</f>
        <v>1699.038105676658</v>
      </c>
      <c r="L179" s="16">
        <f>C_ecu</f>
        <v>0.0033</v>
      </c>
      <c r="M179" s="16">
        <f>0</f>
        <v>0</v>
      </c>
      <c r="N179" s="22">
        <f>IF(ABS(I179-J179)&lt;0.000000000001,0,(L179-M179)/(I179-J179))</f>
        <v>9.71137724626177e-7</v>
      </c>
      <c r="O179" s="16">
        <f>L179-N179*I179</f>
        <v>0.0024749999999999998</v>
      </c>
      <c r="P179" s="22">
        <f>N179*COS(RADIANS(F179))</f>
        <v>4.855688623130879e-7</v>
      </c>
      <c r="Q179" s="22">
        <f>N179*SIN(RADIANS(F179))</f>
        <v>-8.410299400996864e-7</v>
      </c>
      <c r="R179" s="11">
        <f>AP179</f>
        <v>15289.854043870042</v>
      </c>
      <c r="S179" s="11">
        <f>AQ179</f>
        <v>227.63094962734257</v>
      </c>
      <c r="T179" s="11">
        <f>AR179</f>
        <v>-510.0432682507822</v>
      </c>
      <c r="U179" s="11">
        <f>AS179</f>
        <v>2380.491571613195</v>
      </c>
      <c r="V179" s="11">
        <f>AT179</f>
        <v>70.10249961289665</v>
      </c>
      <c r="W179" s="11">
        <f>AU179</f>
        <v>-163.2636272991373</v>
      </c>
      <c r="X179" s="11">
        <f>AM179</f>
        <v>17670.345615483235</v>
      </c>
      <c r="Y179" s="11">
        <f>AN179</f>
        <v>297.7334492402393</v>
      </c>
      <c r="Z179" s="11">
        <f>AO179</f>
        <v>-673.3068955499194</v>
      </c>
      <c r="AA179" s="7">
        <v>1</v>
      </c>
      <c r="AB179" s="7">
        <v>1</v>
      </c>
      <c r="AC179" s="7">
        <v>1</v>
      </c>
      <c r="AD179" s="11">
        <f>X179*AA179</f>
        <v>17670.345615483235</v>
      </c>
      <c r="AE179" s="11">
        <f>Y179*AB179</f>
        <v>297.7334492402393</v>
      </c>
      <c r="AF179" s="11">
        <f>Z179*AC179</f>
        <v>-673.3068955499194</v>
      </c>
      <c r="AG179" s="7">
        <v>17670.345615483235</v>
      </c>
      <c r="AH179" s="7">
        <v>297.7334492402393</v>
      </c>
      <c r="AI179" s="7">
        <v>-673.3068955499194</v>
      </c>
      <c r="AJ179" s="16">
        <f>AD179-AG179</f>
        <v>0</v>
      </c>
      <c r="AK179" s="16">
        <f>SQRT((AE179-AH179)^2+(AF179-AI179)^2)</f>
        <v>0</v>
      </c>
      <c r="AL179" s="7" t="s">
        <v>190</v>
      </c>
      <c r="AM179" s="7">
        <v>17670.345615483235</v>
      </c>
      <c r="AN179" s="7">
        <v>297.7334492402393</v>
      </c>
      <c r="AO179" s="7">
        <v>-673.3068955499194</v>
      </c>
      <c r="AP179" s="7">
        <v>15289.854043870042</v>
      </c>
      <c r="AQ179" s="7">
        <v>227.63094962734257</v>
      </c>
      <c r="AR179" s="7">
        <v>-510.0432682507822</v>
      </c>
      <c r="AS179" s="7">
        <v>2380.491571613195</v>
      </c>
      <c r="AT179" s="7">
        <v>70.10249961289665</v>
      </c>
      <c r="AU179" s="7">
        <v>-163.2636272991373</v>
      </c>
    </row>
    <row r="180" spans="1:47" x14ac:dyDescent="0.25">
      <c r="A180" s="7" t="s">
        <v>540</v>
      </c>
      <c r="B180" s="7">
        <v>3</v>
      </c>
      <c r="C180" s="19">
        <v>300</v>
      </c>
      <c r="D180" s="7" t="s">
        <v>541</v>
      </c>
      <c r="E180" s="7" t="s">
        <v>200</v>
      </c>
      <c r="F180" s="20">
        <v>299.99999999999994</v>
      </c>
      <c r="G180" s="7" t="s">
        <v>194</v>
      </c>
      <c r="H180" s="21">
        <v>1.5</v>
      </c>
      <c r="I180" s="11">
        <f>MAX(('Geometry'!$G$13*COS(RADIANS(F180))+'Geometry'!$F$13*SIN(RADIANS(F180))),('Geometry'!$G$14*COS(RADIANS(F180))+'Geometry'!$F$14*SIN(RADIANS(F180))),('Geometry'!$G$15*COS(RADIANS(F180))+'Geometry'!$F$15*SIN(RADIANS(F180))),('Geometry'!$G$16*COS(RADIANS(F180))+'Geometry'!$F$16*SIN(RADIANS(F180))),('Geometry'!$G$17*COS(RADIANS(F180))+'Geometry'!$F$17*SIN(RADIANS(F180))),('Geometry'!$G$18*COS(RADIANS(F180))+'Geometry'!$F$18*SIN(RADIANS(F180))),('Geometry'!$G$19*COS(RADIANS(F180))+'Geometry'!$F$19*SIN(RADIANS(F180))),('Geometry'!$G$20*COS(RADIANS(F180))+'Geometry'!$F$20*SIN(RADIANS(F180))))</f>
        <v>849.519052838329</v>
      </c>
      <c r="J180" s="11">
        <f>I180-H180*K180</f>
        <v>-1699.0381056766578</v>
      </c>
      <c r="K180" s="11">
        <f>I180-MIN(('Geometry'!$G$13*COS(RADIANS(F180))+'Geometry'!$F$13*SIN(RADIANS(F180))),('Geometry'!$G$14*COS(RADIANS(F180))+'Geometry'!$F$14*SIN(RADIANS(F180))),('Geometry'!$G$15*COS(RADIANS(F180))+'Geometry'!$F$15*SIN(RADIANS(F180))),('Geometry'!$G$16*COS(RADIANS(F180))+'Geometry'!$F$16*SIN(RADIANS(F180))),('Geometry'!$G$17*COS(RADIANS(F180))+'Geometry'!$F$17*SIN(RADIANS(F180))),('Geometry'!$G$18*COS(RADIANS(F180))+'Geometry'!$F$18*SIN(RADIANS(F180))),('Geometry'!$G$19*COS(RADIANS(F180))+'Geometry'!$F$19*SIN(RADIANS(F180))),('Geometry'!$G$20*COS(RADIANS(F180))+'Geometry'!$F$20*SIN(RADIANS(F180))))</f>
        <v>1699.038105676658</v>
      </c>
      <c r="L180" s="16">
        <f>C_ecu</f>
        <v>0.0033</v>
      </c>
      <c r="M180" s="16">
        <f>0</f>
        <v>0</v>
      </c>
      <c r="N180" s="22">
        <f>IF(ABS(I180-J180)&lt;0.000000000001,0,(L180-M180)/(I180-J180))</f>
        <v>0.0000012948502995015696</v>
      </c>
      <c r="O180" s="16">
        <f>L180-N180*I180</f>
        <v>0.0021999999999999997</v>
      </c>
      <c r="P180" s="22">
        <f>N180*COS(RADIANS(F180))</f>
        <v>6.47425149750784e-7</v>
      </c>
      <c r="Q180" s="22">
        <f>N180*SIN(RADIANS(F180))</f>
        <v>-0.0000011213732534662487</v>
      </c>
      <c r="R180" s="11">
        <f>AP180</f>
        <v>15289.854043870042</v>
      </c>
      <c r="S180" s="11">
        <f>AQ180</f>
        <v>341.44642444101396</v>
      </c>
      <c r="T180" s="11">
        <f>AR180</f>
        <v>-765.0649023761732</v>
      </c>
      <c r="U180" s="11">
        <f>AS180</f>
        <v>2380.491571613195</v>
      </c>
      <c r="V180" s="11">
        <f>AT180</f>
        <v>105.15374941934498</v>
      </c>
      <c r="W180" s="11">
        <f>AU180</f>
        <v>-244.895440948706</v>
      </c>
      <c r="X180" s="11">
        <f>AM180</f>
        <v>17670.345615483235</v>
      </c>
      <c r="Y180" s="11">
        <f>AN180</f>
        <v>446.6001738603589</v>
      </c>
      <c r="Z180" s="11">
        <f>AO180</f>
        <v>-1009.9603433248793</v>
      </c>
      <c r="AA180" s="7">
        <v>1</v>
      </c>
      <c r="AB180" s="7">
        <v>1</v>
      </c>
      <c r="AC180" s="7">
        <v>1</v>
      </c>
      <c r="AD180" s="11">
        <f>X180*AA180</f>
        <v>17670.345615483235</v>
      </c>
      <c r="AE180" s="11">
        <f>Y180*AB180</f>
        <v>446.6001738603589</v>
      </c>
      <c r="AF180" s="11">
        <f>Z180*AC180</f>
        <v>-1009.9603433248793</v>
      </c>
      <c r="AG180" s="7">
        <v>17670.345615483235</v>
      </c>
      <c r="AH180" s="7">
        <v>446.6001738603589</v>
      </c>
      <c r="AI180" s="7">
        <v>-1009.9603433248793</v>
      </c>
      <c r="AJ180" s="16">
        <f>AD180-AG180</f>
        <v>0</v>
      </c>
      <c r="AK180" s="16">
        <f>SQRT((AE180-AH180)^2+(AF180-AI180)^2)</f>
        <v>0</v>
      </c>
      <c r="AL180" s="7" t="s">
        <v>190</v>
      </c>
      <c r="AM180" s="7">
        <v>17670.345615483235</v>
      </c>
      <c r="AN180" s="7">
        <v>446.6001738603589</v>
      </c>
      <c r="AO180" s="7">
        <v>-1009.9603433248793</v>
      </c>
      <c r="AP180" s="7">
        <v>15289.854043870042</v>
      </c>
      <c r="AQ180" s="7">
        <v>341.44642444101396</v>
      </c>
      <c r="AR180" s="7">
        <v>-765.0649023761732</v>
      </c>
      <c r="AS180" s="7">
        <v>2380.491571613195</v>
      </c>
      <c r="AT180" s="7">
        <v>105.15374941934498</v>
      </c>
      <c r="AU180" s="7">
        <v>-244.895440948706</v>
      </c>
    </row>
    <row r="181" spans="1:47" x14ac:dyDescent="0.25">
      <c r="A181" s="7" t="s">
        <v>542</v>
      </c>
      <c r="B181" s="7">
        <v>4</v>
      </c>
      <c r="C181" s="19">
        <v>300</v>
      </c>
      <c r="D181" s="7" t="s">
        <v>543</v>
      </c>
      <c r="E181" s="7" t="s">
        <v>203</v>
      </c>
      <c r="F181" s="20">
        <v>299.99999999999994</v>
      </c>
      <c r="G181" s="7" t="s">
        <v>194</v>
      </c>
      <c r="H181" s="21">
        <v>1.2</v>
      </c>
      <c r="I181" s="11">
        <f>MAX(('Geometry'!$G$13*COS(RADIANS(F181))+'Geometry'!$F$13*SIN(RADIANS(F181))),('Geometry'!$G$14*COS(RADIANS(F181))+'Geometry'!$F$14*SIN(RADIANS(F181))),('Geometry'!$G$15*COS(RADIANS(F181))+'Geometry'!$F$15*SIN(RADIANS(F181))),('Geometry'!$G$16*COS(RADIANS(F181))+'Geometry'!$F$16*SIN(RADIANS(F181))),('Geometry'!$G$17*COS(RADIANS(F181))+'Geometry'!$F$17*SIN(RADIANS(F181))),('Geometry'!$G$18*COS(RADIANS(F181))+'Geometry'!$F$18*SIN(RADIANS(F181))),('Geometry'!$G$19*COS(RADIANS(F181))+'Geometry'!$F$19*SIN(RADIANS(F181))),('Geometry'!$G$20*COS(RADIANS(F181))+'Geometry'!$F$20*SIN(RADIANS(F181))))</f>
        <v>849.519052838329</v>
      </c>
      <c r="J181" s="11">
        <f>I181-H181*K181</f>
        <v>-1189.3266739736607</v>
      </c>
      <c r="K181" s="11">
        <f>I181-MIN(('Geometry'!$G$13*COS(RADIANS(F181))+'Geometry'!$F$13*SIN(RADIANS(F181))),('Geometry'!$G$14*COS(RADIANS(F181))+'Geometry'!$F$14*SIN(RADIANS(F181))),('Geometry'!$G$15*COS(RADIANS(F181))+'Geometry'!$F$15*SIN(RADIANS(F181))),('Geometry'!$G$16*COS(RADIANS(F181))+'Geometry'!$F$16*SIN(RADIANS(F181))),('Geometry'!$G$17*COS(RADIANS(F181))+'Geometry'!$F$17*SIN(RADIANS(F181))),('Geometry'!$G$18*COS(RADIANS(F181))+'Geometry'!$F$18*SIN(RADIANS(F181))),('Geometry'!$G$19*COS(RADIANS(F181))+'Geometry'!$F$19*SIN(RADIANS(F181))),('Geometry'!$G$20*COS(RADIANS(F181))+'Geometry'!$F$20*SIN(RADIANS(F181))))</f>
        <v>1699.038105676658</v>
      </c>
      <c r="L181" s="16">
        <f>C_ecu</f>
        <v>0.0033</v>
      </c>
      <c r="M181" s="16">
        <f>0</f>
        <v>0</v>
      </c>
      <c r="N181" s="22">
        <f>IF(ABS(I181-J181)&lt;0.000000000001,0,(L181-M181)/(I181-J181))</f>
        <v>0.000001618562874376962</v>
      </c>
      <c r="O181" s="16">
        <f>L181-N181*I181</f>
        <v>0.001925</v>
      </c>
      <c r="P181" s="22">
        <f>N181*COS(RADIANS(F181))</f>
        <v>8.092814371884799e-7</v>
      </c>
      <c r="Q181" s="22">
        <f>N181*SIN(RADIANS(F181))</f>
        <v>-0.0000014017165668328106</v>
      </c>
      <c r="R181" s="11">
        <f>AP181</f>
        <v>15289.854043870042</v>
      </c>
      <c r="S181" s="11">
        <f>AQ181</f>
        <v>455.26189925468515</v>
      </c>
      <c r="T181" s="11">
        <f>AR181</f>
        <v>-1020.0865365015644</v>
      </c>
      <c r="U181" s="11">
        <f>AS181</f>
        <v>2380.491571613195</v>
      </c>
      <c r="V181" s="11">
        <f>AT181</f>
        <v>140.2049992257933</v>
      </c>
      <c r="W181" s="11">
        <f>AU181</f>
        <v>-326.5272545982746</v>
      </c>
      <c r="X181" s="11">
        <f>AM181</f>
        <v>17670.345615483235</v>
      </c>
      <c r="Y181" s="11">
        <f>AN181</f>
        <v>595.4668984804786</v>
      </c>
      <c r="Z181" s="11">
        <f>AO181</f>
        <v>-1346.6137910998389</v>
      </c>
      <c r="AA181" s="7">
        <v>1</v>
      </c>
      <c r="AB181" s="7">
        <v>1</v>
      </c>
      <c r="AC181" s="7">
        <v>1</v>
      </c>
      <c r="AD181" s="11">
        <f>X181*AA181</f>
        <v>17670.345615483235</v>
      </c>
      <c r="AE181" s="11">
        <f>Y181*AB181</f>
        <v>595.4668984804786</v>
      </c>
      <c r="AF181" s="11">
        <f>Z181*AC181</f>
        <v>-1346.6137910998389</v>
      </c>
      <c r="AG181" s="7">
        <v>17670.345615483235</v>
      </c>
      <c r="AH181" s="7">
        <v>595.4668984804786</v>
      </c>
      <c r="AI181" s="7">
        <v>-1346.6137910998389</v>
      </c>
      <c r="AJ181" s="16">
        <f>AD181-AG181</f>
        <v>0</v>
      </c>
      <c r="AK181" s="16">
        <f>SQRT((AE181-AH181)^2+(AF181-AI181)^2)</f>
        <v>0</v>
      </c>
      <c r="AL181" s="7" t="s">
        <v>190</v>
      </c>
      <c r="AM181" s="7">
        <v>17670.345615483235</v>
      </c>
      <c r="AN181" s="7">
        <v>595.4668984804786</v>
      </c>
      <c r="AO181" s="7">
        <v>-1346.6137910998389</v>
      </c>
      <c r="AP181" s="7">
        <v>15289.854043870042</v>
      </c>
      <c r="AQ181" s="7">
        <v>455.26189925468515</v>
      </c>
      <c r="AR181" s="7">
        <v>-1020.0865365015644</v>
      </c>
      <c r="AS181" s="7">
        <v>2380.491571613195</v>
      </c>
      <c r="AT181" s="7">
        <v>140.2049992257933</v>
      </c>
      <c r="AU181" s="7">
        <v>-326.5272545982746</v>
      </c>
    </row>
    <row r="182" spans="1:47" x14ac:dyDescent="0.25">
      <c r="A182" s="7" t="s">
        <v>544</v>
      </c>
      <c r="B182" s="7">
        <v>5</v>
      </c>
      <c r="C182" s="19">
        <v>300</v>
      </c>
      <c r="D182" s="7" t="s">
        <v>545</v>
      </c>
      <c r="E182" s="7" t="s">
        <v>206</v>
      </c>
      <c r="F182" s="20">
        <v>299.99999999999994</v>
      </c>
      <c r="G182" s="7" t="s">
        <v>194</v>
      </c>
      <c r="H182" s="21">
        <v>1.1</v>
      </c>
      <c r="I182" s="11">
        <f>MAX(('Geometry'!$G$13*COS(RADIANS(F182))+'Geometry'!$F$13*SIN(RADIANS(F182))),('Geometry'!$G$14*COS(RADIANS(F182))+'Geometry'!$F$14*SIN(RADIANS(F182))),('Geometry'!$G$15*COS(RADIANS(F182))+'Geometry'!$F$15*SIN(RADIANS(F182))),('Geometry'!$G$16*COS(RADIANS(F182))+'Geometry'!$F$16*SIN(RADIANS(F182))),('Geometry'!$G$17*COS(RADIANS(F182))+'Geometry'!$F$17*SIN(RADIANS(F182))),('Geometry'!$G$18*COS(RADIANS(F182))+'Geometry'!$F$18*SIN(RADIANS(F182))),('Geometry'!$G$19*COS(RADIANS(F182))+'Geometry'!$F$19*SIN(RADIANS(F182))),('Geometry'!$G$20*COS(RADIANS(F182))+'Geometry'!$F$20*SIN(RADIANS(F182))))</f>
        <v>849.519052838329</v>
      </c>
      <c r="J182" s="11">
        <f>I182-H182*K182</f>
        <v>-1019.4228634059949</v>
      </c>
      <c r="K182" s="11">
        <f>I182-MIN(('Geometry'!$G$13*COS(RADIANS(F182))+'Geometry'!$F$13*SIN(RADIANS(F182))),('Geometry'!$G$14*COS(RADIANS(F182))+'Geometry'!$F$14*SIN(RADIANS(F182))),('Geometry'!$G$15*COS(RADIANS(F182))+'Geometry'!$F$15*SIN(RADIANS(F182))),('Geometry'!$G$16*COS(RADIANS(F182))+'Geometry'!$F$16*SIN(RADIANS(F182))),('Geometry'!$G$17*COS(RADIANS(F182))+'Geometry'!$F$17*SIN(RADIANS(F182))),('Geometry'!$G$18*COS(RADIANS(F182))+'Geometry'!$F$18*SIN(RADIANS(F182))),('Geometry'!$G$19*COS(RADIANS(F182))+'Geometry'!$F$19*SIN(RADIANS(F182))),('Geometry'!$G$20*COS(RADIANS(F182))+'Geometry'!$F$20*SIN(RADIANS(F182))))</f>
        <v>1699.038105676658</v>
      </c>
      <c r="L182" s="16">
        <f>C_ecu</f>
        <v>0.0033</v>
      </c>
      <c r="M182" s="16">
        <f>0</f>
        <v>0</v>
      </c>
      <c r="N182" s="22">
        <f>IF(ABS(I182-J182)&lt;0.000000000001,0,(L182-M182)/(I182-J182))</f>
        <v>0.0000017657049538657767</v>
      </c>
      <c r="O182" s="16">
        <f>L182-N182*I182</f>
        <v>0.0018000000000000002</v>
      </c>
      <c r="P182" s="22">
        <f>N182*COS(RADIANS(F182))</f>
        <v>8.828524769328871e-7</v>
      </c>
      <c r="Q182" s="22">
        <f>N182*SIN(RADIANS(F182))</f>
        <v>-0.0000015291453456357935</v>
      </c>
      <c r="R182" s="11">
        <f>AP182</f>
        <v>15289.854043870042</v>
      </c>
      <c r="S182" s="11">
        <f>AQ182</f>
        <v>569.0773740683566</v>
      </c>
      <c r="T182" s="11">
        <f>AR182</f>
        <v>-1275.1081706269556</v>
      </c>
      <c r="U182" s="11">
        <f>AS182</f>
        <v>2380.491571613195</v>
      </c>
      <c r="V182" s="11">
        <f>AT182</f>
        <v>175.25624903224164</v>
      </c>
      <c r="W182" s="11">
        <f>AU182</f>
        <v>-408.1590682478433</v>
      </c>
      <c r="X182" s="11">
        <f>AM182</f>
        <v>17670.345615483235</v>
      </c>
      <c r="Y182" s="11">
        <f>AN182</f>
        <v>744.3336231005982</v>
      </c>
      <c r="Z182" s="11">
        <f>AO182</f>
        <v>-1683.2672388747987</v>
      </c>
      <c r="AA182" s="7">
        <v>1</v>
      </c>
      <c r="AB182" s="7">
        <v>1</v>
      </c>
      <c r="AC182" s="7">
        <v>1</v>
      </c>
      <c r="AD182" s="11">
        <f>X182*AA182</f>
        <v>17670.345615483235</v>
      </c>
      <c r="AE182" s="11">
        <f>Y182*AB182</f>
        <v>744.3336231005982</v>
      </c>
      <c r="AF182" s="11">
        <f>Z182*AC182</f>
        <v>-1683.2672388747987</v>
      </c>
      <c r="AG182" s="7">
        <v>17670.345615483235</v>
      </c>
      <c r="AH182" s="7">
        <v>744.3336231005982</v>
      </c>
      <c r="AI182" s="7">
        <v>-1683.2672388747987</v>
      </c>
      <c r="AJ182" s="16">
        <f>AD182-AG182</f>
        <v>0</v>
      </c>
      <c r="AK182" s="16">
        <f>SQRT((AE182-AH182)^2+(AF182-AI182)^2)</f>
        <v>0</v>
      </c>
      <c r="AL182" s="7" t="s">
        <v>190</v>
      </c>
      <c r="AM182" s="7">
        <v>17670.345615483235</v>
      </c>
      <c r="AN182" s="7">
        <v>744.3336231005982</v>
      </c>
      <c r="AO182" s="7">
        <v>-1683.2672388747987</v>
      </c>
      <c r="AP182" s="7">
        <v>15289.854043870042</v>
      </c>
      <c r="AQ182" s="7">
        <v>569.0773740683566</v>
      </c>
      <c r="AR182" s="7">
        <v>-1275.1081706269556</v>
      </c>
      <c r="AS182" s="7">
        <v>2380.491571613195</v>
      </c>
      <c r="AT182" s="7">
        <v>175.25624903224164</v>
      </c>
      <c r="AU182" s="7">
        <v>-408.1590682478433</v>
      </c>
    </row>
    <row r="183" spans="1:47" x14ac:dyDescent="0.25">
      <c r="A183" s="7" t="s">
        <v>546</v>
      </c>
      <c r="B183" s="7">
        <v>6</v>
      </c>
      <c r="C183" s="19">
        <v>300</v>
      </c>
      <c r="D183" s="7" t="s">
        <v>547</v>
      </c>
      <c r="E183" s="7" t="s">
        <v>229</v>
      </c>
      <c r="F183" s="20">
        <v>299.99999999999994</v>
      </c>
      <c r="G183" s="7" t="s">
        <v>194</v>
      </c>
      <c r="H183" s="21">
        <v>1</v>
      </c>
      <c r="I183" s="11">
        <f>MAX(('Geometry'!$G$13*COS(RADIANS(F183))+'Geometry'!$F$13*SIN(RADIANS(F183))),('Geometry'!$G$14*COS(RADIANS(F183))+'Geometry'!$F$14*SIN(RADIANS(F183))),('Geometry'!$G$15*COS(RADIANS(F183))+'Geometry'!$F$15*SIN(RADIANS(F183))),('Geometry'!$G$16*COS(RADIANS(F183))+'Geometry'!$F$16*SIN(RADIANS(F183))),('Geometry'!$G$17*COS(RADIANS(F183))+'Geometry'!$F$17*SIN(RADIANS(F183))),('Geometry'!$G$18*COS(RADIANS(F183))+'Geometry'!$F$18*SIN(RADIANS(F183))),('Geometry'!$G$19*COS(RADIANS(F183))+'Geometry'!$F$19*SIN(RADIANS(F183))),('Geometry'!$G$20*COS(RADIANS(F183))+'Geometry'!$F$20*SIN(RADIANS(F183))))</f>
        <v>849.519052838329</v>
      </c>
      <c r="J183" s="11">
        <f>I183-H183*K183</f>
        <v>-849.519052838329</v>
      </c>
      <c r="K183" s="11">
        <f>I183-MIN(('Geometry'!$G$13*COS(RADIANS(F183))+'Geometry'!$F$13*SIN(RADIANS(F183))),('Geometry'!$G$14*COS(RADIANS(F183))+'Geometry'!$F$14*SIN(RADIANS(F183))),('Geometry'!$G$15*COS(RADIANS(F183))+'Geometry'!$F$15*SIN(RADIANS(F183))),('Geometry'!$G$16*COS(RADIANS(F183))+'Geometry'!$F$16*SIN(RADIANS(F183))),('Geometry'!$G$17*COS(RADIANS(F183))+'Geometry'!$F$17*SIN(RADIANS(F183))),('Geometry'!$G$18*COS(RADIANS(F183))+'Geometry'!$F$18*SIN(RADIANS(F183))),('Geometry'!$G$19*COS(RADIANS(F183))+'Geometry'!$F$19*SIN(RADIANS(F183))),('Geometry'!$G$20*COS(RADIANS(F183))+'Geometry'!$F$20*SIN(RADIANS(F183))))</f>
        <v>1699.038105676658</v>
      </c>
      <c r="L183" s="16">
        <f>C_ecu</f>
        <v>0.0033</v>
      </c>
      <c r="M183" s="16">
        <f>0</f>
        <v>0</v>
      </c>
      <c r="N183" s="22">
        <f>IF(ABS(I183-J183)&lt;0.000000000001,0,(L183-M183)/(I183-J183))</f>
        <v>0.000001942275449252354</v>
      </c>
      <c r="O183" s="16">
        <f>L183-N183*I183</f>
        <v>0.00165</v>
      </c>
      <c r="P183" s="22">
        <f>N183*COS(RADIANS(F183))</f>
        <v>9.711377246261758e-7</v>
      </c>
      <c r="Q183" s="22">
        <f>N183*SIN(RADIANS(F183))</f>
        <v>-0.0000016820598801993728</v>
      </c>
      <c r="R183" s="11">
        <f>AP183</f>
        <v>15289.854043870042</v>
      </c>
      <c r="S183" s="11">
        <f>AQ183</f>
        <v>682.8928488820279</v>
      </c>
      <c r="T183" s="11">
        <f>AR183</f>
        <v>-1530.1298047523464</v>
      </c>
      <c r="U183" s="11">
        <f>AS183</f>
        <v>2380.491571613195</v>
      </c>
      <c r="V183" s="11">
        <f>AT183</f>
        <v>210.30749883868995</v>
      </c>
      <c r="W183" s="11">
        <f>AU183</f>
        <v>-489.790881897412</v>
      </c>
      <c r="X183" s="11">
        <f>AM183</f>
        <v>17670.345615483235</v>
      </c>
      <c r="Y183" s="11">
        <f>AN183</f>
        <v>893.2003477207178</v>
      </c>
      <c r="Z183" s="11">
        <f>AO183</f>
        <v>-2019.9206866497586</v>
      </c>
      <c r="AA183" s="7">
        <v>1</v>
      </c>
      <c r="AB183" s="7">
        <v>1</v>
      </c>
      <c r="AC183" s="7">
        <v>1</v>
      </c>
      <c r="AD183" s="11">
        <f>X183*AA183</f>
        <v>17670.345615483235</v>
      </c>
      <c r="AE183" s="11">
        <f>Y183*AB183</f>
        <v>893.2003477207178</v>
      </c>
      <c r="AF183" s="11">
        <f>Z183*AC183</f>
        <v>-2019.9206866497586</v>
      </c>
      <c r="AG183" s="7">
        <v>17670.345615483235</v>
      </c>
      <c r="AH183" s="7">
        <v>893.2003477207178</v>
      </c>
      <c r="AI183" s="7">
        <v>-2019.9206866497586</v>
      </c>
      <c r="AJ183" s="16">
        <f>AD183-AG183</f>
        <v>0</v>
      </c>
      <c r="AK183" s="16">
        <f>SQRT((AE183-AH183)^2+(AF183-AI183)^2)</f>
        <v>0</v>
      </c>
      <c r="AL183" s="7" t="s">
        <v>190</v>
      </c>
      <c r="AM183" s="7">
        <v>17670.345615483235</v>
      </c>
      <c r="AN183" s="7">
        <v>893.2003477207178</v>
      </c>
      <c r="AO183" s="7">
        <v>-2019.9206866497586</v>
      </c>
      <c r="AP183" s="7">
        <v>15289.854043870042</v>
      </c>
      <c r="AQ183" s="7">
        <v>682.8928488820279</v>
      </c>
      <c r="AR183" s="7">
        <v>-1530.1298047523464</v>
      </c>
      <c r="AS183" s="7">
        <v>2380.491571613195</v>
      </c>
      <c r="AT183" s="7">
        <v>210.30749883868995</v>
      </c>
      <c r="AU183" s="7">
        <v>-489.790881897412</v>
      </c>
    </row>
    <row r="184" spans="1:47" x14ac:dyDescent="0.25">
      <c r="A184" s="7" t="s">
        <v>548</v>
      </c>
      <c r="B184" s="7">
        <v>1</v>
      </c>
      <c r="C184" s="19">
        <v>310</v>
      </c>
      <c r="D184" s="7" t="s">
        <v>549</v>
      </c>
      <c r="E184" s="7" t="s">
        <v>193</v>
      </c>
      <c r="F184" s="20">
        <v>310</v>
      </c>
      <c r="G184" s="7" t="s">
        <v>194</v>
      </c>
      <c r="H184" s="21">
        <v>3</v>
      </c>
      <c r="I184" s="11">
        <f>MAX(('Geometry'!$G$13*COS(RADIANS(F184))+'Geometry'!$F$13*SIN(RADIANS(F184))),('Geometry'!$G$14*COS(RADIANS(F184))+'Geometry'!$F$14*SIN(RADIANS(F184))),('Geometry'!$G$15*COS(RADIANS(F184))+'Geometry'!$F$15*SIN(RADIANS(F184))),('Geometry'!$G$16*COS(RADIANS(F184))+'Geometry'!$F$16*SIN(RADIANS(F184))),('Geometry'!$G$17*COS(RADIANS(F184))+'Geometry'!$F$17*SIN(RADIANS(F184))),('Geometry'!$G$18*COS(RADIANS(F184))+'Geometry'!$F$18*SIN(RADIANS(F184))),('Geometry'!$G$19*COS(RADIANS(F184))+'Geometry'!$F$19*SIN(RADIANS(F184))),('Geometry'!$G$20*COS(RADIANS(F184))+'Geometry'!$F$20*SIN(RADIANS(F184))))</f>
        <v>831.6483762138492</v>
      </c>
      <c r="J184" s="11">
        <f>I184-H184*K184</f>
        <v>-4158.241881069246</v>
      </c>
      <c r="K184" s="11">
        <f>I184-MIN(('Geometry'!$G$13*COS(RADIANS(F184))+'Geometry'!$F$13*SIN(RADIANS(F184))),('Geometry'!$G$14*COS(RADIANS(F184))+'Geometry'!$F$14*SIN(RADIANS(F184))),('Geometry'!$G$15*COS(RADIANS(F184))+'Geometry'!$F$15*SIN(RADIANS(F184))),('Geometry'!$G$16*COS(RADIANS(F184))+'Geometry'!$F$16*SIN(RADIANS(F184))),('Geometry'!$G$17*COS(RADIANS(F184))+'Geometry'!$F$17*SIN(RADIANS(F184))),('Geometry'!$G$18*COS(RADIANS(F184))+'Geometry'!$F$18*SIN(RADIANS(F184))),('Geometry'!$G$19*COS(RADIANS(F184))+'Geometry'!$F$19*SIN(RADIANS(F184))),('Geometry'!$G$20*COS(RADIANS(F184))+'Geometry'!$F$20*SIN(RADIANS(F184))))</f>
        <v>1663.2967524276985</v>
      </c>
      <c r="L184" s="16">
        <f>C_ecu</f>
        <v>0.0033</v>
      </c>
      <c r="M184" s="16">
        <f>0</f>
        <v>0</v>
      </c>
      <c r="N184" s="22">
        <f>IF(ABS(I184-J184)&lt;0.000000000001,0,(L184-M184)/(I184-J184))</f>
        <v>6.613371897675341e-7</v>
      </c>
      <c r="O184" s="16">
        <f>L184-N184*I184</f>
        <v>0.00275</v>
      </c>
      <c r="P184" s="22">
        <f>N184*COS(RADIANS(F184))</f>
        <v>4.250993514074864e-7</v>
      </c>
      <c r="Q184" s="22">
        <f>N184*SIN(RADIANS(F184))</f>
        <v>-5.066136792493406e-7</v>
      </c>
      <c r="R184" s="11">
        <f>AP184</f>
        <v>15287.73838545838</v>
      </c>
      <c r="S184" s="11">
        <f>AQ184</f>
        <v>147.09528012888615</v>
      </c>
      <c r="T184" s="11">
        <f>AR184</f>
        <v>-232.80785048838624</v>
      </c>
      <c r="U184" s="11">
        <f>AS184</f>
        <v>2382.607230024855</v>
      </c>
      <c r="V184" s="11">
        <f>AT184</f>
        <v>46.60231665844286</v>
      </c>
      <c r="W184" s="11">
        <f>AU184</f>
        <v>-73.95919057183652</v>
      </c>
      <c r="X184" s="11">
        <f>AM184</f>
        <v>17670.345615483235</v>
      </c>
      <c r="Y184" s="11">
        <f>AN184</f>
        <v>193.697596787329</v>
      </c>
      <c r="Z184" s="11">
        <f>AO184</f>
        <v>-306.76704106022277</v>
      </c>
      <c r="AA184" s="7">
        <v>1</v>
      </c>
      <c r="AB184" s="7">
        <v>1</v>
      </c>
      <c r="AC184" s="7">
        <v>1</v>
      </c>
      <c r="AD184" s="11">
        <f>X184*AA184</f>
        <v>17670.345615483235</v>
      </c>
      <c r="AE184" s="11">
        <f>Y184*AB184</f>
        <v>193.697596787329</v>
      </c>
      <c r="AF184" s="11">
        <f>Z184*AC184</f>
        <v>-306.76704106022277</v>
      </c>
      <c r="AG184" s="7">
        <v>17670.345615483235</v>
      </c>
      <c r="AH184" s="7">
        <v>193.697596787329</v>
      </c>
      <c r="AI184" s="7">
        <v>-306.76704106022277</v>
      </c>
      <c r="AJ184" s="16">
        <f>AD184-AG184</f>
        <v>0</v>
      </c>
      <c r="AK184" s="16">
        <f>SQRT((AE184-AH184)^2+(AF184-AI184)^2)</f>
        <v>0</v>
      </c>
      <c r="AL184" s="7" t="s">
        <v>190</v>
      </c>
      <c r="AM184" s="7">
        <v>17670.345615483235</v>
      </c>
      <c r="AN184" s="7">
        <v>193.697596787329</v>
      </c>
      <c r="AO184" s="7">
        <v>-306.76704106022277</v>
      </c>
      <c r="AP184" s="7">
        <v>15287.73838545838</v>
      </c>
      <c r="AQ184" s="7">
        <v>147.09528012888615</v>
      </c>
      <c r="AR184" s="7">
        <v>-232.80785048838624</v>
      </c>
      <c r="AS184" s="7">
        <v>2382.607230024855</v>
      </c>
      <c r="AT184" s="7">
        <v>46.60231665844286</v>
      </c>
      <c r="AU184" s="7">
        <v>-73.95919057183652</v>
      </c>
    </row>
    <row r="185" spans="1:47" x14ac:dyDescent="0.25">
      <c r="A185" s="7" t="s">
        <v>550</v>
      </c>
      <c r="B185" s="7">
        <v>2</v>
      </c>
      <c r="C185" s="19">
        <v>310</v>
      </c>
      <c r="D185" s="7" t="s">
        <v>551</v>
      </c>
      <c r="E185" s="7" t="s">
        <v>197</v>
      </c>
      <c r="F185" s="20">
        <v>310</v>
      </c>
      <c r="G185" s="7" t="s">
        <v>194</v>
      </c>
      <c r="H185" s="21">
        <v>1.9999999999999998</v>
      </c>
      <c r="I185" s="11">
        <f>MAX(('Geometry'!$G$13*COS(RADIANS(F185))+'Geometry'!$F$13*SIN(RADIANS(F185))),('Geometry'!$G$14*COS(RADIANS(F185))+'Geometry'!$F$14*SIN(RADIANS(F185))),('Geometry'!$G$15*COS(RADIANS(F185))+'Geometry'!$F$15*SIN(RADIANS(F185))),('Geometry'!$G$16*COS(RADIANS(F185))+'Geometry'!$F$16*SIN(RADIANS(F185))),('Geometry'!$G$17*COS(RADIANS(F185))+'Geometry'!$F$17*SIN(RADIANS(F185))),('Geometry'!$G$18*COS(RADIANS(F185))+'Geometry'!$F$18*SIN(RADIANS(F185))),('Geometry'!$G$19*COS(RADIANS(F185))+'Geometry'!$F$19*SIN(RADIANS(F185))),('Geometry'!$G$20*COS(RADIANS(F185))+'Geometry'!$F$20*SIN(RADIANS(F185))))</f>
        <v>831.6483762138492</v>
      </c>
      <c r="J185" s="11">
        <f>I185-H185*K185</f>
        <v>-2494.9451286415474</v>
      </c>
      <c r="K185" s="11">
        <f>I185-MIN(('Geometry'!$G$13*COS(RADIANS(F185))+'Geometry'!$F$13*SIN(RADIANS(F185))),('Geometry'!$G$14*COS(RADIANS(F185))+'Geometry'!$F$14*SIN(RADIANS(F185))),('Geometry'!$G$15*COS(RADIANS(F185))+'Geometry'!$F$15*SIN(RADIANS(F185))),('Geometry'!$G$16*COS(RADIANS(F185))+'Geometry'!$F$16*SIN(RADIANS(F185))),('Geometry'!$G$17*COS(RADIANS(F185))+'Geometry'!$F$17*SIN(RADIANS(F185))),('Geometry'!$G$18*COS(RADIANS(F185))+'Geometry'!$F$18*SIN(RADIANS(F185))),('Geometry'!$G$19*COS(RADIANS(F185))+'Geometry'!$F$19*SIN(RADIANS(F185))),('Geometry'!$G$20*COS(RADIANS(F185))+'Geometry'!$F$20*SIN(RADIANS(F185))))</f>
        <v>1663.2967524276985</v>
      </c>
      <c r="L185" s="16">
        <f>C_ecu</f>
        <v>0.0033</v>
      </c>
      <c r="M185" s="16">
        <f>0</f>
        <v>0</v>
      </c>
      <c r="N185" s="22">
        <f>IF(ABS(I185-J185)&lt;0.000000000001,0,(L185-M185)/(I185-J185))</f>
        <v>9.920057846513012e-7</v>
      </c>
      <c r="O185" s="16">
        <f>L185-N185*I185</f>
        <v>0.0024749999999999998</v>
      </c>
      <c r="P185" s="22">
        <f>N185*COS(RADIANS(F185))</f>
        <v>6.376490271112297e-7</v>
      </c>
      <c r="Q185" s="22">
        <f>N185*SIN(RADIANS(F185))</f>
        <v>-7.59920518874011e-7</v>
      </c>
      <c r="R185" s="11">
        <f>AP185</f>
        <v>15287.73838545838</v>
      </c>
      <c r="S185" s="11">
        <f>AQ185</f>
        <v>294.1905602577723</v>
      </c>
      <c r="T185" s="11">
        <f>AR185</f>
        <v>-465.6157009767725</v>
      </c>
      <c r="U185" s="11">
        <f>AS185</f>
        <v>2382.607230024855</v>
      </c>
      <c r="V185" s="11">
        <f>AT185</f>
        <v>93.20463331688572</v>
      </c>
      <c r="W185" s="11">
        <f>AU185</f>
        <v>-147.91838114367303</v>
      </c>
      <c r="X185" s="11">
        <f>AM185</f>
        <v>17670.345615483235</v>
      </c>
      <c r="Y185" s="11">
        <f>AN185</f>
        <v>387.395193574658</v>
      </c>
      <c r="Z185" s="11">
        <f>AO185</f>
        <v>-613.5340821204455</v>
      </c>
      <c r="AA185" s="7">
        <v>1</v>
      </c>
      <c r="AB185" s="7">
        <v>1</v>
      </c>
      <c r="AC185" s="7">
        <v>1</v>
      </c>
      <c r="AD185" s="11">
        <f>X185*AA185</f>
        <v>17670.345615483235</v>
      </c>
      <c r="AE185" s="11">
        <f>Y185*AB185</f>
        <v>387.395193574658</v>
      </c>
      <c r="AF185" s="11">
        <f>Z185*AC185</f>
        <v>-613.5340821204455</v>
      </c>
      <c r="AG185" s="7">
        <v>17670.345615483235</v>
      </c>
      <c r="AH185" s="7">
        <v>387.395193574658</v>
      </c>
      <c r="AI185" s="7">
        <v>-613.5340821204455</v>
      </c>
      <c r="AJ185" s="16">
        <f>AD185-AG185</f>
        <v>0</v>
      </c>
      <c r="AK185" s="16">
        <f>SQRT((AE185-AH185)^2+(AF185-AI185)^2)</f>
        <v>0</v>
      </c>
      <c r="AL185" s="7" t="s">
        <v>190</v>
      </c>
      <c r="AM185" s="7">
        <v>17670.345615483235</v>
      </c>
      <c r="AN185" s="7">
        <v>387.395193574658</v>
      </c>
      <c r="AO185" s="7">
        <v>-613.5340821204455</v>
      </c>
      <c r="AP185" s="7">
        <v>15287.73838545838</v>
      </c>
      <c r="AQ185" s="7">
        <v>294.1905602577723</v>
      </c>
      <c r="AR185" s="7">
        <v>-465.6157009767725</v>
      </c>
      <c r="AS185" s="7">
        <v>2382.607230024855</v>
      </c>
      <c r="AT185" s="7">
        <v>93.20463331688572</v>
      </c>
      <c r="AU185" s="7">
        <v>-147.91838114367303</v>
      </c>
    </row>
    <row r="186" spans="1:47" x14ac:dyDescent="0.25">
      <c r="A186" s="7" t="s">
        <v>552</v>
      </c>
      <c r="B186" s="7">
        <v>3</v>
      </c>
      <c r="C186" s="19">
        <v>310</v>
      </c>
      <c r="D186" s="7" t="s">
        <v>553</v>
      </c>
      <c r="E186" s="7" t="s">
        <v>200</v>
      </c>
      <c r="F186" s="20">
        <v>310</v>
      </c>
      <c r="G186" s="7" t="s">
        <v>194</v>
      </c>
      <c r="H186" s="21">
        <v>1.4999999999999998</v>
      </c>
      <c r="I186" s="11">
        <f>MAX(('Geometry'!$G$13*COS(RADIANS(F186))+'Geometry'!$F$13*SIN(RADIANS(F186))),('Geometry'!$G$14*COS(RADIANS(F186))+'Geometry'!$F$14*SIN(RADIANS(F186))),('Geometry'!$G$15*COS(RADIANS(F186))+'Geometry'!$F$15*SIN(RADIANS(F186))),('Geometry'!$G$16*COS(RADIANS(F186))+'Geometry'!$F$16*SIN(RADIANS(F186))),('Geometry'!$G$17*COS(RADIANS(F186))+'Geometry'!$F$17*SIN(RADIANS(F186))),('Geometry'!$G$18*COS(RADIANS(F186))+'Geometry'!$F$18*SIN(RADIANS(F186))),('Geometry'!$G$19*COS(RADIANS(F186))+'Geometry'!$F$19*SIN(RADIANS(F186))),('Geometry'!$G$20*COS(RADIANS(F186))+'Geometry'!$F$20*SIN(RADIANS(F186))))</f>
        <v>831.6483762138492</v>
      </c>
      <c r="J186" s="11">
        <f>I186-H186*K186</f>
        <v>-1663.2967524276983</v>
      </c>
      <c r="K186" s="11">
        <f>I186-MIN(('Geometry'!$G$13*COS(RADIANS(F186))+'Geometry'!$F$13*SIN(RADIANS(F186))),('Geometry'!$G$14*COS(RADIANS(F186))+'Geometry'!$F$14*SIN(RADIANS(F186))),('Geometry'!$G$15*COS(RADIANS(F186))+'Geometry'!$F$15*SIN(RADIANS(F186))),('Geometry'!$G$16*COS(RADIANS(F186))+'Geometry'!$F$16*SIN(RADIANS(F186))),('Geometry'!$G$17*COS(RADIANS(F186))+'Geometry'!$F$17*SIN(RADIANS(F186))),('Geometry'!$G$18*COS(RADIANS(F186))+'Geometry'!$F$18*SIN(RADIANS(F186))),('Geometry'!$G$19*COS(RADIANS(F186))+'Geometry'!$F$19*SIN(RADIANS(F186))),('Geometry'!$G$20*COS(RADIANS(F186))+'Geometry'!$F$20*SIN(RADIANS(F186))))</f>
        <v>1663.2967524276985</v>
      </c>
      <c r="L186" s="16">
        <f>C_ecu</f>
        <v>0.0033</v>
      </c>
      <c r="M186" s="16">
        <f>0</f>
        <v>0</v>
      </c>
      <c r="N186" s="22">
        <f>IF(ABS(I186-J186)&lt;0.000000000001,0,(L186-M186)/(I186-J186))</f>
        <v>0.0000013226743795350681</v>
      </c>
      <c r="O186" s="16">
        <f>L186-N186*I186</f>
        <v>0.0021999999999999997</v>
      </c>
      <c r="P186" s="22">
        <f>N186*COS(RADIANS(F186))</f>
        <v>8.501987028149728e-7</v>
      </c>
      <c r="Q186" s="22">
        <f>N186*SIN(RADIANS(F186))</f>
        <v>-0.0000010132273584986811</v>
      </c>
      <c r="R186" s="11">
        <f>AP186</f>
        <v>15287.73838545838</v>
      </c>
      <c r="S186" s="11">
        <f>AQ186</f>
        <v>441.28584038665844</v>
      </c>
      <c r="T186" s="11">
        <f>AR186</f>
        <v>-698.4235514651588</v>
      </c>
      <c r="U186" s="11">
        <f>AS186</f>
        <v>2382.607230024855</v>
      </c>
      <c r="V186" s="11">
        <f>AT186</f>
        <v>139.8069499753286</v>
      </c>
      <c r="W186" s="11">
        <f>AU186</f>
        <v>-221.87757171550956</v>
      </c>
      <c r="X186" s="11">
        <f>AM186</f>
        <v>17670.345615483235</v>
      </c>
      <c r="Y186" s="11">
        <f>AN186</f>
        <v>581.0927903619871</v>
      </c>
      <c r="Z186" s="11">
        <f>AO186</f>
        <v>-920.3011231806684</v>
      </c>
      <c r="AA186" s="7">
        <v>1</v>
      </c>
      <c r="AB186" s="7">
        <v>1</v>
      </c>
      <c r="AC186" s="7">
        <v>1</v>
      </c>
      <c r="AD186" s="11">
        <f>X186*AA186</f>
        <v>17670.345615483235</v>
      </c>
      <c r="AE186" s="11">
        <f>Y186*AB186</f>
        <v>581.0927903619871</v>
      </c>
      <c r="AF186" s="11">
        <f>Z186*AC186</f>
        <v>-920.3011231806684</v>
      </c>
      <c r="AG186" s="7">
        <v>17670.345615483235</v>
      </c>
      <c r="AH186" s="7">
        <v>581.0927903619871</v>
      </c>
      <c r="AI186" s="7">
        <v>-920.3011231806684</v>
      </c>
      <c r="AJ186" s="16">
        <f>AD186-AG186</f>
        <v>0</v>
      </c>
      <c r="AK186" s="16">
        <f>SQRT((AE186-AH186)^2+(AF186-AI186)^2)</f>
        <v>0</v>
      </c>
      <c r="AL186" s="7" t="s">
        <v>190</v>
      </c>
      <c r="AM186" s="7">
        <v>17670.345615483235</v>
      </c>
      <c r="AN186" s="7">
        <v>581.0927903619871</v>
      </c>
      <c r="AO186" s="7">
        <v>-920.3011231806684</v>
      </c>
      <c r="AP186" s="7">
        <v>15287.73838545838</v>
      </c>
      <c r="AQ186" s="7">
        <v>441.28584038665844</v>
      </c>
      <c r="AR186" s="7">
        <v>-698.4235514651588</v>
      </c>
      <c r="AS186" s="7">
        <v>2382.607230024855</v>
      </c>
      <c r="AT186" s="7">
        <v>139.8069499753286</v>
      </c>
      <c r="AU186" s="7">
        <v>-221.87757171550956</v>
      </c>
    </row>
    <row r="187" spans="1:47" x14ac:dyDescent="0.25">
      <c r="A187" s="7" t="s">
        <v>554</v>
      </c>
      <c r="B187" s="7">
        <v>4</v>
      </c>
      <c r="C187" s="19">
        <v>310</v>
      </c>
      <c r="D187" s="7" t="s">
        <v>555</v>
      </c>
      <c r="E187" s="7" t="s">
        <v>203</v>
      </c>
      <c r="F187" s="20">
        <v>310</v>
      </c>
      <c r="G187" s="7" t="s">
        <v>194</v>
      </c>
      <c r="H187" s="21">
        <v>1.1999999999999997</v>
      </c>
      <c r="I187" s="11">
        <f>MAX(('Geometry'!$G$13*COS(RADIANS(F187))+'Geometry'!$F$13*SIN(RADIANS(F187))),('Geometry'!$G$14*COS(RADIANS(F187))+'Geometry'!$F$14*SIN(RADIANS(F187))),('Geometry'!$G$15*COS(RADIANS(F187))+'Geometry'!$F$15*SIN(RADIANS(F187))),('Geometry'!$G$16*COS(RADIANS(F187))+'Geometry'!$F$16*SIN(RADIANS(F187))),('Geometry'!$G$17*COS(RADIANS(F187))+'Geometry'!$F$17*SIN(RADIANS(F187))),('Geometry'!$G$18*COS(RADIANS(F187))+'Geometry'!$F$18*SIN(RADIANS(F187))),('Geometry'!$G$19*COS(RADIANS(F187))+'Geometry'!$F$19*SIN(RADIANS(F187))),('Geometry'!$G$20*COS(RADIANS(F187))+'Geometry'!$F$20*SIN(RADIANS(F187))))</f>
        <v>831.6483762138492</v>
      </c>
      <c r="J187" s="11">
        <f>I187-H187*K187</f>
        <v>-1164.3077266993885</v>
      </c>
      <c r="K187" s="11">
        <f>I187-MIN(('Geometry'!$G$13*COS(RADIANS(F187))+'Geometry'!$F$13*SIN(RADIANS(F187))),('Geometry'!$G$14*COS(RADIANS(F187))+'Geometry'!$F$14*SIN(RADIANS(F187))),('Geometry'!$G$15*COS(RADIANS(F187))+'Geometry'!$F$15*SIN(RADIANS(F187))),('Geometry'!$G$16*COS(RADIANS(F187))+'Geometry'!$F$16*SIN(RADIANS(F187))),('Geometry'!$G$17*COS(RADIANS(F187))+'Geometry'!$F$17*SIN(RADIANS(F187))),('Geometry'!$G$18*COS(RADIANS(F187))+'Geometry'!$F$18*SIN(RADIANS(F187))),('Geometry'!$G$19*COS(RADIANS(F187))+'Geometry'!$F$19*SIN(RADIANS(F187))),('Geometry'!$G$20*COS(RADIANS(F187))+'Geometry'!$F$20*SIN(RADIANS(F187))))</f>
        <v>1663.2967524276985</v>
      </c>
      <c r="L187" s="16">
        <f>C_ecu</f>
        <v>0.0033</v>
      </c>
      <c r="M187" s="16">
        <f>0</f>
        <v>0</v>
      </c>
      <c r="N187" s="22">
        <f>IF(ABS(I187-J187)&lt;0.000000000001,0,(L187-M187)/(I187-J187))</f>
        <v>0.0000016533429744188357</v>
      </c>
      <c r="O187" s="16">
        <f>L187-N187*I187</f>
        <v>0.0019249999999999998</v>
      </c>
      <c r="P187" s="22">
        <f>N187*COS(RADIANS(F187))</f>
        <v>0.0000010627483785187164</v>
      </c>
      <c r="Q187" s="22">
        <f>N187*SIN(RADIANS(F187))</f>
        <v>-0.0000012665341981233517</v>
      </c>
      <c r="R187" s="11">
        <f>AP187</f>
        <v>15287.73838545838</v>
      </c>
      <c r="S187" s="11">
        <f>AQ187</f>
        <v>588.3811205155446</v>
      </c>
      <c r="T187" s="11">
        <f>AR187</f>
        <v>-931.231401953545</v>
      </c>
      <c r="U187" s="11">
        <f>AS187</f>
        <v>2382.607230024855</v>
      </c>
      <c r="V187" s="11">
        <f>AT187</f>
        <v>186.40926663377144</v>
      </c>
      <c r="W187" s="11">
        <f>AU187</f>
        <v>-295.83676228734606</v>
      </c>
      <c r="X187" s="11">
        <f>AM187</f>
        <v>17670.345615483235</v>
      </c>
      <c r="Y187" s="11">
        <f>AN187</f>
        <v>774.790387149316</v>
      </c>
      <c r="Z187" s="11">
        <f>AO187</f>
        <v>-1227.068164240891</v>
      </c>
      <c r="AA187" s="7">
        <v>1</v>
      </c>
      <c r="AB187" s="7">
        <v>1</v>
      </c>
      <c r="AC187" s="7">
        <v>1</v>
      </c>
      <c r="AD187" s="11">
        <f>X187*AA187</f>
        <v>17670.345615483235</v>
      </c>
      <c r="AE187" s="11">
        <f>Y187*AB187</f>
        <v>774.790387149316</v>
      </c>
      <c r="AF187" s="11">
        <f>Z187*AC187</f>
        <v>-1227.068164240891</v>
      </c>
      <c r="AG187" s="7">
        <v>17670.345615483235</v>
      </c>
      <c r="AH187" s="7">
        <v>774.790387149316</v>
      </c>
      <c r="AI187" s="7">
        <v>-1227.068164240891</v>
      </c>
      <c r="AJ187" s="16">
        <f>AD187-AG187</f>
        <v>0</v>
      </c>
      <c r="AK187" s="16">
        <f>SQRT((AE187-AH187)^2+(AF187-AI187)^2)</f>
        <v>0</v>
      </c>
      <c r="AL187" s="7" t="s">
        <v>190</v>
      </c>
      <c r="AM187" s="7">
        <v>17670.345615483235</v>
      </c>
      <c r="AN187" s="7">
        <v>774.790387149316</v>
      </c>
      <c r="AO187" s="7">
        <v>-1227.068164240891</v>
      </c>
      <c r="AP187" s="7">
        <v>15287.73838545838</v>
      </c>
      <c r="AQ187" s="7">
        <v>588.3811205155446</v>
      </c>
      <c r="AR187" s="7">
        <v>-931.231401953545</v>
      </c>
      <c r="AS187" s="7">
        <v>2382.607230024855</v>
      </c>
      <c r="AT187" s="7">
        <v>186.40926663377144</v>
      </c>
      <c r="AU187" s="7">
        <v>-295.83676228734606</v>
      </c>
    </row>
    <row r="188" spans="1:47" x14ac:dyDescent="0.25">
      <c r="A188" s="7" t="s">
        <v>556</v>
      </c>
      <c r="B188" s="7">
        <v>5</v>
      </c>
      <c r="C188" s="19">
        <v>310</v>
      </c>
      <c r="D188" s="7" t="s">
        <v>557</v>
      </c>
      <c r="E188" s="7" t="s">
        <v>206</v>
      </c>
      <c r="F188" s="20">
        <v>310</v>
      </c>
      <c r="G188" s="7" t="s">
        <v>194</v>
      </c>
      <c r="H188" s="21">
        <v>1.1</v>
      </c>
      <c r="I188" s="11">
        <f>MAX(('Geometry'!$G$13*COS(RADIANS(F188))+'Geometry'!$F$13*SIN(RADIANS(F188))),('Geometry'!$G$14*COS(RADIANS(F188))+'Geometry'!$F$14*SIN(RADIANS(F188))),('Geometry'!$G$15*COS(RADIANS(F188))+'Geometry'!$F$15*SIN(RADIANS(F188))),('Geometry'!$G$16*COS(RADIANS(F188))+'Geometry'!$F$16*SIN(RADIANS(F188))),('Geometry'!$G$17*COS(RADIANS(F188))+'Geometry'!$F$17*SIN(RADIANS(F188))),('Geometry'!$G$18*COS(RADIANS(F188))+'Geometry'!$F$18*SIN(RADIANS(F188))),('Geometry'!$G$19*COS(RADIANS(F188))+'Geometry'!$F$19*SIN(RADIANS(F188))),('Geometry'!$G$20*COS(RADIANS(F188))+'Geometry'!$F$20*SIN(RADIANS(F188))))</f>
        <v>831.6483762138492</v>
      </c>
      <c r="J188" s="11">
        <f>I188-H188*K188</f>
        <v>-997.9780514566193</v>
      </c>
      <c r="K188" s="11">
        <f>I188-MIN(('Geometry'!$G$13*COS(RADIANS(F188))+'Geometry'!$F$13*SIN(RADIANS(F188))),('Geometry'!$G$14*COS(RADIANS(F188))+'Geometry'!$F$14*SIN(RADIANS(F188))),('Geometry'!$G$15*COS(RADIANS(F188))+'Geometry'!$F$15*SIN(RADIANS(F188))),('Geometry'!$G$16*COS(RADIANS(F188))+'Geometry'!$F$16*SIN(RADIANS(F188))),('Geometry'!$G$17*COS(RADIANS(F188))+'Geometry'!$F$17*SIN(RADIANS(F188))),('Geometry'!$G$18*COS(RADIANS(F188))+'Geometry'!$F$18*SIN(RADIANS(F188))),('Geometry'!$G$19*COS(RADIANS(F188))+'Geometry'!$F$19*SIN(RADIANS(F188))),('Geometry'!$G$20*COS(RADIANS(F188))+'Geometry'!$F$20*SIN(RADIANS(F188))))</f>
        <v>1663.2967524276985</v>
      </c>
      <c r="L188" s="16">
        <f>C_ecu</f>
        <v>0.0033</v>
      </c>
      <c r="M188" s="16">
        <f>0</f>
        <v>0</v>
      </c>
      <c r="N188" s="22">
        <f>IF(ABS(I188-J188)&lt;0.000000000001,0,(L188-M188)/(I188-J188))</f>
        <v>0.0000018036468811841838</v>
      </c>
      <c r="O188" s="16">
        <f>L188-N188*I188</f>
        <v>0.0018000000000000002</v>
      </c>
      <c r="P188" s="22">
        <f>N188*COS(RADIANS(F188))</f>
        <v>0.0000011593618674749628</v>
      </c>
      <c r="Q188" s="22">
        <f>N188*SIN(RADIANS(F188))</f>
        <v>-0.0000013816736706800197</v>
      </c>
      <c r="R188" s="11">
        <f>AP188</f>
        <v>15287.73838545838</v>
      </c>
      <c r="S188" s="11">
        <f>AQ188</f>
        <v>735.4764006444307</v>
      </c>
      <c r="T188" s="11">
        <f>AR188</f>
        <v>-1164.0392524419312</v>
      </c>
      <c r="U188" s="11">
        <f>AS188</f>
        <v>2382.607230024855</v>
      </c>
      <c r="V188" s="11">
        <f>AT188</f>
        <v>233.0115832922143</v>
      </c>
      <c r="W188" s="11">
        <f>AU188</f>
        <v>-369.7959528591826</v>
      </c>
      <c r="X188" s="11">
        <f>AM188</f>
        <v>17670.345615483235</v>
      </c>
      <c r="Y188" s="11">
        <f>AN188</f>
        <v>968.487983936645</v>
      </c>
      <c r="Z188" s="11">
        <f>AO188</f>
        <v>-1533.8352053011138</v>
      </c>
      <c r="AA188" s="7">
        <v>1</v>
      </c>
      <c r="AB188" s="7">
        <v>1</v>
      </c>
      <c r="AC188" s="7">
        <v>1</v>
      </c>
      <c r="AD188" s="11">
        <f>X188*AA188</f>
        <v>17670.345615483235</v>
      </c>
      <c r="AE188" s="11">
        <f>Y188*AB188</f>
        <v>968.487983936645</v>
      </c>
      <c r="AF188" s="11">
        <f>Z188*AC188</f>
        <v>-1533.8352053011138</v>
      </c>
      <c r="AG188" s="7">
        <v>17670.345615483235</v>
      </c>
      <c r="AH188" s="7">
        <v>968.487983936645</v>
      </c>
      <c r="AI188" s="7">
        <v>-1533.8352053011138</v>
      </c>
      <c r="AJ188" s="16">
        <f>AD188-AG188</f>
        <v>0</v>
      </c>
      <c r="AK188" s="16">
        <f>SQRT((AE188-AH188)^2+(AF188-AI188)^2)</f>
        <v>0</v>
      </c>
      <c r="AL188" s="7" t="s">
        <v>190</v>
      </c>
      <c r="AM188" s="7">
        <v>17670.345615483235</v>
      </c>
      <c r="AN188" s="7">
        <v>968.487983936645</v>
      </c>
      <c r="AO188" s="7">
        <v>-1533.8352053011138</v>
      </c>
      <c r="AP188" s="7">
        <v>15287.73838545838</v>
      </c>
      <c r="AQ188" s="7">
        <v>735.4764006444307</v>
      </c>
      <c r="AR188" s="7">
        <v>-1164.0392524419312</v>
      </c>
      <c r="AS188" s="7">
        <v>2382.607230024855</v>
      </c>
      <c r="AT188" s="7">
        <v>233.0115832922143</v>
      </c>
      <c r="AU188" s="7">
        <v>-369.7959528591826</v>
      </c>
    </row>
    <row r="189" spans="1:47" x14ac:dyDescent="0.25">
      <c r="A189" s="7" t="s">
        <v>558</v>
      </c>
      <c r="B189" s="7">
        <v>6</v>
      </c>
      <c r="C189" s="19">
        <v>310</v>
      </c>
      <c r="D189" s="7" t="s">
        <v>559</v>
      </c>
      <c r="E189" s="7" t="s">
        <v>229</v>
      </c>
      <c r="F189" s="20">
        <v>310</v>
      </c>
      <c r="G189" s="7" t="s">
        <v>194</v>
      </c>
      <c r="H189" s="21">
        <v>0.9999999999999999</v>
      </c>
      <c r="I189" s="11">
        <f>MAX(('Geometry'!$G$13*COS(RADIANS(F189))+'Geometry'!$F$13*SIN(RADIANS(F189))),('Geometry'!$G$14*COS(RADIANS(F189))+'Geometry'!$F$14*SIN(RADIANS(F189))),('Geometry'!$G$15*COS(RADIANS(F189))+'Geometry'!$F$15*SIN(RADIANS(F189))),('Geometry'!$G$16*COS(RADIANS(F189))+'Geometry'!$F$16*SIN(RADIANS(F189))),('Geometry'!$G$17*COS(RADIANS(F189))+'Geometry'!$F$17*SIN(RADIANS(F189))),('Geometry'!$G$18*COS(RADIANS(F189))+'Geometry'!$F$18*SIN(RADIANS(F189))),('Geometry'!$G$19*COS(RADIANS(F189))+'Geometry'!$F$19*SIN(RADIANS(F189))),('Geometry'!$G$20*COS(RADIANS(F189))+'Geometry'!$F$20*SIN(RADIANS(F189))))</f>
        <v>831.6483762138492</v>
      </c>
      <c r="J189" s="11">
        <f>I189-H189*K189</f>
        <v>-831.648376213849</v>
      </c>
      <c r="K189" s="11">
        <f>I189-MIN(('Geometry'!$G$13*COS(RADIANS(F189))+'Geometry'!$F$13*SIN(RADIANS(F189))),('Geometry'!$G$14*COS(RADIANS(F189))+'Geometry'!$F$14*SIN(RADIANS(F189))),('Geometry'!$G$15*COS(RADIANS(F189))+'Geometry'!$F$15*SIN(RADIANS(F189))),('Geometry'!$G$16*COS(RADIANS(F189))+'Geometry'!$F$16*SIN(RADIANS(F189))),('Geometry'!$G$17*COS(RADIANS(F189))+'Geometry'!$F$17*SIN(RADIANS(F189))),('Geometry'!$G$18*COS(RADIANS(F189))+'Geometry'!$F$18*SIN(RADIANS(F189))),('Geometry'!$G$19*COS(RADIANS(F189))+'Geometry'!$F$19*SIN(RADIANS(F189))),('Geometry'!$G$20*COS(RADIANS(F189))+'Geometry'!$F$20*SIN(RADIANS(F189))))</f>
        <v>1663.2967524276985</v>
      </c>
      <c r="L189" s="16">
        <f>C_ecu</f>
        <v>0.0033</v>
      </c>
      <c r="M189" s="16">
        <f>0</f>
        <v>0</v>
      </c>
      <c r="N189" s="22">
        <f>IF(ABS(I189-J189)&lt;0.000000000001,0,(L189-M189)/(I189-J189))</f>
        <v>0.0000019840115693026024</v>
      </c>
      <c r="O189" s="16">
        <f>L189-N189*I189</f>
        <v>0.0016499999999999998</v>
      </c>
      <c r="P189" s="22">
        <f>N189*COS(RADIANS(F189))</f>
        <v>0.0000012752980542224595</v>
      </c>
      <c r="Q189" s="22">
        <f>N189*SIN(RADIANS(F189))</f>
        <v>-0.000001519841037748022</v>
      </c>
      <c r="R189" s="11">
        <f>AP189</f>
        <v>15287.73838545838</v>
      </c>
      <c r="S189" s="11">
        <f>AQ189</f>
        <v>882.5716807733169</v>
      </c>
      <c r="T189" s="11">
        <f>AR189</f>
        <v>-1396.8471029303175</v>
      </c>
      <c r="U189" s="11">
        <f>AS189</f>
        <v>2382.607230024855</v>
      </c>
      <c r="V189" s="11">
        <f>AT189</f>
        <v>279.6138999506572</v>
      </c>
      <c r="W189" s="11">
        <f>AU189</f>
        <v>-443.7551434310191</v>
      </c>
      <c r="X189" s="11">
        <f>AM189</f>
        <v>17670.345615483235</v>
      </c>
      <c r="Y189" s="11">
        <f>AN189</f>
        <v>1162.1855807239742</v>
      </c>
      <c r="Z189" s="11">
        <f>AO189</f>
        <v>-1840.6022463613367</v>
      </c>
      <c r="AA189" s="7">
        <v>1</v>
      </c>
      <c r="AB189" s="7">
        <v>1</v>
      </c>
      <c r="AC189" s="7">
        <v>1</v>
      </c>
      <c r="AD189" s="11">
        <f>X189*AA189</f>
        <v>17670.345615483235</v>
      </c>
      <c r="AE189" s="11">
        <f>Y189*AB189</f>
        <v>1162.1855807239742</v>
      </c>
      <c r="AF189" s="11">
        <f>Z189*AC189</f>
        <v>-1840.6022463613367</v>
      </c>
      <c r="AG189" s="7">
        <v>17670.345615483235</v>
      </c>
      <c r="AH189" s="7">
        <v>1162.1855807239742</v>
      </c>
      <c r="AI189" s="7">
        <v>-1840.6022463613367</v>
      </c>
      <c r="AJ189" s="16">
        <f>AD189-AG189</f>
        <v>0</v>
      </c>
      <c r="AK189" s="16">
        <f>SQRT((AE189-AH189)^2+(AF189-AI189)^2)</f>
        <v>0</v>
      </c>
      <c r="AL189" s="7" t="s">
        <v>190</v>
      </c>
      <c r="AM189" s="7">
        <v>17670.345615483235</v>
      </c>
      <c r="AN189" s="7">
        <v>1162.1855807239742</v>
      </c>
      <c r="AO189" s="7">
        <v>-1840.6022463613367</v>
      </c>
      <c r="AP189" s="7">
        <v>15287.73838545838</v>
      </c>
      <c r="AQ189" s="7">
        <v>882.5716807733169</v>
      </c>
      <c r="AR189" s="7">
        <v>-1396.8471029303175</v>
      </c>
      <c r="AS189" s="7">
        <v>2382.607230024855</v>
      </c>
      <c r="AT189" s="7">
        <v>279.6138999506572</v>
      </c>
      <c r="AU189" s="7">
        <v>-443.7551434310191</v>
      </c>
    </row>
    <row r="190" spans="1:47" x14ac:dyDescent="0.25">
      <c r="A190" s="7" t="s">
        <v>560</v>
      </c>
      <c r="B190" s="7">
        <v>1</v>
      </c>
      <c r="C190" s="19">
        <v>320</v>
      </c>
      <c r="D190" s="7" t="s">
        <v>561</v>
      </c>
      <c r="E190" s="7" t="s">
        <v>193</v>
      </c>
      <c r="F190" s="20">
        <v>320</v>
      </c>
      <c r="G190" s="7" t="s">
        <v>194</v>
      </c>
      <c r="H190" s="21">
        <v>3.0000000000000004</v>
      </c>
      <c r="I190" s="11">
        <f>MAX(('Geometry'!$G$13*COS(RADIANS(F190))+'Geometry'!$F$13*SIN(RADIANS(F190))),('Geometry'!$G$14*COS(RADIANS(F190))+'Geometry'!$F$14*SIN(RADIANS(F190))),('Geometry'!$G$15*COS(RADIANS(F190))+'Geometry'!$F$15*SIN(RADIANS(F190))),('Geometry'!$G$16*COS(RADIANS(F190))+'Geometry'!$F$16*SIN(RADIANS(F190))),('Geometry'!$G$17*COS(RADIANS(F190))+'Geometry'!$F$17*SIN(RADIANS(F190))),('Geometry'!$G$18*COS(RADIANS(F190))+'Geometry'!$F$18*SIN(RADIANS(F190))),('Geometry'!$G$19*COS(RADIANS(F190))+'Geometry'!$F$19*SIN(RADIANS(F190))),('Geometry'!$G$20*COS(RADIANS(F190))+'Geometry'!$F$20*SIN(RADIANS(F190))))</f>
        <v>813.1598511989835</v>
      </c>
      <c r="J190" s="11">
        <f>I190-H190*K190</f>
        <v>-4065.7992559949175</v>
      </c>
      <c r="K190" s="11">
        <f>I190-MIN(('Geometry'!$G$13*COS(RADIANS(F190))+'Geometry'!$F$13*SIN(RADIANS(F190))),('Geometry'!$G$14*COS(RADIANS(F190))+'Geometry'!$F$14*SIN(RADIANS(F190))),('Geometry'!$G$15*COS(RADIANS(F190))+'Geometry'!$F$15*SIN(RADIANS(F190))),('Geometry'!$G$16*COS(RADIANS(F190))+'Geometry'!$F$16*SIN(RADIANS(F190))),('Geometry'!$G$17*COS(RADIANS(F190))+'Geometry'!$F$17*SIN(RADIANS(F190))),('Geometry'!$G$18*COS(RADIANS(F190))+'Geometry'!$F$18*SIN(RADIANS(F190))),('Geometry'!$G$19*COS(RADIANS(F190))+'Geometry'!$F$19*SIN(RADIANS(F190))),('Geometry'!$G$20*COS(RADIANS(F190))+'Geometry'!$F$20*SIN(RADIANS(F190))))</f>
        <v>1626.319702397967</v>
      </c>
      <c r="L190" s="16">
        <f>C_ecu</f>
        <v>0.0033</v>
      </c>
      <c r="M190" s="16">
        <f>0</f>
        <v>0</v>
      </c>
      <c r="N190" s="22">
        <f>IF(ABS(I190-J190)&lt;0.000000000001,0,(L190-M190)/(I190-J190))</f>
        <v>6.763737771719041e-7</v>
      </c>
      <c r="O190" s="16">
        <f>L190-N190*I190</f>
        <v>0.00275</v>
      </c>
      <c r="P190" s="22">
        <f>N190*COS(RADIANS(F190))</f>
        <v>5.181323734739309e-7</v>
      </c>
      <c r="Q190" s="22">
        <f>N190*SIN(RADIANS(F190))</f>
        <v>-4.347646834829844e-7</v>
      </c>
      <c r="R190" s="11">
        <f>AP190</f>
        <v>15280.207166863756</v>
      </c>
      <c r="S190" s="11">
        <f>AQ190</f>
        <v>177.1583852707201</v>
      </c>
      <c r="T190" s="11">
        <f>AR190</f>
        <v>-203.50349254185838</v>
      </c>
      <c r="U190" s="11">
        <f>AS190</f>
        <v>2390.138448619477</v>
      </c>
      <c r="V190" s="11">
        <f>AT190</f>
        <v>56.5876128114506</v>
      </c>
      <c r="W190" s="11">
        <f>AU190</f>
        <v>-65.06420043803</v>
      </c>
      <c r="X190" s="11">
        <f>AM190</f>
        <v>17670.345615483235</v>
      </c>
      <c r="Y190" s="11">
        <f>AN190</f>
        <v>233.7459980821707</v>
      </c>
      <c r="Z190" s="11">
        <f>AO190</f>
        <v>-268.56769297988836</v>
      </c>
      <c r="AA190" s="7">
        <v>1</v>
      </c>
      <c r="AB190" s="7">
        <v>1</v>
      </c>
      <c r="AC190" s="7">
        <v>1</v>
      </c>
      <c r="AD190" s="11">
        <f>X190*AA190</f>
        <v>17670.345615483235</v>
      </c>
      <c r="AE190" s="11">
        <f>Y190*AB190</f>
        <v>233.7459980821707</v>
      </c>
      <c r="AF190" s="11">
        <f>Z190*AC190</f>
        <v>-268.56769297988836</v>
      </c>
      <c r="AG190" s="7">
        <v>17670.345615483235</v>
      </c>
      <c r="AH190" s="7">
        <v>233.7459980821707</v>
      </c>
      <c r="AI190" s="7">
        <v>-268.56769297988836</v>
      </c>
      <c r="AJ190" s="16">
        <f>AD190-AG190</f>
        <v>0</v>
      </c>
      <c r="AK190" s="16">
        <f>SQRT((AE190-AH190)^2+(AF190-AI190)^2)</f>
        <v>0</v>
      </c>
      <c r="AL190" s="7" t="s">
        <v>190</v>
      </c>
      <c r="AM190" s="7">
        <v>17670.345615483235</v>
      </c>
      <c r="AN190" s="7">
        <v>233.7459980821707</v>
      </c>
      <c r="AO190" s="7">
        <v>-268.56769297988836</v>
      </c>
      <c r="AP190" s="7">
        <v>15280.207166863756</v>
      </c>
      <c r="AQ190" s="7">
        <v>177.1583852707201</v>
      </c>
      <c r="AR190" s="7">
        <v>-203.50349254185838</v>
      </c>
      <c r="AS190" s="7">
        <v>2390.138448619477</v>
      </c>
      <c r="AT190" s="7">
        <v>56.5876128114506</v>
      </c>
      <c r="AU190" s="7">
        <v>-65.06420043803</v>
      </c>
    </row>
    <row r="191" spans="1:47" x14ac:dyDescent="0.25">
      <c r="A191" s="7" t="s">
        <v>562</v>
      </c>
      <c r="B191" s="7">
        <v>2</v>
      </c>
      <c r="C191" s="19">
        <v>320</v>
      </c>
      <c r="D191" s="7" t="s">
        <v>563</v>
      </c>
      <c r="E191" s="7" t="s">
        <v>197</v>
      </c>
      <c r="F191" s="20">
        <v>320</v>
      </c>
      <c r="G191" s="7" t="s">
        <v>194</v>
      </c>
      <c r="H191" s="21">
        <v>2</v>
      </c>
      <c r="I191" s="11">
        <f>MAX(('Geometry'!$G$13*COS(RADIANS(F191))+'Geometry'!$F$13*SIN(RADIANS(F191))),('Geometry'!$G$14*COS(RADIANS(F191))+'Geometry'!$F$14*SIN(RADIANS(F191))),('Geometry'!$G$15*COS(RADIANS(F191))+'Geometry'!$F$15*SIN(RADIANS(F191))),('Geometry'!$G$16*COS(RADIANS(F191))+'Geometry'!$F$16*SIN(RADIANS(F191))),('Geometry'!$G$17*COS(RADIANS(F191))+'Geometry'!$F$17*SIN(RADIANS(F191))),('Geometry'!$G$18*COS(RADIANS(F191))+'Geometry'!$F$18*SIN(RADIANS(F191))),('Geometry'!$G$19*COS(RADIANS(F191))+'Geometry'!$F$19*SIN(RADIANS(F191))),('Geometry'!$G$20*COS(RADIANS(F191))+'Geometry'!$F$20*SIN(RADIANS(F191))))</f>
        <v>813.1598511989835</v>
      </c>
      <c r="J191" s="11">
        <f>I191-H191*K191</f>
        <v>-2439.4795535969506</v>
      </c>
      <c r="K191" s="11">
        <f>I191-MIN(('Geometry'!$G$13*COS(RADIANS(F191))+'Geometry'!$F$13*SIN(RADIANS(F191))),('Geometry'!$G$14*COS(RADIANS(F191))+'Geometry'!$F$14*SIN(RADIANS(F191))),('Geometry'!$G$15*COS(RADIANS(F191))+'Geometry'!$F$15*SIN(RADIANS(F191))),('Geometry'!$G$16*COS(RADIANS(F191))+'Geometry'!$F$16*SIN(RADIANS(F191))),('Geometry'!$G$17*COS(RADIANS(F191))+'Geometry'!$F$17*SIN(RADIANS(F191))),('Geometry'!$G$18*COS(RADIANS(F191))+'Geometry'!$F$18*SIN(RADIANS(F191))),('Geometry'!$G$19*COS(RADIANS(F191))+'Geometry'!$F$19*SIN(RADIANS(F191))),('Geometry'!$G$20*COS(RADIANS(F191))+'Geometry'!$F$20*SIN(RADIANS(F191))))</f>
        <v>1626.319702397967</v>
      </c>
      <c r="L191" s="16">
        <f>C_ecu</f>
        <v>0.0033</v>
      </c>
      <c r="M191" s="16">
        <f>0</f>
        <v>0</v>
      </c>
      <c r="N191" s="22">
        <f>IF(ABS(I191-J191)&lt;0.000000000001,0,(L191-M191)/(I191-J191))</f>
        <v>0.0000010145606657578562</v>
      </c>
      <c r="O191" s="16">
        <f>L191-N191*I191</f>
        <v>0.002475</v>
      </c>
      <c r="P191" s="22">
        <f>N191*COS(RADIANS(F191))</f>
        <v>7.771985602108963e-7</v>
      </c>
      <c r="Q191" s="22">
        <f>N191*SIN(RADIANS(F191))</f>
        <v>-6.521470252244766e-7</v>
      </c>
      <c r="R191" s="11">
        <f>AP191</f>
        <v>15280.207166863756</v>
      </c>
      <c r="S191" s="11">
        <f>AQ191</f>
        <v>354.3167705414402</v>
      </c>
      <c r="T191" s="11">
        <f>AR191</f>
        <v>-407.00698508371676</v>
      </c>
      <c r="U191" s="11">
        <f>AS191</f>
        <v>2390.138448619477</v>
      </c>
      <c r="V191" s="11">
        <f>AT191</f>
        <v>113.1752256229012</v>
      </c>
      <c r="W191" s="11">
        <f>AU191</f>
        <v>-130.12840087606</v>
      </c>
      <c r="X191" s="11">
        <f>AM191</f>
        <v>17670.345615483235</v>
      </c>
      <c r="Y191" s="11">
        <f>AN191</f>
        <v>467.4919961643414</v>
      </c>
      <c r="Z191" s="11">
        <f>AO191</f>
        <v>-537.1353859597767</v>
      </c>
      <c r="AA191" s="7">
        <v>1</v>
      </c>
      <c r="AB191" s="7">
        <v>1</v>
      </c>
      <c r="AC191" s="7">
        <v>1</v>
      </c>
      <c r="AD191" s="11">
        <f>X191*AA191</f>
        <v>17670.345615483235</v>
      </c>
      <c r="AE191" s="11">
        <f>Y191*AB191</f>
        <v>467.4919961643414</v>
      </c>
      <c r="AF191" s="11">
        <f>Z191*AC191</f>
        <v>-537.1353859597767</v>
      </c>
      <c r="AG191" s="7">
        <v>17670.345615483235</v>
      </c>
      <c r="AH191" s="7">
        <v>467.4919961643414</v>
      </c>
      <c r="AI191" s="7">
        <v>-537.1353859597767</v>
      </c>
      <c r="AJ191" s="16">
        <f>AD191-AG191</f>
        <v>0</v>
      </c>
      <c r="AK191" s="16">
        <f>SQRT((AE191-AH191)^2+(AF191-AI191)^2)</f>
        <v>0</v>
      </c>
      <c r="AL191" s="7" t="s">
        <v>190</v>
      </c>
      <c r="AM191" s="7">
        <v>17670.345615483235</v>
      </c>
      <c r="AN191" s="7">
        <v>467.4919961643414</v>
      </c>
      <c r="AO191" s="7">
        <v>-537.1353859597767</v>
      </c>
      <c r="AP191" s="7">
        <v>15280.207166863756</v>
      </c>
      <c r="AQ191" s="7">
        <v>354.3167705414402</v>
      </c>
      <c r="AR191" s="7">
        <v>-407.00698508371676</v>
      </c>
      <c r="AS191" s="7">
        <v>2390.138448619477</v>
      </c>
      <c r="AT191" s="7">
        <v>113.1752256229012</v>
      </c>
      <c r="AU191" s="7">
        <v>-130.12840087606</v>
      </c>
    </row>
    <row r="192" spans="1:47" x14ac:dyDescent="0.25">
      <c r="A192" s="7" t="s">
        <v>564</v>
      </c>
      <c r="B192" s="7">
        <v>3</v>
      </c>
      <c r="C192" s="19">
        <v>320</v>
      </c>
      <c r="D192" s="7" t="s">
        <v>565</v>
      </c>
      <c r="E192" s="7" t="s">
        <v>200</v>
      </c>
      <c r="F192" s="20">
        <v>320</v>
      </c>
      <c r="G192" s="7" t="s">
        <v>194</v>
      </c>
      <c r="H192" s="21">
        <v>1.5000000000000002</v>
      </c>
      <c r="I192" s="11">
        <f>MAX(('Geometry'!$G$13*COS(RADIANS(F192))+'Geometry'!$F$13*SIN(RADIANS(F192))),('Geometry'!$G$14*COS(RADIANS(F192))+'Geometry'!$F$14*SIN(RADIANS(F192))),('Geometry'!$G$15*COS(RADIANS(F192))+'Geometry'!$F$15*SIN(RADIANS(F192))),('Geometry'!$G$16*COS(RADIANS(F192))+'Geometry'!$F$16*SIN(RADIANS(F192))),('Geometry'!$G$17*COS(RADIANS(F192))+'Geometry'!$F$17*SIN(RADIANS(F192))),('Geometry'!$G$18*COS(RADIANS(F192))+'Geometry'!$F$18*SIN(RADIANS(F192))),('Geometry'!$G$19*COS(RADIANS(F192))+'Geometry'!$F$19*SIN(RADIANS(F192))),('Geometry'!$G$20*COS(RADIANS(F192))+'Geometry'!$F$20*SIN(RADIANS(F192))))</f>
        <v>813.1598511989835</v>
      </c>
      <c r="J192" s="11">
        <f>I192-H192*K192</f>
        <v>-1626.3197023979671</v>
      </c>
      <c r="K192" s="11">
        <f>I192-MIN(('Geometry'!$G$13*COS(RADIANS(F192))+'Geometry'!$F$13*SIN(RADIANS(F192))),('Geometry'!$G$14*COS(RADIANS(F192))+'Geometry'!$F$14*SIN(RADIANS(F192))),('Geometry'!$G$15*COS(RADIANS(F192))+'Geometry'!$F$15*SIN(RADIANS(F192))),('Geometry'!$G$16*COS(RADIANS(F192))+'Geometry'!$F$16*SIN(RADIANS(F192))),('Geometry'!$G$17*COS(RADIANS(F192))+'Geometry'!$F$17*SIN(RADIANS(F192))),('Geometry'!$G$18*COS(RADIANS(F192))+'Geometry'!$F$18*SIN(RADIANS(F192))),('Geometry'!$G$19*COS(RADIANS(F192))+'Geometry'!$F$19*SIN(RADIANS(F192))),('Geometry'!$G$20*COS(RADIANS(F192))+'Geometry'!$F$20*SIN(RADIANS(F192))))</f>
        <v>1626.319702397967</v>
      </c>
      <c r="L192" s="16">
        <f>C_ecu</f>
        <v>0.0033</v>
      </c>
      <c r="M192" s="16">
        <f>0</f>
        <v>0</v>
      </c>
      <c r="N192" s="22">
        <f>IF(ABS(I192-J192)&lt;0.000000000001,0,(L192-M192)/(I192-J192))</f>
        <v>0.0000013527475543438082</v>
      </c>
      <c r="O192" s="16">
        <f>L192-N192*I192</f>
        <v>0.0022</v>
      </c>
      <c r="P192" s="22">
        <f>N192*COS(RADIANS(F192))</f>
        <v>0.0000010362647469478618</v>
      </c>
      <c r="Q192" s="22">
        <f>N192*SIN(RADIANS(F192))</f>
        <v>-8.695293669659688e-7</v>
      </c>
      <c r="R192" s="11">
        <f>AP192</f>
        <v>15280.207166863756</v>
      </c>
      <c r="S192" s="11">
        <f>AQ192</f>
        <v>531.4751558121602</v>
      </c>
      <c r="T192" s="11">
        <f>AR192</f>
        <v>-610.510477625575</v>
      </c>
      <c r="U192" s="11">
        <f>AS192</f>
        <v>2390.138448619477</v>
      </c>
      <c r="V192" s="11">
        <f>AT192</f>
        <v>169.7628384343518</v>
      </c>
      <c r="W192" s="11">
        <f>AU192</f>
        <v>-195.19260131408998</v>
      </c>
      <c r="X192" s="11">
        <f>AM192</f>
        <v>17670.345615483235</v>
      </c>
      <c r="Y192" s="11">
        <f>AN192</f>
        <v>701.237994246512</v>
      </c>
      <c r="Z192" s="11">
        <f>AO192</f>
        <v>-805.703078939665</v>
      </c>
      <c r="AA192" s="7">
        <v>1</v>
      </c>
      <c r="AB192" s="7">
        <v>1</v>
      </c>
      <c r="AC192" s="7">
        <v>1</v>
      </c>
      <c r="AD192" s="11">
        <f>X192*AA192</f>
        <v>17670.345615483235</v>
      </c>
      <c r="AE192" s="11">
        <f>Y192*AB192</f>
        <v>701.237994246512</v>
      </c>
      <c r="AF192" s="11">
        <f>Z192*AC192</f>
        <v>-805.703078939665</v>
      </c>
      <c r="AG192" s="7">
        <v>17670.345615483235</v>
      </c>
      <c r="AH192" s="7">
        <v>701.237994246512</v>
      </c>
      <c r="AI192" s="7">
        <v>-805.703078939665</v>
      </c>
      <c r="AJ192" s="16">
        <f>AD192-AG192</f>
        <v>0</v>
      </c>
      <c r="AK192" s="16">
        <f>SQRT((AE192-AH192)^2+(AF192-AI192)^2)</f>
        <v>0</v>
      </c>
      <c r="AL192" s="7" t="s">
        <v>190</v>
      </c>
      <c r="AM192" s="7">
        <v>17670.345615483235</v>
      </c>
      <c r="AN192" s="7">
        <v>701.237994246512</v>
      </c>
      <c r="AO192" s="7">
        <v>-805.703078939665</v>
      </c>
      <c r="AP192" s="7">
        <v>15280.207166863756</v>
      </c>
      <c r="AQ192" s="7">
        <v>531.4751558121602</v>
      </c>
      <c r="AR192" s="7">
        <v>-610.510477625575</v>
      </c>
      <c r="AS192" s="7">
        <v>2390.138448619477</v>
      </c>
      <c r="AT192" s="7">
        <v>169.7628384343518</v>
      </c>
      <c r="AU192" s="7">
        <v>-195.19260131408998</v>
      </c>
    </row>
    <row r="193" spans="1:47" x14ac:dyDescent="0.25">
      <c r="A193" s="7" t="s">
        <v>566</v>
      </c>
      <c r="B193" s="7">
        <v>4</v>
      </c>
      <c r="C193" s="19">
        <v>320</v>
      </c>
      <c r="D193" s="7" t="s">
        <v>567</v>
      </c>
      <c r="E193" s="7" t="s">
        <v>203</v>
      </c>
      <c r="F193" s="20">
        <v>320</v>
      </c>
      <c r="G193" s="7" t="s">
        <v>194</v>
      </c>
      <c r="H193" s="21">
        <v>1.2</v>
      </c>
      <c r="I193" s="11">
        <f>MAX(('Geometry'!$G$13*COS(RADIANS(F193))+'Geometry'!$F$13*SIN(RADIANS(F193))),('Geometry'!$G$14*COS(RADIANS(F193))+'Geometry'!$F$14*SIN(RADIANS(F193))),('Geometry'!$G$15*COS(RADIANS(F193))+'Geometry'!$F$15*SIN(RADIANS(F193))),('Geometry'!$G$16*COS(RADIANS(F193))+'Geometry'!$F$16*SIN(RADIANS(F193))),('Geometry'!$G$17*COS(RADIANS(F193))+'Geometry'!$F$17*SIN(RADIANS(F193))),('Geometry'!$G$18*COS(RADIANS(F193))+'Geometry'!$F$18*SIN(RADIANS(F193))),('Geometry'!$G$19*COS(RADIANS(F193))+'Geometry'!$F$19*SIN(RADIANS(F193))),('Geometry'!$G$20*COS(RADIANS(F193))+'Geometry'!$F$20*SIN(RADIANS(F193))))</f>
        <v>813.1598511989835</v>
      </c>
      <c r="J193" s="11">
        <f>I193-H193*K193</f>
        <v>-1138.4237916785767</v>
      </c>
      <c r="K193" s="11">
        <f>I193-MIN(('Geometry'!$G$13*COS(RADIANS(F193))+'Geometry'!$F$13*SIN(RADIANS(F193))),('Geometry'!$G$14*COS(RADIANS(F193))+'Geometry'!$F$14*SIN(RADIANS(F193))),('Geometry'!$G$15*COS(RADIANS(F193))+'Geometry'!$F$15*SIN(RADIANS(F193))),('Geometry'!$G$16*COS(RADIANS(F193))+'Geometry'!$F$16*SIN(RADIANS(F193))),('Geometry'!$G$17*COS(RADIANS(F193))+'Geometry'!$F$17*SIN(RADIANS(F193))),('Geometry'!$G$18*COS(RADIANS(F193))+'Geometry'!$F$18*SIN(RADIANS(F193))),('Geometry'!$G$19*COS(RADIANS(F193))+'Geometry'!$F$19*SIN(RADIANS(F193))),('Geometry'!$G$20*COS(RADIANS(F193))+'Geometry'!$F$20*SIN(RADIANS(F193))))</f>
        <v>1626.319702397967</v>
      </c>
      <c r="L193" s="16">
        <f>C_ecu</f>
        <v>0.0033</v>
      </c>
      <c r="M193" s="16">
        <f>0</f>
        <v>0</v>
      </c>
      <c r="N193" s="22">
        <f>IF(ABS(I193-J193)&lt;0.000000000001,0,(L193-M193)/(I193-J193))</f>
        <v>0.0000016909344429297605</v>
      </c>
      <c r="O193" s="16">
        <f>L193-N193*I193</f>
        <v>0.0019249999999999998</v>
      </c>
      <c r="P193" s="22">
        <f>N193*COS(RADIANS(F193))</f>
        <v>0.0000012953309336848274</v>
      </c>
      <c r="Q193" s="22">
        <f>N193*SIN(RADIANS(F193))</f>
        <v>-0.0000010869117087074612</v>
      </c>
      <c r="R193" s="11">
        <f>AP193</f>
        <v>15280.207166863756</v>
      </c>
      <c r="S193" s="11">
        <f>AQ193</f>
        <v>708.6335410828804</v>
      </c>
      <c r="T193" s="11">
        <f>AR193</f>
        <v>-814.0139701674335</v>
      </c>
      <c r="U193" s="11">
        <f>AS193</f>
        <v>2390.138448619477</v>
      </c>
      <c r="V193" s="11">
        <f>AT193</f>
        <v>226.3504512458024</v>
      </c>
      <c r="W193" s="11">
        <f>AU193</f>
        <v>-260.25680175212</v>
      </c>
      <c r="X193" s="11">
        <f>AM193</f>
        <v>17670.345615483235</v>
      </c>
      <c r="Y193" s="11">
        <f>AN193</f>
        <v>934.9839923286828</v>
      </c>
      <c r="Z193" s="11">
        <f>AO193</f>
        <v>-1074.2707719195535</v>
      </c>
      <c r="AA193" s="7">
        <v>1</v>
      </c>
      <c r="AB193" s="7">
        <v>1</v>
      </c>
      <c r="AC193" s="7">
        <v>1</v>
      </c>
      <c r="AD193" s="11">
        <f>X193*AA193</f>
        <v>17670.345615483235</v>
      </c>
      <c r="AE193" s="11">
        <f>Y193*AB193</f>
        <v>934.9839923286828</v>
      </c>
      <c r="AF193" s="11">
        <f>Z193*AC193</f>
        <v>-1074.2707719195535</v>
      </c>
      <c r="AG193" s="7">
        <v>17670.345615483235</v>
      </c>
      <c r="AH193" s="7">
        <v>934.9839923286828</v>
      </c>
      <c r="AI193" s="7">
        <v>-1074.2707719195535</v>
      </c>
      <c r="AJ193" s="16">
        <f>AD193-AG193</f>
        <v>0</v>
      </c>
      <c r="AK193" s="16">
        <f>SQRT((AE193-AH193)^2+(AF193-AI193)^2)</f>
        <v>0</v>
      </c>
      <c r="AL193" s="7" t="s">
        <v>190</v>
      </c>
      <c r="AM193" s="7">
        <v>17670.345615483235</v>
      </c>
      <c r="AN193" s="7">
        <v>934.9839923286828</v>
      </c>
      <c r="AO193" s="7">
        <v>-1074.2707719195535</v>
      </c>
      <c r="AP193" s="7">
        <v>15280.207166863756</v>
      </c>
      <c r="AQ193" s="7">
        <v>708.6335410828804</v>
      </c>
      <c r="AR193" s="7">
        <v>-814.0139701674335</v>
      </c>
      <c r="AS193" s="7">
        <v>2390.138448619477</v>
      </c>
      <c r="AT193" s="7">
        <v>226.3504512458024</v>
      </c>
      <c r="AU193" s="7">
        <v>-260.25680175212</v>
      </c>
    </row>
    <row r="194" spans="1:47" x14ac:dyDescent="0.25">
      <c r="A194" s="7" t="s">
        <v>568</v>
      </c>
      <c r="B194" s="7">
        <v>5</v>
      </c>
      <c r="C194" s="19">
        <v>320</v>
      </c>
      <c r="D194" s="7" t="s">
        <v>569</v>
      </c>
      <c r="E194" s="7" t="s">
        <v>206</v>
      </c>
      <c r="F194" s="20">
        <v>320</v>
      </c>
      <c r="G194" s="7" t="s">
        <v>194</v>
      </c>
      <c r="H194" s="21">
        <v>1.1</v>
      </c>
      <c r="I194" s="11">
        <f>MAX(('Geometry'!$G$13*COS(RADIANS(F194))+'Geometry'!$F$13*SIN(RADIANS(F194))),('Geometry'!$G$14*COS(RADIANS(F194))+'Geometry'!$F$14*SIN(RADIANS(F194))),('Geometry'!$G$15*COS(RADIANS(F194))+'Geometry'!$F$15*SIN(RADIANS(F194))),('Geometry'!$G$16*COS(RADIANS(F194))+'Geometry'!$F$16*SIN(RADIANS(F194))),('Geometry'!$G$17*COS(RADIANS(F194))+'Geometry'!$F$17*SIN(RADIANS(F194))),('Geometry'!$G$18*COS(RADIANS(F194))+'Geometry'!$F$18*SIN(RADIANS(F194))),('Geometry'!$G$19*COS(RADIANS(F194))+'Geometry'!$F$19*SIN(RADIANS(F194))),('Geometry'!$G$20*COS(RADIANS(F194))+'Geometry'!$F$20*SIN(RADIANS(F194))))</f>
        <v>813.1598511989835</v>
      </c>
      <c r="J194" s="11">
        <f>I194-H194*K194</f>
        <v>-975.7918214387802</v>
      </c>
      <c r="K194" s="11">
        <f>I194-MIN(('Geometry'!$G$13*COS(RADIANS(F194))+'Geometry'!$F$13*SIN(RADIANS(F194))),('Geometry'!$G$14*COS(RADIANS(F194))+'Geometry'!$F$14*SIN(RADIANS(F194))),('Geometry'!$G$15*COS(RADIANS(F194))+'Geometry'!$F$15*SIN(RADIANS(F194))),('Geometry'!$G$16*COS(RADIANS(F194))+'Geometry'!$F$16*SIN(RADIANS(F194))),('Geometry'!$G$17*COS(RADIANS(F194))+'Geometry'!$F$17*SIN(RADIANS(F194))),('Geometry'!$G$18*COS(RADIANS(F194))+'Geometry'!$F$18*SIN(RADIANS(F194))),('Geometry'!$G$19*COS(RADIANS(F194))+'Geometry'!$F$19*SIN(RADIANS(F194))),('Geometry'!$G$20*COS(RADIANS(F194))+'Geometry'!$F$20*SIN(RADIANS(F194))))</f>
        <v>1626.319702397967</v>
      </c>
      <c r="L194" s="16">
        <f>C_ecu</f>
        <v>0.0033</v>
      </c>
      <c r="M194" s="16">
        <f>0</f>
        <v>0</v>
      </c>
      <c r="N194" s="22">
        <f>IF(ABS(I194-J194)&lt;0.000000000001,0,(L194-M194)/(I194-J194))</f>
        <v>0.000001844655755923375</v>
      </c>
      <c r="O194" s="16">
        <f>L194-N194*I194</f>
        <v>0.0018</v>
      </c>
      <c r="P194" s="22">
        <f>N194*COS(RADIANS(F194))</f>
        <v>0.0000014130882912925388</v>
      </c>
      <c r="Q194" s="22">
        <f>N194*SIN(RADIANS(F194))</f>
        <v>-0.000001185721864044503</v>
      </c>
      <c r="R194" s="11">
        <f>AP194</f>
        <v>15280.207166863756</v>
      </c>
      <c r="S194" s="11">
        <f>AQ194</f>
        <v>885.7919263536004</v>
      </c>
      <c r="T194" s="11">
        <f>AR194</f>
        <v>-1017.5174627092917</v>
      </c>
      <c r="U194" s="11">
        <f>AS194</f>
        <v>2390.138448619477</v>
      </c>
      <c r="V194" s="11">
        <f>AT194</f>
        <v>282.93806405725303</v>
      </c>
      <c r="W194" s="11">
        <f>AU194</f>
        <v>-325.32100219014995</v>
      </c>
      <c r="X194" s="11">
        <f>AM194</f>
        <v>17670.345615483235</v>
      </c>
      <c r="Y194" s="11">
        <f>AN194</f>
        <v>1168.7299904108534</v>
      </c>
      <c r="Z194" s="11">
        <f>AO194</f>
        <v>-1342.8384648994418</v>
      </c>
      <c r="AA194" s="7">
        <v>1</v>
      </c>
      <c r="AB194" s="7">
        <v>1</v>
      </c>
      <c r="AC194" s="7">
        <v>1</v>
      </c>
      <c r="AD194" s="11">
        <f>X194*AA194</f>
        <v>17670.345615483235</v>
      </c>
      <c r="AE194" s="11">
        <f>Y194*AB194</f>
        <v>1168.7299904108534</v>
      </c>
      <c r="AF194" s="11">
        <f>Z194*AC194</f>
        <v>-1342.8384648994418</v>
      </c>
      <c r="AG194" s="7">
        <v>17670.345615483235</v>
      </c>
      <c r="AH194" s="7">
        <v>1168.7299904108534</v>
      </c>
      <c r="AI194" s="7">
        <v>-1342.8384648994418</v>
      </c>
      <c r="AJ194" s="16">
        <f>AD194-AG194</f>
        <v>0</v>
      </c>
      <c r="AK194" s="16">
        <f>SQRT((AE194-AH194)^2+(AF194-AI194)^2)</f>
        <v>0</v>
      </c>
      <c r="AL194" s="7" t="s">
        <v>190</v>
      </c>
      <c r="AM194" s="7">
        <v>17670.345615483235</v>
      </c>
      <c r="AN194" s="7">
        <v>1168.7299904108534</v>
      </c>
      <c r="AO194" s="7">
        <v>-1342.8384648994418</v>
      </c>
      <c r="AP194" s="7">
        <v>15280.207166863756</v>
      </c>
      <c r="AQ194" s="7">
        <v>885.7919263536004</v>
      </c>
      <c r="AR194" s="7">
        <v>-1017.5174627092917</v>
      </c>
      <c r="AS194" s="7">
        <v>2390.138448619477</v>
      </c>
      <c r="AT194" s="7">
        <v>282.93806405725303</v>
      </c>
      <c r="AU194" s="7">
        <v>-325.32100219014995</v>
      </c>
    </row>
    <row r="195" spans="1:47" x14ac:dyDescent="0.25">
      <c r="A195" s="7" t="s">
        <v>570</v>
      </c>
      <c r="B195" s="7">
        <v>6</v>
      </c>
      <c r="C195" s="19">
        <v>320</v>
      </c>
      <c r="D195" s="7" t="s">
        <v>571</v>
      </c>
      <c r="E195" s="7" t="s">
        <v>229</v>
      </c>
      <c r="F195" s="20">
        <v>320</v>
      </c>
      <c r="G195" s="7" t="s">
        <v>194</v>
      </c>
      <c r="H195" s="21">
        <v>1.0000000000000002</v>
      </c>
      <c r="I195" s="11">
        <f>MAX(('Geometry'!$G$13*COS(RADIANS(F195))+'Geometry'!$F$13*SIN(RADIANS(F195))),('Geometry'!$G$14*COS(RADIANS(F195))+'Geometry'!$F$14*SIN(RADIANS(F195))),('Geometry'!$G$15*COS(RADIANS(F195))+'Geometry'!$F$15*SIN(RADIANS(F195))),('Geometry'!$G$16*COS(RADIANS(F195))+'Geometry'!$F$16*SIN(RADIANS(F195))),('Geometry'!$G$17*COS(RADIANS(F195))+'Geometry'!$F$17*SIN(RADIANS(F195))),('Geometry'!$G$18*COS(RADIANS(F195))+'Geometry'!$F$18*SIN(RADIANS(F195))),('Geometry'!$G$19*COS(RADIANS(F195))+'Geometry'!$F$19*SIN(RADIANS(F195))),('Geometry'!$G$20*COS(RADIANS(F195))+'Geometry'!$F$20*SIN(RADIANS(F195))))</f>
        <v>813.1598511989835</v>
      </c>
      <c r="J195" s="11">
        <f>I195-H195*K195</f>
        <v>-813.1598511989837</v>
      </c>
      <c r="K195" s="11">
        <f>I195-MIN(('Geometry'!$G$13*COS(RADIANS(F195))+'Geometry'!$F$13*SIN(RADIANS(F195))),('Geometry'!$G$14*COS(RADIANS(F195))+'Geometry'!$F$14*SIN(RADIANS(F195))),('Geometry'!$G$15*COS(RADIANS(F195))+'Geometry'!$F$15*SIN(RADIANS(F195))),('Geometry'!$G$16*COS(RADIANS(F195))+'Geometry'!$F$16*SIN(RADIANS(F195))),('Geometry'!$G$17*COS(RADIANS(F195))+'Geometry'!$F$17*SIN(RADIANS(F195))),('Geometry'!$G$18*COS(RADIANS(F195))+'Geometry'!$F$18*SIN(RADIANS(F195))),('Geometry'!$G$19*COS(RADIANS(F195))+'Geometry'!$F$19*SIN(RADIANS(F195))),('Geometry'!$G$20*COS(RADIANS(F195))+'Geometry'!$F$20*SIN(RADIANS(F195))))</f>
        <v>1626.319702397967</v>
      </c>
      <c r="L195" s="16">
        <f>C_ecu</f>
        <v>0.0033</v>
      </c>
      <c r="M195" s="16">
        <f>0</f>
        <v>0</v>
      </c>
      <c r="N195" s="22">
        <f>IF(ABS(I195-J195)&lt;0.000000000001,0,(L195-M195)/(I195-J195))</f>
        <v>0.0000020291213315157124</v>
      </c>
      <c r="O195" s="16">
        <f>L195-N195*I195</f>
        <v>0.0016500000000000002</v>
      </c>
      <c r="P195" s="22">
        <f>N195*COS(RADIANS(F195))</f>
        <v>0.0000015543971204217926</v>
      </c>
      <c r="Q195" s="22">
        <f>N195*SIN(RADIANS(F195))</f>
        <v>-0.0000013042940504489533</v>
      </c>
      <c r="R195" s="11">
        <f>AP195</f>
        <v>15280.207166863756</v>
      </c>
      <c r="S195" s="11">
        <f>AQ195</f>
        <v>1062.9503116243204</v>
      </c>
      <c r="T195" s="11">
        <f>AR195</f>
        <v>-1221.02095525115</v>
      </c>
      <c r="U195" s="11">
        <f>AS195</f>
        <v>2390.138448619477</v>
      </c>
      <c r="V195" s="11">
        <f>AT195</f>
        <v>339.5256768687036</v>
      </c>
      <c r="W195" s="11">
        <f>AU195</f>
        <v>-390.38520262817997</v>
      </c>
      <c r="X195" s="11">
        <f>AM195</f>
        <v>17670.345615483235</v>
      </c>
      <c r="Y195" s="11">
        <f>AN195</f>
        <v>1402.475988493024</v>
      </c>
      <c r="Z195" s="11">
        <f>AO195</f>
        <v>-1611.40615787933</v>
      </c>
      <c r="AA195" s="7">
        <v>1</v>
      </c>
      <c r="AB195" s="7">
        <v>1</v>
      </c>
      <c r="AC195" s="7">
        <v>1</v>
      </c>
      <c r="AD195" s="11">
        <f>X195*AA195</f>
        <v>17670.345615483235</v>
      </c>
      <c r="AE195" s="11">
        <f>Y195*AB195</f>
        <v>1402.475988493024</v>
      </c>
      <c r="AF195" s="11">
        <f>Z195*AC195</f>
        <v>-1611.40615787933</v>
      </c>
      <c r="AG195" s="7">
        <v>17670.345615483235</v>
      </c>
      <c r="AH195" s="7">
        <v>1402.475988493024</v>
      </c>
      <c r="AI195" s="7">
        <v>-1611.40615787933</v>
      </c>
      <c r="AJ195" s="16">
        <f>AD195-AG195</f>
        <v>0</v>
      </c>
      <c r="AK195" s="16">
        <f>SQRT((AE195-AH195)^2+(AF195-AI195)^2)</f>
        <v>0</v>
      </c>
      <c r="AL195" s="7" t="s">
        <v>190</v>
      </c>
      <c r="AM195" s="7">
        <v>17670.345615483235</v>
      </c>
      <c r="AN195" s="7">
        <v>1402.475988493024</v>
      </c>
      <c r="AO195" s="7">
        <v>-1611.40615787933</v>
      </c>
      <c r="AP195" s="7">
        <v>15280.207166863756</v>
      </c>
      <c r="AQ195" s="7">
        <v>1062.9503116243204</v>
      </c>
      <c r="AR195" s="7">
        <v>-1221.02095525115</v>
      </c>
      <c r="AS195" s="7">
        <v>2390.138448619477</v>
      </c>
      <c r="AT195" s="7">
        <v>339.5256768687036</v>
      </c>
      <c r="AU195" s="7">
        <v>-390.38520262817997</v>
      </c>
    </row>
    <row r="196" spans="1:47" x14ac:dyDescent="0.25">
      <c r="A196" s="7" t="s">
        <v>572</v>
      </c>
      <c r="B196" s="7">
        <v>1</v>
      </c>
      <c r="C196" s="19">
        <v>330</v>
      </c>
      <c r="D196" s="7" t="s">
        <v>573</v>
      </c>
      <c r="E196" s="7" t="s">
        <v>200</v>
      </c>
      <c r="F196" s="20">
        <v>330</v>
      </c>
      <c r="G196" s="7" t="s">
        <v>194</v>
      </c>
      <c r="H196" s="21">
        <v>1.5000000000000002</v>
      </c>
      <c r="I196" s="11">
        <f>MAX(('Geometry'!$G$13*COS(RADIANS(F196))+'Geometry'!$F$13*SIN(RADIANS(F196))),('Geometry'!$G$14*COS(RADIANS(F196))+'Geometry'!$F$14*SIN(RADIANS(F196))),('Geometry'!$G$15*COS(RADIANS(F196))+'Geometry'!$F$15*SIN(RADIANS(F196))),('Geometry'!$G$16*COS(RADIANS(F196))+'Geometry'!$F$16*SIN(RADIANS(F196))),('Geometry'!$G$17*COS(RADIANS(F196))+'Geometry'!$F$17*SIN(RADIANS(F196))),('Geometry'!$G$18*COS(RADIANS(F196))+'Geometry'!$F$18*SIN(RADIANS(F196))),('Geometry'!$G$19*COS(RADIANS(F196))+'Geometry'!$F$19*SIN(RADIANS(F196))),('Geometry'!$G$20*COS(RADIANS(F196))+'Geometry'!$F$20*SIN(RADIANS(F196))))</f>
        <v>794.6152422706632</v>
      </c>
      <c r="J196" s="11">
        <f>I196-H196*K196</f>
        <v>-1589.2304845413266</v>
      </c>
      <c r="K196" s="11">
        <f>I196-MIN(('Geometry'!$G$13*COS(RADIANS(F196))+'Geometry'!$F$13*SIN(RADIANS(F196))),('Geometry'!$G$14*COS(RADIANS(F196))+'Geometry'!$F$14*SIN(RADIANS(F196))),('Geometry'!$G$15*COS(RADIANS(F196))+'Geometry'!$F$15*SIN(RADIANS(F196))),('Geometry'!$G$16*COS(RADIANS(F196))+'Geometry'!$F$16*SIN(RADIANS(F196))),('Geometry'!$G$17*COS(RADIANS(F196))+'Geometry'!$F$17*SIN(RADIANS(F196))),('Geometry'!$G$18*COS(RADIANS(F196))+'Geometry'!$F$18*SIN(RADIANS(F196))),('Geometry'!$G$19*COS(RADIANS(F196))+'Geometry'!$F$19*SIN(RADIANS(F196))),('Geometry'!$G$20*COS(RADIANS(F196))+'Geometry'!$F$20*SIN(RADIANS(F196))))</f>
        <v>1589.2304845413264</v>
      </c>
      <c r="L196" s="16">
        <f>C_ecu</f>
        <v>0.0033</v>
      </c>
      <c r="M196" s="16">
        <f>0</f>
        <v>0</v>
      </c>
      <c r="N196" s="22">
        <f>IF(ABS(I196-J196)&lt;0.000000000001,0,(L196-M196)/(I196-J196))</f>
        <v>0.0000013843177697632385</v>
      </c>
      <c r="O196" s="16">
        <f>L196-N196*I196</f>
        <v>0.0022</v>
      </c>
      <c r="P196" s="22">
        <f>N196*COS(RADIANS(F196))</f>
        <v>0.0000011988543555251824</v>
      </c>
      <c r="Q196" s="22">
        <f>N196*SIN(RADIANS(F196))</f>
        <v>-6.921588848816188e-7</v>
      </c>
      <c r="R196" s="11">
        <f>AP196</f>
        <v>15282.1090138309</v>
      </c>
      <c r="S196" s="11">
        <f>AQ196</f>
        <v>601.4341286992551</v>
      </c>
      <c r="T196" s="11">
        <f>AR196</f>
        <v>-491.614637303094</v>
      </c>
      <c r="U196" s="11">
        <f>AS196</f>
        <v>2388.2366016523374</v>
      </c>
      <c r="V196" s="11">
        <f>AT196</f>
        <v>193.37197996849864</v>
      </c>
      <c r="W196" s="11">
        <f>AU196</f>
        <v>-157.63138012404335</v>
      </c>
      <c r="X196" s="11">
        <f>AM196</f>
        <v>17670.345615483235</v>
      </c>
      <c r="Y196" s="11">
        <f>AN196</f>
        <v>794.8061086677537</v>
      </c>
      <c r="Z196" s="11">
        <f>AO196</f>
        <v>-649.2460174271374</v>
      </c>
      <c r="AA196" s="7">
        <v>1</v>
      </c>
      <c r="AB196" s="7">
        <v>1</v>
      </c>
      <c r="AC196" s="7">
        <v>1</v>
      </c>
      <c r="AD196" s="11">
        <f>X196*AA196</f>
        <v>17670.345615483235</v>
      </c>
      <c r="AE196" s="11">
        <f>Y196*AB196</f>
        <v>794.8061086677537</v>
      </c>
      <c r="AF196" s="11">
        <f>Z196*AC196</f>
        <v>-649.2460174271374</v>
      </c>
      <c r="AG196" s="7">
        <v>17670.345615483235</v>
      </c>
      <c r="AH196" s="7">
        <v>794.8061086677537</v>
      </c>
      <c r="AI196" s="7">
        <v>-649.2460174271374</v>
      </c>
      <c r="AJ196" s="16">
        <f>AD196-AG196</f>
        <v>0</v>
      </c>
      <c r="AK196" s="16">
        <f>SQRT((AE196-AH196)^2+(AF196-AI196)^2)</f>
        <v>0</v>
      </c>
      <c r="AL196" s="7" t="s">
        <v>190</v>
      </c>
      <c r="AM196" s="7">
        <v>17670.345615483235</v>
      </c>
      <c r="AN196" s="7">
        <v>794.8061086677537</v>
      </c>
      <c r="AO196" s="7">
        <v>-649.2460174271374</v>
      </c>
      <c r="AP196" s="7">
        <v>15282.1090138309</v>
      </c>
      <c r="AQ196" s="7">
        <v>601.4341286992551</v>
      </c>
      <c r="AR196" s="7">
        <v>-491.614637303094</v>
      </c>
      <c r="AS196" s="7">
        <v>2388.2366016523374</v>
      </c>
      <c r="AT196" s="7">
        <v>193.37197996849864</v>
      </c>
      <c r="AU196" s="7">
        <v>-157.63138012404335</v>
      </c>
    </row>
    <row r="197" spans="1:47" x14ac:dyDescent="0.25">
      <c r="A197" s="7" t="s">
        <v>574</v>
      </c>
      <c r="B197" s="7">
        <v>2</v>
      </c>
      <c r="C197" s="19">
        <v>330</v>
      </c>
      <c r="D197" s="7" t="s">
        <v>575</v>
      </c>
      <c r="E197" s="7" t="s">
        <v>229</v>
      </c>
      <c r="F197" s="20">
        <v>330</v>
      </c>
      <c r="G197" s="7" t="s">
        <v>194</v>
      </c>
      <c r="H197" s="21">
        <v>1</v>
      </c>
      <c r="I197" s="11">
        <f>MAX(('Geometry'!$G$13*COS(RADIANS(F197))+'Geometry'!$F$13*SIN(RADIANS(F197))),('Geometry'!$G$14*COS(RADIANS(F197))+'Geometry'!$F$14*SIN(RADIANS(F197))),('Geometry'!$G$15*COS(RADIANS(F197))+'Geometry'!$F$15*SIN(RADIANS(F197))),('Geometry'!$G$16*COS(RADIANS(F197))+'Geometry'!$F$16*SIN(RADIANS(F197))),('Geometry'!$G$17*COS(RADIANS(F197))+'Geometry'!$F$17*SIN(RADIANS(F197))),('Geometry'!$G$18*COS(RADIANS(F197))+'Geometry'!$F$18*SIN(RADIANS(F197))),('Geometry'!$G$19*COS(RADIANS(F197))+'Geometry'!$F$19*SIN(RADIANS(F197))),('Geometry'!$G$20*COS(RADIANS(F197))+'Geometry'!$F$20*SIN(RADIANS(F197))))</f>
        <v>794.6152422706632</v>
      </c>
      <c r="J197" s="11">
        <f>I197-H197*K197</f>
        <v>-794.6152422706632</v>
      </c>
      <c r="K197" s="11">
        <f>I197-MIN(('Geometry'!$G$13*COS(RADIANS(F197))+'Geometry'!$F$13*SIN(RADIANS(F197))),('Geometry'!$G$14*COS(RADIANS(F197))+'Geometry'!$F$14*SIN(RADIANS(F197))),('Geometry'!$G$15*COS(RADIANS(F197))+'Geometry'!$F$15*SIN(RADIANS(F197))),('Geometry'!$G$16*COS(RADIANS(F197))+'Geometry'!$F$16*SIN(RADIANS(F197))),('Geometry'!$G$17*COS(RADIANS(F197))+'Geometry'!$F$17*SIN(RADIANS(F197))),('Geometry'!$G$18*COS(RADIANS(F197))+'Geometry'!$F$18*SIN(RADIANS(F197))),('Geometry'!$G$19*COS(RADIANS(F197))+'Geometry'!$F$19*SIN(RADIANS(F197))),('Geometry'!$G$20*COS(RADIANS(F197))+'Geometry'!$F$20*SIN(RADIANS(F197))))</f>
        <v>1589.2304845413264</v>
      </c>
      <c r="L197" s="16">
        <f>C_ecu</f>
        <v>0.0033</v>
      </c>
      <c r="M197" s="16">
        <f>0</f>
        <v>0</v>
      </c>
      <c r="N197" s="22">
        <f>IF(ABS(I197-J197)&lt;0.000000000001,0,(L197-M197)/(I197-J197))</f>
        <v>0.0000020764766546448578</v>
      </c>
      <c r="O197" s="16">
        <f>L197-N197*I197</f>
        <v>0.00165</v>
      </c>
      <c r="P197" s="22">
        <f>N197*COS(RADIANS(F197))</f>
        <v>0.0000017982815332877738</v>
      </c>
      <c r="Q197" s="22">
        <f>N197*SIN(RADIANS(F197))</f>
        <v>-0.0000010382383273224283</v>
      </c>
      <c r="R197" s="11">
        <f>AP197</f>
        <v>15282.1090138309</v>
      </c>
      <c r="S197" s="11">
        <f>AQ197</f>
        <v>1202.8682573985102</v>
      </c>
      <c r="T197" s="11">
        <f>AR197</f>
        <v>-983.229274606188</v>
      </c>
      <c r="U197" s="11">
        <f>AS197</f>
        <v>2388.2366016523374</v>
      </c>
      <c r="V197" s="11">
        <f>AT197</f>
        <v>386.74395993699727</v>
      </c>
      <c r="W197" s="11">
        <f>AU197</f>
        <v>-315.2627602480867</v>
      </c>
      <c r="X197" s="11">
        <f>AM197</f>
        <v>17670.345615483235</v>
      </c>
      <c r="Y197" s="11">
        <f>AN197</f>
        <v>1589.6122173355075</v>
      </c>
      <c r="Z197" s="11">
        <f>AO197</f>
        <v>-1298.4920348542748</v>
      </c>
      <c r="AA197" s="7">
        <v>1</v>
      </c>
      <c r="AB197" s="7">
        <v>1</v>
      </c>
      <c r="AC197" s="7">
        <v>1</v>
      </c>
      <c r="AD197" s="11">
        <f>X197*AA197</f>
        <v>17670.345615483235</v>
      </c>
      <c r="AE197" s="11">
        <f>Y197*AB197</f>
        <v>1589.6122173355075</v>
      </c>
      <c r="AF197" s="11">
        <f>Z197*AC197</f>
        <v>-1298.4920348542748</v>
      </c>
      <c r="AG197" s="7">
        <v>17670.345615483235</v>
      </c>
      <c r="AH197" s="7">
        <v>1589.6122173355075</v>
      </c>
      <c r="AI197" s="7">
        <v>-1298.4920348542748</v>
      </c>
      <c r="AJ197" s="16">
        <f>AD197-AG197</f>
        <v>0</v>
      </c>
      <c r="AK197" s="16">
        <f>SQRT((AE197-AH197)^2+(AF197-AI197)^2)</f>
        <v>0</v>
      </c>
      <c r="AL197" s="7" t="s">
        <v>190</v>
      </c>
      <c r="AM197" s="7">
        <v>17670.345615483235</v>
      </c>
      <c r="AN197" s="7">
        <v>1589.6122173355075</v>
      </c>
      <c r="AO197" s="7">
        <v>-1298.4920348542748</v>
      </c>
      <c r="AP197" s="7">
        <v>15282.1090138309</v>
      </c>
      <c r="AQ197" s="7">
        <v>1202.8682573985102</v>
      </c>
      <c r="AR197" s="7">
        <v>-983.229274606188</v>
      </c>
      <c r="AS197" s="7">
        <v>2388.2366016523374</v>
      </c>
      <c r="AT197" s="7">
        <v>386.74395993699727</v>
      </c>
      <c r="AU197" s="7">
        <v>-315.2627602480867</v>
      </c>
    </row>
    <row r="198" spans="1:47" x14ac:dyDescent="0.25">
      <c r="A198" s="7" t="s">
        <v>576</v>
      </c>
      <c r="B198" s="7">
        <v>3</v>
      </c>
      <c r="C198" s="19">
        <v>330</v>
      </c>
      <c r="D198" s="7" t="s">
        <v>577</v>
      </c>
      <c r="E198" s="7" t="s">
        <v>193</v>
      </c>
      <c r="F198" s="20">
        <v>330</v>
      </c>
      <c r="G198" s="7" t="s">
        <v>194</v>
      </c>
      <c r="H198" s="21">
        <v>3</v>
      </c>
      <c r="I198" s="11">
        <f>MAX(('Geometry'!$G$13*COS(RADIANS(F198))+'Geometry'!$F$13*SIN(RADIANS(F198))),('Geometry'!$G$14*COS(RADIANS(F198))+'Geometry'!$F$14*SIN(RADIANS(F198))),('Geometry'!$G$15*COS(RADIANS(F198))+'Geometry'!$F$15*SIN(RADIANS(F198))),('Geometry'!$G$16*COS(RADIANS(F198))+'Geometry'!$F$16*SIN(RADIANS(F198))),('Geometry'!$G$17*COS(RADIANS(F198))+'Geometry'!$F$17*SIN(RADIANS(F198))),('Geometry'!$G$18*COS(RADIANS(F198))+'Geometry'!$F$18*SIN(RADIANS(F198))),('Geometry'!$G$19*COS(RADIANS(F198))+'Geometry'!$F$19*SIN(RADIANS(F198))),('Geometry'!$G$20*COS(RADIANS(F198))+'Geometry'!$F$20*SIN(RADIANS(F198))))</f>
        <v>794.6152422706632</v>
      </c>
      <c r="J198" s="11">
        <f>I198-H198*K198</f>
        <v>-3973.076211353316</v>
      </c>
      <c r="K198" s="11">
        <f>I198-MIN(('Geometry'!$G$13*COS(RADIANS(F198))+'Geometry'!$F$13*SIN(RADIANS(F198))),('Geometry'!$G$14*COS(RADIANS(F198))+'Geometry'!$F$14*SIN(RADIANS(F198))),('Geometry'!$G$15*COS(RADIANS(F198))+'Geometry'!$F$15*SIN(RADIANS(F198))),('Geometry'!$G$16*COS(RADIANS(F198))+'Geometry'!$F$16*SIN(RADIANS(F198))),('Geometry'!$G$17*COS(RADIANS(F198))+'Geometry'!$F$17*SIN(RADIANS(F198))),('Geometry'!$G$18*COS(RADIANS(F198))+'Geometry'!$F$18*SIN(RADIANS(F198))),('Geometry'!$G$19*COS(RADIANS(F198))+'Geometry'!$F$19*SIN(RADIANS(F198))),('Geometry'!$G$20*COS(RADIANS(F198))+'Geometry'!$F$20*SIN(RADIANS(F198))))</f>
        <v>1589.2304845413264</v>
      </c>
      <c r="L198" s="16">
        <f>C_ecu</f>
        <v>0.0033</v>
      </c>
      <c r="M198" s="16">
        <f>0</f>
        <v>0</v>
      </c>
      <c r="N198" s="22">
        <f>IF(ABS(I198-J198)&lt;0.000000000001,0,(L198-M198)/(I198-J198))</f>
        <v>6.921588848816193e-7</v>
      </c>
      <c r="O198" s="16">
        <f>L198-N198*I198</f>
        <v>0.00275</v>
      </c>
      <c r="P198" s="22">
        <f>N198*COS(RADIANS(F198))</f>
        <v>5.994271777625912e-7</v>
      </c>
      <c r="Q198" s="22">
        <f>N198*SIN(RADIANS(F198))</f>
        <v>-3.460794424408094e-7</v>
      </c>
      <c r="R198" s="11">
        <f>AP198</f>
        <v>15282.1090138309</v>
      </c>
      <c r="S198" s="11">
        <f>AQ198</f>
        <v>200.4780428997517</v>
      </c>
      <c r="T198" s="11">
        <f>AR198</f>
        <v>-163.87154576769802</v>
      </c>
      <c r="U198" s="11">
        <f>AS198</f>
        <v>2388.2366016523374</v>
      </c>
      <c r="V198" s="11">
        <f>AT198</f>
        <v>64.45732665616622</v>
      </c>
      <c r="W198" s="11">
        <f>AU198</f>
        <v>-52.543793374681115</v>
      </c>
      <c r="X198" s="11">
        <f>AM198</f>
        <v>17670.345615483235</v>
      </c>
      <c r="Y198" s="11">
        <f>AN198</f>
        <v>264.9353695559179</v>
      </c>
      <c r="Z198" s="11">
        <f>AO198</f>
        <v>-216.4153391423791</v>
      </c>
      <c r="AA198" s="7">
        <v>1</v>
      </c>
      <c r="AB198" s="7">
        <v>1</v>
      </c>
      <c r="AC198" s="7">
        <v>1</v>
      </c>
      <c r="AD198" s="11">
        <f>X198*AA198</f>
        <v>17670.345615483235</v>
      </c>
      <c r="AE198" s="11">
        <f>Y198*AB198</f>
        <v>264.9353695559179</v>
      </c>
      <c r="AF198" s="11">
        <f>Z198*AC198</f>
        <v>-216.4153391423791</v>
      </c>
      <c r="AG198" s="7">
        <v>17670.345615483235</v>
      </c>
      <c r="AH198" s="7">
        <v>264.9353695559179</v>
      </c>
      <c r="AI198" s="7">
        <v>-216.4153391423791</v>
      </c>
      <c r="AJ198" s="16">
        <f>AD198-AG198</f>
        <v>0</v>
      </c>
      <c r="AK198" s="16">
        <f>SQRT((AE198-AH198)^2+(AF198-AI198)^2)</f>
        <v>0</v>
      </c>
      <c r="AL198" s="7" t="s">
        <v>190</v>
      </c>
      <c r="AM198" s="7">
        <v>17670.345615483235</v>
      </c>
      <c r="AN198" s="7">
        <v>264.9353695559179</v>
      </c>
      <c r="AO198" s="7">
        <v>-216.4153391423791</v>
      </c>
      <c r="AP198" s="7">
        <v>15282.1090138309</v>
      </c>
      <c r="AQ198" s="7">
        <v>200.4780428997517</v>
      </c>
      <c r="AR198" s="7">
        <v>-163.87154576769802</v>
      </c>
      <c r="AS198" s="7">
        <v>2388.2366016523374</v>
      </c>
      <c r="AT198" s="7">
        <v>64.45732665616622</v>
      </c>
      <c r="AU198" s="7">
        <v>-52.543793374681115</v>
      </c>
    </row>
    <row r="199" spans="1:47" x14ac:dyDescent="0.25">
      <c r="A199" s="7" t="s">
        <v>578</v>
      </c>
      <c r="B199" s="7">
        <v>4</v>
      </c>
      <c r="C199" s="19">
        <v>330</v>
      </c>
      <c r="D199" s="7" t="s">
        <v>579</v>
      </c>
      <c r="E199" s="7" t="s">
        <v>197</v>
      </c>
      <c r="F199" s="20">
        <v>330</v>
      </c>
      <c r="G199" s="7" t="s">
        <v>194</v>
      </c>
      <c r="H199" s="21">
        <v>2</v>
      </c>
      <c r="I199" s="11">
        <f>MAX(('Geometry'!$G$13*COS(RADIANS(F199))+'Geometry'!$F$13*SIN(RADIANS(F199))),('Geometry'!$G$14*COS(RADIANS(F199))+'Geometry'!$F$14*SIN(RADIANS(F199))),('Geometry'!$G$15*COS(RADIANS(F199))+'Geometry'!$F$15*SIN(RADIANS(F199))),('Geometry'!$G$16*COS(RADIANS(F199))+'Geometry'!$F$16*SIN(RADIANS(F199))),('Geometry'!$G$17*COS(RADIANS(F199))+'Geometry'!$F$17*SIN(RADIANS(F199))),('Geometry'!$G$18*COS(RADIANS(F199))+'Geometry'!$F$18*SIN(RADIANS(F199))),('Geometry'!$G$19*COS(RADIANS(F199))+'Geometry'!$F$19*SIN(RADIANS(F199))),('Geometry'!$G$20*COS(RADIANS(F199))+'Geometry'!$F$20*SIN(RADIANS(F199))))</f>
        <v>794.6152422706632</v>
      </c>
      <c r="J199" s="11">
        <f>I199-H199*K199</f>
        <v>-2383.8457268119896</v>
      </c>
      <c r="K199" s="11">
        <f>I199-MIN(('Geometry'!$G$13*COS(RADIANS(F199))+'Geometry'!$F$13*SIN(RADIANS(F199))),('Geometry'!$G$14*COS(RADIANS(F199))+'Geometry'!$F$14*SIN(RADIANS(F199))),('Geometry'!$G$15*COS(RADIANS(F199))+'Geometry'!$F$15*SIN(RADIANS(F199))),('Geometry'!$G$16*COS(RADIANS(F199))+'Geometry'!$F$16*SIN(RADIANS(F199))),('Geometry'!$G$17*COS(RADIANS(F199))+'Geometry'!$F$17*SIN(RADIANS(F199))),('Geometry'!$G$18*COS(RADIANS(F199))+'Geometry'!$F$18*SIN(RADIANS(F199))),('Geometry'!$G$19*COS(RADIANS(F199))+'Geometry'!$F$19*SIN(RADIANS(F199))),('Geometry'!$G$20*COS(RADIANS(F199))+'Geometry'!$F$20*SIN(RADIANS(F199))))</f>
        <v>1589.2304845413264</v>
      </c>
      <c r="L199" s="16">
        <f>C_ecu</f>
        <v>0.0033</v>
      </c>
      <c r="M199" s="16">
        <f>0</f>
        <v>0</v>
      </c>
      <c r="N199" s="22">
        <f>IF(ABS(I199-J199)&lt;0.000000000001,0,(L199-M199)/(I199-J199))</f>
        <v>0.0000010382383273224289</v>
      </c>
      <c r="O199" s="16">
        <f>L199-N199*I199</f>
        <v>0.0024749999999999998</v>
      </c>
      <c r="P199" s="22">
        <f>N199*COS(RADIANS(F199))</f>
        <v>8.991407666438869e-7</v>
      </c>
      <c r="Q199" s="22">
        <f>N199*SIN(RADIANS(F199))</f>
        <v>-5.191191636612141e-7</v>
      </c>
      <c r="R199" s="11">
        <f>AP199</f>
        <v>15282.1090138309</v>
      </c>
      <c r="S199" s="11">
        <f>AQ199</f>
        <v>400.9560857995034</v>
      </c>
      <c r="T199" s="11">
        <f>AR199</f>
        <v>-327.74309153539605</v>
      </c>
      <c r="U199" s="11">
        <f>AS199</f>
        <v>2388.2366016523374</v>
      </c>
      <c r="V199" s="11">
        <f>AT199</f>
        <v>128.91465331233243</v>
      </c>
      <c r="W199" s="11">
        <f>AU199</f>
        <v>-105.08758674936223</v>
      </c>
      <c r="X199" s="11">
        <f>AM199</f>
        <v>17670.345615483235</v>
      </c>
      <c r="Y199" s="11">
        <f>AN199</f>
        <v>529.8707391118357</v>
      </c>
      <c r="Z199" s="11">
        <f>AO199</f>
        <v>-432.8306782847582</v>
      </c>
      <c r="AA199" s="7">
        <v>1</v>
      </c>
      <c r="AB199" s="7">
        <v>1</v>
      </c>
      <c r="AC199" s="7">
        <v>1</v>
      </c>
      <c r="AD199" s="11">
        <f>X199*AA199</f>
        <v>17670.345615483235</v>
      </c>
      <c r="AE199" s="11">
        <f>Y199*AB199</f>
        <v>529.8707391118357</v>
      </c>
      <c r="AF199" s="11">
        <f>Z199*AC199</f>
        <v>-432.8306782847582</v>
      </c>
      <c r="AG199" s="7">
        <v>17670.345615483235</v>
      </c>
      <c r="AH199" s="7">
        <v>529.8707391118357</v>
      </c>
      <c r="AI199" s="7">
        <v>-432.8306782847582</v>
      </c>
      <c r="AJ199" s="16">
        <f>AD199-AG199</f>
        <v>0</v>
      </c>
      <c r="AK199" s="16">
        <f>SQRT((AE199-AH199)^2+(AF199-AI199)^2)</f>
        <v>0</v>
      </c>
      <c r="AL199" s="7" t="s">
        <v>190</v>
      </c>
      <c r="AM199" s="7">
        <v>17670.345615483235</v>
      </c>
      <c r="AN199" s="7">
        <v>529.8707391118357</v>
      </c>
      <c r="AO199" s="7">
        <v>-432.8306782847582</v>
      </c>
      <c r="AP199" s="7">
        <v>15282.1090138309</v>
      </c>
      <c r="AQ199" s="7">
        <v>400.9560857995034</v>
      </c>
      <c r="AR199" s="7">
        <v>-327.74309153539605</v>
      </c>
      <c r="AS199" s="7">
        <v>2388.2366016523374</v>
      </c>
      <c r="AT199" s="7">
        <v>128.91465331233243</v>
      </c>
      <c r="AU199" s="7">
        <v>-105.08758674936223</v>
      </c>
    </row>
    <row r="200" spans="1:47" x14ac:dyDescent="0.25">
      <c r="A200" s="7" t="s">
        <v>580</v>
      </c>
      <c r="B200" s="7">
        <v>5</v>
      </c>
      <c r="C200" s="19">
        <v>330</v>
      </c>
      <c r="D200" s="7" t="s">
        <v>581</v>
      </c>
      <c r="E200" s="7" t="s">
        <v>203</v>
      </c>
      <c r="F200" s="20">
        <v>330</v>
      </c>
      <c r="G200" s="7" t="s">
        <v>194</v>
      </c>
      <c r="H200" s="21">
        <v>1.2</v>
      </c>
      <c r="I200" s="11">
        <f>MAX(('Geometry'!$G$13*COS(RADIANS(F200))+'Geometry'!$F$13*SIN(RADIANS(F200))),('Geometry'!$G$14*COS(RADIANS(F200))+'Geometry'!$F$14*SIN(RADIANS(F200))),('Geometry'!$G$15*COS(RADIANS(F200))+'Geometry'!$F$15*SIN(RADIANS(F200))),('Geometry'!$G$16*COS(RADIANS(F200))+'Geometry'!$F$16*SIN(RADIANS(F200))),('Geometry'!$G$17*COS(RADIANS(F200))+'Geometry'!$F$17*SIN(RADIANS(F200))),('Geometry'!$G$18*COS(RADIANS(F200))+'Geometry'!$F$18*SIN(RADIANS(F200))),('Geometry'!$G$19*COS(RADIANS(F200))+'Geometry'!$F$19*SIN(RADIANS(F200))),('Geometry'!$G$20*COS(RADIANS(F200))+'Geometry'!$F$20*SIN(RADIANS(F200))))</f>
        <v>794.6152422706632</v>
      </c>
      <c r="J200" s="11">
        <f>I200-H200*K200</f>
        <v>-1112.4613391789285</v>
      </c>
      <c r="K200" s="11">
        <f>I200-MIN(('Geometry'!$G$13*COS(RADIANS(F200))+'Geometry'!$F$13*SIN(RADIANS(F200))),('Geometry'!$G$14*COS(RADIANS(F200))+'Geometry'!$F$14*SIN(RADIANS(F200))),('Geometry'!$G$15*COS(RADIANS(F200))+'Geometry'!$F$15*SIN(RADIANS(F200))),('Geometry'!$G$16*COS(RADIANS(F200))+'Geometry'!$F$16*SIN(RADIANS(F200))),('Geometry'!$G$17*COS(RADIANS(F200))+'Geometry'!$F$17*SIN(RADIANS(F200))),('Geometry'!$G$18*COS(RADIANS(F200))+'Geometry'!$F$18*SIN(RADIANS(F200))),('Geometry'!$G$19*COS(RADIANS(F200))+'Geometry'!$F$19*SIN(RADIANS(F200))),('Geometry'!$G$20*COS(RADIANS(F200))+'Geometry'!$F$20*SIN(RADIANS(F200))))</f>
        <v>1589.2304845413264</v>
      </c>
      <c r="L200" s="16">
        <f>C_ecu</f>
        <v>0.0033</v>
      </c>
      <c r="M200" s="16">
        <f>0</f>
        <v>0</v>
      </c>
      <c r="N200" s="22">
        <f>IF(ABS(I200-J200)&lt;0.000000000001,0,(L200-M200)/(I200-J200))</f>
        <v>0.0000017303972122040482</v>
      </c>
      <c r="O200" s="16">
        <f>L200-N200*I200</f>
        <v>0.001925</v>
      </c>
      <c r="P200" s="22">
        <f>N200*COS(RADIANS(F200))</f>
        <v>0.000001498567944406478</v>
      </c>
      <c r="Q200" s="22">
        <f>N200*SIN(RADIANS(F200))</f>
        <v>-8.651986061020235e-7</v>
      </c>
      <c r="R200" s="11">
        <f>AP200</f>
        <v>15282.1090138309</v>
      </c>
      <c r="S200" s="11">
        <f>AQ200</f>
        <v>801.9121715990068</v>
      </c>
      <c r="T200" s="11">
        <f>AR200</f>
        <v>-655.4861830707921</v>
      </c>
      <c r="U200" s="11">
        <f>AS200</f>
        <v>2388.2366016523374</v>
      </c>
      <c r="V200" s="11">
        <f>AT200</f>
        <v>257.82930662466487</v>
      </c>
      <c r="W200" s="11">
        <f>AU200</f>
        <v>-210.17517349872446</v>
      </c>
      <c r="X200" s="11">
        <f>AM200</f>
        <v>17670.345615483235</v>
      </c>
      <c r="Y200" s="11">
        <f>AN200</f>
        <v>1059.7414782236715</v>
      </c>
      <c r="Z200" s="11">
        <f>AO200</f>
        <v>-865.6613565695164</v>
      </c>
      <c r="AA200" s="7">
        <v>1</v>
      </c>
      <c r="AB200" s="7">
        <v>1</v>
      </c>
      <c r="AC200" s="7">
        <v>1</v>
      </c>
      <c r="AD200" s="11">
        <f>X200*AA200</f>
        <v>17670.345615483235</v>
      </c>
      <c r="AE200" s="11">
        <f>Y200*AB200</f>
        <v>1059.7414782236715</v>
      </c>
      <c r="AF200" s="11">
        <f>Z200*AC200</f>
        <v>-865.6613565695164</v>
      </c>
      <c r="AG200" s="7">
        <v>17670.345615483235</v>
      </c>
      <c r="AH200" s="7">
        <v>1059.7414782236715</v>
      </c>
      <c r="AI200" s="7">
        <v>-865.6613565695164</v>
      </c>
      <c r="AJ200" s="16">
        <f>AD200-AG200</f>
        <v>0</v>
      </c>
      <c r="AK200" s="16">
        <f>SQRT((AE200-AH200)^2+(AF200-AI200)^2)</f>
        <v>0</v>
      </c>
      <c r="AL200" s="7" t="s">
        <v>190</v>
      </c>
      <c r="AM200" s="7">
        <v>17670.345615483235</v>
      </c>
      <c r="AN200" s="7">
        <v>1059.7414782236715</v>
      </c>
      <c r="AO200" s="7">
        <v>-865.6613565695164</v>
      </c>
      <c r="AP200" s="7">
        <v>15282.1090138309</v>
      </c>
      <c r="AQ200" s="7">
        <v>801.9121715990068</v>
      </c>
      <c r="AR200" s="7">
        <v>-655.4861830707921</v>
      </c>
      <c r="AS200" s="7">
        <v>2388.2366016523374</v>
      </c>
      <c r="AT200" s="7">
        <v>257.82930662466487</v>
      </c>
      <c r="AU200" s="7">
        <v>-210.17517349872446</v>
      </c>
    </row>
    <row r="201" spans="1:47" x14ac:dyDescent="0.25">
      <c r="A201" s="7" t="s">
        <v>582</v>
      </c>
      <c r="B201" s="7">
        <v>6</v>
      </c>
      <c r="C201" s="19">
        <v>330</v>
      </c>
      <c r="D201" s="7" t="s">
        <v>583</v>
      </c>
      <c r="E201" s="7" t="s">
        <v>206</v>
      </c>
      <c r="F201" s="20">
        <v>330</v>
      </c>
      <c r="G201" s="7" t="s">
        <v>194</v>
      </c>
      <c r="H201" s="21">
        <v>1.1000000000000003</v>
      </c>
      <c r="I201" s="11">
        <f>MAX(('Geometry'!$G$13*COS(RADIANS(F201))+'Geometry'!$F$13*SIN(RADIANS(F201))),('Geometry'!$G$14*COS(RADIANS(F201))+'Geometry'!$F$14*SIN(RADIANS(F201))),('Geometry'!$G$15*COS(RADIANS(F201))+'Geometry'!$F$15*SIN(RADIANS(F201))),('Geometry'!$G$16*COS(RADIANS(F201))+'Geometry'!$F$16*SIN(RADIANS(F201))),('Geometry'!$G$17*COS(RADIANS(F201))+'Geometry'!$F$17*SIN(RADIANS(F201))),('Geometry'!$G$18*COS(RADIANS(F201))+'Geometry'!$F$18*SIN(RADIANS(F201))),('Geometry'!$G$19*COS(RADIANS(F201))+'Geometry'!$F$19*SIN(RADIANS(F201))),('Geometry'!$G$20*COS(RADIANS(F201))+'Geometry'!$F$20*SIN(RADIANS(F201))))</f>
        <v>794.6152422706632</v>
      </c>
      <c r="J201" s="11">
        <f>I201-H201*K201</f>
        <v>-953.5382907247962</v>
      </c>
      <c r="K201" s="11">
        <f>I201-MIN(('Geometry'!$G$13*COS(RADIANS(F201))+'Geometry'!$F$13*SIN(RADIANS(F201))),('Geometry'!$G$14*COS(RADIANS(F201))+'Geometry'!$F$14*SIN(RADIANS(F201))),('Geometry'!$G$15*COS(RADIANS(F201))+'Geometry'!$F$15*SIN(RADIANS(F201))),('Geometry'!$G$16*COS(RADIANS(F201))+'Geometry'!$F$16*SIN(RADIANS(F201))),('Geometry'!$G$17*COS(RADIANS(F201))+'Geometry'!$F$17*SIN(RADIANS(F201))),('Geometry'!$G$18*COS(RADIANS(F201))+'Geometry'!$F$18*SIN(RADIANS(F201))),('Geometry'!$G$19*COS(RADIANS(F201))+'Geometry'!$F$19*SIN(RADIANS(F201))),('Geometry'!$G$20*COS(RADIANS(F201))+'Geometry'!$F$20*SIN(RADIANS(F201))))</f>
        <v>1589.2304845413264</v>
      </c>
      <c r="L201" s="16">
        <f>C_ecu</f>
        <v>0.0033</v>
      </c>
      <c r="M201" s="16">
        <f>0</f>
        <v>0</v>
      </c>
      <c r="N201" s="22">
        <f>IF(ABS(I201-J201)&lt;0.000000000001,0,(L201-M201)/(I201-J201))</f>
        <v>0.000001887706049677143</v>
      </c>
      <c r="O201" s="16">
        <f>L201-N201*I201</f>
        <v>0.0018000000000000002</v>
      </c>
      <c r="P201" s="22">
        <f>N201*COS(RADIANS(F201))</f>
        <v>0.000001634801393897976</v>
      </c>
      <c r="Q201" s="22">
        <f>N201*SIN(RADIANS(F201))</f>
        <v>-9.43853024838571e-7</v>
      </c>
      <c r="R201" s="11">
        <f>AP201</f>
        <v>15282.1090138309</v>
      </c>
      <c r="S201" s="11">
        <f>AQ201</f>
        <v>1002.3902144987584</v>
      </c>
      <c r="T201" s="11">
        <f>AR201</f>
        <v>-819.3577288384902</v>
      </c>
      <c r="U201" s="11">
        <f>AS201</f>
        <v>2388.2366016523374</v>
      </c>
      <c r="V201" s="11">
        <f>AT201</f>
        <v>322.28663328083104</v>
      </c>
      <c r="W201" s="11">
        <f>AU201</f>
        <v>-262.7189668734056</v>
      </c>
      <c r="X201" s="11">
        <f>AM201</f>
        <v>17670.345615483235</v>
      </c>
      <c r="Y201" s="11">
        <f>AN201</f>
        <v>1324.6768477795895</v>
      </c>
      <c r="Z201" s="11">
        <f>AO201</f>
        <v>-1082.0766957118954</v>
      </c>
      <c r="AA201" s="7">
        <v>1</v>
      </c>
      <c r="AB201" s="7">
        <v>1</v>
      </c>
      <c r="AC201" s="7">
        <v>1</v>
      </c>
      <c r="AD201" s="11">
        <f>X201*AA201</f>
        <v>17670.345615483235</v>
      </c>
      <c r="AE201" s="11">
        <f>Y201*AB201</f>
        <v>1324.6768477795895</v>
      </c>
      <c r="AF201" s="11">
        <f>Z201*AC201</f>
        <v>-1082.0766957118954</v>
      </c>
      <c r="AG201" s="7">
        <v>17670.345615483235</v>
      </c>
      <c r="AH201" s="7">
        <v>1324.6768477795895</v>
      </c>
      <c r="AI201" s="7">
        <v>-1082.0766957118954</v>
      </c>
      <c r="AJ201" s="16">
        <f>AD201-AG201</f>
        <v>0</v>
      </c>
      <c r="AK201" s="16">
        <f>SQRT((AE201-AH201)^2+(AF201-AI201)^2)</f>
        <v>0</v>
      </c>
      <c r="AL201" s="7" t="s">
        <v>190</v>
      </c>
      <c r="AM201" s="7">
        <v>17670.345615483235</v>
      </c>
      <c r="AN201" s="7">
        <v>1324.6768477795895</v>
      </c>
      <c r="AO201" s="7">
        <v>-1082.0766957118954</v>
      </c>
      <c r="AP201" s="7">
        <v>15282.1090138309</v>
      </c>
      <c r="AQ201" s="7">
        <v>1002.3902144987584</v>
      </c>
      <c r="AR201" s="7">
        <v>-819.3577288384902</v>
      </c>
      <c r="AS201" s="7">
        <v>2388.2366016523374</v>
      </c>
      <c r="AT201" s="7">
        <v>322.28663328083104</v>
      </c>
      <c r="AU201" s="7">
        <v>-262.7189668734056</v>
      </c>
    </row>
    <row r="202" spans="1:47" x14ac:dyDescent="0.25">
      <c r="A202" s="7" t="s">
        <v>584</v>
      </c>
      <c r="B202" s="7">
        <v>1</v>
      </c>
      <c r="C202" s="19">
        <v>340</v>
      </c>
      <c r="D202" s="7" t="s">
        <v>585</v>
      </c>
      <c r="E202" s="7" t="s">
        <v>193</v>
      </c>
      <c r="F202" s="20">
        <v>340</v>
      </c>
      <c r="G202" s="7" t="s">
        <v>194</v>
      </c>
      <c r="H202" s="21">
        <v>3.0000000000000004</v>
      </c>
      <c r="I202" s="11">
        <f>MAX(('Geometry'!$G$13*COS(RADIANS(F202))+'Geometry'!$F$13*SIN(RADIANS(F202))),('Geometry'!$G$14*COS(RADIANS(F202))+'Geometry'!$F$14*SIN(RADIANS(F202))),('Geometry'!$G$15*COS(RADIANS(F202))+'Geometry'!$F$15*SIN(RADIANS(F202))),('Geometry'!$G$16*COS(RADIANS(F202))+'Geometry'!$F$16*SIN(RADIANS(F202))),('Geometry'!$G$17*COS(RADIANS(F202))+'Geometry'!$F$17*SIN(RADIANS(F202))),('Geometry'!$G$18*COS(RADIANS(F202))+'Geometry'!$F$18*SIN(RADIANS(F202))),('Geometry'!$G$19*COS(RADIANS(F202))+'Geometry'!$F$19*SIN(RADIANS(F202))),('Geometry'!$G$20*COS(RADIANS(F202))+'Geometry'!$F$20*SIN(RADIANS(F202))))</f>
        <v>751.9266513006628</v>
      </c>
      <c r="J202" s="11">
        <f>I202-H202*K202</f>
        <v>-3759.6332565033144</v>
      </c>
      <c r="K202" s="11">
        <f>I202-MIN(('Geometry'!$G$13*COS(RADIANS(F202))+'Geometry'!$F$13*SIN(RADIANS(F202))),('Geometry'!$G$14*COS(RADIANS(F202))+'Geometry'!$F$14*SIN(RADIANS(F202))),('Geometry'!$G$15*COS(RADIANS(F202))+'Geometry'!$F$15*SIN(RADIANS(F202))),('Geometry'!$G$16*COS(RADIANS(F202))+'Geometry'!$F$16*SIN(RADIANS(F202))),('Geometry'!$G$17*COS(RADIANS(F202))+'Geometry'!$F$17*SIN(RADIANS(F202))),('Geometry'!$G$18*COS(RADIANS(F202))+'Geometry'!$F$18*SIN(RADIANS(F202))),('Geometry'!$G$19*COS(RADIANS(F202))+'Geometry'!$F$19*SIN(RADIANS(F202))),('Geometry'!$G$20*COS(RADIANS(F202))+'Geometry'!$F$20*SIN(RADIANS(F202))))</f>
        <v>1503.8533026013256</v>
      </c>
      <c r="L202" s="16">
        <f>C_ecu</f>
        <v>0.0033</v>
      </c>
      <c r="M202" s="16">
        <f>0</f>
        <v>0</v>
      </c>
      <c r="N202" s="22">
        <f>IF(ABS(I202-J202)&lt;0.000000000001,0,(L202-M202)/(I202-J202))</f>
        <v>7.314543234351708e-7</v>
      </c>
      <c r="O202" s="16">
        <f>L202-N202*I202</f>
        <v>0.00275</v>
      </c>
      <c r="P202" s="22">
        <f>N202*COS(RADIANS(F202))</f>
        <v>6.873422301739792e-7</v>
      </c>
      <c r="Q202" s="22">
        <f>N202*SIN(RADIANS(F202))</f>
        <v>-2.5017211253747714e-7</v>
      </c>
      <c r="R202" s="11">
        <f>AP202</f>
        <v>15275.59368924359</v>
      </c>
      <c r="S202" s="11">
        <f>AQ202</f>
        <v>223.94092543046605</v>
      </c>
      <c r="T202" s="11">
        <f>AR202</f>
        <v>-120.08040430138499</v>
      </c>
      <c r="U202" s="11">
        <f>AS202</f>
        <v>2394.7519262396463</v>
      </c>
      <c r="V202" s="11">
        <f>AT202</f>
        <v>72.67201938101255</v>
      </c>
      <c r="W202" s="11">
        <f>AU202</f>
        <v>-38.14040915023108</v>
      </c>
      <c r="X202" s="11">
        <f>AM202</f>
        <v>17670.345615483235</v>
      </c>
      <c r="Y202" s="11">
        <f>AN202</f>
        <v>296.61294481147854</v>
      </c>
      <c r="Z202" s="11">
        <f>AO202</f>
        <v>-158.22081345161604</v>
      </c>
      <c r="AA202" s="7">
        <v>1</v>
      </c>
      <c r="AB202" s="7">
        <v>1</v>
      </c>
      <c r="AC202" s="7">
        <v>1</v>
      </c>
      <c r="AD202" s="11">
        <f>X202*AA202</f>
        <v>17670.345615483235</v>
      </c>
      <c r="AE202" s="11">
        <f>Y202*AB202</f>
        <v>296.61294481147854</v>
      </c>
      <c r="AF202" s="11">
        <f>Z202*AC202</f>
        <v>-158.22081345161604</v>
      </c>
      <c r="AG202" s="7">
        <v>17670.345615483235</v>
      </c>
      <c r="AH202" s="7">
        <v>296.61294481147854</v>
      </c>
      <c r="AI202" s="7">
        <v>-158.22081345161604</v>
      </c>
      <c r="AJ202" s="16">
        <f>AD202-AG202</f>
        <v>0</v>
      </c>
      <c r="AK202" s="16">
        <f>SQRT((AE202-AH202)^2+(AF202-AI202)^2)</f>
        <v>0</v>
      </c>
      <c r="AL202" s="7" t="s">
        <v>190</v>
      </c>
      <c r="AM202" s="7">
        <v>17670.345615483235</v>
      </c>
      <c r="AN202" s="7">
        <v>296.61294481147854</v>
      </c>
      <c r="AO202" s="7">
        <v>-158.22081345161604</v>
      </c>
      <c r="AP202" s="7">
        <v>15275.59368924359</v>
      </c>
      <c r="AQ202" s="7">
        <v>223.94092543046605</v>
      </c>
      <c r="AR202" s="7">
        <v>-120.08040430138499</v>
      </c>
      <c r="AS202" s="7">
        <v>2394.7519262396463</v>
      </c>
      <c r="AT202" s="7">
        <v>72.67201938101255</v>
      </c>
      <c r="AU202" s="7">
        <v>-38.14040915023108</v>
      </c>
    </row>
    <row r="203" spans="1:47" x14ac:dyDescent="0.25">
      <c r="A203" s="7" t="s">
        <v>586</v>
      </c>
      <c r="B203" s="7">
        <v>2</v>
      </c>
      <c r="C203" s="19">
        <v>340</v>
      </c>
      <c r="D203" s="7" t="s">
        <v>587</v>
      </c>
      <c r="E203" s="7" t="s">
        <v>197</v>
      </c>
      <c r="F203" s="20">
        <v>340</v>
      </c>
      <c r="G203" s="7" t="s">
        <v>194</v>
      </c>
      <c r="H203" s="21">
        <v>2</v>
      </c>
      <c r="I203" s="11">
        <f>MAX(('Geometry'!$G$13*COS(RADIANS(F203))+'Geometry'!$F$13*SIN(RADIANS(F203))),('Geometry'!$G$14*COS(RADIANS(F203))+'Geometry'!$F$14*SIN(RADIANS(F203))),('Geometry'!$G$15*COS(RADIANS(F203))+'Geometry'!$F$15*SIN(RADIANS(F203))),('Geometry'!$G$16*COS(RADIANS(F203))+'Geometry'!$F$16*SIN(RADIANS(F203))),('Geometry'!$G$17*COS(RADIANS(F203))+'Geometry'!$F$17*SIN(RADIANS(F203))),('Geometry'!$G$18*COS(RADIANS(F203))+'Geometry'!$F$18*SIN(RADIANS(F203))),('Geometry'!$G$19*COS(RADIANS(F203))+'Geometry'!$F$19*SIN(RADIANS(F203))),('Geometry'!$G$20*COS(RADIANS(F203))+'Geometry'!$F$20*SIN(RADIANS(F203))))</f>
        <v>751.9266513006628</v>
      </c>
      <c r="J203" s="11">
        <f>I203-H203*K203</f>
        <v>-2255.7799539019884</v>
      </c>
      <c r="K203" s="11">
        <f>I203-MIN(('Geometry'!$G$13*COS(RADIANS(F203))+'Geometry'!$F$13*SIN(RADIANS(F203))),('Geometry'!$G$14*COS(RADIANS(F203))+'Geometry'!$F$14*SIN(RADIANS(F203))),('Geometry'!$G$15*COS(RADIANS(F203))+'Geometry'!$F$15*SIN(RADIANS(F203))),('Geometry'!$G$16*COS(RADIANS(F203))+'Geometry'!$F$16*SIN(RADIANS(F203))),('Geometry'!$G$17*COS(RADIANS(F203))+'Geometry'!$F$17*SIN(RADIANS(F203))),('Geometry'!$G$18*COS(RADIANS(F203))+'Geometry'!$F$18*SIN(RADIANS(F203))),('Geometry'!$G$19*COS(RADIANS(F203))+'Geometry'!$F$19*SIN(RADIANS(F203))),('Geometry'!$G$20*COS(RADIANS(F203))+'Geometry'!$F$20*SIN(RADIANS(F203))))</f>
        <v>1503.8533026013256</v>
      </c>
      <c r="L203" s="16">
        <f>C_ecu</f>
        <v>0.0033</v>
      </c>
      <c r="M203" s="16">
        <f>0</f>
        <v>0</v>
      </c>
      <c r="N203" s="22">
        <f>IF(ABS(I203-J203)&lt;0.000000000001,0,(L203-M203)/(I203-J203))</f>
        <v>0.0000010971814851527564</v>
      </c>
      <c r="O203" s="16">
        <f>L203-N203*I203</f>
        <v>0.0024749999999999998</v>
      </c>
      <c r="P203" s="22">
        <f>N203*COS(RADIANS(F203))</f>
        <v>0.000001031013345260969</v>
      </c>
      <c r="Q203" s="22">
        <f>N203*SIN(RADIANS(F203))</f>
        <v>-3.7525816880621566e-7</v>
      </c>
      <c r="R203" s="11">
        <f>AP203</f>
        <v>15275.59368924359</v>
      </c>
      <c r="S203" s="11">
        <f>AQ203</f>
        <v>447.8818508609321</v>
      </c>
      <c r="T203" s="11">
        <f>AR203</f>
        <v>-240.16080860276998</v>
      </c>
      <c r="U203" s="11">
        <f>AS203</f>
        <v>2394.7519262396463</v>
      </c>
      <c r="V203" s="11">
        <f>AT203</f>
        <v>145.3440387620251</v>
      </c>
      <c r="W203" s="11">
        <f>AU203</f>
        <v>-76.28081830046216</v>
      </c>
      <c r="X203" s="11">
        <f>AM203</f>
        <v>17670.345615483235</v>
      </c>
      <c r="Y203" s="11">
        <f>AN203</f>
        <v>593.2258896229571</v>
      </c>
      <c r="Z203" s="11">
        <f>AO203</f>
        <v>-316.4416269032321</v>
      </c>
      <c r="AA203" s="7">
        <v>1</v>
      </c>
      <c r="AB203" s="7">
        <v>1</v>
      </c>
      <c r="AC203" s="7">
        <v>1</v>
      </c>
      <c r="AD203" s="11">
        <f>X203*AA203</f>
        <v>17670.345615483235</v>
      </c>
      <c r="AE203" s="11">
        <f>Y203*AB203</f>
        <v>593.2258896229571</v>
      </c>
      <c r="AF203" s="11">
        <f>Z203*AC203</f>
        <v>-316.4416269032321</v>
      </c>
      <c r="AG203" s="7">
        <v>17670.345615483235</v>
      </c>
      <c r="AH203" s="7">
        <v>593.2258896229571</v>
      </c>
      <c r="AI203" s="7">
        <v>-316.4416269032321</v>
      </c>
      <c r="AJ203" s="16">
        <f>AD203-AG203</f>
        <v>0</v>
      </c>
      <c r="AK203" s="16">
        <f>SQRT((AE203-AH203)^2+(AF203-AI203)^2)</f>
        <v>0</v>
      </c>
      <c r="AL203" s="7" t="s">
        <v>190</v>
      </c>
      <c r="AM203" s="7">
        <v>17670.345615483235</v>
      </c>
      <c r="AN203" s="7">
        <v>593.2258896229571</v>
      </c>
      <c r="AO203" s="7">
        <v>-316.4416269032321</v>
      </c>
      <c r="AP203" s="7">
        <v>15275.59368924359</v>
      </c>
      <c r="AQ203" s="7">
        <v>447.8818508609321</v>
      </c>
      <c r="AR203" s="7">
        <v>-240.16080860276998</v>
      </c>
      <c r="AS203" s="7">
        <v>2394.7519262396463</v>
      </c>
      <c r="AT203" s="7">
        <v>145.3440387620251</v>
      </c>
      <c r="AU203" s="7">
        <v>-76.28081830046216</v>
      </c>
    </row>
    <row r="204" spans="1:47" x14ac:dyDescent="0.25">
      <c r="A204" s="7" t="s">
        <v>588</v>
      </c>
      <c r="B204" s="7">
        <v>3</v>
      </c>
      <c r="C204" s="19">
        <v>340</v>
      </c>
      <c r="D204" s="7" t="s">
        <v>589</v>
      </c>
      <c r="E204" s="7" t="s">
        <v>200</v>
      </c>
      <c r="F204" s="20">
        <v>340</v>
      </c>
      <c r="G204" s="7" t="s">
        <v>194</v>
      </c>
      <c r="H204" s="21">
        <v>1.5</v>
      </c>
      <c r="I204" s="11">
        <f>MAX(('Geometry'!$G$13*COS(RADIANS(F204))+'Geometry'!$F$13*SIN(RADIANS(F204))),('Geometry'!$G$14*COS(RADIANS(F204))+'Geometry'!$F$14*SIN(RADIANS(F204))),('Geometry'!$G$15*COS(RADIANS(F204))+'Geometry'!$F$15*SIN(RADIANS(F204))),('Geometry'!$G$16*COS(RADIANS(F204))+'Geometry'!$F$16*SIN(RADIANS(F204))),('Geometry'!$G$17*COS(RADIANS(F204))+'Geometry'!$F$17*SIN(RADIANS(F204))),('Geometry'!$G$18*COS(RADIANS(F204))+'Geometry'!$F$18*SIN(RADIANS(F204))),('Geometry'!$G$19*COS(RADIANS(F204))+'Geometry'!$F$19*SIN(RADIANS(F204))),('Geometry'!$G$20*COS(RADIANS(F204))+'Geometry'!$F$20*SIN(RADIANS(F204))))</f>
        <v>751.9266513006628</v>
      </c>
      <c r="J204" s="11">
        <f>I204-H204*K204</f>
        <v>-1503.8533026013256</v>
      </c>
      <c r="K204" s="11">
        <f>I204-MIN(('Geometry'!$G$13*COS(RADIANS(F204))+'Geometry'!$F$13*SIN(RADIANS(F204))),('Geometry'!$G$14*COS(RADIANS(F204))+'Geometry'!$F$14*SIN(RADIANS(F204))),('Geometry'!$G$15*COS(RADIANS(F204))+'Geometry'!$F$15*SIN(RADIANS(F204))),('Geometry'!$G$16*COS(RADIANS(F204))+'Geometry'!$F$16*SIN(RADIANS(F204))),('Geometry'!$G$17*COS(RADIANS(F204))+'Geometry'!$F$17*SIN(RADIANS(F204))),('Geometry'!$G$18*COS(RADIANS(F204))+'Geometry'!$F$18*SIN(RADIANS(F204))),('Geometry'!$G$19*COS(RADIANS(F204))+'Geometry'!$F$19*SIN(RADIANS(F204))),('Geometry'!$G$20*COS(RADIANS(F204))+'Geometry'!$F$20*SIN(RADIANS(F204))))</f>
        <v>1503.8533026013256</v>
      </c>
      <c r="L204" s="16">
        <f>C_ecu</f>
        <v>0.0032999999999999995</v>
      </c>
      <c r="M204" s="16">
        <f>0</f>
        <v>0</v>
      </c>
      <c r="N204" s="22">
        <f>IF(ABS(I204-J204)&lt;0.000000000001,0,(L204-M204)/(I204-J204))</f>
        <v>0.0000014629086468703416</v>
      </c>
      <c r="O204" s="16">
        <f>L204-N204*I204</f>
        <v>0.0021999999999999997</v>
      </c>
      <c r="P204" s="22">
        <f>N204*COS(RADIANS(F204))</f>
        <v>0.0000013746844603479585</v>
      </c>
      <c r="Q204" s="22">
        <f>N204*SIN(RADIANS(F204))</f>
        <v>-5.003442250749543e-7</v>
      </c>
      <c r="R204" s="11">
        <f>AP204</f>
        <v>15275.59368924359</v>
      </c>
      <c r="S204" s="11">
        <f>AQ204</f>
        <v>671.8227762913982</v>
      </c>
      <c r="T204" s="11">
        <f>AR204</f>
        <v>-360.24121290415496</v>
      </c>
      <c r="U204" s="11">
        <f>AS204</f>
        <v>2394.7519262396463</v>
      </c>
      <c r="V204" s="11">
        <f>AT204</f>
        <v>218.0160581430376</v>
      </c>
      <c r="W204" s="11">
        <f>AU204</f>
        <v>-114.42122745069324</v>
      </c>
      <c r="X204" s="11">
        <f>AM204</f>
        <v>17670.345615483235</v>
      </c>
      <c r="Y204" s="11">
        <f>AN204</f>
        <v>889.8388344344357</v>
      </c>
      <c r="Z204" s="11">
        <f>AO204</f>
        <v>-474.6624403548482</v>
      </c>
      <c r="AA204" s="7">
        <v>1</v>
      </c>
      <c r="AB204" s="7">
        <v>1</v>
      </c>
      <c r="AC204" s="7">
        <v>1</v>
      </c>
      <c r="AD204" s="11">
        <f>X204*AA204</f>
        <v>17670.345615483235</v>
      </c>
      <c r="AE204" s="11">
        <f>Y204*AB204</f>
        <v>889.8388344344357</v>
      </c>
      <c r="AF204" s="11">
        <f>Z204*AC204</f>
        <v>-474.6624403548482</v>
      </c>
      <c r="AG204" s="7">
        <v>17670.345615483235</v>
      </c>
      <c r="AH204" s="7">
        <v>889.8388344344357</v>
      </c>
      <c r="AI204" s="7">
        <v>-474.6624403548482</v>
      </c>
      <c r="AJ204" s="16">
        <f>AD204-AG204</f>
        <v>0</v>
      </c>
      <c r="AK204" s="16">
        <f>SQRT((AE204-AH204)^2+(AF204-AI204)^2)</f>
        <v>0</v>
      </c>
      <c r="AL204" s="7" t="s">
        <v>190</v>
      </c>
      <c r="AM204" s="7">
        <v>17670.345615483235</v>
      </c>
      <c r="AN204" s="7">
        <v>889.8388344344357</v>
      </c>
      <c r="AO204" s="7">
        <v>-474.6624403548482</v>
      </c>
      <c r="AP204" s="7">
        <v>15275.59368924359</v>
      </c>
      <c r="AQ204" s="7">
        <v>671.8227762913982</v>
      </c>
      <c r="AR204" s="7">
        <v>-360.24121290415496</v>
      </c>
      <c r="AS204" s="7">
        <v>2394.7519262396463</v>
      </c>
      <c r="AT204" s="7">
        <v>218.0160581430376</v>
      </c>
      <c r="AU204" s="7">
        <v>-114.42122745069324</v>
      </c>
    </row>
    <row r="205" spans="1:47" x14ac:dyDescent="0.25">
      <c r="A205" s="7" t="s">
        <v>590</v>
      </c>
      <c r="B205" s="7">
        <v>4</v>
      </c>
      <c r="C205" s="19">
        <v>340</v>
      </c>
      <c r="D205" s="7" t="s">
        <v>591</v>
      </c>
      <c r="E205" s="7" t="s">
        <v>203</v>
      </c>
      <c r="F205" s="20">
        <v>340</v>
      </c>
      <c r="G205" s="7" t="s">
        <v>194</v>
      </c>
      <c r="H205" s="21">
        <v>1.2</v>
      </c>
      <c r="I205" s="11">
        <f>MAX(('Geometry'!$G$13*COS(RADIANS(F205))+'Geometry'!$F$13*SIN(RADIANS(F205))),('Geometry'!$G$14*COS(RADIANS(F205))+'Geometry'!$F$14*SIN(RADIANS(F205))),('Geometry'!$G$15*COS(RADIANS(F205))+'Geometry'!$F$15*SIN(RADIANS(F205))),('Geometry'!$G$16*COS(RADIANS(F205))+'Geometry'!$F$16*SIN(RADIANS(F205))),('Geometry'!$G$17*COS(RADIANS(F205))+'Geometry'!$F$17*SIN(RADIANS(F205))),('Geometry'!$G$18*COS(RADIANS(F205))+'Geometry'!$F$18*SIN(RADIANS(F205))),('Geometry'!$G$19*COS(RADIANS(F205))+'Geometry'!$F$19*SIN(RADIANS(F205))),('Geometry'!$G$20*COS(RADIANS(F205))+'Geometry'!$F$20*SIN(RADIANS(F205))))</f>
        <v>751.9266513006628</v>
      </c>
      <c r="J205" s="11">
        <f>I205-H205*K205</f>
        <v>-1052.6973118209278</v>
      </c>
      <c r="K205" s="11">
        <f>I205-MIN(('Geometry'!$G$13*COS(RADIANS(F205))+'Geometry'!$F$13*SIN(RADIANS(F205))),('Geometry'!$G$14*COS(RADIANS(F205))+'Geometry'!$F$14*SIN(RADIANS(F205))),('Geometry'!$G$15*COS(RADIANS(F205))+'Geometry'!$F$15*SIN(RADIANS(F205))),('Geometry'!$G$16*COS(RADIANS(F205))+'Geometry'!$F$16*SIN(RADIANS(F205))),('Geometry'!$G$17*COS(RADIANS(F205))+'Geometry'!$F$17*SIN(RADIANS(F205))),('Geometry'!$G$18*COS(RADIANS(F205))+'Geometry'!$F$18*SIN(RADIANS(F205))),('Geometry'!$G$19*COS(RADIANS(F205))+'Geometry'!$F$19*SIN(RADIANS(F205))),('Geometry'!$G$20*COS(RADIANS(F205))+'Geometry'!$F$20*SIN(RADIANS(F205))))</f>
        <v>1503.8533026013256</v>
      </c>
      <c r="L205" s="16">
        <f>C_ecu</f>
        <v>0.0033</v>
      </c>
      <c r="M205" s="16">
        <f>0</f>
        <v>0</v>
      </c>
      <c r="N205" s="22">
        <f>IF(ABS(I205-J205)&lt;0.000000000001,0,(L205-M205)/(I205-J205))</f>
        <v>0.0000018286358085879275</v>
      </c>
      <c r="O205" s="16">
        <f>L205-N205*I205</f>
        <v>0.0019249999999999998</v>
      </c>
      <c r="P205" s="22">
        <f>N205*COS(RADIANS(F205))</f>
        <v>0.0000017183555754349485</v>
      </c>
      <c r="Q205" s="22">
        <f>N205*SIN(RADIANS(F205))</f>
        <v>-6.254302813436929e-7</v>
      </c>
      <c r="R205" s="11">
        <f>AP205</f>
        <v>15275.59368924359</v>
      </c>
      <c r="S205" s="11">
        <f>AQ205</f>
        <v>895.7637017218642</v>
      </c>
      <c r="T205" s="11">
        <f>AR205</f>
        <v>-480.32161720553995</v>
      </c>
      <c r="U205" s="11">
        <f>AS205</f>
        <v>2394.7519262396463</v>
      </c>
      <c r="V205" s="11">
        <f>AT205</f>
        <v>290.6880775240502</v>
      </c>
      <c r="W205" s="11">
        <f>AU205</f>
        <v>-152.56163660092432</v>
      </c>
      <c r="X205" s="11">
        <f>AM205</f>
        <v>17670.345615483235</v>
      </c>
      <c r="Y205" s="11">
        <f>AN205</f>
        <v>1186.4517792459142</v>
      </c>
      <c r="Z205" s="11">
        <f>AO205</f>
        <v>-632.8832538064642</v>
      </c>
      <c r="AA205" s="7">
        <v>1</v>
      </c>
      <c r="AB205" s="7">
        <v>1</v>
      </c>
      <c r="AC205" s="7">
        <v>1</v>
      </c>
      <c r="AD205" s="11">
        <f>X205*AA205</f>
        <v>17670.345615483235</v>
      </c>
      <c r="AE205" s="11">
        <f>Y205*AB205</f>
        <v>1186.4517792459142</v>
      </c>
      <c r="AF205" s="11">
        <f>Z205*AC205</f>
        <v>-632.8832538064642</v>
      </c>
      <c r="AG205" s="7">
        <v>17670.345615483235</v>
      </c>
      <c r="AH205" s="7">
        <v>1186.4517792459142</v>
      </c>
      <c r="AI205" s="7">
        <v>-632.8832538064642</v>
      </c>
      <c r="AJ205" s="16">
        <f>AD205-AG205</f>
        <v>0</v>
      </c>
      <c r="AK205" s="16">
        <f>SQRT((AE205-AH205)^2+(AF205-AI205)^2)</f>
        <v>0</v>
      </c>
      <c r="AL205" s="7" t="s">
        <v>190</v>
      </c>
      <c r="AM205" s="7">
        <v>17670.345615483235</v>
      </c>
      <c r="AN205" s="7">
        <v>1186.4517792459142</v>
      </c>
      <c r="AO205" s="7">
        <v>-632.8832538064642</v>
      </c>
      <c r="AP205" s="7">
        <v>15275.59368924359</v>
      </c>
      <c r="AQ205" s="7">
        <v>895.7637017218642</v>
      </c>
      <c r="AR205" s="7">
        <v>-480.32161720553995</v>
      </c>
      <c r="AS205" s="7">
        <v>2394.7519262396463</v>
      </c>
      <c r="AT205" s="7">
        <v>290.6880775240502</v>
      </c>
      <c r="AU205" s="7">
        <v>-152.56163660092432</v>
      </c>
    </row>
    <row r="206" spans="1:47" x14ac:dyDescent="0.25">
      <c r="A206" s="7" t="s">
        <v>592</v>
      </c>
      <c r="B206" s="7">
        <v>5</v>
      </c>
      <c r="C206" s="19">
        <v>340</v>
      </c>
      <c r="D206" s="7" t="s">
        <v>593</v>
      </c>
      <c r="E206" s="7" t="s">
        <v>206</v>
      </c>
      <c r="F206" s="20">
        <v>340</v>
      </c>
      <c r="G206" s="7" t="s">
        <v>194</v>
      </c>
      <c r="H206" s="21">
        <v>1.1</v>
      </c>
      <c r="I206" s="11">
        <f>MAX(('Geometry'!$G$13*COS(RADIANS(F206))+'Geometry'!$F$13*SIN(RADIANS(F206))),('Geometry'!$G$14*COS(RADIANS(F206))+'Geometry'!$F$14*SIN(RADIANS(F206))),('Geometry'!$G$15*COS(RADIANS(F206))+'Geometry'!$F$15*SIN(RADIANS(F206))),('Geometry'!$G$16*COS(RADIANS(F206))+'Geometry'!$F$16*SIN(RADIANS(F206))),('Geometry'!$G$17*COS(RADIANS(F206))+'Geometry'!$F$17*SIN(RADIANS(F206))),('Geometry'!$G$18*COS(RADIANS(F206))+'Geometry'!$F$18*SIN(RADIANS(F206))),('Geometry'!$G$19*COS(RADIANS(F206))+'Geometry'!$F$19*SIN(RADIANS(F206))),('Geometry'!$G$20*COS(RADIANS(F206))+'Geometry'!$F$20*SIN(RADIANS(F206))))</f>
        <v>751.9266513006628</v>
      </c>
      <c r="J206" s="11">
        <f>I206-H206*K206</f>
        <v>-902.3119815607955</v>
      </c>
      <c r="K206" s="11">
        <f>I206-MIN(('Geometry'!$G$13*COS(RADIANS(F206))+'Geometry'!$F$13*SIN(RADIANS(F206))),('Geometry'!$G$14*COS(RADIANS(F206))+'Geometry'!$F$14*SIN(RADIANS(F206))),('Geometry'!$G$15*COS(RADIANS(F206))+'Geometry'!$F$15*SIN(RADIANS(F206))),('Geometry'!$G$16*COS(RADIANS(F206))+'Geometry'!$F$16*SIN(RADIANS(F206))),('Geometry'!$G$17*COS(RADIANS(F206))+'Geometry'!$F$17*SIN(RADIANS(F206))),('Geometry'!$G$18*COS(RADIANS(F206))+'Geometry'!$F$18*SIN(RADIANS(F206))),('Geometry'!$G$19*COS(RADIANS(F206))+'Geometry'!$F$19*SIN(RADIANS(F206))),('Geometry'!$G$20*COS(RADIANS(F206))+'Geometry'!$F$20*SIN(RADIANS(F206))))</f>
        <v>1503.8533026013256</v>
      </c>
      <c r="L206" s="16">
        <f>C_ecu</f>
        <v>0.0033</v>
      </c>
      <c r="M206" s="16">
        <f>0</f>
        <v>0</v>
      </c>
      <c r="N206" s="22">
        <f>IF(ABS(I206-J206)&lt;0.000000000001,0,(L206-M206)/(I206-J206))</f>
        <v>0.000001994875427550466</v>
      </c>
      <c r="O206" s="16">
        <f>L206-N206*I206</f>
        <v>0.0018000000000000002</v>
      </c>
      <c r="P206" s="22">
        <f>N206*COS(RADIANS(F206))</f>
        <v>0.000001874569718656307</v>
      </c>
      <c r="Q206" s="22">
        <f>N206*SIN(RADIANS(F206))</f>
        <v>-6.822875796476649e-7</v>
      </c>
      <c r="R206" s="11">
        <f>AP206</f>
        <v>15275.59368924359</v>
      </c>
      <c r="S206" s="11">
        <f>AQ206</f>
        <v>1119.7046271523304</v>
      </c>
      <c r="T206" s="11">
        <f>AR206</f>
        <v>-600.4020215069249</v>
      </c>
      <c r="U206" s="11">
        <f>AS206</f>
        <v>2394.7519262396463</v>
      </c>
      <c r="V206" s="11">
        <f>AT206</f>
        <v>363.3600969050627</v>
      </c>
      <c r="W206" s="11">
        <f>AU206</f>
        <v>-190.70204575115537</v>
      </c>
      <c r="X206" s="11">
        <f>AM206</f>
        <v>17670.345615483235</v>
      </c>
      <c r="Y206" s="11">
        <f>AN206</f>
        <v>1483.0647240573928</v>
      </c>
      <c r="Z206" s="11">
        <f>AO206</f>
        <v>-791.1040672580802</v>
      </c>
      <c r="AA206" s="7">
        <v>1</v>
      </c>
      <c r="AB206" s="7">
        <v>1</v>
      </c>
      <c r="AC206" s="7">
        <v>1</v>
      </c>
      <c r="AD206" s="11">
        <f>X206*AA206</f>
        <v>17670.345615483235</v>
      </c>
      <c r="AE206" s="11">
        <f>Y206*AB206</f>
        <v>1483.0647240573928</v>
      </c>
      <c r="AF206" s="11">
        <f>Z206*AC206</f>
        <v>-791.1040672580802</v>
      </c>
      <c r="AG206" s="7">
        <v>17670.345615483235</v>
      </c>
      <c r="AH206" s="7">
        <v>1483.0647240573928</v>
      </c>
      <c r="AI206" s="7">
        <v>-791.1040672580802</v>
      </c>
      <c r="AJ206" s="16">
        <f>AD206-AG206</f>
        <v>0</v>
      </c>
      <c r="AK206" s="16">
        <f>SQRT((AE206-AH206)^2+(AF206-AI206)^2)</f>
        <v>0</v>
      </c>
      <c r="AL206" s="7" t="s">
        <v>190</v>
      </c>
      <c r="AM206" s="7">
        <v>17670.345615483235</v>
      </c>
      <c r="AN206" s="7">
        <v>1483.0647240573928</v>
      </c>
      <c r="AO206" s="7">
        <v>-791.1040672580802</v>
      </c>
      <c r="AP206" s="7">
        <v>15275.59368924359</v>
      </c>
      <c r="AQ206" s="7">
        <v>1119.7046271523304</v>
      </c>
      <c r="AR206" s="7">
        <v>-600.4020215069249</v>
      </c>
      <c r="AS206" s="7">
        <v>2394.7519262396463</v>
      </c>
      <c r="AT206" s="7">
        <v>363.3600969050627</v>
      </c>
      <c r="AU206" s="7">
        <v>-190.70204575115537</v>
      </c>
    </row>
    <row r="207" spans="1:47" x14ac:dyDescent="0.25">
      <c r="A207" s="7" t="s">
        <v>594</v>
      </c>
      <c r="B207" s="7">
        <v>6</v>
      </c>
      <c r="C207" s="19">
        <v>340</v>
      </c>
      <c r="D207" s="7" t="s">
        <v>595</v>
      </c>
      <c r="E207" s="7" t="s">
        <v>229</v>
      </c>
      <c r="F207" s="20">
        <v>340</v>
      </c>
      <c r="G207" s="7" t="s">
        <v>194</v>
      </c>
      <c r="H207" s="21">
        <v>1</v>
      </c>
      <c r="I207" s="11">
        <f>MAX(('Geometry'!$G$13*COS(RADIANS(F207))+'Geometry'!$F$13*SIN(RADIANS(F207))),('Geometry'!$G$14*COS(RADIANS(F207))+'Geometry'!$F$14*SIN(RADIANS(F207))),('Geometry'!$G$15*COS(RADIANS(F207))+'Geometry'!$F$15*SIN(RADIANS(F207))),('Geometry'!$G$16*COS(RADIANS(F207))+'Geometry'!$F$16*SIN(RADIANS(F207))),('Geometry'!$G$17*COS(RADIANS(F207))+'Geometry'!$F$17*SIN(RADIANS(F207))),('Geometry'!$G$18*COS(RADIANS(F207))+'Geometry'!$F$18*SIN(RADIANS(F207))),('Geometry'!$G$19*COS(RADIANS(F207))+'Geometry'!$F$19*SIN(RADIANS(F207))),('Geometry'!$G$20*COS(RADIANS(F207))+'Geometry'!$F$20*SIN(RADIANS(F207))))</f>
        <v>751.9266513006628</v>
      </c>
      <c r="J207" s="11">
        <f>I207-H207*K207</f>
        <v>-751.9266513006628</v>
      </c>
      <c r="K207" s="11">
        <f>I207-MIN(('Geometry'!$G$13*COS(RADIANS(F207))+'Geometry'!$F$13*SIN(RADIANS(F207))),('Geometry'!$G$14*COS(RADIANS(F207))+'Geometry'!$F$14*SIN(RADIANS(F207))),('Geometry'!$G$15*COS(RADIANS(F207))+'Geometry'!$F$15*SIN(RADIANS(F207))),('Geometry'!$G$16*COS(RADIANS(F207))+'Geometry'!$F$16*SIN(RADIANS(F207))),('Geometry'!$G$17*COS(RADIANS(F207))+'Geometry'!$F$17*SIN(RADIANS(F207))),('Geometry'!$G$18*COS(RADIANS(F207))+'Geometry'!$F$18*SIN(RADIANS(F207))),('Geometry'!$G$19*COS(RADIANS(F207))+'Geometry'!$F$19*SIN(RADIANS(F207))),('Geometry'!$G$20*COS(RADIANS(F207))+'Geometry'!$F$20*SIN(RADIANS(F207))))</f>
        <v>1503.8533026013256</v>
      </c>
      <c r="L207" s="16">
        <f>C_ecu</f>
        <v>0.0033</v>
      </c>
      <c r="M207" s="16">
        <f>0</f>
        <v>0</v>
      </c>
      <c r="N207" s="22">
        <f>IF(ABS(I207-J207)&lt;0.000000000001,0,(L207-M207)/(I207-J207))</f>
        <v>0.0000021943629703055128</v>
      </c>
      <c r="O207" s="16">
        <f>L207-N207*I207</f>
        <v>0.00165</v>
      </c>
      <c r="P207" s="22">
        <f>N207*COS(RADIANS(F207))</f>
        <v>0.000002062026690521938</v>
      </c>
      <c r="Q207" s="22">
        <f>N207*SIN(RADIANS(F207))</f>
        <v>-7.505163376124313e-7</v>
      </c>
      <c r="R207" s="11">
        <f>AP207</f>
        <v>15275.59368924359</v>
      </c>
      <c r="S207" s="11">
        <f>AQ207</f>
        <v>1343.6455525827964</v>
      </c>
      <c r="T207" s="11">
        <f>AR207</f>
        <v>-720.4824258083099</v>
      </c>
      <c r="U207" s="11">
        <f>AS207</f>
        <v>2394.7519262396463</v>
      </c>
      <c r="V207" s="11">
        <f>AT207</f>
        <v>436.0321162860752</v>
      </c>
      <c r="W207" s="11">
        <f>AU207</f>
        <v>-228.84245490138647</v>
      </c>
      <c r="X207" s="11">
        <f>AM207</f>
        <v>17670.345615483235</v>
      </c>
      <c r="Y207" s="11">
        <f>AN207</f>
        <v>1779.6776688688715</v>
      </c>
      <c r="Z207" s="11">
        <f>AO207</f>
        <v>-949.3248807096963</v>
      </c>
      <c r="AA207" s="7">
        <v>1</v>
      </c>
      <c r="AB207" s="7">
        <v>1</v>
      </c>
      <c r="AC207" s="7">
        <v>1</v>
      </c>
      <c r="AD207" s="11">
        <f>X207*AA207</f>
        <v>17670.345615483235</v>
      </c>
      <c r="AE207" s="11">
        <f>Y207*AB207</f>
        <v>1779.6776688688715</v>
      </c>
      <c r="AF207" s="11">
        <f>Z207*AC207</f>
        <v>-949.3248807096963</v>
      </c>
      <c r="AG207" s="7">
        <v>17670.345615483235</v>
      </c>
      <c r="AH207" s="7">
        <v>1779.6776688688715</v>
      </c>
      <c r="AI207" s="7">
        <v>-949.3248807096963</v>
      </c>
      <c r="AJ207" s="16">
        <f>AD207-AG207</f>
        <v>0</v>
      </c>
      <c r="AK207" s="16">
        <f>SQRT((AE207-AH207)^2+(AF207-AI207)^2)</f>
        <v>0</v>
      </c>
      <c r="AL207" s="7" t="s">
        <v>190</v>
      </c>
      <c r="AM207" s="7">
        <v>17670.345615483235</v>
      </c>
      <c r="AN207" s="7">
        <v>1779.6776688688715</v>
      </c>
      <c r="AO207" s="7">
        <v>-949.3248807096963</v>
      </c>
      <c r="AP207" s="7">
        <v>15275.59368924359</v>
      </c>
      <c r="AQ207" s="7">
        <v>1343.6455525827964</v>
      </c>
      <c r="AR207" s="7">
        <v>-720.4824258083099</v>
      </c>
      <c r="AS207" s="7">
        <v>2394.7519262396463</v>
      </c>
      <c r="AT207" s="7">
        <v>436.0321162860752</v>
      </c>
      <c r="AU207" s="7">
        <v>-228.84245490138647</v>
      </c>
    </row>
    <row r="208" spans="1:47" x14ac:dyDescent="0.25">
      <c r="A208" s="7" t="s">
        <v>596</v>
      </c>
      <c r="B208" s="7">
        <v>1</v>
      </c>
      <c r="C208" s="19">
        <v>350</v>
      </c>
      <c r="D208" s="7" t="s">
        <v>597</v>
      </c>
      <c r="E208" s="7" t="s">
        <v>200</v>
      </c>
      <c r="F208" s="20">
        <v>350</v>
      </c>
      <c r="G208" s="7" t="s">
        <v>194</v>
      </c>
      <c r="H208" s="21">
        <v>1.4999999999999998</v>
      </c>
      <c r="I208" s="11">
        <f>MAX(('Geometry'!$G$13*COS(RADIANS(F208))+'Geometry'!$F$13*SIN(RADIANS(F208))),('Geometry'!$G$14*COS(RADIANS(F208))+'Geometry'!$F$14*SIN(RADIANS(F208))),('Geometry'!$G$15*COS(RADIANS(F208))+'Geometry'!$F$15*SIN(RADIANS(F208))),('Geometry'!$G$16*COS(RADIANS(F208))+'Geometry'!$F$16*SIN(RADIANS(F208))),('Geometry'!$G$17*COS(RADIANS(F208))+'Geometry'!$F$17*SIN(RADIANS(F208))),('Geometry'!$G$18*COS(RADIANS(F208))+'Geometry'!$F$18*SIN(RADIANS(F208))),('Geometry'!$G$19*COS(RADIANS(F208))+'Geometry'!$F$19*SIN(RADIANS(F208))),('Geometry'!$G$20*COS(RADIANS(F208))+'Geometry'!$F$20*SIN(RADIANS(F208))))</f>
        <v>686.391149524137</v>
      </c>
      <c r="J208" s="11">
        <f>I208-H208*K208</f>
        <v>-1372.7822990482734</v>
      </c>
      <c r="K208" s="11">
        <f>I208-MIN(('Geometry'!$G$13*COS(RADIANS(F208))+'Geometry'!$F$13*SIN(RADIANS(F208))),('Geometry'!$G$14*COS(RADIANS(F208))+'Geometry'!$F$14*SIN(RADIANS(F208))),('Geometry'!$G$15*COS(RADIANS(F208))+'Geometry'!$F$15*SIN(RADIANS(F208))),('Geometry'!$G$16*COS(RADIANS(F208))+'Geometry'!$F$16*SIN(RADIANS(F208))),('Geometry'!$G$17*COS(RADIANS(F208))+'Geometry'!$F$17*SIN(RADIANS(F208))),('Geometry'!$G$18*COS(RADIANS(F208))+'Geometry'!$F$18*SIN(RADIANS(F208))),('Geometry'!$G$19*COS(RADIANS(F208))+'Geometry'!$F$19*SIN(RADIANS(F208))),('Geometry'!$G$20*COS(RADIANS(F208))+'Geometry'!$F$20*SIN(RADIANS(F208))))</f>
        <v>1372.782299048274</v>
      </c>
      <c r="L208" s="16">
        <f>C_ecu</f>
        <v>0.003300000000000001</v>
      </c>
      <c r="M208" s="16">
        <f>0</f>
        <v>0</v>
      </c>
      <c r="N208" s="22">
        <f>IF(ABS(I208-J208)&lt;0.000000000001,0,(L208-M208)/(I208-J208))</f>
        <v>0.0000016025847663720771</v>
      </c>
      <c r="O208" s="16">
        <f>L208-N208*I208</f>
        <v>0.0022</v>
      </c>
      <c r="P208" s="22">
        <f>N208*COS(RADIANS(F208))</f>
        <v>0.0000015782379027824798</v>
      </c>
      <c r="Q208" s="22">
        <f>N208*SIN(RADIANS(F208))</f>
        <v>-2.782859242372946e-7</v>
      </c>
      <c r="R208" s="11">
        <f>AP208</f>
        <v>15258.270149570275</v>
      </c>
      <c r="S208" s="11">
        <f>AQ208</f>
        <v>753.5331410914373</v>
      </c>
      <c r="T208" s="11">
        <f>AR208</f>
        <v>-203.90856509794222</v>
      </c>
      <c r="U208" s="11">
        <f>AS208</f>
        <v>2412.0754659129575</v>
      </c>
      <c r="V208" s="11">
        <f>AT208</f>
        <v>247.0756898817811</v>
      </c>
      <c r="W208" s="11">
        <f>AU208</f>
        <v>-60.3043371303018</v>
      </c>
      <c r="X208" s="11">
        <f>AM208</f>
        <v>17670.345615483235</v>
      </c>
      <c r="Y208" s="11">
        <f>AN208</f>
        <v>1000.6088309732183</v>
      </c>
      <c r="Z208" s="11">
        <f>AO208</f>
        <v>-264.212902228244</v>
      </c>
      <c r="AA208" s="7">
        <v>1</v>
      </c>
      <c r="AB208" s="7">
        <v>1</v>
      </c>
      <c r="AC208" s="7">
        <v>1</v>
      </c>
      <c r="AD208" s="11">
        <f>X208*AA208</f>
        <v>17670.345615483235</v>
      </c>
      <c r="AE208" s="11">
        <f>Y208*AB208</f>
        <v>1000.6088309732183</v>
      </c>
      <c r="AF208" s="11">
        <f>Z208*AC208</f>
        <v>-264.212902228244</v>
      </c>
      <c r="AG208" s="7">
        <v>17670.345615483235</v>
      </c>
      <c r="AH208" s="7">
        <v>1000.6088309732183</v>
      </c>
      <c r="AI208" s="7">
        <v>-264.212902228244</v>
      </c>
      <c r="AJ208" s="16">
        <f>AD208-AG208</f>
        <v>0</v>
      </c>
      <c r="AK208" s="16">
        <f>SQRT((AE208-AH208)^2+(AF208-AI208)^2)</f>
        <v>0</v>
      </c>
      <c r="AL208" s="7" t="s">
        <v>190</v>
      </c>
      <c r="AM208" s="7">
        <v>17670.345615483235</v>
      </c>
      <c r="AN208" s="7">
        <v>1000.6088309732183</v>
      </c>
      <c r="AO208" s="7">
        <v>-264.212902228244</v>
      </c>
      <c r="AP208" s="7">
        <v>15258.270149570275</v>
      </c>
      <c r="AQ208" s="7">
        <v>753.5331410914373</v>
      </c>
      <c r="AR208" s="7">
        <v>-203.90856509794222</v>
      </c>
      <c r="AS208" s="7">
        <v>2412.0754659129575</v>
      </c>
      <c r="AT208" s="7">
        <v>247.0756898817811</v>
      </c>
      <c r="AU208" s="7">
        <v>-60.3043371303018</v>
      </c>
    </row>
    <row r="209" spans="1:47" x14ac:dyDescent="0.25">
      <c r="A209" s="7" t="s">
        <v>598</v>
      </c>
      <c r="B209" s="7">
        <v>2</v>
      </c>
      <c r="C209" s="19">
        <v>350</v>
      </c>
      <c r="D209" s="7" t="s">
        <v>599</v>
      </c>
      <c r="E209" s="7" t="s">
        <v>206</v>
      </c>
      <c r="F209" s="20">
        <v>350</v>
      </c>
      <c r="G209" s="7" t="s">
        <v>194</v>
      </c>
      <c r="H209" s="21">
        <v>1.0999999999999999</v>
      </c>
      <c r="I209" s="11">
        <f>MAX(('Geometry'!$G$13*COS(RADIANS(F209))+'Geometry'!$F$13*SIN(RADIANS(F209))),('Geometry'!$G$14*COS(RADIANS(F209))+'Geometry'!$F$14*SIN(RADIANS(F209))),('Geometry'!$G$15*COS(RADIANS(F209))+'Geometry'!$F$15*SIN(RADIANS(F209))),('Geometry'!$G$16*COS(RADIANS(F209))+'Geometry'!$F$16*SIN(RADIANS(F209))),('Geometry'!$G$17*COS(RADIANS(F209))+'Geometry'!$F$17*SIN(RADIANS(F209))),('Geometry'!$G$18*COS(RADIANS(F209))+'Geometry'!$F$18*SIN(RADIANS(F209))),('Geometry'!$G$19*COS(RADIANS(F209))+'Geometry'!$F$19*SIN(RADIANS(F209))),('Geometry'!$G$20*COS(RADIANS(F209))+'Geometry'!$F$20*SIN(RADIANS(F209))))</f>
        <v>686.391149524137</v>
      </c>
      <c r="J209" s="11">
        <f>I209-H209*K209</f>
        <v>-823.6693794289641</v>
      </c>
      <c r="K209" s="11">
        <f>I209-MIN(('Geometry'!$G$13*COS(RADIANS(F209))+'Geometry'!$F$13*SIN(RADIANS(F209))),('Geometry'!$G$14*COS(RADIANS(F209))+'Geometry'!$F$14*SIN(RADIANS(F209))),('Geometry'!$G$15*COS(RADIANS(F209))+'Geometry'!$F$15*SIN(RADIANS(F209))),('Geometry'!$G$16*COS(RADIANS(F209))+'Geometry'!$F$16*SIN(RADIANS(F209))),('Geometry'!$G$17*COS(RADIANS(F209))+'Geometry'!$F$17*SIN(RADIANS(F209))),('Geometry'!$G$18*COS(RADIANS(F209))+'Geometry'!$F$18*SIN(RADIANS(F209))),('Geometry'!$G$19*COS(RADIANS(F209))+'Geometry'!$F$19*SIN(RADIANS(F209))),('Geometry'!$G$20*COS(RADIANS(F209))+'Geometry'!$F$20*SIN(RADIANS(F209))))</f>
        <v>1372.782299048274</v>
      </c>
      <c r="L209" s="16">
        <f>C_ecu</f>
        <v>0.003300000000000001</v>
      </c>
      <c r="M209" s="16">
        <f>0</f>
        <v>0</v>
      </c>
      <c r="N209" s="22">
        <f>IF(ABS(I209-J209)&lt;0.000000000001,0,(L209-M209)/(I209-J209))</f>
        <v>0.0000021853428632346504</v>
      </c>
      <c r="O209" s="16">
        <f>L209-N209*I209</f>
        <v>0.0018000000000000002</v>
      </c>
      <c r="P209" s="22">
        <f>N209*COS(RADIANS(F209))</f>
        <v>0.0000021521425947033815</v>
      </c>
      <c r="Q209" s="22">
        <f>N209*SIN(RADIANS(F209))</f>
        <v>-3.79480805778129e-7</v>
      </c>
      <c r="R209" s="11">
        <f>AP209</f>
        <v>15258.270149570275</v>
      </c>
      <c r="S209" s="11">
        <f>AQ209</f>
        <v>1255.888568485729</v>
      </c>
      <c r="T209" s="11">
        <f>AR209</f>
        <v>-339.84760849657033</v>
      </c>
      <c r="U209" s="11">
        <f>AS209</f>
        <v>2412.0754659129575</v>
      </c>
      <c r="V209" s="11">
        <f>AT209</f>
        <v>411.79281646963517</v>
      </c>
      <c r="W209" s="11">
        <f>AU209</f>
        <v>-100.507228550503</v>
      </c>
      <c r="X209" s="11">
        <f>AM209</f>
        <v>17670.345615483235</v>
      </c>
      <c r="Y209" s="11">
        <f>AN209</f>
        <v>1667.681384955364</v>
      </c>
      <c r="Z209" s="11">
        <f>AO209</f>
        <v>-440.3548370470734</v>
      </c>
      <c r="AA209" s="7">
        <v>1</v>
      </c>
      <c r="AB209" s="7">
        <v>1</v>
      </c>
      <c r="AC209" s="7">
        <v>1</v>
      </c>
      <c r="AD209" s="11">
        <f>X209*AA209</f>
        <v>17670.345615483235</v>
      </c>
      <c r="AE209" s="11">
        <f>Y209*AB209</f>
        <v>1667.681384955364</v>
      </c>
      <c r="AF209" s="11">
        <f>Z209*AC209</f>
        <v>-440.3548370470734</v>
      </c>
      <c r="AG209" s="7">
        <v>17670.345615483235</v>
      </c>
      <c r="AH209" s="7">
        <v>1667.681384955364</v>
      </c>
      <c r="AI209" s="7">
        <v>-440.3548370470734</v>
      </c>
      <c r="AJ209" s="16">
        <f>AD209-AG209</f>
        <v>0</v>
      </c>
      <c r="AK209" s="16">
        <f>SQRT((AE209-AH209)^2+(AF209-AI209)^2)</f>
        <v>0</v>
      </c>
      <c r="AL209" s="7" t="s">
        <v>190</v>
      </c>
      <c r="AM209" s="7">
        <v>17670.345615483235</v>
      </c>
      <c r="AN209" s="7">
        <v>1667.681384955364</v>
      </c>
      <c r="AO209" s="7">
        <v>-440.3548370470734</v>
      </c>
      <c r="AP209" s="7">
        <v>15258.270149570275</v>
      </c>
      <c r="AQ209" s="7">
        <v>1255.888568485729</v>
      </c>
      <c r="AR209" s="7">
        <v>-339.84760849657033</v>
      </c>
      <c r="AS209" s="7">
        <v>2412.0754659129575</v>
      </c>
      <c r="AT209" s="7">
        <v>411.79281646963517</v>
      </c>
      <c r="AU209" s="7">
        <v>-100.507228550503</v>
      </c>
    </row>
    <row r="210" spans="1:47" x14ac:dyDescent="0.25">
      <c r="A210" s="7" t="s">
        <v>600</v>
      </c>
      <c r="B210" s="7">
        <v>3</v>
      </c>
      <c r="C210" s="19">
        <v>350</v>
      </c>
      <c r="D210" s="7" t="s">
        <v>601</v>
      </c>
      <c r="E210" s="7" t="s">
        <v>193</v>
      </c>
      <c r="F210" s="20">
        <v>350</v>
      </c>
      <c r="G210" s="7" t="s">
        <v>194</v>
      </c>
      <c r="H210" s="21">
        <v>2.9999999999999987</v>
      </c>
      <c r="I210" s="11">
        <f>MAX(('Geometry'!$G$13*COS(RADIANS(F210))+'Geometry'!$F$13*SIN(RADIANS(F210))),('Geometry'!$G$14*COS(RADIANS(F210))+'Geometry'!$F$14*SIN(RADIANS(F210))),('Geometry'!$G$15*COS(RADIANS(F210))+'Geometry'!$F$15*SIN(RADIANS(F210))),('Geometry'!$G$16*COS(RADIANS(F210))+'Geometry'!$F$16*SIN(RADIANS(F210))),('Geometry'!$G$17*COS(RADIANS(F210))+'Geometry'!$F$17*SIN(RADIANS(F210))),('Geometry'!$G$18*COS(RADIANS(F210))+'Geometry'!$F$18*SIN(RADIANS(F210))),('Geometry'!$G$19*COS(RADIANS(F210))+'Geometry'!$F$19*SIN(RADIANS(F210))),('Geometry'!$G$20*COS(RADIANS(F210))+'Geometry'!$F$20*SIN(RADIANS(F210))))</f>
        <v>686.391149524137</v>
      </c>
      <c r="J210" s="11">
        <f>I210-H210*K210</f>
        <v>-3431.9557476206833</v>
      </c>
      <c r="K210" s="11">
        <f>I210-MIN(('Geometry'!$G$13*COS(RADIANS(F210))+'Geometry'!$F$13*SIN(RADIANS(F210))),('Geometry'!$G$14*COS(RADIANS(F210))+'Geometry'!$F$14*SIN(RADIANS(F210))),('Geometry'!$G$15*COS(RADIANS(F210))+'Geometry'!$F$15*SIN(RADIANS(F210))),('Geometry'!$G$16*COS(RADIANS(F210))+'Geometry'!$F$16*SIN(RADIANS(F210))),('Geometry'!$G$17*COS(RADIANS(F210))+'Geometry'!$F$17*SIN(RADIANS(F210))),('Geometry'!$G$18*COS(RADIANS(F210))+'Geometry'!$F$18*SIN(RADIANS(F210))),('Geometry'!$G$19*COS(RADIANS(F210))+'Geometry'!$F$19*SIN(RADIANS(F210))),('Geometry'!$G$20*COS(RADIANS(F210))+'Geometry'!$F$20*SIN(RADIANS(F210))))</f>
        <v>1372.782299048274</v>
      </c>
      <c r="L210" s="16">
        <f>C_ecu</f>
        <v>0.0033</v>
      </c>
      <c r="M210" s="16">
        <f>0</f>
        <v>0</v>
      </c>
      <c r="N210" s="22">
        <f>IF(ABS(I210-J210)&lt;0.000000000001,0,(L210-M210)/(I210-J210))</f>
        <v>8.012923831860386e-7</v>
      </c>
      <c r="O210" s="16">
        <f>L210-N210*I210</f>
        <v>0.00275</v>
      </c>
      <c r="P210" s="22">
        <f>N210*COS(RADIANS(F210))</f>
        <v>7.891189513912399e-7</v>
      </c>
      <c r="Q210" s="22">
        <f>N210*SIN(RADIANS(F210))</f>
        <v>-1.391429621186473e-7</v>
      </c>
      <c r="R210" s="11">
        <f>AP210</f>
        <v>15258.270149570275</v>
      </c>
      <c r="S210" s="11">
        <f>AQ210</f>
        <v>251.17771369714575</v>
      </c>
      <c r="T210" s="11">
        <f>AR210</f>
        <v>-67.96952169931406</v>
      </c>
      <c r="U210" s="11">
        <f>AS210</f>
        <v>2412.0754659129575</v>
      </c>
      <c r="V210" s="11">
        <f>AT210</f>
        <v>82.35856329392703</v>
      </c>
      <c r="W210" s="11">
        <f>AU210</f>
        <v>-20.1014457101006</v>
      </c>
      <c r="X210" s="11">
        <f>AM210</f>
        <v>17670.345615483235</v>
      </c>
      <c r="Y210" s="11">
        <f>AN210</f>
        <v>333.5362769910728</v>
      </c>
      <c r="Z210" s="11">
        <f>AO210</f>
        <v>-88.07096740941466</v>
      </c>
      <c r="AA210" s="7">
        <v>1</v>
      </c>
      <c r="AB210" s="7">
        <v>1</v>
      </c>
      <c r="AC210" s="7">
        <v>1</v>
      </c>
      <c r="AD210" s="11">
        <f>X210*AA210</f>
        <v>17670.345615483235</v>
      </c>
      <c r="AE210" s="11">
        <f>Y210*AB210</f>
        <v>333.5362769910728</v>
      </c>
      <c r="AF210" s="11">
        <f>Z210*AC210</f>
        <v>-88.07096740941466</v>
      </c>
      <c r="AG210" s="7">
        <v>17670.345615483235</v>
      </c>
      <c r="AH210" s="7">
        <v>333.5362769910728</v>
      </c>
      <c r="AI210" s="7">
        <v>-88.07096740941466</v>
      </c>
      <c r="AJ210" s="16">
        <f>AD210-AG210</f>
        <v>0</v>
      </c>
      <c r="AK210" s="16">
        <f>SQRT((AE210-AH210)^2+(AF210-AI210)^2)</f>
        <v>0</v>
      </c>
      <c r="AL210" s="7" t="s">
        <v>190</v>
      </c>
      <c r="AM210" s="7">
        <v>17670.345615483235</v>
      </c>
      <c r="AN210" s="7">
        <v>333.5362769910728</v>
      </c>
      <c r="AO210" s="7">
        <v>-88.07096740941466</v>
      </c>
      <c r="AP210" s="7">
        <v>15258.270149570275</v>
      </c>
      <c r="AQ210" s="7">
        <v>251.17771369714575</v>
      </c>
      <c r="AR210" s="7">
        <v>-67.96952169931406</v>
      </c>
      <c r="AS210" s="7">
        <v>2412.0754659129575</v>
      </c>
      <c r="AT210" s="7">
        <v>82.35856329392703</v>
      </c>
      <c r="AU210" s="7">
        <v>-20.1014457101006</v>
      </c>
    </row>
    <row r="211" spans="1:47" x14ac:dyDescent="0.25">
      <c r="A211" s="7" t="s">
        <v>602</v>
      </c>
      <c r="B211" s="7">
        <v>4</v>
      </c>
      <c r="C211" s="19">
        <v>350</v>
      </c>
      <c r="D211" s="7" t="s">
        <v>603</v>
      </c>
      <c r="E211" s="7" t="s">
        <v>197</v>
      </c>
      <c r="F211" s="20">
        <v>350</v>
      </c>
      <c r="G211" s="7" t="s">
        <v>194</v>
      </c>
      <c r="H211" s="21">
        <v>1.9999999999999991</v>
      </c>
      <c r="I211" s="11">
        <f>MAX(('Geometry'!$G$13*COS(RADIANS(F211))+'Geometry'!$F$13*SIN(RADIANS(F211))),('Geometry'!$G$14*COS(RADIANS(F211))+'Geometry'!$F$14*SIN(RADIANS(F211))),('Geometry'!$G$15*COS(RADIANS(F211))+'Geometry'!$F$15*SIN(RADIANS(F211))),('Geometry'!$G$16*COS(RADIANS(F211))+'Geometry'!$F$16*SIN(RADIANS(F211))),('Geometry'!$G$17*COS(RADIANS(F211))+'Geometry'!$F$17*SIN(RADIANS(F211))),('Geometry'!$G$18*COS(RADIANS(F211))+'Geometry'!$F$18*SIN(RADIANS(F211))),('Geometry'!$G$19*COS(RADIANS(F211))+'Geometry'!$F$19*SIN(RADIANS(F211))),('Geometry'!$G$20*COS(RADIANS(F211))+'Geometry'!$F$20*SIN(RADIANS(F211))))</f>
        <v>686.391149524137</v>
      </c>
      <c r="J211" s="11">
        <f>I211-H211*K211</f>
        <v>-2059.1734485724096</v>
      </c>
      <c r="K211" s="11">
        <f>I211-MIN(('Geometry'!$G$13*COS(RADIANS(F211))+'Geometry'!$F$13*SIN(RADIANS(F211))),('Geometry'!$G$14*COS(RADIANS(F211))+'Geometry'!$F$14*SIN(RADIANS(F211))),('Geometry'!$G$15*COS(RADIANS(F211))+'Geometry'!$F$15*SIN(RADIANS(F211))),('Geometry'!$G$16*COS(RADIANS(F211))+'Geometry'!$F$16*SIN(RADIANS(F211))),('Geometry'!$G$17*COS(RADIANS(F211))+'Geometry'!$F$17*SIN(RADIANS(F211))),('Geometry'!$G$18*COS(RADIANS(F211))+'Geometry'!$F$18*SIN(RADIANS(F211))),('Geometry'!$G$19*COS(RADIANS(F211))+'Geometry'!$F$19*SIN(RADIANS(F211))),('Geometry'!$G$20*COS(RADIANS(F211))+'Geometry'!$F$20*SIN(RADIANS(F211))))</f>
        <v>1372.782299048274</v>
      </c>
      <c r="L211" s="16">
        <f>C_ecu</f>
        <v>0.0033</v>
      </c>
      <c r="M211" s="16">
        <f>0</f>
        <v>0</v>
      </c>
      <c r="N211" s="22">
        <f>IF(ABS(I211-J211)&lt;0.000000000001,0,(L211-M211)/(I211-J211))</f>
        <v>0.000001201938574779058</v>
      </c>
      <c r="O211" s="16">
        <f>L211-N211*I211</f>
        <v>0.0024749999999999998</v>
      </c>
      <c r="P211" s="22">
        <f>N211*COS(RADIANS(F211))</f>
        <v>0.00000118367842708686</v>
      </c>
      <c r="Q211" s="22">
        <f>N211*SIN(RADIANS(F211))</f>
        <v>-2.0871444317797098e-7</v>
      </c>
      <c r="R211" s="11">
        <f>AP211</f>
        <v>15258.270149570275</v>
      </c>
      <c r="S211" s="11">
        <f>AQ211</f>
        <v>502.3554273942915</v>
      </c>
      <c r="T211" s="11">
        <f>AR211</f>
        <v>-135.93904339862812</v>
      </c>
      <c r="U211" s="11">
        <f>AS211</f>
        <v>2412.0754659129575</v>
      </c>
      <c r="V211" s="11">
        <f>AT211</f>
        <v>164.71712658785407</v>
      </c>
      <c r="W211" s="11">
        <f>AU211</f>
        <v>-40.2028914202012</v>
      </c>
      <c r="X211" s="11">
        <f>AM211</f>
        <v>17670.345615483235</v>
      </c>
      <c r="Y211" s="11">
        <f>AN211</f>
        <v>667.0725539821456</v>
      </c>
      <c r="Z211" s="11">
        <f>AO211</f>
        <v>-176.14193481882933</v>
      </c>
      <c r="AA211" s="7">
        <v>1</v>
      </c>
      <c r="AB211" s="7">
        <v>1</v>
      </c>
      <c r="AC211" s="7">
        <v>1</v>
      </c>
      <c r="AD211" s="11">
        <f>X211*AA211</f>
        <v>17670.345615483235</v>
      </c>
      <c r="AE211" s="11">
        <f>Y211*AB211</f>
        <v>667.0725539821456</v>
      </c>
      <c r="AF211" s="11">
        <f>Z211*AC211</f>
        <v>-176.14193481882933</v>
      </c>
      <c r="AG211" s="7">
        <v>17670.345615483235</v>
      </c>
      <c r="AH211" s="7">
        <v>667.0725539821456</v>
      </c>
      <c r="AI211" s="7">
        <v>-176.14193481882933</v>
      </c>
      <c r="AJ211" s="16">
        <f>AD211-AG211</f>
        <v>0</v>
      </c>
      <c r="AK211" s="16">
        <f>SQRT((AE211-AH211)^2+(AF211-AI211)^2)</f>
        <v>0</v>
      </c>
      <c r="AL211" s="7" t="s">
        <v>190</v>
      </c>
      <c r="AM211" s="7">
        <v>17670.345615483235</v>
      </c>
      <c r="AN211" s="7">
        <v>667.0725539821456</v>
      </c>
      <c r="AO211" s="7">
        <v>-176.14193481882933</v>
      </c>
      <c r="AP211" s="7">
        <v>15258.270149570275</v>
      </c>
      <c r="AQ211" s="7">
        <v>502.3554273942915</v>
      </c>
      <c r="AR211" s="7">
        <v>-135.93904339862812</v>
      </c>
      <c r="AS211" s="7">
        <v>2412.0754659129575</v>
      </c>
      <c r="AT211" s="7">
        <v>164.71712658785407</v>
      </c>
      <c r="AU211" s="7">
        <v>-40.2028914202012</v>
      </c>
    </row>
    <row r="212" spans="1:47" x14ac:dyDescent="0.25">
      <c r="A212" s="7" t="s">
        <v>604</v>
      </c>
      <c r="B212" s="7">
        <v>5</v>
      </c>
      <c r="C212" s="19">
        <v>350</v>
      </c>
      <c r="D212" s="7" t="s">
        <v>605</v>
      </c>
      <c r="E212" s="7" t="s">
        <v>203</v>
      </c>
      <c r="F212" s="20">
        <v>350</v>
      </c>
      <c r="G212" s="7" t="s">
        <v>194</v>
      </c>
      <c r="H212" s="21">
        <v>1.2</v>
      </c>
      <c r="I212" s="11">
        <f>MAX(('Geometry'!$G$13*COS(RADIANS(F212))+'Geometry'!$F$13*SIN(RADIANS(F212))),('Geometry'!$G$14*COS(RADIANS(F212))+'Geometry'!$F$14*SIN(RADIANS(F212))),('Geometry'!$G$15*COS(RADIANS(F212))+'Geometry'!$F$15*SIN(RADIANS(F212))),('Geometry'!$G$16*COS(RADIANS(F212))+'Geometry'!$F$16*SIN(RADIANS(F212))),('Geometry'!$G$17*COS(RADIANS(F212))+'Geometry'!$F$17*SIN(RADIANS(F212))),('Geometry'!$G$18*COS(RADIANS(F212))+'Geometry'!$F$18*SIN(RADIANS(F212))),('Geometry'!$G$19*COS(RADIANS(F212))+'Geometry'!$F$19*SIN(RADIANS(F212))),('Geometry'!$G$20*COS(RADIANS(F212))+'Geometry'!$F$20*SIN(RADIANS(F212))))</f>
        <v>686.391149524137</v>
      </c>
      <c r="J212" s="11">
        <f>I212-H212*K212</f>
        <v>-960.9476093337914</v>
      </c>
      <c r="K212" s="11">
        <f>I212-MIN(('Geometry'!$G$13*COS(RADIANS(F212))+'Geometry'!$F$13*SIN(RADIANS(F212))),('Geometry'!$G$14*COS(RADIANS(F212))+'Geometry'!$F$14*SIN(RADIANS(F212))),('Geometry'!$G$15*COS(RADIANS(F212))+'Geometry'!$F$15*SIN(RADIANS(F212))),('Geometry'!$G$16*COS(RADIANS(F212))+'Geometry'!$F$16*SIN(RADIANS(F212))),('Geometry'!$G$17*COS(RADIANS(F212))+'Geometry'!$F$17*SIN(RADIANS(F212))),('Geometry'!$G$18*COS(RADIANS(F212))+'Geometry'!$F$18*SIN(RADIANS(F212))),('Geometry'!$G$19*COS(RADIANS(F212))+'Geometry'!$F$19*SIN(RADIANS(F212))),('Geometry'!$G$20*COS(RADIANS(F212))+'Geometry'!$F$20*SIN(RADIANS(F212))))</f>
        <v>1372.782299048274</v>
      </c>
      <c r="L212" s="16">
        <f>C_ecu</f>
        <v>0.003300000000000001</v>
      </c>
      <c r="M212" s="16">
        <f>0</f>
        <v>0</v>
      </c>
      <c r="N212" s="22">
        <f>IF(ABS(I212-J212)&lt;0.000000000001,0,(L212-M212)/(I212-J212))</f>
        <v>0.0000020032309579650963</v>
      </c>
      <c r="O212" s="16">
        <f>L212-N212*I212</f>
        <v>0.001925</v>
      </c>
      <c r="P212" s="22">
        <f>N212*COS(RADIANS(F212))</f>
        <v>0.0000019727973784780997</v>
      </c>
      <c r="Q212" s="22">
        <f>N212*SIN(RADIANS(F212))</f>
        <v>-3.478574052966183e-7</v>
      </c>
      <c r="R212" s="11">
        <f>AP212</f>
        <v>15258.270149570275</v>
      </c>
      <c r="S212" s="11">
        <f>AQ212</f>
        <v>1004.710854788583</v>
      </c>
      <c r="T212" s="11">
        <f>AR212</f>
        <v>-271.87808679725623</v>
      </c>
      <c r="U212" s="11">
        <f>AS212</f>
        <v>2412.0754659129575</v>
      </c>
      <c r="V212" s="11">
        <f>AT212</f>
        <v>329.43425317570814</v>
      </c>
      <c r="W212" s="11">
        <f>AU212</f>
        <v>-80.4057828404024</v>
      </c>
      <c r="X212" s="11">
        <f>AM212</f>
        <v>17670.345615483235</v>
      </c>
      <c r="Y212" s="11">
        <f>AN212</f>
        <v>1334.1451079642911</v>
      </c>
      <c r="Z212" s="11">
        <f>AO212</f>
        <v>-352.28386963765865</v>
      </c>
      <c r="AA212" s="7">
        <v>1</v>
      </c>
      <c r="AB212" s="7">
        <v>1</v>
      </c>
      <c r="AC212" s="7">
        <v>1</v>
      </c>
      <c r="AD212" s="11">
        <f>X212*AA212</f>
        <v>17670.345615483235</v>
      </c>
      <c r="AE212" s="11">
        <f>Y212*AB212</f>
        <v>1334.1451079642911</v>
      </c>
      <c r="AF212" s="11">
        <f>Z212*AC212</f>
        <v>-352.28386963765865</v>
      </c>
      <c r="AG212" s="7">
        <v>17670.345615483235</v>
      </c>
      <c r="AH212" s="7">
        <v>1334.1451079642911</v>
      </c>
      <c r="AI212" s="7">
        <v>-352.28386963765865</v>
      </c>
      <c r="AJ212" s="16">
        <f>AD212-AG212</f>
        <v>0</v>
      </c>
      <c r="AK212" s="16">
        <f>SQRT((AE212-AH212)^2+(AF212-AI212)^2)</f>
        <v>0</v>
      </c>
      <c r="AL212" s="7" t="s">
        <v>190</v>
      </c>
      <c r="AM212" s="7">
        <v>17670.345615483235</v>
      </c>
      <c r="AN212" s="7">
        <v>1334.1451079642911</v>
      </c>
      <c r="AO212" s="7">
        <v>-352.28386963765865</v>
      </c>
      <c r="AP212" s="7">
        <v>15258.270149570275</v>
      </c>
      <c r="AQ212" s="7">
        <v>1004.710854788583</v>
      </c>
      <c r="AR212" s="7">
        <v>-271.87808679725623</v>
      </c>
      <c r="AS212" s="7">
        <v>2412.0754659129575</v>
      </c>
      <c r="AT212" s="7">
        <v>329.43425317570814</v>
      </c>
      <c r="AU212" s="7">
        <v>-80.4057828404024</v>
      </c>
    </row>
  </sheetData>
  <autoFilter ref="A7:AF212"/>
  <mergeCells count="2">
    <mergeCell ref="A1:AU1"/>
    <mergeCell ref="B2:A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AU212"/>
  <sheetViews>
    <sheetView workbookViewId="0" showGridLines="0">
      <pane xSplit="3" ySplit="7" topLeftCell="D8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4" customWidth="1"/>
    <col min="4" max="4" width="24" customWidth="1"/>
    <col min="5" max="5" width="30" customWidth="1"/>
    <col min="6" max="6" width="12" customWidth="1"/>
    <col min="7" max="7" width="30" customWidth="1"/>
    <col min="8" max="8" width="16" customWidth="1"/>
    <col min="9" max="9" width="14" customWidth="1"/>
    <col min="10" max="10" width="15" customWidth="1"/>
    <col min="11" max="15" width="14" customWidth="1"/>
    <col min="16" max="17" width="15" customWidth="1"/>
    <col min="18" max="32" width="14" customWidth="1"/>
    <col min="33" max="47" width="16" hidden="1" customWidth="1"/>
  </cols>
  <sheetData>
    <row r="1" ht="22" customHeight="1" spans="1:47" x14ac:dyDescent="0.25">
      <c r="A1" s="1" t="s">
        <v>606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2:47" x14ac:dyDescent="0.25">
      <c r="B2" s="17" t="s">
        <v>135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</row>
    <row r="3" spans="2:5" x14ac:dyDescent="0.25">
      <c r="B3" t="s">
        <v>136</v>
      </c>
      <c r="C3" s="18">
        <f>Selected_P</f>
        <v>17670.345615483235</v>
      </c>
      <c r="D3" t="s">
        <v>137</v>
      </c>
      <c r="E3" s="7" t="s">
        <v>607</v>
      </c>
    </row>
    <row r="6" ht="24" customHeight="1" spans="1:5" x14ac:dyDescent="0.25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</row>
    <row r="7" ht="28" customHeight="1" spans="1:47" x14ac:dyDescent="0.25">
      <c r="A7" s="9" t="s">
        <v>139</v>
      </c>
      <c r="B7" s="9" t="s">
        <v>140</v>
      </c>
      <c r="C7" s="9" t="s">
        <v>141</v>
      </c>
      <c r="D7" s="9" t="s">
        <v>142</v>
      </c>
      <c r="E7" s="9" t="s">
        <v>143</v>
      </c>
      <c r="F7" s="9" t="s">
        <v>144</v>
      </c>
      <c r="G7" s="9" t="s">
        <v>145</v>
      </c>
      <c r="H7" s="9" t="s">
        <v>146</v>
      </c>
      <c r="I7" s="9" t="s">
        <v>147</v>
      </c>
      <c r="J7" s="9" t="s">
        <v>148</v>
      </c>
      <c r="K7" s="9" t="s">
        <v>149</v>
      </c>
      <c r="L7" s="9" t="s">
        <v>150</v>
      </c>
      <c r="M7" s="9" t="s">
        <v>151</v>
      </c>
      <c r="N7" s="9" t="s">
        <v>152</v>
      </c>
      <c r="O7" s="9" t="s">
        <v>153</v>
      </c>
      <c r="P7" s="9" t="s">
        <v>154</v>
      </c>
      <c r="Q7" s="9" t="s">
        <v>155</v>
      </c>
      <c r="R7" s="9" t="s">
        <v>156</v>
      </c>
      <c r="S7" s="9" t="s">
        <v>157</v>
      </c>
      <c r="T7" s="9" t="s">
        <v>158</v>
      </c>
      <c r="U7" s="9" t="s">
        <v>159</v>
      </c>
      <c r="V7" s="9" t="s">
        <v>160</v>
      </c>
      <c r="W7" s="9" t="s">
        <v>161</v>
      </c>
      <c r="X7" s="9" t="s">
        <v>162</v>
      </c>
      <c r="Y7" s="9" t="s">
        <v>163</v>
      </c>
      <c r="Z7" s="9" t="s">
        <v>164</v>
      </c>
      <c r="AA7" s="9" t="s">
        <v>165</v>
      </c>
      <c r="AB7" s="9" t="s">
        <v>166</v>
      </c>
      <c r="AC7" s="9" t="s">
        <v>167</v>
      </c>
      <c r="AD7" s="9" t="s">
        <v>168</v>
      </c>
      <c r="AE7" s="9" t="s">
        <v>169</v>
      </c>
      <c r="AF7" s="9" t="s">
        <v>170</v>
      </c>
      <c r="AG7" s="9" t="s">
        <v>171</v>
      </c>
      <c r="AH7" s="9" t="s">
        <v>172</v>
      </c>
      <c r="AI7" s="9" t="s">
        <v>173</v>
      </c>
      <c r="AJ7" s="9" t="s">
        <v>174</v>
      </c>
      <c r="AK7" s="9" t="s">
        <v>175</v>
      </c>
      <c r="AL7" s="9" t="s">
        <v>176</v>
      </c>
      <c r="AM7" s="9" t="s">
        <v>177</v>
      </c>
      <c r="AN7" s="9" t="s">
        <v>178</v>
      </c>
      <c r="AO7" s="9" t="s">
        <v>179</v>
      </c>
      <c r="AP7" s="9" t="s">
        <v>180</v>
      </c>
      <c r="AQ7" s="9" t="s">
        <v>181</v>
      </c>
      <c r="AR7" s="9" t="s">
        <v>182</v>
      </c>
      <c r="AS7" s="9" t="s">
        <v>183</v>
      </c>
      <c r="AT7" s="9" t="s">
        <v>184</v>
      </c>
      <c r="AU7" s="9" t="s">
        <v>185</v>
      </c>
    </row>
    <row r="8" spans="1:47" x14ac:dyDescent="0.25">
      <c r="A8" s="7" t="s">
        <v>186</v>
      </c>
      <c r="B8" s="7">
        <v>1</v>
      </c>
      <c r="C8" s="19">
        <v>0</v>
      </c>
      <c r="D8" s="7" t="s">
        <v>187</v>
      </c>
      <c r="E8" s="7" t="s">
        <v>608</v>
      </c>
      <c r="F8" s="20">
        <v>0</v>
      </c>
      <c r="G8" s="7" t="s">
        <v>189</v>
      </c>
      <c r="H8" s="21">
        <v>0.0033</v>
      </c>
      <c r="I8" s="11">
        <f>MAX(('Geometry'!$G$13*COS(RADIANS(F8))+'Geometry'!$F$13*SIN(RADIANS(F8))),('Geometry'!$G$14*COS(RADIANS(F8))+'Geometry'!$F$14*SIN(RADIANS(F8))),('Geometry'!$G$15*COS(RADIANS(F8))+'Geometry'!$F$15*SIN(RADIANS(F8))),('Geometry'!$G$16*COS(RADIANS(F8))+'Geometry'!$F$16*SIN(RADIANS(F8))),('Geometry'!$G$17*COS(RADIANS(F8))+'Geometry'!$F$17*SIN(RADIANS(F8))),('Geometry'!$G$18*COS(RADIANS(F8))+'Geometry'!$F$18*SIN(RADIANS(F8))),('Geometry'!$G$19*COS(RADIANS(F8))+'Geometry'!$F$19*SIN(RADIANS(F8))),('Geometry'!$G$20*COS(RADIANS(F8))+'Geometry'!$F$20*SIN(RADIANS(F8))))</f>
        <v>600</v>
      </c>
      <c r="J8" s="11">
        <f>I8</f>
        <v>-530</v>
      </c>
      <c r="K8" s="11">
        <f>I8-MIN(('Geometry'!$G$13*COS(RADIANS(F8))+'Geometry'!$F$13*SIN(RADIANS(F8))),('Geometry'!$G$14*COS(RADIANS(F8))+'Geometry'!$F$14*SIN(RADIANS(F8))),('Geometry'!$G$15*COS(RADIANS(F8))+'Geometry'!$F$15*SIN(RADIANS(F8))),('Geometry'!$G$16*COS(RADIANS(F8))+'Geometry'!$F$16*SIN(RADIANS(F8))),('Geometry'!$G$17*COS(RADIANS(F8))+'Geometry'!$F$17*SIN(RADIANS(F8))),('Geometry'!$G$18*COS(RADIANS(F8))+'Geometry'!$F$18*SIN(RADIANS(F8))),('Geometry'!$G$19*COS(RADIANS(F8))+'Geometry'!$F$19*SIN(RADIANS(F8))),('Geometry'!$G$20*COS(RADIANS(F8))+'Geometry'!$F$20*SIN(RADIANS(F8))))</f>
        <v>1200</v>
      </c>
      <c r="L8" s="16">
        <f>H8</f>
        <v>0.0033</v>
      </c>
      <c r="M8" s="16">
        <f>H8</f>
        <v>0.0033</v>
      </c>
      <c r="N8" s="22">
        <f>0</f>
        <v>0</v>
      </c>
      <c r="O8" s="16">
        <f>H8</f>
        <v>0.0033</v>
      </c>
      <c r="P8" s="22">
        <f>N8*COS(RADIANS(F8))</f>
        <v>0</v>
      </c>
      <c r="Q8" s="22">
        <f>N8*SIN(RADIANS(F8))</f>
        <v>0</v>
      </c>
      <c r="R8" s="11">
        <f>AP8</f>
        <v>15240.060530616256</v>
      </c>
      <c r="S8" s="11">
        <f>AQ8</f>
        <v>0</v>
      </c>
      <c r="T8" s="11">
        <f>AR8</f>
        <v>0</v>
      </c>
      <c r="U8" s="11">
        <f>AS8</f>
        <v>2430.2850848669796</v>
      </c>
      <c r="V8" s="11">
        <f>AT8</f>
        <v>0</v>
      </c>
      <c r="W8" s="11">
        <f>AU8</f>
        <v>0</v>
      </c>
      <c r="X8" s="11">
        <f>AM8</f>
        <v>17670.345615483235</v>
      </c>
      <c r="Y8" s="11">
        <f>AN8</f>
        <v>0</v>
      </c>
      <c r="Z8" s="11">
        <f>AO8</f>
        <v>0</v>
      </c>
      <c r="AA8" s="7">
        <v>1</v>
      </c>
      <c r="AB8" s="7">
        <v>1</v>
      </c>
      <c r="AC8" s="7">
        <v>1</v>
      </c>
      <c r="AD8" s="11">
        <f>X8*AA8</f>
        <v>17670.345615483235</v>
      </c>
      <c r="AE8" s="11">
        <f>Y8*AB8</f>
        <v>0</v>
      </c>
      <c r="AF8" s="11">
        <f>Z8*AC8</f>
        <v>0</v>
      </c>
      <c r="AG8" s="7">
        <v>17670.345615483235</v>
      </c>
      <c r="AH8" s="7">
        <v>0</v>
      </c>
      <c r="AI8" s="7">
        <v>0</v>
      </c>
      <c r="AJ8" s="16">
        <f>AD8-AG8</f>
        <v>0</v>
      </c>
      <c r="AK8" s="16">
        <f>SQRT((AE8-AH8)^2+(AF8-AI8)^2)</f>
        <v>0</v>
      </c>
      <c r="AL8" s="7" t="s">
        <v>190</v>
      </c>
      <c r="AM8" s="7">
        <v>17670.345615483235</v>
      </c>
      <c r="AN8" s="7">
        <v>0</v>
      </c>
      <c r="AO8" s="7">
        <v>0</v>
      </c>
      <c r="AP8" s="7">
        <v>15240.060530616256</v>
      </c>
      <c r="AQ8" s="7">
        <v>0</v>
      </c>
      <c r="AR8" s="7">
        <v>0</v>
      </c>
      <c r="AS8" s="7">
        <v>2430.2850848669796</v>
      </c>
      <c r="AT8" s="7">
        <v>0</v>
      </c>
      <c r="AU8" s="7">
        <v>0</v>
      </c>
    </row>
    <row r="9" spans="1:47" x14ac:dyDescent="0.25">
      <c r="A9" s="7" t="s">
        <v>191</v>
      </c>
      <c r="B9" s="7">
        <v>2</v>
      </c>
      <c r="C9" s="19">
        <v>0</v>
      </c>
      <c r="D9" s="7" t="s">
        <v>192</v>
      </c>
      <c r="E9" s="7" t="s">
        <v>609</v>
      </c>
      <c r="F9" s="20">
        <v>0</v>
      </c>
      <c r="G9" s="7" t="s">
        <v>194</v>
      </c>
      <c r="H9" s="21">
        <v>3</v>
      </c>
      <c r="I9" s="11">
        <f>MAX(('Geometry'!$G$13*COS(RADIANS(F9))+'Geometry'!$F$13*SIN(RADIANS(F9))),('Geometry'!$G$14*COS(RADIANS(F9))+'Geometry'!$F$14*SIN(RADIANS(F9))),('Geometry'!$G$15*COS(RADIANS(F9))+'Geometry'!$F$15*SIN(RADIANS(F9))),('Geometry'!$G$16*COS(RADIANS(F9))+'Geometry'!$F$16*SIN(RADIANS(F9))),('Geometry'!$G$17*COS(RADIANS(F9))+'Geometry'!$F$17*SIN(RADIANS(F9))),('Geometry'!$G$18*COS(RADIANS(F9))+'Geometry'!$F$18*SIN(RADIANS(F9))),('Geometry'!$G$19*COS(RADIANS(F9))+'Geometry'!$F$19*SIN(RADIANS(F9))),('Geometry'!$G$20*COS(RADIANS(F9))+'Geometry'!$F$20*SIN(RADIANS(F9))))</f>
        <v>600</v>
      </c>
      <c r="J9" s="11">
        <f>I9-H9*K9</f>
        <v>-3000</v>
      </c>
      <c r="K9" s="11">
        <f>I9-MIN(('Geometry'!$G$13*COS(RADIANS(F9))+'Geometry'!$F$13*SIN(RADIANS(F9))),('Geometry'!$G$14*COS(RADIANS(F9))+'Geometry'!$F$14*SIN(RADIANS(F9))),('Geometry'!$G$15*COS(RADIANS(F9))+'Geometry'!$F$15*SIN(RADIANS(F9))),('Geometry'!$G$16*COS(RADIANS(F9))+'Geometry'!$F$16*SIN(RADIANS(F9))),('Geometry'!$G$17*COS(RADIANS(F9))+'Geometry'!$F$17*SIN(RADIANS(F9))),('Geometry'!$G$18*COS(RADIANS(F9))+'Geometry'!$F$18*SIN(RADIANS(F9))),('Geometry'!$G$19*COS(RADIANS(F9))+'Geometry'!$F$19*SIN(RADIANS(F9))),('Geometry'!$G$20*COS(RADIANS(F9))+'Geometry'!$F$20*SIN(RADIANS(F9))))</f>
        <v>1200</v>
      </c>
      <c r="L9" s="16">
        <f>C_ecu</f>
        <v>0.0033</v>
      </c>
      <c r="M9" s="16">
        <f>0</f>
        <v>0</v>
      </c>
      <c r="N9" s="22">
        <f>IF(ABS(I9-J9)&lt;0.000000000001,0,(L9-M9)/(I9-J9))</f>
        <v>9.166666666666666e-7</v>
      </c>
      <c r="O9" s="16">
        <f>L9-N9*I9</f>
        <v>0.00275</v>
      </c>
      <c r="P9" s="22">
        <f>N9*COS(RADIANS(F9))</f>
        <v>9.166666666666666e-7</v>
      </c>
      <c r="Q9" s="22">
        <f>N9*SIN(RADIANS(F9))</f>
        <v>0</v>
      </c>
      <c r="R9" s="11">
        <f>AP9</f>
        <v>15240.060530616256</v>
      </c>
      <c r="S9" s="11">
        <f>AQ9</f>
        <v>285.94652373245185</v>
      </c>
      <c r="T9" s="11">
        <f>AR9</f>
        <v>0.0021480206476070093</v>
      </c>
      <c r="U9" s="11">
        <f>AS9</f>
        <v>2430.2850848669796</v>
      </c>
      <c r="V9" s="11">
        <f>AT9</f>
        <v>93.44254178501635</v>
      </c>
      <c r="W9" s="11">
        <f>AU9</f>
        <v>5.879224946033295e-16</v>
      </c>
      <c r="X9" s="11">
        <f>AM9</f>
        <v>17670.345615483235</v>
      </c>
      <c r="Y9" s="11">
        <f>AN9</f>
        <v>379.38906551746817</v>
      </c>
      <c r="Z9" s="11">
        <f>AO9</f>
        <v>0.0021480206476075974</v>
      </c>
      <c r="AA9" s="7">
        <v>1</v>
      </c>
      <c r="AB9" s="7">
        <v>1</v>
      </c>
      <c r="AC9" s="7">
        <v>1</v>
      </c>
      <c r="AD9" s="11">
        <f>X9*AA9</f>
        <v>17670.345615483235</v>
      </c>
      <c r="AE9" s="11">
        <f>Y9*AB9</f>
        <v>379.38906551746817</v>
      </c>
      <c r="AF9" s="11">
        <f>Z9*AC9</f>
        <v>0.0021480206476075974</v>
      </c>
      <c r="AG9" s="7">
        <v>17670.345615483235</v>
      </c>
      <c r="AH9" s="7">
        <v>379.38906551746817</v>
      </c>
      <c r="AI9" s="7">
        <v>0.0021480206476075974</v>
      </c>
      <c r="AJ9" s="16">
        <f>AD9-AG9</f>
        <v>0</v>
      </c>
      <c r="AK9" s="16">
        <f>SQRT((AE9-AH9)^2+(AF9-AI9)^2)</f>
        <v>0</v>
      </c>
      <c r="AL9" s="7" t="s">
        <v>190</v>
      </c>
      <c r="AM9" s="7">
        <v>17670.345615483235</v>
      </c>
      <c r="AN9" s="7">
        <v>379.38906551746817</v>
      </c>
      <c r="AO9" s="7">
        <v>0.0021480206476075974</v>
      </c>
      <c r="AP9" s="7">
        <v>15240.060530616256</v>
      </c>
      <c r="AQ9" s="7">
        <v>285.94652373245185</v>
      </c>
      <c r="AR9" s="7">
        <v>0.0021480206476070093</v>
      </c>
      <c r="AS9" s="7">
        <v>2430.2850848669796</v>
      </c>
      <c r="AT9" s="7">
        <v>93.44254178501635</v>
      </c>
      <c r="AU9" s="7">
        <v>5.879224946033295e-16</v>
      </c>
    </row>
    <row r="10" spans="1:47" x14ac:dyDescent="0.25">
      <c r="A10" s="7" t="s">
        <v>195</v>
      </c>
      <c r="B10" s="7">
        <v>3</v>
      </c>
      <c r="C10" s="19">
        <v>0</v>
      </c>
      <c r="D10" s="7" t="s">
        <v>196</v>
      </c>
      <c r="E10" s="7" t="s">
        <v>610</v>
      </c>
      <c r="F10" s="20">
        <v>0</v>
      </c>
      <c r="G10" s="7" t="s">
        <v>194</v>
      </c>
      <c r="H10" s="21">
        <v>2</v>
      </c>
      <c r="I10" s="11">
        <f>MAX(('Geometry'!$G$13*COS(RADIANS(F10))+'Geometry'!$F$13*SIN(RADIANS(F10))),('Geometry'!$G$14*COS(RADIANS(F10))+'Geometry'!$F$14*SIN(RADIANS(F10))),('Geometry'!$G$15*COS(RADIANS(F10))+'Geometry'!$F$15*SIN(RADIANS(F10))),('Geometry'!$G$16*COS(RADIANS(F10))+'Geometry'!$F$16*SIN(RADIANS(F10))),('Geometry'!$G$17*COS(RADIANS(F10))+'Geometry'!$F$17*SIN(RADIANS(F10))),('Geometry'!$G$18*COS(RADIANS(F10))+'Geometry'!$F$18*SIN(RADIANS(F10))),('Geometry'!$G$19*COS(RADIANS(F10))+'Geometry'!$F$19*SIN(RADIANS(F10))),('Geometry'!$G$20*COS(RADIANS(F10))+'Geometry'!$F$20*SIN(RADIANS(F10))))</f>
        <v>600</v>
      </c>
      <c r="J10" s="11">
        <f>I10-H10*K10</f>
        <v>-1799.9999999999998</v>
      </c>
      <c r="K10" s="11">
        <f>I10-MIN(('Geometry'!$G$13*COS(RADIANS(F10))+'Geometry'!$F$13*SIN(RADIANS(F10))),('Geometry'!$G$14*COS(RADIANS(F10))+'Geometry'!$F$14*SIN(RADIANS(F10))),('Geometry'!$G$15*COS(RADIANS(F10))+'Geometry'!$F$15*SIN(RADIANS(F10))),('Geometry'!$G$16*COS(RADIANS(F10))+'Geometry'!$F$16*SIN(RADIANS(F10))),('Geometry'!$G$17*COS(RADIANS(F10))+'Geometry'!$F$17*SIN(RADIANS(F10))),('Geometry'!$G$18*COS(RADIANS(F10))+'Geometry'!$F$18*SIN(RADIANS(F10))),('Geometry'!$G$19*COS(RADIANS(F10))+'Geometry'!$F$19*SIN(RADIANS(F10))),('Geometry'!$G$20*COS(RADIANS(F10))+'Geometry'!$F$20*SIN(RADIANS(F10))))</f>
        <v>1200</v>
      </c>
      <c r="L10" s="16">
        <f>C_ecu</f>
        <v>0.0033</v>
      </c>
      <c r="M10" s="16">
        <f>0</f>
        <v>0</v>
      </c>
      <c r="N10" s="22">
        <f>IF(ABS(I10-J10)&lt;0.000000000001,0,(L10-M10)/(I10-J10))</f>
        <v>0.000001375</v>
      </c>
      <c r="O10" s="16">
        <f>L10-N10*I10</f>
        <v>0.0024749999999999998</v>
      </c>
      <c r="P10" s="22">
        <f>N10*COS(RADIANS(F10))</f>
        <v>0.000001375</v>
      </c>
      <c r="Q10" s="22">
        <f>N10*SIN(RADIANS(F10))</f>
        <v>0</v>
      </c>
      <c r="R10" s="11">
        <f>AP10</f>
        <v>15240.060530616256</v>
      </c>
      <c r="S10" s="11">
        <f>AQ10</f>
        <v>571.8930474649037</v>
      </c>
      <c r="T10" s="11">
        <f>AR10</f>
        <v>0.004296041295214019</v>
      </c>
      <c r="U10" s="11">
        <f>AS10</f>
        <v>2430.2850848669796</v>
      </c>
      <c r="V10" s="11">
        <f>AT10</f>
        <v>186.8850835700327</v>
      </c>
      <c r="W10" s="11">
        <f>AU10</f>
        <v>1.175844989206659e-15</v>
      </c>
      <c r="X10" s="11">
        <f>AM10</f>
        <v>17670.345615483235</v>
      </c>
      <c r="Y10" s="11">
        <f>AN10</f>
        <v>758.7781310349363</v>
      </c>
      <c r="Z10" s="11">
        <f>AO10</f>
        <v>0.004296041295215195</v>
      </c>
      <c r="AA10" s="7">
        <v>1</v>
      </c>
      <c r="AB10" s="7">
        <v>1</v>
      </c>
      <c r="AC10" s="7">
        <v>1</v>
      </c>
      <c r="AD10" s="11">
        <f>X10*AA10</f>
        <v>17670.345615483235</v>
      </c>
      <c r="AE10" s="11">
        <f>Y10*AB10</f>
        <v>758.7781310349363</v>
      </c>
      <c r="AF10" s="11">
        <f>Z10*AC10</f>
        <v>0.004296041295215195</v>
      </c>
      <c r="AG10" s="7">
        <v>17670.345615483235</v>
      </c>
      <c r="AH10" s="7">
        <v>758.7781310349363</v>
      </c>
      <c r="AI10" s="7">
        <v>0.004296041295215195</v>
      </c>
      <c r="AJ10" s="16">
        <f>AD10-AG10</f>
        <v>0</v>
      </c>
      <c r="AK10" s="16">
        <f>SQRT((AE10-AH10)^2+(AF10-AI10)^2)</f>
        <v>0</v>
      </c>
      <c r="AL10" s="7" t="s">
        <v>190</v>
      </c>
      <c r="AM10" s="7">
        <v>17670.345615483235</v>
      </c>
      <c r="AN10" s="7">
        <v>758.7781310349363</v>
      </c>
      <c r="AO10" s="7">
        <v>0.004296041295215195</v>
      </c>
      <c r="AP10" s="7">
        <v>15240.060530616256</v>
      </c>
      <c r="AQ10" s="7">
        <v>571.8930474649037</v>
      </c>
      <c r="AR10" s="7">
        <v>0.004296041295214019</v>
      </c>
      <c r="AS10" s="7">
        <v>2430.2850848669796</v>
      </c>
      <c r="AT10" s="7">
        <v>186.8850835700327</v>
      </c>
      <c r="AU10" s="7">
        <v>1.175844989206659e-15</v>
      </c>
    </row>
    <row r="11" spans="1:47" x14ac:dyDescent="0.25">
      <c r="A11" s="7" t="s">
        <v>198</v>
      </c>
      <c r="B11" s="7">
        <v>4</v>
      </c>
      <c r="C11" s="19">
        <v>0</v>
      </c>
      <c r="D11" s="7" t="s">
        <v>199</v>
      </c>
      <c r="E11" s="7" t="s">
        <v>611</v>
      </c>
      <c r="F11" s="20">
        <v>0</v>
      </c>
      <c r="G11" s="7" t="s">
        <v>194</v>
      </c>
      <c r="H11" s="21">
        <v>1.4999999999999998</v>
      </c>
      <c r="I11" s="11">
        <f>MAX(('Geometry'!$G$13*COS(RADIANS(F11))+'Geometry'!$F$13*SIN(RADIANS(F11))),('Geometry'!$G$14*COS(RADIANS(F11))+'Geometry'!$F$14*SIN(RADIANS(F11))),('Geometry'!$G$15*COS(RADIANS(F11))+'Geometry'!$F$15*SIN(RADIANS(F11))),('Geometry'!$G$16*COS(RADIANS(F11))+'Geometry'!$F$16*SIN(RADIANS(F11))),('Geometry'!$G$17*COS(RADIANS(F11))+'Geometry'!$F$17*SIN(RADIANS(F11))),('Geometry'!$G$18*COS(RADIANS(F11))+'Geometry'!$F$18*SIN(RADIANS(F11))),('Geometry'!$G$19*COS(RADIANS(F11))+'Geometry'!$F$19*SIN(RADIANS(F11))),('Geometry'!$G$20*COS(RADIANS(F11))+'Geometry'!$F$20*SIN(RADIANS(F11))))</f>
        <v>600</v>
      </c>
      <c r="J11" s="11">
        <f>I11-H11*K11</f>
        <v>-1199.9999999999998</v>
      </c>
      <c r="K11" s="11">
        <f>I11-MIN(('Geometry'!$G$13*COS(RADIANS(F11))+'Geometry'!$F$13*SIN(RADIANS(F11))),('Geometry'!$G$14*COS(RADIANS(F11))+'Geometry'!$F$14*SIN(RADIANS(F11))),('Geometry'!$G$15*COS(RADIANS(F11))+'Geometry'!$F$15*SIN(RADIANS(F11))),('Geometry'!$G$16*COS(RADIANS(F11))+'Geometry'!$F$16*SIN(RADIANS(F11))),('Geometry'!$G$17*COS(RADIANS(F11))+'Geometry'!$F$17*SIN(RADIANS(F11))),('Geometry'!$G$18*COS(RADIANS(F11))+'Geometry'!$F$18*SIN(RADIANS(F11))),('Geometry'!$G$19*COS(RADIANS(F11))+'Geometry'!$F$19*SIN(RADIANS(F11))),('Geometry'!$G$20*COS(RADIANS(F11))+'Geometry'!$F$20*SIN(RADIANS(F11))))</f>
        <v>1200</v>
      </c>
      <c r="L11" s="16">
        <f>C_ecu</f>
        <v>0.0033</v>
      </c>
      <c r="M11" s="16">
        <f>0</f>
        <v>0</v>
      </c>
      <c r="N11" s="22">
        <f>IF(ABS(I11-J11)&lt;0.000000000001,0,(L11-M11)/(I11-J11))</f>
        <v>0.0000018333333333333333</v>
      </c>
      <c r="O11" s="16">
        <f>L11-N11*I11</f>
        <v>0.0021999999999999997</v>
      </c>
      <c r="P11" s="22">
        <f>N11*COS(RADIANS(F11))</f>
        <v>0.0000018333333333333333</v>
      </c>
      <c r="Q11" s="22">
        <f>N11*SIN(RADIANS(F11))</f>
        <v>0</v>
      </c>
      <c r="R11" s="11">
        <f>AP11</f>
        <v>15240.060530616256</v>
      </c>
      <c r="S11" s="11">
        <f>AQ11</f>
        <v>857.8395711973557</v>
      </c>
      <c r="T11" s="11">
        <f>AR11</f>
        <v>0.006444061942821029</v>
      </c>
      <c r="U11" s="11">
        <f>AS11</f>
        <v>2430.2850848669796</v>
      </c>
      <c r="V11" s="11">
        <f>AT11</f>
        <v>280.32762535504907</v>
      </c>
      <c r="W11" s="11">
        <f>AU11</f>
        <v>1.7637674838099887e-15</v>
      </c>
      <c r="X11" s="11">
        <f>AM11</f>
        <v>17670.345615483235</v>
      </c>
      <c r="Y11" s="11">
        <f>AN11</f>
        <v>1138.1671965524047</v>
      </c>
      <c r="Z11" s="11">
        <f>AO11</f>
        <v>0.006444061942822793</v>
      </c>
      <c r="AA11" s="7">
        <v>1</v>
      </c>
      <c r="AB11" s="7">
        <v>1</v>
      </c>
      <c r="AC11" s="7">
        <v>1</v>
      </c>
      <c r="AD11" s="11">
        <f>X11*AA11</f>
        <v>17670.345615483235</v>
      </c>
      <c r="AE11" s="11">
        <f>Y11*AB11</f>
        <v>1138.1671965524047</v>
      </c>
      <c r="AF11" s="11">
        <f>Z11*AC11</f>
        <v>0.006444061942822793</v>
      </c>
      <c r="AG11" s="7">
        <v>17670.345615483235</v>
      </c>
      <c r="AH11" s="7">
        <v>1138.1671965524047</v>
      </c>
      <c r="AI11" s="7">
        <v>0.006444061942822793</v>
      </c>
      <c r="AJ11" s="16">
        <f>AD11-AG11</f>
        <v>0</v>
      </c>
      <c r="AK11" s="16">
        <f>SQRT((AE11-AH11)^2+(AF11-AI11)^2)</f>
        <v>0</v>
      </c>
      <c r="AL11" s="7" t="s">
        <v>190</v>
      </c>
      <c r="AM11" s="7">
        <v>17670.345615483235</v>
      </c>
      <c r="AN11" s="7">
        <v>1138.1671965524047</v>
      </c>
      <c r="AO11" s="7">
        <v>0.006444061942822793</v>
      </c>
      <c r="AP11" s="7">
        <v>15240.060530616256</v>
      </c>
      <c r="AQ11" s="7">
        <v>857.8395711973557</v>
      </c>
      <c r="AR11" s="7">
        <v>0.006444061942821029</v>
      </c>
      <c r="AS11" s="7">
        <v>2430.2850848669796</v>
      </c>
      <c r="AT11" s="7">
        <v>280.32762535504907</v>
      </c>
      <c r="AU11" s="7">
        <v>1.7637674838099887e-15</v>
      </c>
    </row>
    <row r="12" spans="1:47" x14ac:dyDescent="0.25">
      <c r="A12" s="7" t="s">
        <v>201</v>
      </c>
      <c r="B12" s="7">
        <v>5</v>
      </c>
      <c r="C12" s="19">
        <v>0</v>
      </c>
      <c r="D12" s="7" t="s">
        <v>202</v>
      </c>
      <c r="E12" s="7" t="s">
        <v>612</v>
      </c>
      <c r="F12" s="20">
        <v>0</v>
      </c>
      <c r="G12" s="7" t="s">
        <v>194</v>
      </c>
      <c r="H12" s="21">
        <v>1.2</v>
      </c>
      <c r="I12" s="11">
        <f>MAX(('Geometry'!$G$13*COS(RADIANS(F12))+'Geometry'!$F$13*SIN(RADIANS(F12))),('Geometry'!$G$14*COS(RADIANS(F12))+'Geometry'!$F$14*SIN(RADIANS(F12))),('Geometry'!$G$15*COS(RADIANS(F12))+'Geometry'!$F$15*SIN(RADIANS(F12))),('Geometry'!$G$16*COS(RADIANS(F12))+'Geometry'!$F$16*SIN(RADIANS(F12))),('Geometry'!$G$17*COS(RADIANS(F12))+'Geometry'!$F$17*SIN(RADIANS(F12))),('Geometry'!$G$18*COS(RADIANS(F12))+'Geometry'!$F$18*SIN(RADIANS(F12))),('Geometry'!$G$19*COS(RADIANS(F12))+'Geometry'!$F$19*SIN(RADIANS(F12))),('Geometry'!$G$20*COS(RADIANS(F12))+'Geometry'!$F$20*SIN(RADIANS(F12))))</f>
        <v>600</v>
      </c>
      <c r="J12" s="11">
        <f>I12-H12*K12</f>
        <v>-840</v>
      </c>
      <c r="K12" s="11">
        <f>I12-MIN(('Geometry'!$G$13*COS(RADIANS(F12))+'Geometry'!$F$13*SIN(RADIANS(F12))),('Geometry'!$G$14*COS(RADIANS(F12))+'Geometry'!$F$14*SIN(RADIANS(F12))),('Geometry'!$G$15*COS(RADIANS(F12))+'Geometry'!$F$15*SIN(RADIANS(F12))),('Geometry'!$G$16*COS(RADIANS(F12))+'Geometry'!$F$16*SIN(RADIANS(F12))),('Geometry'!$G$17*COS(RADIANS(F12))+'Geometry'!$F$17*SIN(RADIANS(F12))),('Geometry'!$G$18*COS(RADIANS(F12))+'Geometry'!$F$18*SIN(RADIANS(F12))),('Geometry'!$G$19*COS(RADIANS(F12))+'Geometry'!$F$19*SIN(RADIANS(F12))),('Geometry'!$G$20*COS(RADIANS(F12))+'Geometry'!$F$20*SIN(RADIANS(F12))))</f>
        <v>1200</v>
      </c>
      <c r="L12" s="16">
        <f>C_ecu</f>
        <v>0.0033</v>
      </c>
      <c r="M12" s="16">
        <f>0</f>
        <v>0</v>
      </c>
      <c r="N12" s="22">
        <f>IF(ABS(I12-J12)&lt;0.000000000001,0,(L12-M12)/(I12-J12))</f>
        <v>0.0000022916666666666666</v>
      </c>
      <c r="O12" s="16">
        <f>L12-N12*I12</f>
        <v>0.001925</v>
      </c>
      <c r="P12" s="22">
        <f>N12*COS(RADIANS(F12))</f>
        <v>0.0000022916666666666666</v>
      </c>
      <c r="Q12" s="22">
        <f>N12*SIN(RADIANS(F12))</f>
        <v>0</v>
      </c>
      <c r="R12" s="11">
        <f>AP12</f>
        <v>15240.060530616256</v>
      </c>
      <c r="S12" s="11">
        <f>AQ12</f>
        <v>1143.7860949298074</v>
      </c>
      <c r="T12" s="11">
        <f>AR12</f>
        <v>0.008592082590428037</v>
      </c>
      <c r="U12" s="11">
        <f>AS12</f>
        <v>2430.2850848669796</v>
      </c>
      <c r="V12" s="11">
        <f>AT12</f>
        <v>373.7701671400654</v>
      </c>
      <c r="W12" s="11">
        <f>AU12</f>
        <v>2.351689978413318e-15</v>
      </c>
      <c r="X12" s="11">
        <f>AM12</f>
        <v>17670.345615483235</v>
      </c>
      <c r="Y12" s="11">
        <f>AN12</f>
        <v>1517.5562620698727</v>
      </c>
      <c r="Z12" s="11">
        <f>AO12</f>
        <v>0.00859208259043039</v>
      </c>
      <c r="AA12" s="7">
        <v>1</v>
      </c>
      <c r="AB12" s="7">
        <v>1</v>
      </c>
      <c r="AC12" s="7">
        <v>1</v>
      </c>
      <c r="AD12" s="11">
        <f>X12*AA12</f>
        <v>17670.345615483235</v>
      </c>
      <c r="AE12" s="11">
        <f>Y12*AB12</f>
        <v>1517.5562620698727</v>
      </c>
      <c r="AF12" s="11">
        <f>Z12*AC12</f>
        <v>0.00859208259043039</v>
      </c>
      <c r="AG12" s="7">
        <v>17670.345615483235</v>
      </c>
      <c r="AH12" s="7">
        <v>1517.5562620698727</v>
      </c>
      <c r="AI12" s="7">
        <v>0.00859208259043039</v>
      </c>
      <c r="AJ12" s="16">
        <f>AD12-AG12</f>
        <v>0</v>
      </c>
      <c r="AK12" s="16">
        <f>SQRT((AE12-AH12)^2+(AF12-AI12)^2)</f>
        <v>0</v>
      </c>
      <c r="AL12" s="7" t="s">
        <v>190</v>
      </c>
      <c r="AM12" s="7">
        <v>17670.345615483235</v>
      </c>
      <c r="AN12" s="7">
        <v>1517.5562620698727</v>
      </c>
      <c r="AO12" s="7">
        <v>0.00859208259043039</v>
      </c>
      <c r="AP12" s="7">
        <v>15240.060530616256</v>
      </c>
      <c r="AQ12" s="7">
        <v>1143.7860949298074</v>
      </c>
      <c r="AR12" s="7">
        <v>0.008592082590428037</v>
      </c>
      <c r="AS12" s="7">
        <v>2430.2850848669796</v>
      </c>
      <c r="AT12" s="7">
        <v>373.7701671400654</v>
      </c>
      <c r="AU12" s="7">
        <v>2.351689978413318e-15</v>
      </c>
    </row>
    <row r="13" spans="1:47" x14ac:dyDescent="0.25">
      <c r="A13" s="7" t="s">
        <v>204</v>
      </c>
      <c r="B13" s="7">
        <v>6</v>
      </c>
      <c r="C13" s="19">
        <v>0</v>
      </c>
      <c r="D13" s="7" t="s">
        <v>205</v>
      </c>
      <c r="E13" s="7" t="s">
        <v>613</v>
      </c>
      <c r="F13" s="20">
        <v>0</v>
      </c>
      <c r="G13" s="7" t="s">
        <v>194</v>
      </c>
      <c r="H13" s="21">
        <v>1.1</v>
      </c>
      <c r="I13" s="11">
        <f>MAX(('Geometry'!$G$13*COS(RADIANS(F13))+'Geometry'!$F$13*SIN(RADIANS(F13))),('Geometry'!$G$14*COS(RADIANS(F13))+'Geometry'!$F$14*SIN(RADIANS(F13))),('Geometry'!$G$15*COS(RADIANS(F13))+'Geometry'!$F$15*SIN(RADIANS(F13))),('Geometry'!$G$16*COS(RADIANS(F13))+'Geometry'!$F$16*SIN(RADIANS(F13))),('Geometry'!$G$17*COS(RADIANS(F13))+'Geometry'!$F$17*SIN(RADIANS(F13))),('Geometry'!$G$18*COS(RADIANS(F13))+'Geometry'!$F$18*SIN(RADIANS(F13))),('Geometry'!$G$19*COS(RADIANS(F13))+'Geometry'!$F$19*SIN(RADIANS(F13))),('Geometry'!$G$20*COS(RADIANS(F13))+'Geometry'!$F$20*SIN(RADIANS(F13))))</f>
        <v>600</v>
      </c>
      <c r="J13" s="11">
        <f>I13-H13*K13</f>
        <v>-720.0000000000001</v>
      </c>
      <c r="K13" s="11">
        <f>I13-MIN(('Geometry'!$G$13*COS(RADIANS(F13))+'Geometry'!$F$13*SIN(RADIANS(F13))),('Geometry'!$G$14*COS(RADIANS(F13))+'Geometry'!$F$14*SIN(RADIANS(F13))),('Geometry'!$G$15*COS(RADIANS(F13))+'Geometry'!$F$15*SIN(RADIANS(F13))),('Geometry'!$G$16*COS(RADIANS(F13))+'Geometry'!$F$16*SIN(RADIANS(F13))),('Geometry'!$G$17*COS(RADIANS(F13))+'Geometry'!$F$17*SIN(RADIANS(F13))),('Geometry'!$G$18*COS(RADIANS(F13))+'Geometry'!$F$18*SIN(RADIANS(F13))),('Geometry'!$G$19*COS(RADIANS(F13))+'Geometry'!$F$19*SIN(RADIANS(F13))),('Geometry'!$G$20*COS(RADIANS(F13))+'Geometry'!$F$20*SIN(RADIANS(F13))))</f>
        <v>1200</v>
      </c>
      <c r="L13" s="16">
        <f>C_ecu</f>
        <v>0.0033</v>
      </c>
      <c r="M13" s="16">
        <f>0</f>
        <v>0</v>
      </c>
      <c r="N13" s="22">
        <f>IF(ABS(I13-J13)&lt;0.000000000001,0,(L13-M13)/(I13-J13))</f>
        <v>0.0000024999999999999998</v>
      </c>
      <c r="O13" s="16">
        <f>L13-N13*I13</f>
        <v>0.0018000000000000002</v>
      </c>
      <c r="P13" s="22">
        <f>N13*COS(RADIANS(F13))</f>
        <v>0.0000024999999999999998</v>
      </c>
      <c r="Q13" s="22">
        <f>N13*SIN(RADIANS(F13))</f>
        <v>0</v>
      </c>
      <c r="R13" s="11">
        <f>AP13</f>
        <v>15240.060530616256</v>
      </c>
      <c r="S13" s="11">
        <f>AQ13</f>
        <v>1429.732618662259</v>
      </c>
      <c r="T13" s="11">
        <f>AR13</f>
        <v>0.010740103238035047</v>
      </c>
      <c r="U13" s="11">
        <f>AS13</f>
        <v>2430.2850848669796</v>
      </c>
      <c r="V13" s="11">
        <f>AT13</f>
        <v>467.21270892508176</v>
      </c>
      <c r="W13" s="11">
        <f>AU13</f>
        <v>2.9396124730166475e-15</v>
      </c>
      <c r="X13" s="11">
        <f>AM13</f>
        <v>17670.345615483235</v>
      </c>
      <c r="Y13" s="11">
        <f>AN13</f>
        <v>1896.945327587341</v>
      </c>
      <c r="Z13" s="11">
        <f>AO13</f>
        <v>0.010740103238037988</v>
      </c>
      <c r="AA13" s="7">
        <v>1</v>
      </c>
      <c r="AB13" s="7">
        <v>1</v>
      </c>
      <c r="AC13" s="7">
        <v>1</v>
      </c>
      <c r="AD13" s="11">
        <f>X13*AA13</f>
        <v>17670.345615483235</v>
      </c>
      <c r="AE13" s="11">
        <f>Y13*AB13</f>
        <v>1896.945327587341</v>
      </c>
      <c r="AF13" s="11">
        <f>Z13*AC13</f>
        <v>0.010740103238037988</v>
      </c>
      <c r="AG13" s="7">
        <v>17670.345615483235</v>
      </c>
      <c r="AH13" s="7">
        <v>1896.945327587341</v>
      </c>
      <c r="AI13" s="7">
        <v>0.010740103238037988</v>
      </c>
      <c r="AJ13" s="16">
        <f>AD13-AG13</f>
        <v>0</v>
      </c>
      <c r="AK13" s="16">
        <f>SQRT((AE13-AH13)^2+(AF13-AI13)^2)</f>
        <v>0</v>
      </c>
      <c r="AL13" s="7" t="s">
        <v>190</v>
      </c>
      <c r="AM13" s="7">
        <v>17670.345615483235</v>
      </c>
      <c r="AN13" s="7">
        <v>1896.945327587341</v>
      </c>
      <c r="AO13" s="7">
        <v>0.010740103238037988</v>
      </c>
      <c r="AP13" s="7">
        <v>15240.060530616256</v>
      </c>
      <c r="AQ13" s="7">
        <v>1429.732618662259</v>
      </c>
      <c r="AR13" s="7">
        <v>0.010740103238035047</v>
      </c>
      <c r="AS13" s="7">
        <v>2430.2850848669796</v>
      </c>
      <c r="AT13" s="7">
        <v>467.21270892508176</v>
      </c>
      <c r="AU13" s="7">
        <v>2.9396124730166475e-15</v>
      </c>
    </row>
    <row r="14" spans="1:47" x14ac:dyDescent="0.25">
      <c r="A14" s="7" t="s">
        <v>207</v>
      </c>
      <c r="B14" s="7">
        <v>1</v>
      </c>
      <c r="C14" s="19">
        <v>10</v>
      </c>
      <c r="D14" s="7" t="s">
        <v>208</v>
      </c>
      <c r="E14" s="7" t="s">
        <v>609</v>
      </c>
      <c r="F14" s="20">
        <v>10</v>
      </c>
      <c r="G14" s="7" t="s">
        <v>194</v>
      </c>
      <c r="H14" s="21">
        <v>3</v>
      </c>
      <c r="I14" s="11">
        <f>MAX(('Geometry'!$G$13*COS(RADIANS(F14))+'Geometry'!$F$13*SIN(RADIANS(F14))),('Geometry'!$G$14*COS(RADIANS(F14))+'Geometry'!$F$14*SIN(RADIANS(F14))),('Geometry'!$G$15*COS(RADIANS(F14))+'Geometry'!$F$15*SIN(RADIANS(F14))),('Geometry'!$G$16*COS(RADIANS(F14))+'Geometry'!$F$16*SIN(RADIANS(F14))),('Geometry'!$G$17*COS(RADIANS(F14))+'Geometry'!$F$17*SIN(RADIANS(F14))),('Geometry'!$G$18*COS(RADIANS(F14))+'Geometry'!$F$18*SIN(RADIANS(F14))),('Geometry'!$G$19*COS(RADIANS(F14))+'Geometry'!$F$19*SIN(RADIANS(F14))),('Geometry'!$G$20*COS(RADIANS(F14))+'Geometry'!$F$20*SIN(RADIANS(F14))))</f>
        <v>686.3911495241364</v>
      </c>
      <c r="J14" s="11">
        <f>I14-H14*K14</f>
        <v>-3431.9557476206824</v>
      </c>
      <c r="K14" s="11">
        <f>I14-MIN(('Geometry'!$G$13*COS(RADIANS(F14))+'Geometry'!$F$13*SIN(RADIANS(F14))),('Geometry'!$G$14*COS(RADIANS(F14))+'Geometry'!$F$14*SIN(RADIANS(F14))),('Geometry'!$G$15*COS(RADIANS(F14))+'Geometry'!$F$15*SIN(RADIANS(F14))),('Geometry'!$G$16*COS(RADIANS(F14))+'Geometry'!$F$16*SIN(RADIANS(F14))),('Geometry'!$G$17*COS(RADIANS(F14))+'Geometry'!$F$17*SIN(RADIANS(F14))),('Geometry'!$G$18*COS(RADIANS(F14))+'Geometry'!$F$18*SIN(RADIANS(F14))),('Geometry'!$G$19*COS(RADIANS(F14))+'Geometry'!$F$19*SIN(RADIANS(F14))),('Geometry'!$G$20*COS(RADIANS(F14))+'Geometry'!$F$20*SIN(RADIANS(F14))))</f>
        <v>1372.7822990482728</v>
      </c>
      <c r="L14" s="16">
        <f>C_ecu</f>
        <v>0.0033</v>
      </c>
      <c r="M14" s="16">
        <f>0</f>
        <v>0</v>
      </c>
      <c r="N14" s="22">
        <f>IF(ABS(I14-J14)&lt;0.000000000001,0,(L14-M14)/(I14-J14))</f>
        <v>8.012923831860388e-7</v>
      </c>
      <c r="O14" s="16">
        <f>L14-N14*I14</f>
        <v>0.00275</v>
      </c>
      <c r="P14" s="22">
        <f>N14*COS(RADIANS(F14))</f>
        <v>7.891189513912401e-7</v>
      </c>
      <c r="Q14" s="22">
        <f>N14*SIN(RADIANS(F14))</f>
        <v>1.391429621186473e-7</v>
      </c>
      <c r="R14" s="11">
        <f>AP14</f>
        <v>15258.271318017763</v>
      </c>
      <c r="S14" s="11">
        <f>AQ14</f>
        <v>251.17873171548482</v>
      </c>
      <c r="T14" s="11">
        <f>AR14</f>
        <v>67.96911836108701</v>
      </c>
      <c r="U14" s="11">
        <f>AS14</f>
        <v>2412.074297465474</v>
      </c>
      <c r="V14" s="11">
        <f>AT14</f>
        <v>82.35856180427704</v>
      </c>
      <c r="W14" s="11">
        <f>AU14</f>
        <v>20.101443696223427</v>
      </c>
      <c r="X14" s="11">
        <f>AM14</f>
        <v>17670.345615483235</v>
      </c>
      <c r="Y14" s="11">
        <f>AN14</f>
        <v>333.53729351976193</v>
      </c>
      <c r="Z14" s="11">
        <f>AO14</f>
        <v>88.07056205731041</v>
      </c>
      <c r="AA14" s="7">
        <v>1</v>
      </c>
      <c r="AB14" s="7">
        <v>1</v>
      </c>
      <c r="AC14" s="7">
        <v>1</v>
      </c>
      <c r="AD14" s="11">
        <f>X14*AA14</f>
        <v>17670.345615483235</v>
      </c>
      <c r="AE14" s="11">
        <f>Y14*AB14</f>
        <v>333.53729351976193</v>
      </c>
      <c r="AF14" s="11">
        <f>Z14*AC14</f>
        <v>88.07056205731041</v>
      </c>
      <c r="AG14" s="7">
        <v>17670.345615483235</v>
      </c>
      <c r="AH14" s="7">
        <v>333.53729351976193</v>
      </c>
      <c r="AI14" s="7">
        <v>88.07056205731041</v>
      </c>
      <c r="AJ14" s="16">
        <f>AD14-AG14</f>
        <v>0</v>
      </c>
      <c r="AK14" s="16">
        <f>SQRT((AE14-AH14)^2+(AF14-AI14)^2)</f>
        <v>0</v>
      </c>
      <c r="AL14" s="7" t="s">
        <v>190</v>
      </c>
      <c r="AM14" s="7">
        <v>17670.345615483235</v>
      </c>
      <c r="AN14" s="7">
        <v>333.53729351976193</v>
      </c>
      <c r="AO14" s="7">
        <v>88.07056205731041</v>
      </c>
      <c r="AP14" s="7">
        <v>15258.271318017763</v>
      </c>
      <c r="AQ14" s="7">
        <v>251.17873171548482</v>
      </c>
      <c r="AR14" s="7">
        <v>67.96911836108701</v>
      </c>
      <c r="AS14" s="7">
        <v>2412.074297465474</v>
      </c>
      <c r="AT14" s="7">
        <v>82.35856180427704</v>
      </c>
      <c r="AU14" s="7">
        <v>20.101443696223427</v>
      </c>
    </row>
    <row r="15" spans="1:47" x14ac:dyDescent="0.25">
      <c r="A15" s="7" t="s">
        <v>209</v>
      </c>
      <c r="B15" s="7">
        <v>2</v>
      </c>
      <c r="C15" s="19">
        <v>10</v>
      </c>
      <c r="D15" s="7" t="s">
        <v>210</v>
      </c>
      <c r="E15" s="7" t="s">
        <v>610</v>
      </c>
      <c r="F15" s="20">
        <v>10</v>
      </c>
      <c r="G15" s="7" t="s">
        <v>194</v>
      </c>
      <c r="H15" s="21">
        <v>2</v>
      </c>
      <c r="I15" s="11">
        <f>MAX(('Geometry'!$G$13*COS(RADIANS(F15))+'Geometry'!$F$13*SIN(RADIANS(F15))),('Geometry'!$G$14*COS(RADIANS(F15))+'Geometry'!$F$14*SIN(RADIANS(F15))),('Geometry'!$G$15*COS(RADIANS(F15))+'Geometry'!$F$15*SIN(RADIANS(F15))),('Geometry'!$G$16*COS(RADIANS(F15))+'Geometry'!$F$16*SIN(RADIANS(F15))),('Geometry'!$G$17*COS(RADIANS(F15))+'Geometry'!$F$17*SIN(RADIANS(F15))),('Geometry'!$G$18*COS(RADIANS(F15))+'Geometry'!$F$18*SIN(RADIANS(F15))),('Geometry'!$G$19*COS(RADIANS(F15))+'Geometry'!$F$19*SIN(RADIANS(F15))),('Geometry'!$G$20*COS(RADIANS(F15))+'Geometry'!$F$20*SIN(RADIANS(F15))))</f>
        <v>686.3911495241364</v>
      </c>
      <c r="J15" s="11">
        <f>I15-H15*K15</f>
        <v>-2059.173448572409</v>
      </c>
      <c r="K15" s="11">
        <f>I15-MIN(('Geometry'!$G$13*COS(RADIANS(F15))+'Geometry'!$F$13*SIN(RADIANS(F15))),('Geometry'!$G$14*COS(RADIANS(F15))+'Geometry'!$F$14*SIN(RADIANS(F15))),('Geometry'!$G$15*COS(RADIANS(F15))+'Geometry'!$F$15*SIN(RADIANS(F15))),('Geometry'!$G$16*COS(RADIANS(F15))+'Geometry'!$F$16*SIN(RADIANS(F15))),('Geometry'!$G$17*COS(RADIANS(F15))+'Geometry'!$F$17*SIN(RADIANS(F15))),('Geometry'!$G$18*COS(RADIANS(F15))+'Geometry'!$F$18*SIN(RADIANS(F15))),('Geometry'!$G$19*COS(RADIANS(F15))+'Geometry'!$F$19*SIN(RADIANS(F15))),('Geometry'!$G$20*COS(RADIANS(F15))+'Geometry'!$F$20*SIN(RADIANS(F15))))</f>
        <v>1372.7822990482728</v>
      </c>
      <c r="L15" s="16">
        <f>C_ecu</f>
        <v>0.0032999999999999995</v>
      </c>
      <c r="M15" s="16">
        <f>0</f>
        <v>0</v>
      </c>
      <c r="N15" s="22">
        <f>IF(ABS(I15-J15)&lt;0.000000000001,0,(L15-M15)/(I15-J15))</f>
        <v>0.0000012019385747790582</v>
      </c>
      <c r="O15" s="16">
        <f>L15-N15*I15</f>
        <v>0.0024749999999999998</v>
      </c>
      <c r="P15" s="22">
        <f>N15*COS(RADIANS(F15))</f>
        <v>0.0000011836784270868602</v>
      </c>
      <c r="Q15" s="22">
        <f>N15*SIN(RADIANS(F15))</f>
        <v>2.0871444317797096e-7</v>
      </c>
      <c r="R15" s="11">
        <f>AP15</f>
        <v>15258.271318017763</v>
      </c>
      <c r="S15" s="11">
        <f>AQ15</f>
        <v>502.35746343096963</v>
      </c>
      <c r="T15" s="11">
        <f>AR15</f>
        <v>135.93823672217403</v>
      </c>
      <c r="U15" s="11">
        <f>AS15</f>
        <v>2412.074297465474</v>
      </c>
      <c r="V15" s="11">
        <f>AT15</f>
        <v>164.7171236085541</v>
      </c>
      <c r="W15" s="11">
        <f>AU15</f>
        <v>40.202887392446854</v>
      </c>
      <c r="X15" s="11">
        <f>AM15</f>
        <v>17670.345615483235</v>
      </c>
      <c r="Y15" s="11">
        <f>AN15</f>
        <v>667.0745870395239</v>
      </c>
      <c r="Z15" s="11">
        <f>AO15</f>
        <v>176.14112411462082</v>
      </c>
      <c r="AA15" s="7">
        <v>1</v>
      </c>
      <c r="AB15" s="7">
        <v>1</v>
      </c>
      <c r="AC15" s="7">
        <v>1</v>
      </c>
      <c r="AD15" s="11">
        <f>X15*AA15</f>
        <v>17670.345615483235</v>
      </c>
      <c r="AE15" s="11">
        <f>Y15*AB15</f>
        <v>667.0745870395239</v>
      </c>
      <c r="AF15" s="11">
        <f>Z15*AC15</f>
        <v>176.14112411462082</v>
      </c>
      <c r="AG15" s="7">
        <v>17670.345615483235</v>
      </c>
      <c r="AH15" s="7">
        <v>667.0745870395239</v>
      </c>
      <c r="AI15" s="7">
        <v>176.14112411462082</v>
      </c>
      <c r="AJ15" s="16">
        <f>AD15-AG15</f>
        <v>0</v>
      </c>
      <c r="AK15" s="16">
        <f>SQRT((AE15-AH15)^2+(AF15-AI15)^2)</f>
        <v>0</v>
      </c>
      <c r="AL15" s="7" t="s">
        <v>190</v>
      </c>
      <c r="AM15" s="7">
        <v>17670.345615483235</v>
      </c>
      <c r="AN15" s="7">
        <v>667.0745870395239</v>
      </c>
      <c r="AO15" s="7">
        <v>176.14112411462082</v>
      </c>
      <c r="AP15" s="7">
        <v>15258.271318017763</v>
      </c>
      <c r="AQ15" s="7">
        <v>502.35746343096963</v>
      </c>
      <c r="AR15" s="7">
        <v>135.93823672217403</v>
      </c>
      <c r="AS15" s="7">
        <v>2412.074297465474</v>
      </c>
      <c r="AT15" s="7">
        <v>164.7171236085541</v>
      </c>
      <c r="AU15" s="7">
        <v>40.202887392446854</v>
      </c>
    </row>
    <row r="16" spans="1:47" x14ac:dyDescent="0.25">
      <c r="A16" s="7" t="s">
        <v>211</v>
      </c>
      <c r="B16" s="7">
        <v>3</v>
      </c>
      <c r="C16" s="19">
        <v>10</v>
      </c>
      <c r="D16" s="7" t="s">
        <v>212</v>
      </c>
      <c r="E16" s="7" t="s">
        <v>611</v>
      </c>
      <c r="F16" s="20">
        <v>10</v>
      </c>
      <c r="G16" s="7" t="s">
        <v>194</v>
      </c>
      <c r="H16" s="21">
        <v>1.5</v>
      </c>
      <c r="I16" s="11">
        <f>MAX(('Geometry'!$G$13*COS(RADIANS(F16))+'Geometry'!$F$13*SIN(RADIANS(F16))),('Geometry'!$G$14*COS(RADIANS(F16))+'Geometry'!$F$14*SIN(RADIANS(F16))),('Geometry'!$G$15*COS(RADIANS(F16))+'Geometry'!$F$15*SIN(RADIANS(F16))),('Geometry'!$G$16*COS(RADIANS(F16))+'Geometry'!$F$16*SIN(RADIANS(F16))),('Geometry'!$G$17*COS(RADIANS(F16))+'Geometry'!$F$17*SIN(RADIANS(F16))),('Geometry'!$G$18*COS(RADIANS(F16))+'Geometry'!$F$18*SIN(RADIANS(F16))),('Geometry'!$G$19*COS(RADIANS(F16))+'Geometry'!$F$19*SIN(RADIANS(F16))),('Geometry'!$G$20*COS(RADIANS(F16))+'Geometry'!$F$20*SIN(RADIANS(F16))))</f>
        <v>686.3911495241364</v>
      </c>
      <c r="J16" s="11">
        <f>I16-H16*K16</f>
        <v>-1372.7822990482728</v>
      </c>
      <c r="K16" s="11">
        <f>I16-MIN(('Geometry'!$G$13*COS(RADIANS(F16))+'Geometry'!$F$13*SIN(RADIANS(F16))),('Geometry'!$G$14*COS(RADIANS(F16))+'Geometry'!$F$14*SIN(RADIANS(F16))),('Geometry'!$G$15*COS(RADIANS(F16))+'Geometry'!$F$15*SIN(RADIANS(F16))),('Geometry'!$G$16*COS(RADIANS(F16))+'Geometry'!$F$16*SIN(RADIANS(F16))),('Geometry'!$G$17*COS(RADIANS(F16))+'Geometry'!$F$17*SIN(RADIANS(F16))),('Geometry'!$G$18*COS(RADIANS(F16))+'Geometry'!$F$18*SIN(RADIANS(F16))),('Geometry'!$G$19*COS(RADIANS(F16))+'Geometry'!$F$19*SIN(RADIANS(F16))),('Geometry'!$G$20*COS(RADIANS(F16))+'Geometry'!$F$20*SIN(RADIANS(F16))))</f>
        <v>1372.7822990482728</v>
      </c>
      <c r="L16" s="16">
        <f>C_ecu</f>
        <v>0.0032999999999999995</v>
      </c>
      <c r="M16" s="16">
        <f>0</f>
        <v>0</v>
      </c>
      <c r="N16" s="22">
        <f>IF(ABS(I16-J16)&lt;0.000000000001,0,(L16-M16)/(I16-J16))</f>
        <v>0.0000016025847663720776</v>
      </c>
      <c r="O16" s="16">
        <f>L16-N16*I16</f>
        <v>0.0021999999999999997</v>
      </c>
      <c r="P16" s="22">
        <f>N16*COS(RADIANS(F16))</f>
        <v>0.0000015782379027824802</v>
      </c>
      <c r="Q16" s="22">
        <f>N16*SIN(RADIANS(F16))</f>
        <v>2.782859242372946e-7</v>
      </c>
      <c r="R16" s="11">
        <f>AP16</f>
        <v>15258.271318017763</v>
      </c>
      <c r="S16" s="11">
        <f>AQ16</f>
        <v>753.5361951464545</v>
      </c>
      <c r="T16" s="11">
        <f>AR16</f>
        <v>203.90735508326105</v>
      </c>
      <c r="U16" s="11">
        <f>AS16</f>
        <v>2412.074297465474</v>
      </c>
      <c r="V16" s="11">
        <f>AT16</f>
        <v>247.07568541283112</v>
      </c>
      <c r="W16" s="11">
        <f>AU16</f>
        <v>60.304331088670274</v>
      </c>
      <c r="X16" s="11">
        <f>AM16</f>
        <v>17670.345615483235</v>
      </c>
      <c r="Y16" s="11">
        <f>AN16</f>
        <v>1000.6118805592857</v>
      </c>
      <c r="Z16" s="11">
        <f>AO16</f>
        <v>264.21168617193126</v>
      </c>
      <c r="AA16" s="7">
        <v>1</v>
      </c>
      <c r="AB16" s="7">
        <v>1</v>
      </c>
      <c r="AC16" s="7">
        <v>1</v>
      </c>
      <c r="AD16" s="11">
        <f>X16*AA16</f>
        <v>17670.345615483235</v>
      </c>
      <c r="AE16" s="11">
        <f>Y16*AB16</f>
        <v>1000.6118805592857</v>
      </c>
      <c r="AF16" s="11">
        <f>Z16*AC16</f>
        <v>264.21168617193126</v>
      </c>
      <c r="AG16" s="7">
        <v>17670.345615483235</v>
      </c>
      <c r="AH16" s="7">
        <v>1000.6118805592857</v>
      </c>
      <c r="AI16" s="7">
        <v>264.21168617193126</v>
      </c>
      <c r="AJ16" s="16">
        <f>AD16-AG16</f>
        <v>0</v>
      </c>
      <c r="AK16" s="16">
        <f>SQRT((AE16-AH16)^2+(AF16-AI16)^2)</f>
        <v>0</v>
      </c>
      <c r="AL16" s="7" t="s">
        <v>190</v>
      </c>
      <c r="AM16" s="7">
        <v>17670.345615483235</v>
      </c>
      <c r="AN16" s="7">
        <v>1000.6118805592857</v>
      </c>
      <c r="AO16" s="7">
        <v>264.21168617193126</v>
      </c>
      <c r="AP16" s="7">
        <v>15258.271318017763</v>
      </c>
      <c r="AQ16" s="7">
        <v>753.5361951464545</v>
      </c>
      <c r="AR16" s="7">
        <v>203.90735508326105</v>
      </c>
      <c r="AS16" s="7">
        <v>2412.074297465474</v>
      </c>
      <c r="AT16" s="7">
        <v>247.07568541283112</v>
      </c>
      <c r="AU16" s="7">
        <v>60.304331088670274</v>
      </c>
    </row>
    <row r="17" spans="1:47" x14ac:dyDescent="0.25">
      <c r="A17" s="7" t="s">
        <v>213</v>
      </c>
      <c r="B17" s="7">
        <v>4</v>
      </c>
      <c r="C17" s="19">
        <v>10</v>
      </c>
      <c r="D17" s="7" t="s">
        <v>214</v>
      </c>
      <c r="E17" s="7" t="s">
        <v>612</v>
      </c>
      <c r="F17" s="20">
        <v>10</v>
      </c>
      <c r="G17" s="7" t="s">
        <v>194</v>
      </c>
      <c r="H17" s="21">
        <v>1.2000000000000002</v>
      </c>
      <c r="I17" s="11">
        <f>MAX(('Geometry'!$G$13*COS(RADIANS(F17))+'Geometry'!$F$13*SIN(RADIANS(F17))),('Geometry'!$G$14*COS(RADIANS(F17))+'Geometry'!$F$14*SIN(RADIANS(F17))),('Geometry'!$G$15*COS(RADIANS(F17))+'Geometry'!$F$15*SIN(RADIANS(F17))),('Geometry'!$G$16*COS(RADIANS(F17))+'Geometry'!$F$16*SIN(RADIANS(F17))),('Geometry'!$G$17*COS(RADIANS(F17))+'Geometry'!$F$17*SIN(RADIANS(F17))),('Geometry'!$G$18*COS(RADIANS(F17))+'Geometry'!$F$18*SIN(RADIANS(F17))),('Geometry'!$G$19*COS(RADIANS(F17))+'Geometry'!$F$19*SIN(RADIANS(F17))),('Geometry'!$G$20*COS(RADIANS(F17))+'Geometry'!$F$20*SIN(RADIANS(F17))))</f>
        <v>686.3911495241364</v>
      </c>
      <c r="J17" s="11">
        <f>I17-H17*K17</f>
        <v>-960.9476093337912</v>
      </c>
      <c r="K17" s="11">
        <f>I17-MIN(('Geometry'!$G$13*COS(RADIANS(F17))+'Geometry'!$F$13*SIN(RADIANS(F17))),('Geometry'!$G$14*COS(RADIANS(F17))+'Geometry'!$F$14*SIN(RADIANS(F17))),('Geometry'!$G$15*COS(RADIANS(F17))+'Geometry'!$F$15*SIN(RADIANS(F17))),('Geometry'!$G$16*COS(RADIANS(F17))+'Geometry'!$F$16*SIN(RADIANS(F17))),('Geometry'!$G$17*COS(RADIANS(F17))+'Geometry'!$F$17*SIN(RADIANS(F17))),('Geometry'!$G$18*COS(RADIANS(F17))+'Geometry'!$F$18*SIN(RADIANS(F17))),('Geometry'!$G$19*COS(RADIANS(F17))+'Geometry'!$F$19*SIN(RADIANS(F17))),('Geometry'!$G$20*COS(RADIANS(F17))+'Geometry'!$F$20*SIN(RADIANS(F17))))</f>
        <v>1372.7822990482728</v>
      </c>
      <c r="L17" s="16">
        <f>C_ecu</f>
        <v>0.0033</v>
      </c>
      <c r="M17" s="16">
        <f>0</f>
        <v>0</v>
      </c>
      <c r="N17" s="22">
        <f>IF(ABS(I17-J17)&lt;0.000000000001,0,(L17-M17)/(I17-J17))</f>
        <v>0.0000020032309579650967</v>
      </c>
      <c r="O17" s="16">
        <f>L17-N17*I17</f>
        <v>0.001925</v>
      </c>
      <c r="P17" s="22">
        <f>N17*COS(RADIANS(F17))</f>
        <v>0.0000019727973784781</v>
      </c>
      <c r="Q17" s="22">
        <f>N17*SIN(RADIANS(F17))</f>
        <v>3.4785740529661824e-7</v>
      </c>
      <c r="R17" s="11">
        <f>AP17</f>
        <v>15258.271318017763</v>
      </c>
      <c r="S17" s="11">
        <f>AQ17</f>
        <v>1004.7149268619393</v>
      </c>
      <c r="T17" s="11">
        <f>AR17</f>
        <v>271.87647344434805</v>
      </c>
      <c r="U17" s="11">
        <f>AS17</f>
        <v>2412.074297465474</v>
      </c>
      <c r="V17" s="11">
        <f>AT17</f>
        <v>329.4342472171082</v>
      </c>
      <c r="W17" s="11">
        <f>AU17</f>
        <v>80.40577478489371</v>
      </c>
      <c r="X17" s="11">
        <f>AM17</f>
        <v>17670.345615483235</v>
      </c>
      <c r="Y17" s="11">
        <f>AN17</f>
        <v>1334.1491740790477</v>
      </c>
      <c r="Z17" s="11">
        <f>AO17</f>
        <v>352.28224822924165</v>
      </c>
      <c r="AA17" s="7">
        <v>1</v>
      </c>
      <c r="AB17" s="7">
        <v>1</v>
      </c>
      <c r="AC17" s="7">
        <v>1</v>
      </c>
      <c r="AD17" s="11">
        <f>X17*AA17</f>
        <v>17670.345615483235</v>
      </c>
      <c r="AE17" s="11">
        <f>Y17*AB17</f>
        <v>1334.1491740790477</v>
      </c>
      <c r="AF17" s="11">
        <f>Z17*AC17</f>
        <v>352.28224822924165</v>
      </c>
      <c r="AG17" s="7">
        <v>17670.345615483235</v>
      </c>
      <c r="AH17" s="7">
        <v>1334.1491740790477</v>
      </c>
      <c r="AI17" s="7">
        <v>352.28224822924165</v>
      </c>
      <c r="AJ17" s="16">
        <f>AD17-AG17</f>
        <v>0</v>
      </c>
      <c r="AK17" s="16">
        <f>SQRT((AE17-AH17)^2+(AF17-AI17)^2)</f>
        <v>0</v>
      </c>
      <c r="AL17" s="7" t="s">
        <v>190</v>
      </c>
      <c r="AM17" s="7">
        <v>17670.345615483235</v>
      </c>
      <c r="AN17" s="7">
        <v>1334.1491740790477</v>
      </c>
      <c r="AO17" s="7">
        <v>352.28224822924165</v>
      </c>
      <c r="AP17" s="7">
        <v>15258.271318017763</v>
      </c>
      <c r="AQ17" s="7">
        <v>1004.7149268619393</v>
      </c>
      <c r="AR17" s="7">
        <v>271.87647344434805</v>
      </c>
      <c r="AS17" s="7">
        <v>2412.074297465474</v>
      </c>
      <c r="AT17" s="7">
        <v>329.4342472171082</v>
      </c>
      <c r="AU17" s="7">
        <v>80.40577478489371</v>
      </c>
    </row>
    <row r="18" spans="1:47" x14ac:dyDescent="0.25">
      <c r="A18" s="7" t="s">
        <v>215</v>
      </c>
      <c r="B18" s="7">
        <v>5</v>
      </c>
      <c r="C18" s="19">
        <v>10</v>
      </c>
      <c r="D18" s="7" t="s">
        <v>216</v>
      </c>
      <c r="E18" s="7" t="s">
        <v>613</v>
      </c>
      <c r="F18" s="20">
        <v>10</v>
      </c>
      <c r="G18" s="7" t="s">
        <v>194</v>
      </c>
      <c r="H18" s="21">
        <v>1.1000000000000003</v>
      </c>
      <c r="I18" s="11">
        <f>MAX(('Geometry'!$G$13*COS(RADIANS(F18))+'Geometry'!$F$13*SIN(RADIANS(F18))),('Geometry'!$G$14*COS(RADIANS(F18))+'Geometry'!$F$14*SIN(RADIANS(F18))),('Geometry'!$G$15*COS(RADIANS(F18))+'Geometry'!$F$15*SIN(RADIANS(F18))),('Geometry'!$G$16*COS(RADIANS(F18))+'Geometry'!$F$16*SIN(RADIANS(F18))),('Geometry'!$G$17*COS(RADIANS(F18))+'Geometry'!$F$17*SIN(RADIANS(F18))),('Geometry'!$G$18*COS(RADIANS(F18))+'Geometry'!$F$18*SIN(RADIANS(F18))),('Geometry'!$G$19*COS(RADIANS(F18))+'Geometry'!$F$19*SIN(RADIANS(F18))),('Geometry'!$G$20*COS(RADIANS(F18))+'Geometry'!$F$20*SIN(RADIANS(F18))))</f>
        <v>686.3911495241364</v>
      </c>
      <c r="J18" s="11">
        <f>I18-H18*K18</f>
        <v>-823.669379428964</v>
      </c>
      <c r="K18" s="11">
        <f>I18-MIN(('Geometry'!$G$13*COS(RADIANS(F18))+'Geometry'!$F$13*SIN(RADIANS(F18))),('Geometry'!$G$14*COS(RADIANS(F18))+'Geometry'!$F$14*SIN(RADIANS(F18))),('Geometry'!$G$15*COS(RADIANS(F18))+'Geometry'!$F$15*SIN(RADIANS(F18))),('Geometry'!$G$16*COS(RADIANS(F18))+'Geometry'!$F$16*SIN(RADIANS(F18))),('Geometry'!$G$17*COS(RADIANS(F18))+'Geometry'!$F$17*SIN(RADIANS(F18))),('Geometry'!$G$18*COS(RADIANS(F18))+'Geometry'!$F$18*SIN(RADIANS(F18))),('Geometry'!$G$19*COS(RADIANS(F18))+'Geometry'!$F$19*SIN(RADIANS(F18))),('Geometry'!$G$20*COS(RADIANS(F18))+'Geometry'!$F$20*SIN(RADIANS(F18))))</f>
        <v>1372.7822990482728</v>
      </c>
      <c r="L18" s="16">
        <f>C_ecu</f>
        <v>0.0033</v>
      </c>
      <c r="M18" s="16">
        <f>0</f>
        <v>0</v>
      </c>
      <c r="N18" s="22">
        <f>IF(ABS(I18-J18)&lt;0.000000000001,0,(L18-M18)/(I18-J18))</f>
        <v>0.000002185342863234651</v>
      </c>
      <c r="O18" s="16">
        <f>L18-N18*I18</f>
        <v>0.0018000000000000002</v>
      </c>
      <c r="P18" s="22">
        <f>N18*COS(RADIANS(F18))</f>
        <v>0.000002152142594703382</v>
      </c>
      <c r="Q18" s="22">
        <f>N18*SIN(RADIANS(F18))</f>
        <v>3.7948080577812895e-7</v>
      </c>
      <c r="R18" s="11">
        <f>AP18</f>
        <v>15258.271318017763</v>
      </c>
      <c r="S18" s="11">
        <f>AQ18</f>
        <v>1255.893658577424</v>
      </c>
      <c r="T18" s="11">
        <f>AR18</f>
        <v>339.845591805435</v>
      </c>
      <c r="U18" s="11">
        <f>AS18</f>
        <v>2412.074297465474</v>
      </c>
      <c r="V18" s="11">
        <f>AT18</f>
        <v>411.79280902138515</v>
      </c>
      <c r="W18" s="11">
        <f>AU18</f>
        <v>100.50721848111712</v>
      </c>
      <c r="X18" s="11">
        <f>AM18</f>
        <v>17670.345615483235</v>
      </c>
      <c r="Y18" s="11">
        <f>AN18</f>
        <v>1667.6864675988093</v>
      </c>
      <c r="Z18" s="11">
        <f>AO18</f>
        <v>440.3528102865521</v>
      </c>
      <c r="AA18" s="7">
        <v>1</v>
      </c>
      <c r="AB18" s="7">
        <v>1</v>
      </c>
      <c r="AC18" s="7">
        <v>1</v>
      </c>
      <c r="AD18" s="11">
        <f>X18*AA18</f>
        <v>17670.345615483235</v>
      </c>
      <c r="AE18" s="11">
        <f>Y18*AB18</f>
        <v>1667.6864675988093</v>
      </c>
      <c r="AF18" s="11">
        <f>Z18*AC18</f>
        <v>440.3528102865521</v>
      </c>
      <c r="AG18" s="7">
        <v>17670.345615483235</v>
      </c>
      <c r="AH18" s="7">
        <v>1667.6864675988093</v>
      </c>
      <c r="AI18" s="7">
        <v>440.3528102865521</v>
      </c>
      <c r="AJ18" s="16">
        <f>AD18-AG18</f>
        <v>0</v>
      </c>
      <c r="AK18" s="16">
        <f>SQRT((AE18-AH18)^2+(AF18-AI18)^2)</f>
        <v>0</v>
      </c>
      <c r="AL18" s="7" t="s">
        <v>190</v>
      </c>
      <c r="AM18" s="7">
        <v>17670.345615483235</v>
      </c>
      <c r="AN18" s="7">
        <v>1667.6864675988093</v>
      </c>
      <c r="AO18" s="7">
        <v>440.3528102865521</v>
      </c>
      <c r="AP18" s="7">
        <v>15258.271318017763</v>
      </c>
      <c r="AQ18" s="7">
        <v>1255.893658577424</v>
      </c>
      <c r="AR18" s="7">
        <v>339.845591805435</v>
      </c>
      <c r="AS18" s="7">
        <v>2412.074297465474</v>
      </c>
      <c r="AT18" s="7">
        <v>411.79280902138515</v>
      </c>
      <c r="AU18" s="7">
        <v>100.50721848111712</v>
      </c>
    </row>
    <row r="19" spans="1:47" x14ac:dyDescent="0.25">
      <c r="A19" s="7" t="s">
        <v>217</v>
      </c>
      <c r="B19" s="7">
        <v>1</v>
      </c>
      <c r="C19" s="19">
        <v>20</v>
      </c>
      <c r="D19" s="7" t="s">
        <v>218</v>
      </c>
      <c r="E19" s="7" t="s">
        <v>609</v>
      </c>
      <c r="F19" s="20">
        <v>20</v>
      </c>
      <c r="G19" s="7" t="s">
        <v>194</v>
      </c>
      <c r="H19" s="21">
        <v>3.0000000000000004</v>
      </c>
      <c r="I19" s="11">
        <f>MAX(('Geometry'!$G$13*COS(RADIANS(F19))+'Geometry'!$F$13*SIN(RADIANS(F19))),('Geometry'!$G$14*COS(RADIANS(F19))+'Geometry'!$F$14*SIN(RADIANS(F19))),('Geometry'!$G$15*COS(RADIANS(F19))+'Geometry'!$F$15*SIN(RADIANS(F19))),('Geometry'!$G$16*COS(RADIANS(F19))+'Geometry'!$F$16*SIN(RADIANS(F19))),('Geometry'!$G$17*COS(RADIANS(F19))+'Geometry'!$F$17*SIN(RADIANS(F19))),('Geometry'!$G$18*COS(RADIANS(F19))+'Geometry'!$F$18*SIN(RADIANS(F19))),('Geometry'!$G$19*COS(RADIANS(F19))+'Geometry'!$F$19*SIN(RADIANS(F19))),('Geometry'!$G$20*COS(RADIANS(F19))+'Geometry'!$F$20*SIN(RADIANS(F19))))</f>
        <v>751.9266513006628</v>
      </c>
      <c r="J19" s="11">
        <f>I19-H19*K19</f>
        <v>-3759.6332565033144</v>
      </c>
      <c r="K19" s="11">
        <f>I19-MIN(('Geometry'!$G$13*COS(RADIANS(F19))+'Geometry'!$F$13*SIN(RADIANS(F19))),('Geometry'!$G$14*COS(RADIANS(F19))+'Geometry'!$F$14*SIN(RADIANS(F19))),('Geometry'!$G$15*COS(RADIANS(F19))+'Geometry'!$F$15*SIN(RADIANS(F19))),('Geometry'!$G$16*COS(RADIANS(F19))+'Geometry'!$F$16*SIN(RADIANS(F19))),('Geometry'!$G$17*COS(RADIANS(F19))+'Geometry'!$F$17*SIN(RADIANS(F19))),('Geometry'!$G$18*COS(RADIANS(F19))+'Geometry'!$F$18*SIN(RADIANS(F19))),('Geometry'!$G$19*COS(RADIANS(F19))+'Geometry'!$F$19*SIN(RADIANS(F19))),('Geometry'!$G$20*COS(RADIANS(F19))+'Geometry'!$F$20*SIN(RADIANS(F19))))</f>
        <v>1503.8533026013256</v>
      </c>
      <c r="L19" s="16">
        <f>C_ecu</f>
        <v>0.0033</v>
      </c>
      <c r="M19" s="16">
        <f>0</f>
        <v>0</v>
      </c>
      <c r="N19" s="22">
        <f>IF(ABS(I19-J19)&lt;0.000000000001,0,(L19-M19)/(I19-J19))</f>
        <v>7.314543234351708e-7</v>
      </c>
      <c r="O19" s="16">
        <f>L19-N19*I19</f>
        <v>0.00275</v>
      </c>
      <c r="P19" s="22">
        <f>N19*COS(RADIANS(F19))</f>
        <v>6.873422301739792e-7</v>
      </c>
      <c r="Q19" s="22">
        <f>N19*SIN(RADIANS(F19))</f>
        <v>2.501721125374772e-7</v>
      </c>
      <c r="R19" s="11">
        <f>AP19</f>
        <v>15275.58244515503</v>
      </c>
      <c r="S19" s="11">
        <f>AQ19</f>
        <v>223.9435719499115</v>
      </c>
      <c r="T19" s="11">
        <f>AR19</f>
        <v>120.08369561781502</v>
      </c>
      <c r="U19" s="11">
        <f>AS19</f>
        <v>2394.7631703282073</v>
      </c>
      <c r="V19" s="11">
        <f>AT19</f>
        <v>72.67207667951573</v>
      </c>
      <c r="W19" s="11">
        <f>AU19</f>
        <v>38.14046368789903</v>
      </c>
      <c r="X19" s="11">
        <f>AM19</f>
        <v>17670.345615483235</v>
      </c>
      <c r="Y19" s="11">
        <f>AN19</f>
        <v>296.61564862942726</v>
      </c>
      <c r="Z19" s="11">
        <f>AO19</f>
        <v>158.22415930571404</v>
      </c>
      <c r="AA19" s="7">
        <v>1</v>
      </c>
      <c r="AB19" s="7">
        <v>1</v>
      </c>
      <c r="AC19" s="7">
        <v>1</v>
      </c>
      <c r="AD19" s="11">
        <f>X19*AA19</f>
        <v>17670.345615483235</v>
      </c>
      <c r="AE19" s="11">
        <f>Y19*AB19</f>
        <v>296.61564862942726</v>
      </c>
      <c r="AF19" s="11">
        <f>Z19*AC19</f>
        <v>158.22415930571404</v>
      </c>
      <c r="AG19" s="7">
        <v>17670.345615483235</v>
      </c>
      <c r="AH19" s="7">
        <v>296.61564862942726</v>
      </c>
      <c r="AI19" s="7">
        <v>158.22415930571404</v>
      </c>
      <c r="AJ19" s="16">
        <f>AD19-AG19</f>
        <v>0</v>
      </c>
      <c r="AK19" s="16">
        <f>SQRT((AE19-AH19)^2+(AF19-AI19)^2)</f>
        <v>0</v>
      </c>
      <c r="AL19" s="7" t="s">
        <v>190</v>
      </c>
      <c r="AM19" s="7">
        <v>17670.345615483235</v>
      </c>
      <c r="AN19" s="7">
        <v>296.61564862942726</v>
      </c>
      <c r="AO19" s="7">
        <v>158.22415930571404</v>
      </c>
      <c r="AP19" s="7">
        <v>15275.58244515503</v>
      </c>
      <c r="AQ19" s="7">
        <v>223.9435719499115</v>
      </c>
      <c r="AR19" s="7">
        <v>120.08369561781502</v>
      </c>
      <c r="AS19" s="7">
        <v>2394.7631703282073</v>
      </c>
      <c r="AT19" s="7">
        <v>72.67207667951573</v>
      </c>
      <c r="AU19" s="7">
        <v>38.14046368789903</v>
      </c>
    </row>
    <row r="20" spans="1:47" x14ac:dyDescent="0.25">
      <c r="A20" s="7" t="s">
        <v>219</v>
      </c>
      <c r="B20" s="7">
        <v>2</v>
      </c>
      <c r="C20" s="19">
        <v>20</v>
      </c>
      <c r="D20" s="7" t="s">
        <v>220</v>
      </c>
      <c r="E20" s="7" t="s">
        <v>610</v>
      </c>
      <c r="F20" s="20">
        <v>20</v>
      </c>
      <c r="G20" s="7" t="s">
        <v>194</v>
      </c>
      <c r="H20" s="21">
        <v>2</v>
      </c>
      <c r="I20" s="11">
        <f>MAX(('Geometry'!$G$13*COS(RADIANS(F20))+'Geometry'!$F$13*SIN(RADIANS(F20))),('Geometry'!$G$14*COS(RADIANS(F20))+'Geometry'!$F$14*SIN(RADIANS(F20))),('Geometry'!$G$15*COS(RADIANS(F20))+'Geometry'!$F$15*SIN(RADIANS(F20))),('Geometry'!$G$16*COS(RADIANS(F20))+'Geometry'!$F$16*SIN(RADIANS(F20))),('Geometry'!$G$17*COS(RADIANS(F20))+'Geometry'!$F$17*SIN(RADIANS(F20))),('Geometry'!$G$18*COS(RADIANS(F20))+'Geometry'!$F$18*SIN(RADIANS(F20))),('Geometry'!$G$19*COS(RADIANS(F20))+'Geometry'!$F$19*SIN(RADIANS(F20))),('Geometry'!$G$20*COS(RADIANS(F20))+'Geometry'!$F$20*SIN(RADIANS(F20))))</f>
        <v>751.9266513006628</v>
      </c>
      <c r="J20" s="11">
        <f>I20-H20*K20</f>
        <v>-2255.7799539019884</v>
      </c>
      <c r="K20" s="11">
        <f>I20-MIN(('Geometry'!$G$13*COS(RADIANS(F20))+'Geometry'!$F$13*SIN(RADIANS(F20))),('Geometry'!$G$14*COS(RADIANS(F20))+'Geometry'!$F$14*SIN(RADIANS(F20))),('Geometry'!$G$15*COS(RADIANS(F20))+'Geometry'!$F$15*SIN(RADIANS(F20))),('Geometry'!$G$16*COS(RADIANS(F20))+'Geometry'!$F$16*SIN(RADIANS(F20))),('Geometry'!$G$17*COS(RADIANS(F20))+'Geometry'!$F$17*SIN(RADIANS(F20))),('Geometry'!$G$18*COS(RADIANS(F20))+'Geometry'!$F$18*SIN(RADIANS(F20))),('Geometry'!$G$19*COS(RADIANS(F20))+'Geometry'!$F$19*SIN(RADIANS(F20))),('Geometry'!$G$20*COS(RADIANS(F20))+'Geometry'!$F$20*SIN(RADIANS(F20))))</f>
        <v>1503.8533026013256</v>
      </c>
      <c r="L20" s="16">
        <f>C_ecu</f>
        <v>0.0033</v>
      </c>
      <c r="M20" s="16">
        <f>0</f>
        <v>0</v>
      </c>
      <c r="N20" s="22">
        <f>IF(ABS(I20-J20)&lt;0.000000000001,0,(L20-M20)/(I20-J20))</f>
        <v>0.0000010971814851527564</v>
      </c>
      <c r="O20" s="16">
        <f>L20-N20*I20</f>
        <v>0.0024749999999999998</v>
      </c>
      <c r="P20" s="22">
        <f>N20*COS(RADIANS(F20))</f>
        <v>0.000001031013345260969</v>
      </c>
      <c r="Q20" s="22">
        <f>N20*SIN(RADIANS(F20))</f>
        <v>3.752581688062158e-7</v>
      </c>
      <c r="R20" s="11">
        <f>AP20</f>
        <v>15275.58244515503</v>
      </c>
      <c r="S20" s="11">
        <f>AQ20</f>
        <v>447.887143899823</v>
      </c>
      <c r="T20" s="11">
        <f>AR20</f>
        <v>240.16739123563005</v>
      </c>
      <c r="U20" s="11">
        <f>AS20</f>
        <v>2394.7631703282073</v>
      </c>
      <c r="V20" s="11">
        <f>AT20</f>
        <v>145.34415335903145</v>
      </c>
      <c r="W20" s="11">
        <f>AU20</f>
        <v>76.28092737579806</v>
      </c>
      <c r="X20" s="11">
        <f>AM20</f>
        <v>17670.345615483235</v>
      </c>
      <c r="Y20" s="11">
        <f>AN20</f>
        <v>593.2312972588545</v>
      </c>
      <c r="Z20" s="11">
        <f>AO20</f>
        <v>316.4483186114281</v>
      </c>
      <c r="AA20" s="7">
        <v>1</v>
      </c>
      <c r="AB20" s="7">
        <v>1</v>
      </c>
      <c r="AC20" s="7">
        <v>1</v>
      </c>
      <c r="AD20" s="11">
        <f>X20*AA20</f>
        <v>17670.345615483235</v>
      </c>
      <c r="AE20" s="11">
        <f>Y20*AB20</f>
        <v>593.2312972588545</v>
      </c>
      <c r="AF20" s="11">
        <f>Z20*AC20</f>
        <v>316.4483186114281</v>
      </c>
      <c r="AG20" s="7">
        <v>17670.345615483235</v>
      </c>
      <c r="AH20" s="7">
        <v>593.2312972588545</v>
      </c>
      <c r="AI20" s="7">
        <v>316.4483186114281</v>
      </c>
      <c r="AJ20" s="16">
        <f>AD20-AG20</f>
        <v>0</v>
      </c>
      <c r="AK20" s="16">
        <f>SQRT((AE20-AH20)^2+(AF20-AI20)^2)</f>
        <v>0</v>
      </c>
      <c r="AL20" s="7" t="s">
        <v>190</v>
      </c>
      <c r="AM20" s="7">
        <v>17670.345615483235</v>
      </c>
      <c r="AN20" s="7">
        <v>593.2312972588545</v>
      </c>
      <c r="AO20" s="7">
        <v>316.4483186114281</v>
      </c>
      <c r="AP20" s="7">
        <v>15275.58244515503</v>
      </c>
      <c r="AQ20" s="7">
        <v>447.887143899823</v>
      </c>
      <c r="AR20" s="7">
        <v>240.16739123563005</v>
      </c>
      <c r="AS20" s="7">
        <v>2394.7631703282073</v>
      </c>
      <c r="AT20" s="7">
        <v>145.34415335903145</v>
      </c>
      <c r="AU20" s="7">
        <v>76.28092737579806</v>
      </c>
    </row>
    <row r="21" spans="1:47" x14ac:dyDescent="0.25">
      <c r="A21" s="7" t="s">
        <v>221</v>
      </c>
      <c r="B21" s="7">
        <v>3</v>
      </c>
      <c r="C21" s="19">
        <v>20</v>
      </c>
      <c r="D21" s="7" t="s">
        <v>222</v>
      </c>
      <c r="E21" s="7" t="s">
        <v>611</v>
      </c>
      <c r="F21" s="20">
        <v>20</v>
      </c>
      <c r="G21" s="7" t="s">
        <v>194</v>
      </c>
      <c r="H21" s="21">
        <v>1.5</v>
      </c>
      <c r="I21" s="11">
        <f>MAX(('Geometry'!$G$13*COS(RADIANS(F21))+'Geometry'!$F$13*SIN(RADIANS(F21))),('Geometry'!$G$14*COS(RADIANS(F21))+'Geometry'!$F$14*SIN(RADIANS(F21))),('Geometry'!$G$15*COS(RADIANS(F21))+'Geometry'!$F$15*SIN(RADIANS(F21))),('Geometry'!$G$16*COS(RADIANS(F21))+'Geometry'!$F$16*SIN(RADIANS(F21))),('Geometry'!$G$17*COS(RADIANS(F21))+'Geometry'!$F$17*SIN(RADIANS(F21))),('Geometry'!$G$18*COS(RADIANS(F21))+'Geometry'!$F$18*SIN(RADIANS(F21))),('Geometry'!$G$19*COS(RADIANS(F21))+'Geometry'!$F$19*SIN(RADIANS(F21))),('Geometry'!$G$20*COS(RADIANS(F21))+'Geometry'!$F$20*SIN(RADIANS(F21))))</f>
        <v>751.9266513006628</v>
      </c>
      <c r="J21" s="11">
        <f>I21-H21*K21</f>
        <v>-1503.8533026013256</v>
      </c>
      <c r="K21" s="11">
        <f>I21-MIN(('Geometry'!$G$13*COS(RADIANS(F21))+'Geometry'!$F$13*SIN(RADIANS(F21))),('Geometry'!$G$14*COS(RADIANS(F21))+'Geometry'!$F$14*SIN(RADIANS(F21))),('Geometry'!$G$15*COS(RADIANS(F21))+'Geometry'!$F$15*SIN(RADIANS(F21))),('Geometry'!$G$16*COS(RADIANS(F21))+'Geometry'!$F$16*SIN(RADIANS(F21))),('Geometry'!$G$17*COS(RADIANS(F21))+'Geometry'!$F$17*SIN(RADIANS(F21))),('Geometry'!$G$18*COS(RADIANS(F21))+'Geometry'!$F$18*SIN(RADIANS(F21))),('Geometry'!$G$19*COS(RADIANS(F21))+'Geometry'!$F$19*SIN(RADIANS(F21))),('Geometry'!$G$20*COS(RADIANS(F21))+'Geometry'!$F$20*SIN(RADIANS(F21))))</f>
        <v>1503.8533026013256</v>
      </c>
      <c r="L21" s="16">
        <f>C_ecu</f>
        <v>0.0032999999999999995</v>
      </c>
      <c r="M21" s="16">
        <f>0</f>
        <v>0</v>
      </c>
      <c r="N21" s="22">
        <f>IF(ABS(I21-J21)&lt;0.000000000001,0,(L21-M21)/(I21-J21))</f>
        <v>0.0000014629086468703416</v>
      </c>
      <c r="O21" s="16">
        <f>L21-N21*I21</f>
        <v>0.0021999999999999997</v>
      </c>
      <c r="P21" s="22">
        <f>N21*COS(RADIANS(F21))</f>
        <v>0.0000013746844603479585</v>
      </c>
      <c r="Q21" s="22">
        <f>N21*SIN(RADIANS(F21))</f>
        <v>5.003442250749544e-7</v>
      </c>
      <c r="R21" s="11">
        <f>AP21</f>
        <v>15275.58244515503</v>
      </c>
      <c r="S21" s="11">
        <f>AQ21</f>
        <v>671.8307158497345</v>
      </c>
      <c r="T21" s="11">
        <f>AR21</f>
        <v>360.25108685344503</v>
      </c>
      <c r="U21" s="11">
        <f>AS21</f>
        <v>2394.7631703282073</v>
      </c>
      <c r="V21" s="11">
        <f>AT21</f>
        <v>218.01623003854712</v>
      </c>
      <c r="W21" s="11">
        <f>AU21</f>
        <v>114.42139106369709</v>
      </c>
      <c r="X21" s="11">
        <f>AM21</f>
        <v>17670.345615483235</v>
      </c>
      <c r="Y21" s="11">
        <f>AN21</f>
        <v>889.8469458882817</v>
      </c>
      <c r="Z21" s="11">
        <f>AO21</f>
        <v>474.6724779171421</v>
      </c>
      <c r="AA21" s="7">
        <v>1</v>
      </c>
      <c r="AB21" s="7">
        <v>1</v>
      </c>
      <c r="AC21" s="7">
        <v>1</v>
      </c>
      <c r="AD21" s="11">
        <f>X21*AA21</f>
        <v>17670.345615483235</v>
      </c>
      <c r="AE21" s="11">
        <f>Y21*AB21</f>
        <v>889.8469458882817</v>
      </c>
      <c r="AF21" s="11">
        <f>Z21*AC21</f>
        <v>474.6724779171421</v>
      </c>
      <c r="AG21" s="7">
        <v>17670.345615483235</v>
      </c>
      <c r="AH21" s="7">
        <v>889.8469458882817</v>
      </c>
      <c r="AI21" s="7">
        <v>474.6724779171421</v>
      </c>
      <c r="AJ21" s="16">
        <f>AD21-AG21</f>
        <v>0</v>
      </c>
      <c r="AK21" s="16">
        <f>SQRT((AE21-AH21)^2+(AF21-AI21)^2)</f>
        <v>0</v>
      </c>
      <c r="AL21" s="7" t="s">
        <v>190</v>
      </c>
      <c r="AM21" s="7">
        <v>17670.345615483235</v>
      </c>
      <c r="AN21" s="7">
        <v>889.8469458882817</v>
      </c>
      <c r="AO21" s="7">
        <v>474.6724779171421</v>
      </c>
      <c r="AP21" s="7">
        <v>15275.58244515503</v>
      </c>
      <c r="AQ21" s="7">
        <v>671.8307158497345</v>
      </c>
      <c r="AR21" s="7">
        <v>360.25108685344503</v>
      </c>
      <c r="AS21" s="7">
        <v>2394.7631703282073</v>
      </c>
      <c r="AT21" s="7">
        <v>218.01623003854712</v>
      </c>
      <c r="AU21" s="7">
        <v>114.42139106369709</v>
      </c>
    </row>
    <row r="22" spans="1:47" x14ac:dyDescent="0.25">
      <c r="A22" s="7" t="s">
        <v>223</v>
      </c>
      <c r="B22" s="7">
        <v>4</v>
      </c>
      <c r="C22" s="19">
        <v>20</v>
      </c>
      <c r="D22" s="7" t="s">
        <v>224</v>
      </c>
      <c r="E22" s="7" t="s">
        <v>612</v>
      </c>
      <c r="F22" s="20">
        <v>20</v>
      </c>
      <c r="G22" s="7" t="s">
        <v>194</v>
      </c>
      <c r="H22" s="21">
        <v>1.2</v>
      </c>
      <c r="I22" s="11">
        <f>MAX(('Geometry'!$G$13*COS(RADIANS(F22))+'Geometry'!$F$13*SIN(RADIANS(F22))),('Geometry'!$G$14*COS(RADIANS(F22))+'Geometry'!$F$14*SIN(RADIANS(F22))),('Geometry'!$G$15*COS(RADIANS(F22))+'Geometry'!$F$15*SIN(RADIANS(F22))),('Geometry'!$G$16*COS(RADIANS(F22))+'Geometry'!$F$16*SIN(RADIANS(F22))),('Geometry'!$G$17*COS(RADIANS(F22))+'Geometry'!$F$17*SIN(RADIANS(F22))),('Geometry'!$G$18*COS(RADIANS(F22))+'Geometry'!$F$18*SIN(RADIANS(F22))),('Geometry'!$G$19*COS(RADIANS(F22))+'Geometry'!$F$19*SIN(RADIANS(F22))),('Geometry'!$G$20*COS(RADIANS(F22))+'Geometry'!$F$20*SIN(RADIANS(F22))))</f>
        <v>751.9266513006628</v>
      </c>
      <c r="J22" s="11">
        <f>I22-H22*K22</f>
        <v>-1052.6973118209278</v>
      </c>
      <c r="K22" s="11">
        <f>I22-MIN(('Geometry'!$G$13*COS(RADIANS(F22))+'Geometry'!$F$13*SIN(RADIANS(F22))),('Geometry'!$G$14*COS(RADIANS(F22))+'Geometry'!$F$14*SIN(RADIANS(F22))),('Geometry'!$G$15*COS(RADIANS(F22))+'Geometry'!$F$15*SIN(RADIANS(F22))),('Geometry'!$G$16*COS(RADIANS(F22))+'Geometry'!$F$16*SIN(RADIANS(F22))),('Geometry'!$G$17*COS(RADIANS(F22))+'Geometry'!$F$17*SIN(RADIANS(F22))),('Geometry'!$G$18*COS(RADIANS(F22))+'Geometry'!$F$18*SIN(RADIANS(F22))),('Geometry'!$G$19*COS(RADIANS(F22))+'Geometry'!$F$19*SIN(RADIANS(F22))),('Geometry'!$G$20*COS(RADIANS(F22))+'Geometry'!$F$20*SIN(RADIANS(F22))))</f>
        <v>1503.8533026013256</v>
      </c>
      <c r="L22" s="16">
        <f>C_ecu</f>
        <v>0.0033</v>
      </c>
      <c r="M22" s="16">
        <f>0</f>
        <v>0</v>
      </c>
      <c r="N22" s="22">
        <f>IF(ABS(I22-J22)&lt;0.000000000001,0,(L22-M22)/(I22-J22))</f>
        <v>0.0000018286358085879275</v>
      </c>
      <c r="O22" s="16">
        <f>L22-N22*I22</f>
        <v>0.0019249999999999998</v>
      </c>
      <c r="P22" s="22">
        <f>N22*COS(RADIANS(F22))</f>
        <v>0.0000017183555754349485</v>
      </c>
      <c r="Q22" s="22">
        <f>N22*SIN(RADIANS(F22))</f>
        <v>6.254302813436931e-7</v>
      </c>
      <c r="R22" s="11">
        <f>AP22</f>
        <v>15275.58244515503</v>
      </c>
      <c r="S22" s="11">
        <f>AQ22</f>
        <v>895.774287799646</v>
      </c>
      <c r="T22" s="11">
        <f>AR22</f>
        <v>480.3347824712601</v>
      </c>
      <c r="U22" s="11">
        <f>AS22</f>
        <v>2394.7631703282073</v>
      </c>
      <c r="V22" s="11">
        <f>AT22</f>
        <v>290.6883067180629</v>
      </c>
      <c r="W22" s="11">
        <f>AU22</f>
        <v>152.56185475159612</v>
      </c>
      <c r="X22" s="11">
        <f>AM22</f>
        <v>17670.345615483235</v>
      </c>
      <c r="Y22" s="11">
        <f>AN22</f>
        <v>1186.462594517709</v>
      </c>
      <c r="Z22" s="11">
        <f>AO22</f>
        <v>632.8966372228562</v>
      </c>
      <c r="AA22" s="7">
        <v>1</v>
      </c>
      <c r="AB22" s="7">
        <v>1</v>
      </c>
      <c r="AC22" s="7">
        <v>1</v>
      </c>
      <c r="AD22" s="11">
        <f>X22*AA22</f>
        <v>17670.345615483235</v>
      </c>
      <c r="AE22" s="11">
        <f>Y22*AB22</f>
        <v>1186.462594517709</v>
      </c>
      <c r="AF22" s="11">
        <f>Z22*AC22</f>
        <v>632.8966372228562</v>
      </c>
      <c r="AG22" s="7">
        <v>17670.345615483235</v>
      </c>
      <c r="AH22" s="7">
        <v>1186.462594517709</v>
      </c>
      <c r="AI22" s="7">
        <v>632.8966372228562</v>
      </c>
      <c r="AJ22" s="16">
        <f>AD22-AG22</f>
        <v>0</v>
      </c>
      <c r="AK22" s="16">
        <f>SQRT((AE22-AH22)^2+(AF22-AI22)^2)</f>
        <v>0</v>
      </c>
      <c r="AL22" s="7" t="s">
        <v>190</v>
      </c>
      <c r="AM22" s="7">
        <v>17670.345615483235</v>
      </c>
      <c r="AN22" s="7">
        <v>1186.462594517709</v>
      </c>
      <c r="AO22" s="7">
        <v>632.8966372228562</v>
      </c>
      <c r="AP22" s="7">
        <v>15275.58244515503</v>
      </c>
      <c r="AQ22" s="7">
        <v>895.774287799646</v>
      </c>
      <c r="AR22" s="7">
        <v>480.3347824712601</v>
      </c>
      <c r="AS22" s="7">
        <v>2394.7631703282073</v>
      </c>
      <c r="AT22" s="7">
        <v>290.6883067180629</v>
      </c>
      <c r="AU22" s="7">
        <v>152.56185475159612</v>
      </c>
    </row>
    <row r="23" spans="1:47" x14ac:dyDescent="0.25">
      <c r="A23" s="7" t="s">
        <v>225</v>
      </c>
      <c r="B23" s="7">
        <v>5</v>
      </c>
      <c r="C23" s="19">
        <v>20</v>
      </c>
      <c r="D23" s="7" t="s">
        <v>226</v>
      </c>
      <c r="E23" s="7" t="s">
        <v>613</v>
      </c>
      <c r="F23" s="20">
        <v>20</v>
      </c>
      <c r="G23" s="7" t="s">
        <v>194</v>
      </c>
      <c r="H23" s="21">
        <v>1.1</v>
      </c>
      <c r="I23" s="11">
        <f>MAX(('Geometry'!$G$13*COS(RADIANS(F23))+'Geometry'!$F$13*SIN(RADIANS(F23))),('Geometry'!$G$14*COS(RADIANS(F23))+'Geometry'!$F$14*SIN(RADIANS(F23))),('Geometry'!$G$15*COS(RADIANS(F23))+'Geometry'!$F$15*SIN(RADIANS(F23))),('Geometry'!$G$16*COS(RADIANS(F23))+'Geometry'!$F$16*SIN(RADIANS(F23))),('Geometry'!$G$17*COS(RADIANS(F23))+'Geometry'!$F$17*SIN(RADIANS(F23))),('Geometry'!$G$18*COS(RADIANS(F23))+'Geometry'!$F$18*SIN(RADIANS(F23))),('Geometry'!$G$19*COS(RADIANS(F23))+'Geometry'!$F$19*SIN(RADIANS(F23))),('Geometry'!$G$20*COS(RADIANS(F23))+'Geometry'!$F$20*SIN(RADIANS(F23))))</f>
        <v>751.9266513006628</v>
      </c>
      <c r="J23" s="11">
        <f>I23-H23*K23</f>
        <v>-902.3119815607955</v>
      </c>
      <c r="K23" s="11">
        <f>I23-MIN(('Geometry'!$G$13*COS(RADIANS(F23))+'Geometry'!$F$13*SIN(RADIANS(F23))),('Geometry'!$G$14*COS(RADIANS(F23))+'Geometry'!$F$14*SIN(RADIANS(F23))),('Geometry'!$G$15*COS(RADIANS(F23))+'Geometry'!$F$15*SIN(RADIANS(F23))),('Geometry'!$G$16*COS(RADIANS(F23))+'Geometry'!$F$16*SIN(RADIANS(F23))),('Geometry'!$G$17*COS(RADIANS(F23))+'Geometry'!$F$17*SIN(RADIANS(F23))),('Geometry'!$G$18*COS(RADIANS(F23))+'Geometry'!$F$18*SIN(RADIANS(F23))),('Geometry'!$G$19*COS(RADIANS(F23))+'Geometry'!$F$19*SIN(RADIANS(F23))),('Geometry'!$G$20*COS(RADIANS(F23))+'Geometry'!$F$20*SIN(RADIANS(F23))))</f>
        <v>1503.8533026013256</v>
      </c>
      <c r="L23" s="16">
        <f>C_ecu</f>
        <v>0.0033</v>
      </c>
      <c r="M23" s="16">
        <f>0</f>
        <v>0</v>
      </c>
      <c r="N23" s="22">
        <f>IF(ABS(I23-J23)&lt;0.000000000001,0,(L23-M23)/(I23-J23))</f>
        <v>0.000001994875427550466</v>
      </c>
      <c r="O23" s="16">
        <f>L23-N23*I23</f>
        <v>0.0018000000000000002</v>
      </c>
      <c r="P23" s="22">
        <f>N23*COS(RADIANS(F23))</f>
        <v>0.000001874569718656307</v>
      </c>
      <c r="Q23" s="22">
        <f>N23*SIN(RADIANS(F23))</f>
        <v>6.822875796476651e-7</v>
      </c>
      <c r="R23" s="11">
        <f>AP23</f>
        <v>15275.58244515503</v>
      </c>
      <c r="S23" s="11">
        <f>AQ23</f>
        <v>1119.7178597495574</v>
      </c>
      <c r="T23" s="11">
        <f>AR23</f>
        <v>600.418478089075</v>
      </c>
      <c r="U23" s="11">
        <f>AS23</f>
        <v>2394.7631703282073</v>
      </c>
      <c r="V23" s="11">
        <f>AT23</f>
        <v>363.3603833975786</v>
      </c>
      <c r="W23" s="11">
        <f>AU23</f>
        <v>190.70231843949517</v>
      </c>
      <c r="X23" s="11">
        <f>AM23</f>
        <v>17670.345615483235</v>
      </c>
      <c r="Y23" s="11">
        <f>AN23</f>
        <v>1483.0782431471362</v>
      </c>
      <c r="Z23" s="11">
        <f>AO23</f>
        <v>791.1207965285702</v>
      </c>
      <c r="AA23" s="7">
        <v>1</v>
      </c>
      <c r="AB23" s="7">
        <v>1</v>
      </c>
      <c r="AC23" s="7">
        <v>1</v>
      </c>
      <c r="AD23" s="11">
        <f>X23*AA23</f>
        <v>17670.345615483235</v>
      </c>
      <c r="AE23" s="11">
        <f>Y23*AB23</f>
        <v>1483.0782431471362</v>
      </c>
      <c r="AF23" s="11">
        <f>Z23*AC23</f>
        <v>791.1207965285702</v>
      </c>
      <c r="AG23" s="7">
        <v>17670.345615483235</v>
      </c>
      <c r="AH23" s="7">
        <v>1483.0782431471362</v>
      </c>
      <c r="AI23" s="7">
        <v>791.1207965285702</v>
      </c>
      <c r="AJ23" s="16">
        <f>AD23-AG23</f>
        <v>0</v>
      </c>
      <c r="AK23" s="16">
        <f>SQRT((AE23-AH23)^2+(AF23-AI23)^2)</f>
        <v>0</v>
      </c>
      <c r="AL23" s="7" t="s">
        <v>190</v>
      </c>
      <c r="AM23" s="7">
        <v>17670.345615483235</v>
      </c>
      <c r="AN23" s="7">
        <v>1483.0782431471362</v>
      </c>
      <c r="AO23" s="7">
        <v>791.1207965285702</v>
      </c>
      <c r="AP23" s="7">
        <v>15275.58244515503</v>
      </c>
      <c r="AQ23" s="7">
        <v>1119.7178597495574</v>
      </c>
      <c r="AR23" s="7">
        <v>600.418478089075</v>
      </c>
      <c r="AS23" s="7">
        <v>2394.7631703282073</v>
      </c>
      <c r="AT23" s="7">
        <v>363.3603833975786</v>
      </c>
      <c r="AU23" s="7">
        <v>190.70231843949517</v>
      </c>
    </row>
    <row r="24" spans="1:47" x14ac:dyDescent="0.25">
      <c r="A24" s="7" t="s">
        <v>227</v>
      </c>
      <c r="B24" s="7">
        <v>6</v>
      </c>
      <c r="C24" s="19">
        <v>20</v>
      </c>
      <c r="D24" s="7" t="s">
        <v>228</v>
      </c>
      <c r="E24" s="7" t="s">
        <v>614</v>
      </c>
      <c r="F24" s="20">
        <v>20</v>
      </c>
      <c r="G24" s="7" t="s">
        <v>194</v>
      </c>
      <c r="H24" s="21">
        <v>1</v>
      </c>
      <c r="I24" s="11">
        <f>MAX(('Geometry'!$G$13*COS(RADIANS(F24))+'Geometry'!$F$13*SIN(RADIANS(F24))),('Geometry'!$G$14*COS(RADIANS(F24))+'Geometry'!$F$14*SIN(RADIANS(F24))),('Geometry'!$G$15*COS(RADIANS(F24))+'Geometry'!$F$15*SIN(RADIANS(F24))),('Geometry'!$G$16*COS(RADIANS(F24))+'Geometry'!$F$16*SIN(RADIANS(F24))),('Geometry'!$G$17*COS(RADIANS(F24))+'Geometry'!$F$17*SIN(RADIANS(F24))),('Geometry'!$G$18*COS(RADIANS(F24))+'Geometry'!$F$18*SIN(RADIANS(F24))),('Geometry'!$G$19*COS(RADIANS(F24))+'Geometry'!$F$19*SIN(RADIANS(F24))),('Geometry'!$G$20*COS(RADIANS(F24))+'Geometry'!$F$20*SIN(RADIANS(F24))))</f>
        <v>751.9266513006628</v>
      </c>
      <c r="J24" s="11">
        <f>I24-H24*K24</f>
        <v>-751.9266513006628</v>
      </c>
      <c r="K24" s="11">
        <f>I24-MIN(('Geometry'!$G$13*COS(RADIANS(F24))+'Geometry'!$F$13*SIN(RADIANS(F24))),('Geometry'!$G$14*COS(RADIANS(F24))+'Geometry'!$F$14*SIN(RADIANS(F24))),('Geometry'!$G$15*COS(RADIANS(F24))+'Geometry'!$F$15*SIN(RADIANS(F24))),('Geometry'!$G$16*COS(RADIANS(F24))+'Geometry'!$F$16*SIN(RADIANS(F24))),('Geometry'!$G$17*COS(RADIANS(F24))+'Geometry'!$F$17*SIN(RADIANS(F24))),('Geometry'!$G$18*COS(RADIANS(F24))+'Geometry'!$F$18*SIN(RADIANS(F24))),('Geometry'!$G$19*COS(RADIANS(F24))+'Geometry'!$F$19*SIN(RADIANS(F24))),('Geometry'!$G$20*COS(RADIANS(F24))+'Geometry'!$F$20*SIN(RADIANS(F24))))</f>
        <v>1503.8533026013256</v>
      </c>
      <c r="L24" s="16">
        <f>C_ecu</f>
        <v>0.0033</v>
      </c>
      <c r="M24" s="16">
        <f>0</f>
        <v>0</v>
      </c>
      <c r="N24" s="22">
        <f>IF(ABS(I24-J24)&lt;0.000000000001,0,(L24-M24)/(I24-J24))</f>
        <v>0.0000021943629703055128</v>
      </c>
      <c r="O24" s="16">
        <f>L24-N24*I24</f>
        <v>0.00165</v>
      </c>
      <c r="P24" s="22">
        <f>N24*COS(RADIANS(F24))</f>
        <v>0.000002062026690521938</v>
      </c>
      <c r="Q24" s="22">
        <f>N24*SIN(RADIANS(F24))</f>
        <v>7.505163376124316e-7</v>
      </c>
      <c r="R24" s="11">
        <f>AP24</f>
        <v>15275.58244515503</v>
      </c>
      <c r="S24" s="11">
        <f>AQ24</f>
        <v>1343.661431699469</v>
      </c>
      <c r="T24" s="11">
        <f>AR24</f>
        <v>720.5021737068901</v>
      </c>
      <c r="U24" s="11">
        <f>AS24</f>
        <v>2394.7631703282073</v>
      </c>
      <c r="V24" s="11">
        <f>AT24</f>
        <v>436.03246007709424</v>
      </c>
      <c r="W24" s="11">
        <f>AU24</f>
        <v>228.84278212739417</v>
      </c>
      <c r="X24" s="11">
        <f>AM24</f>
        <v>17670.345615483235</v>
      </c>
      <c r="Y24" s="11">
        <f>AN24</f>
        <v>1779.6938917765633</v>
      </c>
      <c r="Z24" s="11">
        <f>AO24</f>
        <v>949.3449558342842</v>
      </c>
      <c r="AA24" s="7">
        <v>1</v>
      </c>
      <c r="AB24" s="7">
        <v>1</v>
      </c>
      <c r="AC24" s="7">
        <v>1</v>
      </c>
      <c r="AD24" s="11">
        <f>X24*AA24</f>
        <v>17670.345615483235</v>
      </c>
      <c r="AE24" s="11">
        <f>Y24*AB24</f>
        <v>1779.6938917765633</v>
      </c>
      <c r="AF24" s="11">
        <f>Z24*AC24</f>
        <v>949.3449558342842</v>
      </c>
      <c r="AG24" s="7">
        <v>17670.345615483235</v>
      </c>
      <c r="AH24" s="7">
        <v>1779.6938917765633</v>
      </c>
      <c r="AI24" s="7">
        <v>949.3449558342842</v>
      </c>
      <c r="AJ24" s="16">
        <f>AD24-AG24</f>
        <v>0</v>
      </c>
      <c r="AK24" s="16">
        <f>SQRT((AE24-AH24)^2+(AF24-AI24)^2)</f>
        <v>0</v>
      </c>
      <c r="AL24" s="7" t="s">
        <v>190</v>
      </c>
      <c r="AM24" s="7">
        <v>17670.345615483235</v>
      </c>
      <c r="AN24" s="7">
        <v>1779.6938917765633</v>
      </c>
      <c r="AO24" s="7">
        <v>949.3449558342842</v>
      </c>
      <c r="AP24" s="7">
        <v>15275.58244515503</v>
      </c>
      <c r="AQ24" s="7">
        <v>1343.661431699469</v>
      </c>
      <c r="AR24" s="7">
        <v>720.5021737068901</v>
      </c>
      <c r="AS24" s="7">
        <v>2394.7631703282073</v>
      </c>
      <c r="AT24" s="7">
        <v>436.03246007709424</v>
      </c>
      <c r="AU24" s="7">
        <v>228.84278212739417</v>
      </c>
    </row>
    <row r="25" spans="1:47" x14ac:dyDescent="0.25">
      <c r="A25" s="7" t="s">
        <v>230</v>
      </c>
      <c r="B25" s="7">
        <v>1</v>
      </c>
      <c r="C25" s="19">
        <v>30</v>
      </c>
      <c r="D25" s="7" t="s">
        <v>231</v>
      </c>
      <c r="E25" s="7" t="s">
        <v>609</v>
      </c>
      <c r="F25" s="20">
        <v>30</v>
      </c>
      <c r="G25" s="7" t="s">
        <v>194</v>
      </c>
      <c r="H25" s="21">
        <v>3</v>
      </c>
      <c r="I25" s="11">
        <f>MAX(('Geometry'!$G$13*COS(RADIANS(F25))+'Geometry'!$F$13*SIN(RADIANS(F25))),('Geometry'!$G$14*COS(RADIANS(F25))+'Geometry'!$F$14*SIN(RADIANS(F25))),('Geometry'!$G$15*COS(RADIANS(F25))+'Geometry'!$F$15*SIN(RADIANS(F25))),('Geometry'!$G$16*COS(RADIANS(F25))+'Geometry'!$F$16*SIN(RADIANS(F25))),('Geometry'!$G$17*COS(RADIANS(F25))+'Geometry'!$F$17*SIN(RADIANS(F25))),('Geometry'!$G$18*COS(RADIANS(F25))+'Geometry'!$F$18*SIN(RADIANS(F25))),('Geometry'!$G$19*COS(RADIANS(F25))+'Geometry'!$F$19*SIN(RADIANS(F25))),('Geometry'!$G$20*COS(RADIANS(F25))+'Geometry'!$F$20*SIN(RADIANS(F25))))</f>
        <v>794.6152422706632</v>
      </c>
      <c r="J25" s="11">
        <f>I25-H25*K25</f>
        <v>-3973.076211353316</v>
      </c>
      <c r="K25" s="11">
        <f>I25-MIN(('Geometry'!$G$13*COS(RADIANS(F25))+'Geometry'!$F$13*SIN(RADIANS(F25))),('Geometry'!$G$14*COS(RADIANS(F25))+'Geometry'!$F$14*SIN(RADIANS(F25))),('Geometry'!$G$15*COS(RADIANS(F25))+'Geometry'!$F$15*SIN(RADIANS(F25))),('Geometry'!$G$16*COS(RADIANS(F25))+'Geometry'!$F$16*SIN(RADIANS(F25))),('Geometry'!$G$17*COS(RADIANS(F25))+'Geometry'!$F$17*SIN(RADIANS(F25))),('Geometry'!$G$18*COS(RADIANS(F25))+'Geometry'!$F$18*SIN(RADIANS(F25))),('Geometry'!$G$19*COS(RADIANS(F25))+'Geometry'!$F$19*SIN(RADIANS(F25))),('Geometry'!$G$20*COS(RADIANS(F25))+'Geometry'!$F$20*SIN(RADIANS(F25))))</f>
        <v>1589.2304845413264</v>
      </c>
      <c r="L25" s="16">
        <f>C_ecu</f>
        <v>0.0033</v>
      </c>
      <c r="M25" s="16">
        <f>0</f>
        <v>0</v>
      </c>
      <c r="N25" s="22">
        <f>IF(ABS(I25-J25)&lt;0.000000000001,0,(L25-M25)/(I25-J25))</f>
        <v>6.921588848816193e-7</v>
      </c>
      <c r="O25" s="16">
        <f>L25-N25*I25</f>
        <v>0.00275</v>
      </c>
      <c r="P25" s="22">
        <f>N25*COS(RADIANS(F25))</f>
        <v>5.994271777625911e-7</v>
      </c>
      <c r="Q25" s="22">
        <f>N25*SIN(RADIANS(F25))</f>
        <v>3.460794424408096e-7</v>
      </c>
      <c r="R25" s="11">
        <f>AP25</f>
        <v>15282.052731639913</v>
      </c>
      <c r="S25" s="11">
        <f>AQ25</f>
        <v>200.48928456405176</v>
      </c>
      <c r="T25" s="11">
        <f>AR25</f>
        <v>163.91371833168776</v>
      </c>
      <c r="U25" s="11">
        <f>AS25</f>
        <v>2388.292883843323</v>
      </c>
      <c r="V25" s="11">
        <f>AT25</f>
        <v>64.45717625332233</v>
      </c>
      <c r="W25" s="11">
        <f>AU25</f>
        <v>52.54386419193534</v>
      </c>
      <c r="X25" s="11">
        <f>AM25</f>
        <v>17670.345615483235</v>
      </c>
      <c r="Y25" s="11">
        <f>AN25</f>
        <v>264.9464608173741</v>
      </c>
      <c r="Z25" s="11">
        <f>AO25</f>
        <v>216.45758252362307</v>
      </c>
      <c r="AA25" s="7">
        <v>1</v>
      </c>
      <c r="AB25" s="7">
        <v>1</v>
      </c>
      <c r="AC25" s="7">
        <v>1</v>
      </c>
      <c r="AD25" s="11">
        <f>X25*AA25</f>
        <v>17670.345615483235</v>
      </c>
      <c r="AE25" s="11">
        <f>Y25*AB25</f>
        <v>264.9464608173741</v>
      </c>
      <c r="AF25" s="11">
        <f>Z25*AC25</f>
        <v>216.45758252362307</v>
      </c>
      <c r="AG25" s="7">
        <v>17670.345615483235</v>
      </c>
      <c r="AH25" s="7">
        <v>264.9464608173741</v>
      </c>
      <c r="AI25" s="7">
        <v>216.45758252362307</v>
      </c>
      <c r="AJ25" s="16">
        <f>AD25-AG25</f>
        <v>0</v>
      </c>
      <c r="AK25" s="16">
        <f>SQRT((AE25-AH25)^2+(AF25-AI25)^2)</f>
        <v>0</v>
      </c>
      <c r="AL25" s="7" t="s">
        <v>190</v>
      </c>
      <c r="AM25" s="7">
        <v>17670.345615483235</v>
      </c>
      <c r="AN25" s="7">
        <v>264.9464608173741</v>
      </c>
      <c r="AO25" s="7">
        <v>216.45758252362307</v>
      </c>
      <c r="AP25" s="7">
        <v>15282.052731639913</v>
      </c>
      <c r="AQ25" s="7">
        <v>200.48928456405176</v>
      </c>
      <c r="AR25" s="7">
        <v>163.91371833168776</v>
      </c>
      <c r="AS25" s="7">
        <v>2388.292883843323</v>
      </c>
      <c r="AT25" s="7">
        <v>64.45717625332233</v>
      </c>
      <c r="AU25" s="7">
        <v>52.54386419193534</v>
      </c>
    </row>
    <row r="26" spans="1:47" x14ac:dyDescent="0.25">
      <c r="A26" s="7" t="s">
        <v>232</v>
      </c>
      <c r="B26" s="7">
        <v>2</v>
      </c>
      <c r="C26" s="19">
        <v>30</v>
      </c>
      <c r="D26" s="7" t="s">
        <v>233</v>
      </c>
      <c r="E26" s="7" t="s">
        <v>610</v>
      </c>
      <c r="F26" s="20">
        <v>30</v>
      </c>
      <c r="G26" s="7" t="s">
        <v>194</v>
      </c>
      <c r="H26" s="21">
        <v>2</v>
      </c>
      <c r="I26" s="11">
        <f>MAX(('Geometry'!$G$13*COS(RADIANS(F26))+'Geometry'!$F$13*SIN(RADIANS(F26))),('Geometry'!$G$14*COS(RADIANS(F26))+'Geometry'!$F$14*SIN(RADIANS(F26))),('Geometry'!$G$15*COS(RADIANS(F26))+'Geometry'!$F$15*SIN(RADIANS(F26))),('Geometry'!$G$16*COS(RADIANS(F26))+'Geometry'!$F$16*SIN(RADIANS(F26))),('Geometry'!$G$17*COS(RADIANS(F26))+'Geometry'!$F$17*SIN(RADIANS(F26))),('Geometry'!$G$18*COS(RADIANS(F26))+'Geometry'!$F$18*SIN(RADIANS(F26))),('Geometry'!$G$19*COS(RADIANS(F26))+'Geometry'!$F$19*SIN(RADIANS(F26))),('Geometry'!$G$20*COS(RADIANS(F26))+'Geometry'!$F$20*SIN(RADIANS(F26))))</f>
        <v>794.6152422706632</v>
      </c>
      <c r="J26" s="11">
        <f>I26-H26*K26</f>
        <v>-2383.8457268119896</v>
      </c>
      <c r="K26" s="11">
        <f>I26-MIN(('Geometry'!$G$13*COS(RADIANS(F26))+'Geometry'!$F$13*SIN(RADIANS(F26))),('Geometry'!$G$14*COS(RADIANS(F26))+'Geometry'!$F$14*SIN(RADIANS(F26))),('Geometry'!$G$15*COS(RADIANS(F26))+'Geometry'!$F$15*SIN(RADIANS(F26))),('Geometry'!$G$16*COS(RADIANS(F26))+'Geometry'!$F$16*SIN(RADIANS(F26))),('Geometry'!$G$17*COS(RADIANS(F26))+'Geometry'!$F$17*SIN(RADIANS(F26))),('Geometry'!$G$18*COS(RADIANS(F26))+'Geometry'!$F$18*SIN(RADIANS(F26))),('Geometry'!$G$19*COS(RADIANS(F26))+'Geometry'!$F$19*SIN(RADIANS(F26))),('Geometry'!$G$20*COS(RADIANS(F26))+'Geometry'!$F$20*SIN(RADIANS(F26))))</f>
        <v>1589.2304845413264</v>
      </c>
      <c r="L26" s="16">
        <f>C_ecu</f>
        <v>0.0033</v>
      </c>
      <c r="M26" s="16">
        <f>0</f>
        <v>0</v>
      </c>
      <c r="N26" s="22">
        <f>IF(ABS(I26-J26)&lt;0.000000000001,0,(L26-M26)/(I26-J26))</f>
        <v>0.0000010382383273224289</v>
      </c>
      <c r="O26" s="16">
        <f>L26-N26*I26</f>
        <v>0.0024749999999999998</v>
      </c>
      <c r="P26" s="22">
        <f>N26*COS(RADIANS(F26))</f>
        <v>8.991407666438868e-7</v>
      </c>
      <c r="Q26" s="22">
        <f>N26*SIN(RADIANS(F26))</f>
        <v>5.191191636612143e-7</v>
      </c>
      <c r="R26" s="11">
        <f>AP26</f>
        <v>15282.052731639913</v>
      </c>
      <c r="S26" s="11">
        <f>AQ26</f>
        <v>400.9785691281035</v>
      </c>
      <c r="T26" s="11">
        <f>AR26</f>
        <v>327.8274366633755</v>
      </c>
      <c r="U26" s="11">
        <f>AS26</f>
        <v>2388.292883843323</v>
      </c>
      <c r="V26" s="11">
        <f>AT26</f>
        <v>128.91435250664466</v>
      </c>
      <c r="W26" s="11">
        <f>AU26</f>
        <v>105.08772838387068</v>
      </c>
      <c r="X26" s="11">
        <f>AM26</f>
        <v>17670.345615483235</v>
      </c>
      <c r="Y26" s="11">
        <f>AN26</f>
        <v>529.8929216347482</v>
      </c>
      <c r="Z26" s="11">
        <f>AO26</f>
        <v>432.91516504724615</v>
      </c>
      <c r="AA26" s="7">
        <v>1</v>
      </c>
      <c r="AB26" s="7">
        <v>1</v>
      </c>
      <c r="AC26" s="7">
        <v>1</v>
      </c>
      <c r="AD26" s="11">
        <f>X26*AA26</f>
        <v>17670.345615483235</v>
      </c>
      <c r="AE26" s="11">
        <f>Y26*AB26</f>
        <v>529.8929216347482</v>
      </c>
      <c r="AF26" s="11">
        <f>Z26*AC26</f>
        <v>432.91516504724615</v>
      </c>
      <c r="AG26" s="7">
        <v>17670.345615483235</v>
      </c>
      <c r="AH26" s="7">
        <v>529.8929216347482</v>
      </c>
      <c r="AI26" s="7">
        <v>432.91516504724615</v>
      </c>
      <c r="AJ26" s="16">
        <f>AD26-AG26</f>
        <v>0</v>
      </c>
      <c r="AK26" s="16">
        <f>SQRT((AE26-AH26)^2+(AF26-AI26)^2)</f>
        <v>0</v>
      </c>
      <c r="AL26" s="7" t="s">
        <v>190</v>
      </c>
      <c r="AM26" s="7">
        <v>17670.345615483235</v>
      </c>
      <c r="AN26" s="7">
        <v>529.8929216347482</v>
      </c>
      <c r="AO26" s="7">
        <v>432.91516504724615</v>
      </c>
      <c r="AP26" s="7">
        <v>15282.052731639913</v>
      </c>
      <c r="AQ26" s="7">
        <v>400.9785691281035</v>
      </c>
      <c r="AR26" s="7">
        <v>327.8274366633755</v>
      </c>
      <c r="AS26" s="7">
        <v>2388.292883843323</v>
      </c>
      <c r="AT26" s="7">
        <v>128.91435250664466</v>
      </c>
      <c r="AU26" s="7">
        <v>105.08772838387068</v>
      </c>
    </row>
    <row r="27" spans="1:47" x14ac:dyDescent="0.25">
      <c r="A27" s="7" t="s">
        <v>234</v>
      </c>
      <c r="B27" s="7">
        <v>3</v>
      </c>
      <c r="C27" s="19">
        <v>30</v>
      </c>
      <c r="D27" s="7" t="s">
        <v>235</v>
      </c>
      <c r="E27" s="7" t="s">
        <v>611</v>
      </c>
      <c r="F27" s="20">
        <v>30</v>
      </c>
      <c r="G27" s="7" t="s">
        <v>194</v>
      </c>
      <c r="H27" s="21">
        <v>1.5000000000000002</v>
      </c>
      <c r="I27" s="11">
        <f>MAX(('Geometry'!$G$13*COS(RADIANS(F27))+'Geometry'!$F$13*SIN(RADIANS(F27))),('Geometry'!$G$14*COS(RADIANS(F27))+'Geometry'!$F$14*SIN(RADIANS(F27))),('Geometry'!$G$15*COS(RADIANS(F27))+'Geometry'!$F$15*SIN(RADIANS(F27))),('Geometry'!$G$16*COS(RADIANS(F27))+'Geometry'!$F$16*SIN(RADIANS(F27))),('Geometry'!$G$17*COS(RADIANS(F27))+'Geometry'!$F$17*SIN(RADIANS(F27))),('Geometry'!$G$18*COS(RADIANS(F27))+'Geometry'!$F$18*SIN(RADIANS(F27))),('Geometry'!$G$19*COS(RADIANS(F27))+'Geometry'!$F$19*SIN(RADIANS(F27))),('Geometry'!$G$20*COS(RADIANS(F27))+'Geometry'!$F$20*SIN(RADIANS(F27))))</f>
        <v>794.6152422706632</v>
      </c>
      <c r="J27" s="11">
        <f>I27-H27*K27</f>
        <v>-1589.2304845413266</v>
      </c>
      <c r="K27" s="11">
        <f>I27-MIN(('Geometry'!$G$13*COS(RADIANS(F27))+'Geometry'!$F$13*SIN(RADIANS(F27))),('Geometry'!$G$14*COS(RADIANS(F27))+'Geometry'!$F$14*SIN(RADIANS(F27))),('Geometry'!$G$15*COS(RADIANS(F27))+'Geometry'!$F$15*SIN(RADIANS(F27))),('Geometry'!$G$16*COS(RADIANS(F27))+'Geometry'!$F$16*SIN(RADIANS(F27))),('Geometry'!$G$17*COS(RADIANS(F27))+'Geometry'!$F$17*SIN(RADIANS(F27))),('Geometry'!$G$18*COS(RADIANS(F27))+'Geometry'!$F$18*SIN(RADIANS(F27))),('Geometry'!$G$19*COS(RADIANS(F27))+'Geometry'!$F$19*SIN(RADIANS(F27))),('Geometry'!$G$20*COS(RADIANS(F27))+'Geometry'!$F$20*SIN(RADIANS(F27))))</f>
        <v>1589.2304845413264</v>
      </c>
      <c r="L27" s="16">
        <f>C_ecu</f>
        <v>0.0033</v>
      </c>
      <c r="M27" s="16">
        <f>0</f>
        <v>0</v>
      </c>
      <c r="N27" s="22">
        <f>IF(ABS(I27-J27)&lt;0.000000000001,0,(L27-M27)/(I27-J27))</f>
        <v>0.0000013843177697632385</v>
      </c>
      <c r="O27" s="16">
        <f>L27-N27*I27</f>
        <v>0.0022</v>
      </c>
      <c r="P27" s="22">
        <f>N27*COS(RADIANS(F27))</f>
        <v>0.0000011988543555251822</v>
      </c>
      <c r="Q27" s="22">
        <f>N27*SIN(RADIANS(F27))</f>
        <v>6.921588848816192e-7</v>
      </c>
      <c r="R27" s="11">
        <f>AP27</f>
        <v>15282.052731639913</v>
      </c>
      <c r="S27" s="11">
        <f>AQ27</f>
        <v>601.4678536921552</v>
      </c>
      <c r="T27" s="11">
        <f>AR27</f>
        <v>491.74115499506325</v>
      </c>
      <c r="U27" s="11">
        <f>AS27</f>
        <v>2388.292883843323</v>
      </c>
      <c r="V27" s="11">
        <f>AT27</f>
        <v>193.371528759967</v>
      </c>
      <c r="W27" s="11">
        <f>AU27</f>
        <v>157.63159257580602</v>
      </c>
      <c r="X27" s="11">
        <f>AM27</f>
        <v>17670.345615483235</v>
      </c>
      <c r="Y27" s="11">
        <f>AN27</f>
        <v>794.8393824521222</v>
      </c>
      <c r="Z27" s="11">
        <f>AO27</f>
        <v>649.3727475708693</v>
      </c>
      <c r="AA27" s="7">
        <v>1</v>
      </c>
      <c r="AB27" s="7">
        <v>1</v>
      </c>
      <c r="AC27" s="7">
        <v>1</v>
      </c>
      <c r="AD27" s="11">
        <f>X27*AA27</f>
        <v>17670.345615483235</v>
      </c>
      <c r="AE27" s="11">
        <f>Y27*AB27</f>
        <v>794.8393824521222</v>
      </c>
      <c r="AF27" s="11">
        <f>Z27*AC27</f>
        <v>649.3727475708693</v>
      </c>
      <c r="AG27" s="7">
        <v>17670.345615483235</v>
      </c>
      <c r="AH27" s="7">
        <v>794.8393824521222</v>
      </c>
      <c r="AI27" s="7">
        <v>649.3727475708693</v>
      </c>
      <c r="AJ27" s="16">
        <f>AD27-AG27</f>
        <v>0</v>
      </c>
      <c r="AK27" s="16">
        <f>SQRT((AE27-AH27)^2+(AF27-AI27)^2)</f>
        <v>0</v>
      </c>
      <c r="AL27" s="7" t="s">
        <v>190</v>
      </c>
      <c r="AM27" s="7">
        <v>17670.345615483235</v>
      </c>
      <c r="AN27" s="7">
        <v>794.8393824521222</v>
      </c>
      <c r="AO27" s="7">
        <v>649.3727475708693</v>
      </c>
      <c r="AP27" s="7">
        <v>15282.052731639913</v>
      </c>
      <c r="AQ27" s="7">
        <v>601.4678536921552</v>
      </c>
      <c r="AR27" s="7">
        <v>491.74115499506325</v>
      </c>
      <c r="AS27" s="7">
        <v>2388.292883843323</v>
      </c>
      <c r="AT27" s="7">
        <v>193.371528759967</v>
      </c>
      <c r="AU27" s="7">
        <v>157.63159257580602</v>
      </c>
    </row>
    <row r="28" spans="1:47" x14ac:dyDescent="0.25">
      <c r="A28" s="7" t="s">
        <v>236</v>
      </c>
      <c r="B28" s="7">
        <v>4</v>
      </c>
      <c r="C28" s="19">
        <v>30</v>
      </c>
      <c r="D28" s="7" t="s">
        <v>237</v>
      </c>
      <c r="E28" s="7" t="s">
        <v>612</v>
      </c>
      <c r="F28" s="20">
        <v>30</v>
      </c>
      <c r="G28" s="7" t="s">
        <v>194</v>
      </c>
      <c r="H28" s="21">
        <v>1.2</v>
      </c>
      <c r="I28" s="11">
        <f>MAX(('Geometry'!$G$13*COS(RADIANS(F28))+'Geometry'!$F$13*SIN(RADIANS(F28))),('Geometry'!$G$14*COS(RADIANS(F28))+'Geometry'!$F$14*SIN(RADIANS(F28))),('Geometry'!$G$15*COS(RADIANS(F28))+'Geometry'!$F$15*SIN(RADIANS(F28))),('Geometry'!$G$16*COS(RADIANS(F28))+'Geometry'!$F$16*SIN(RADIANS(F28))),('Geometry'!$G$17*COS(RADIANS(F28))+'Geometry'!$F$17*SIN(RADIANS(F28))),('Geometry'!$G$18*COS(RADIANS(F28))+'Geometry'!$F$18*SIN(RADIANS(F28))),('Geometry'!$G$19*COS(RADIANS(F28))+'Geometry'!$F$19*SIN(RADIANS(F28))),('Geometry'!$G$20*COS(RADIANS(F28))+'Geometry'!$F$20*SIN(RADIANS(F28))))</f>
        <v>794.6152422706632</v>
      </c>
      <c r="J28" s="11">
        <f>I28-H28*K28</f>
        <v>-1112.4613391789285</v>
      </c>
      <c r="K28" s="11">
        <f>I28-MIN(('Geometry'!$G$13*COS(RADIANS(F28))+'Geometry'!$F$13*SIN(RADIANS(F28))),('Geometry'!$G$14*COS(RADIANS(F28))+'Geometry'!$F$14*SIN(RADIANS(F28))),('Geometry'!$G$15*COS(RADIANS(F28))+'Geometry'!$F$15*SIN(RADIANS(F28))),('Geometry'!$G$16*COS(RADIANS(F28))+'Geometry'!$F$16*SIN(RADIANS(F28))),('Geometry'!$G$17*COS(RADIANS(F28))+'Geometry'!$F$17*SIN(RADIANS(F28))),('Geometry'!$G$18*COS(RADIANS(F28))+'Geometry'!$F$18*SIN(RADIANS(F28))),('Geometry'!$G$19*COS(RADIANS(F28))+'Geometry'!$F$19*SIN(RADIANS(F28))),('Geometry'!$G$20*COS(RADIANS(F28))+'Geometry'!$F$20*SIN(RADIANS(F28))))</f>
        <v>1589.2304845413264</v>
      </c>
      <c r="L28" s="16">
        <f>C_ecu</f>
        <v>0.0033</v>
      </c>
      <c r="M28" s="16">
        <f>0</f>
        <v>0</v>
      </c>
      <c r="N28" s="22">
        <f>IF(ABS(I28-J28)&lt;0.000000000001,0,(L28-M28)/(I28-J28))</f>
        <v>0.0000017303972122040482</v>
      </c>
      <c r="O28" s="16">
        <f>L28-N28*I28</f>
        <v>0.001925</v>
      </c>
      <c r="P28" s="22">
        <f>N28*COS(RADIANS(F28))</f>
        <v>0.0000014985679444064779</v>
      </c>
      <c r="Q28" s="22">
        <f>N28*SIN(RADIANS(F28))</f>
        <v>8.65198606102024e-7</v>
      </c>
      <c r="R28" s="11">
        <f>AP28</f>
        <v>15282.052731639913</v>
      </c>
      <c r="S28" s="11">
        <f>AQ28</f>
        <v>801.957138256207</v>
      </c>
      <c r="T28" s="11">
        <f>AR28</f>
        <v>655.654873326751</v>
      </c>
      <c r="U28" s="11">
        <f>AS28</f>
        <v>2388.292883843323</v>
      </c>
      <c r="V28" s="11">
        <f>AT28</f>
        <v>257.8287050132893</v>
      </c>
      <c r="W28" s="11">
        <f>AU28</f>
        <v>210.17545676774137</v>
      </c>
      <c r="X28" s="11">
        <f>AM28</f>
        <v>17670.345615483235</v>
      </c>
      <c r="Y28" s="11">
        <f>AN28</f>
        <v>1059.7858432694964</v>
      </c>
      <c r="Z28" s="11">
        <f>AO28</f>
        <v>865.8303300944923</v>
      </c>
      <c r="AA28" s="7">
        <v>1</v>
      </c>
      <c r="AB28" s="7">
        <v>1</v>
      </c>
      <c r="AC28" s="7">
        <v>1</v>
      </c>
      <c r="AD28" s="11">
        <f>X28*AA28</f>
        <v>17670.345615483235</v>
      </c>
      <c r="AE28" s="11">
        <f>Y28*AB28</f>
        <v>1059.7858432694964</v>
      </c>
      <c r="AF28" s="11">
        <f>Z28*AC28</f>
        <v>865.8303300944923</v>
      </c>
      <c r="AG28" s="7">
        <v>17670.345615483235</v>
      </c>
      <c r="AH28" s="7">
        <v>1059.7858432694964</v>
      </c>
      <c r="AI28" s="7">
        <v>865.8303300944923</v>
      </c>
      <c r="AJ28" s="16">
        <f>AD28-AG28</f>
        <v>0</v>
      </c>
      <c r="AK28" s="16">
        <f>SQRT((AE28-AH28)^2+(AF28-AI28)^2)</f>
        <v>0</v>
      </c>
      <c r="AL28" s="7" t="s">
        <v>190</v>
      </c>
      <c r="AM28" s="7">
        <v>17670.345615483235</v>
      </c>
      <c r="AN28" s="7">
        <v>1059.7858432694964</v>
      </c>
      <c r="AO28" s="7">
        <v>865.8303300944923</v>
      </c>
      <c r="AP28" s="7">
        <v>15282.052731639913</v>
      </c>
      <c r="AQ28" s="7">
        <v>801.957138256207</v>
      </c>
      <c r="AR28" s="7">
        <v>655.654873326751</v>
      </c>
      <c r="AS28" s="7">
        <v>2388.292883843323</v>
      </c>
      <c r="AT28" s="7">
        <v>257.8287050132893</v>
      </c>
      <c r="AU28" s="7">
        <v>210.17545676774137</v>
      </c>
    </row>
    <row r="29" spans="1:47" x14ac:dyDescent="0.25">
      <c r="A29" s="7" t="s">
        <v>238</v>
      </c>
      <c r="B29" s="7">
        <v>5</v>
      </c>
      <c r="C29" s="19">
        <v>30</v>
      </c>
      <c r="D29" s="7" t="s">
        <v>239</v>
      </c>
      <c r="E29" s="7" t="s">
        <v>613</v>
      </c>
      <c r="F29" s="20">
        <v>30</v>
      </c>
      <c r="G29" s="7" t="s">
        <v>194</v>
      </c>
      <c r="H29" s="21">
        <v>1.1</v>
      </c>
      <c r="I29" s="11">
        <f>MAX(('Geometry'!$G$13*COS(RADIANS(F29))+'Geometry'!$F$13*SIN(RADIANS(F29))),('Geometry'!$G$14*COS(RADIANS(F29))+'Geometry'!$F$14*SIN(RADIANS(F29))),('Geometry'!$G$15*COS(RADIANS(F29))+'Geometry'!$F$15*SIN(RADIANS(F29))),('Geometry'!$G$16*COS(RADIANS(F29))+'Geometry'!$F$16*SIN(RADIANS(F29))),('Geometry'!$G$17*COS(RADIANS(F29))+'Geometry'!$F$17*SIN(RADIANS(F29))),('Geometry'!$G$18*COS(RADIANS(F29))+'Geometry'!$F$18*SIN(RADIANS(F29))),('Geometry'!$G$19*COS(RADIANS(F29))+'Geometry'!$F$19*SIN(RADIANS(F29))),('Geometry'!$G$20*COS(RADIANS(F29))+'Geometry'!$F$20*SIN(RADIANS(F29))))</f>
        <v>794.6152422706632</v>
      </c>
      <c r="J29" s="11">
        <f>I29-H29*K29</f>
        <v>-953.5382907247961</v>
      </c>
      <c r="K29" s="11">
        <f>I29-MIN(('Geometry'!$G$13*COS(RADIANS(F29))+'Geometry'!$F$13*SIN(RADIANS(F29))),('Geometry'!$G$14*COS(RADIANS(F29))+'Geometry'!$F$14*SIN(RADIANS(F29))),('Geometry'!$G$15*COS(RADIANS(F29))+'Geometry'!$F$15*SIN(RADIANS(F29))),('Geometry'!$G$16*COS(RADIANS(F29))+'Geometry'!$F$16*SIN(RADIANS(F29))),('Geometry'!$G$17*COS(RADIANS(F29))+'Geometry'!$F$17*SIN(RADIANS(F29))),('Geometry'!$G$18*COS(RADIANS(F29))+'Geometry'!$F$18*SIN(RADIANS(F29))),('Geometry'!$G$19*COS(RADIANS(F29))+'Geometry'!$F$19*SIN(RADIANS(F29))),('Geometry'!$G$20*COS(RADIANS(F29))+'Geometry'!$F$20*SIN(RADIANS(F29))))</f>
        <v>1589.2304845413264</v>
      </c>
      <c r="L29" s="16">
        <f>C_ecu</f>
        <v>0.0033</v>
      </c>
      <c r="M29" s="16">
        <f>0</f>
        <v>0</v>
      </c>
      <c r="N29" s="22">
        <f>IF(ABS(I29-J29)&lt;0.000000000001,0,(L29-M29)/(I29-J29))</f>
        <v>0.0000018877060496771433</v>
      </c>
      <c r="O29" s="16">
        <f>L29-N29*I29</f>
        <v>0.0018000000000000002</v>
      </c>
      <c r="P29" s="22">
        <f>N29*COS(RADIANS(F29))</f>
        <v>0.0000016348013938979757</v>
      </c>
      <c r="Q29" s="22">
        <f>N29*SIN(RADIANS(F29))</f>
        <v>9.438530248385715e-7</v>
      </c>
      <c r="R29" s="11">
        <f>AP29</f>
        <v>15282.052731639913</v>
      </c>
      <c r="S29" s="11">
        <f>AQ29</f>
        <v>1002.4464228202587</v>
      </c>
      <c r="T29" s="11">
        <f>AR29</f>
        <v>819.5685916584388</v>
      </c>
      <c r="U29" s="11">
        <f>AS29</f>
        <v>2388.292883843323</v>
      </c>
      <c r="V29" s="11">
        <f>AT29</f>
        <v>322.2858812666116</v>
      </c>
      <c r="W29" s="11">
        <f>AU29</f>
        <v>262.7193209596767</v>
      </c>
      <c r="X29" s="11">
        <f>AM29</f>
        <v>17670.345615483235</v>
      </c>
      <c r="Y29" s="11">
        <f>AN29</f>
        <v>1324.7323040868705</v>
      </c>
      <c r="Z29" s="11">
        <f>AO29</f>
        <v>1082.2879126181153</v>
      </c>
      <c r="AA29" s="7">
        <v>1</v>
      </c>
      <c r="AB29" s="7">
        <v>1</v>
      </c>
      <c r="AC29" s="7">
        <v>1</v>
      </c>
      <c r="AD29" s="11">
        <f>X29*AA29</f>
        <v>17670.345615483235</v>
      </c>
      <c r="AE29" s="11">
        <f>Y29*AB29</f>
        <v>1324.7323040868705</v>
      </c>
      <c r="AF29" s="11">
        <f>Z29*AC29</f>
        <v>1082.2879126181153</v>
      </c>
      <c r="AG29" s="7">
        <v>17670.345615483235</v>
      </c>
      <c r="AH29" s="7">
        <v>1324.7323040868705</v>
      </c>
      <c r="AI29" s="7">
        <v>1082.2879126181153</v>
      </c>
      <c r="AJ29" s="16">
        <f>AD29-AG29</f>
        <v>0</v>
      </c>
      <c r="AK29" s="16">
        <f>SQRT((AE29-AH29)^2+(AF29-AI29)^2)</f>
        <v>0</v>
      </c>
      <c r="AL29" s="7" t="s">
        <v>190</v>
      </c>
      <c r="AM29" s="7">
        <v>17670.345615483235</v>
      </c>
      <c r="AN29" s="7">
        <v>1324.7323040868705</v>
      </c>
      <c r="AO29" s="7">
        <v>1082.2879126181153</v>
      </c>
      <c r="AP29" s="7">
        <v>15282.052731639913</v>
      </c>
      <c r="AQ29" s="7">
        <v>1002.4464228202587</v>
      </c>
      <c r="AR29" s="7">
        <v>819.5685916584388</v>
      </c>
      <c r="AS29" s="7">
        <v>2388.292883843323</v>
      </c>
      <c r="AT29" s="7">
        <v>322.2858812666116</v>
      </c>
      <c r="AU29" s="7">
        <v>262.7193209596767</v>
      </c>
    </row>
    <row r="30" spans="1:47" x14ac:dyDescent="0.25">
      <c r="A30" s="7" t="s">
        <v>240</v>
      </c>
      <c r="B30" s="7">
        <v>6</v>
      </c>
      <c r="C30" s="19">
        <v>30</v>
      </c>
      <c r="D30" s="7" t="s">
        <v>241</v>
      </c>
      <c r="E30" s="7" t="s">
        <v>614</v>
      </c>
      <c r="F30" s="20">
        <v>30</v>
      </c>
      <c r="G30" s="7" t="s">
        <v>194</v>
      </c>
      <c r="H30" s="21">
        <v>1</v>
      </c>
      <c r="I30" s="11">
        <f>MAX(('Geometry'!$G$13*COS(RADIANS(F30))+'Geometry'!$F$13*SIN(RADIANS(F30))),('Geometry'!$G$14*COS(RADIANS(F30))+'Geometry'!$F$14*SIN(RADIANS(F30))),('Geometry'!$G$15*COS(RADIANS(F30))+'Geometry'!$F$15*SIN(RADIANS(F30))),('Geometry'!$G$16*COS(RADIANS(F30))+'Geometry'!$F$16*SIN(RADIANS(F30))),('Geometry'!$G$17*COS(RADIANS(F30))+'Geometry'!$F$17*SIN(RADIANS(F30))),('Geometry'!$G$18*COS(RADIANS(F30))+'Geometry'!$F$18*SIN(RADIANS(F30))),('Geometry'!$G$19*COS(RADIANS(F30))+'Geometry'!$F$19*SIN(RADIANS(F30))),('Geometry'!$G$20*COS(RADIANS(F30))+'Geometry'!$F$20*SIN(RADIANS(F30))))</f>
        <v>794.6152422706632</v>
      </c>
      <c r="J30" s="11">
        <f>I30-H30*K30</f>
        <v>-794.6152422706632</v>
      </c>
      <c r="K30" s="11">
        <f>I30-MIN(('Geometry'!$G$13*COS(RADIANS(F30))+'Geometry'!$F$13*SIN(RADIANS(F30))),('Geometry'!$G$14*COS(RADIANS(F30))+'Geometry'!$F$14*SIN(RADIANS(F30))),('Geometry'!$G$15*COS(RADIANS(F30))+'Geometry'!$F$15*SIN(RADIANS(F30))),('Geometry'!$G$16*COS(RADIANS(F30))+'Geometry'!$F$16*SIN(RADIANS(F30))),('Geometry'!$G$17*COS(RADIANS(F30))+'Geometry'!$F$17*SIN(RADIANS(F30))),('Geometry'!$G$18*COS(RADIANS(F30))+'Geometry'!$F$18*SIN(RADIANS(F30))),('Geometry'!$G$19*COS(RADIANS(F30))+'Geometry'!$F$19*SIN(RADIANS(F30))),('Geometry'!$G$20*COS(RADIANS(F30))+'Geometry'!$F$20*SIN(RADIANS(F30))))</f>
        <v>1589.2304845413264</v>
      </c>
      <c r="L30" s="16">
        <f>C_ecu</f>
        <v>0.0033</v>
      </c>
      <c r="M30" s="16">
        <f>0</f>
        <v>0</v>
      </c>
      <c r="N30" s="22">
        <f>IF(ABS(I30-J30)&lt;0.000000000001,0,(L30-M30)/(I30-J30))</f>
        <v>0.0000020764766546448578</v>
      </c>
      <c r="O30" s="16">
        <f>L30-N30*I30</f>
        <v>0.00165</v>
      </c>
      <c r="P30" s="22">
        <f>N30*COS(RADIANS(F30))</f>
        <v>0.0000017982815332877735</v>
      </c>
      <c r="Q30" s="22">
        <f>N30*SIN(RADIANS(F30))</f>
        <v>0.0000010382383273224287</v>
      </c>
      <c r="R30" s="11">
        <f>AP30</f>
        <v>15282.052731639913</v>
      </c>
      <c r="S30" s="11">
        <f>AQ30</f>
        <v>1202.9357073843105</v>
      </c>
      <c r="T30" s="11">
        <f>AR30</f>
        <v>983.4823099901265</v>
      </c>
      <c r="U30" s="11">
        <f>AS30</f>
        <v>2388.292883843323</v>
      </c>
      <c r="V30" s="11">
        <f>AT30</f>
        <v>386.743057519934</v>
      </c>
      <c r="W30" s="11">
        <f>AU30</f>
        <v>315.26318515161205</v>
      </c>
      <c r="X30" s="11">
        <f>AM30</f>
        <v>17670.345615483235</v>
      </c>
      <c r="Y30" s="11">
        <f>AN30</f>
        <v>1589.6787649042444</v>
      </c>
      <c r="Z30" s="11">
        <f>AO30</f>
        <v>1298.7454951417385</v>
      </c>
      <c r="AA30" s="7">
        <v>1</v>
      </c>
      <c r="AB30" s="7">
        <v>1</v>
      </c>
      <c r="AC30" s="7">
        <v>1</v>
      </c>
      <c r="AD30" s="11">
        <f>X30*AA30</f>
        <v>17670.345615483235</v>
      </c>
      <c r="AE30" s="11">
        <f>Y30*AB30</f>
        <v>1589.6787649042444</v>
      </c>
      <c r="AF30" s="11">
        <f>Z30*AC30</f>
        <v>1298.7454951417385</v>
      </c>
      <c r="AG30" s="7">
        <v>17670.345615483235</v>
      </c>
      <c r="AH30" s="7">
        <v>1589.6787649042444</v>
      </c>
      <c r="AI30" s="7">
        <v>1298.7454951417385</v>
      </c>
      <c r="AJ30" s="16">
        <f>AD30-AG30</f>
        <v>0</v>
      </c>
      <c r="AK30" s="16">
        <f>SQRT((AE30-AH30)^2+(AF30-AI30)^2)</f>
        <v>0</v>
      </c>
      <c r="AL30" s="7" t="s">
        <v>190</v>
      </c>
      <c r="AM30" s="7">
        <v>17670.345615483235</v>
      </c>
      <c r="AN30" s="7">
        <v>1589.6787649042444</v>
      </c>
      <c r="AO30" s="7">
        <v>1298.7454951417385</v>
      </c>
      <c r="AP30" s="7">
        <v>15282.052731639913</v>
      </c>
      <c r="AQ30" s="7">
        <v>1202.9357073843105</v>
      </c>
      <c r="AR30" s="7">
        <v>983.4823099901265</v>
      </c>
      <c r="AS30" s="7">
        <v>2388.292883843323</v>
      </c>
      <c r="AT30" s="7">
        <v>386.743057519934</v>
      </c>
      <c r="AU30" s="7">
        <v>315.26318515161205</v>
      </c>
    </row>
    <row r="31" spans="1:47" x14ac:dyDescent="0.25">
      <c r="A31" s="7" t="s">
        <v>242</v>
      </c>
      <c r="B31" s="7">
        <v>1</v>
      </c>
      <c r="C31" s="19">
        <v>40</v>
      </c>
      <c r="D31" s="7" t="s">
        <v>243</v>
      </c>
      <c r="E31" s="7" t="s">
        <v>609</v>
      </c>
      <c r="F31" s="20">
        <v>40</v>
      </c>
      <c r="G31" s="7" t="s">
        <v>194</v>
      </c>
      <c r="H31" s="21">
        <v>3.0000000000000004</v>
      </c>
      <c r="I31" s="11">
        <f>MAX(('Geometry'!$G$13*COS(RADIANS(F31))+'Geometry'!$F$13*SIN(RADIANS(F31))),('Geometry'!$G$14*COS(RADIANS(F31))+'Geometry'!$F$14*SIN(RADIANS(F31))),('Geometry'!$G$15*COS(RADIANS(F31))+'Geometry'!$F$15*SIN(RADIANS(F31))),('Geometry'!$G$16*COS(RADIANS(F31))+'Geometry'!$F$16*SIN(RADIANS(F31))),('Geometry'!$G$17*COS(RADIANS(F31))+'Geometry'!$F$17*SIN(RADIANS(F31))),('Geometry'!$G$18*COS(RADIANS(F31))+'Geometry'!$F$18*SIN(RADIANS(F31))),('Geometry'!$G$19*COS(RADIANS(F31))+'Geometry'!$F$19*SIN(RADIANS(F31))),('Geometry'!$G$20*COS(RADIANS(F31))+'Geometry'!$F$20*SIN(RADIANS(F31))))</f>
        <v>813.1598511989835</v>
      </c>
      <c r="J31" s="11">
        <f>I31-H31*K31</f>
        <v>-4065.799255994918</v>
      </c>
      <c r="K31" s="11">
        <f>I31-MIN(('Geometry'!$G$13*COS(RADIANS(F31))+'Geometry'!$F$13*SIN(RADIANS(F31))),('Geometry'!$G$14*COS(RADIANS(F31))+'Geometry'!$F$14*SIN(RADIANS(F31))),('Geometry'!$G$15*COS(RADIANS(F31))+'Geometry'!$F$15*SIN(RADIANS(F31))),('Geometry'!$G$16*COS(RADIANS(F31))+'Geometry'!$F$16*SIN(RADIANS(F31))),('Geometry'!$G$17*COS(RADIANS(F31))+'Geometry'!$F$17*SIN(RADIANS(F31))),('Geometry'!$G$18*COS(RADIANS(F31))+'Geometry'!$F$18*SIN(RADIANS(F31))),('Geometry'!$G$19*COS(RADIANS(F31))+'Geometry'!$F$19*SIN(RADIANS(F31))),('Geometry'!$G$20*COS(RADIANS(F31))+'Geometry'!$F$20*SIN(RADIANS(F31))))</f>
        <v>1626.319702397967</v>
      </c>
      <c r="L31" s="16">
        <f>C_ecu</f>
        <v>0.0032999999999999995</v>
      </c>
      <c r="M31" s="16">
        <f>0</f>
        <v>0</v>
      </c>
      <c r="N31" s="22">
        <f>IF(ABS(I31-J31)&lt;0.000000000001,0,(L31-M31)/(I31-J31))</f>
        <v>6.76373777171904e-7</v>
      </c>
      <c r="O31" s="16">
        <f>L31-N31*I31</f>
        <v>0.00275</v>
      </c>
      <c r="P31" s="22">
        <f>N31*COS(RADIANS(F31))</f>
        <v>5.18132373473931e-7</v>
      </c>
      <c r="Q31" s="22">
        <f>N31*SIN(RADIANS(F31))</f>
        <v>4.3476468348298417e-7</v>
      </c>
      <c r="R31" s="11">
        <f>AP31</f>
        <v>15280.236471834909</v>
      </c>
      <c r="S31" s="11">
        <f>AQ31</f>
        <v>177.1658175430916</v>
      </c>
      <c r="T31" s="11">
        <f>AR31</f>
        <v>203.47264405075333</v>
      </c>
      <c r="U31" s="11">
        <f>AS31</f>
        <v>2390.1091436483266</v>
      </c>
      <c r="V31" s="11">
        <f>AT31</f>
        <v>56.58765267920388</v>
      </c>
      <c r="W31" s="11">
        <f>AU31</f>
        <v>65.06431860061777</v>
      </c>
      <c r="X31" s="11">
        <f>AM31</f>
        <v>17670.345615483235</v>
      </c>
      <c r="Y31" s="11">
        <f>AN31</f>
        <v>233.7534702222955</v>
      </c>
      <c r="Z31" s="11">
        <f>AO31</f>
        <v>268.5369626513711</v>
      </c>
      <c r="AA31" s="7">
        <v>1</v>
      </c>
      <c r="AB31" s="7">
        <v>1</v>
      </c>
      <c r="AC31" s="7">
        <v>1</v>
      </c>
      <c r="AD31" s="11">
        <f>X31*AA31</f>
        <v>17670.345615483235</v>
      </c>
      <c r="AE31" s="11">
        <f>Y31*AB31</f>
        <v>233.7534702222955</v>
      </c>
      <c r="AF31" s="11">
        <f>Z31*AC31</f>
        <v>268.5369626513711</v>
      </c>
      <c r="AG31" s="7">
        <v>17670.345615483235</v>
      </c>
      <c r="AH31" s="7">
        <v>233.7534702222955</v>
      </c>
      <c r="AI31" s="7">
        <v>268.5369626513711</v>
      </c>
      <c r="AJ31" s="16">
        <f>AD31-AG31</f>
        <v>0</v>
      </c>
      <c r="AK31" s="16">
        <f>SQRT((AE31-AH31)^2+(AF31-AI31)^2)</f>
        <v>0</v>
      </c>
      <c r="AL31" s="7" t="s">
        <v>190</v>
      </c>
      <c r="AM31" s="7">
        <v>17670.345615483235</v>
      </c>
      <c r="AN31" s="7">
        <v>233.7534702222955</v>
      </c>
      <c r="AO31" s="7">
        <v>268.5369626513711</v>
      </c>
      <c r="AP31" s="7">
        <v>15280.236471834909</v>
      </c>
      <c r="AQ31" s="7">
        <v>177.1658175430916</v>
      </c>
      <c r="AR31" s="7">
        <v>203.47264405075333</v>
      </c>
      <c r="AS31" s="7">
        <v>2390.1091436483266</v>
      </c>
      <c r="AT31" s="7">
        <v>56.58765267920388</v>
      </c>
      <c r="AU31" s="7">
        <v>65.06431860061777</v>
      </c>
    </row>
    <row r="32" spans="1:47" x14ac:dyDescent="0.25">
      <c r="A32" s="7" t="s">
        <v>244</v>
      </c>
      <c r="B32" s="7">
        <v>2</v>
      </c>
      <c r="C32" s="19">
        <v>40</v>
      </c>
      <c r="D32" s="7" t="s">
        <v>245</v>
      </c>
      <c r="E32" s="7" t="s">
        <v>610</v>
      </c>
      <c r="F32" s="20">
        <v>40</v>
      </c>
      <c r="G32" s="7" t="s">
        <v>194</v>
      </c>
      <c r="H32" s="21">
        <v>2</v>
      </c>
      <c r="I32" s="11">
        <f>MAX(('Geometry'!$G$13*COS(RADIANS(F32))+'Geometry'!$F$13*SIN(RADIANS(F32))),('Geometry'!$G$14*COS(RADIANS(F32))+'Geometry'!$F$14*SIN(RADIANS(F32))),('Geometry'!$G$15*COS(RADIANS(F32))+'Geometry'!$F$15*SIN(RADIANS(F32))),('Geometry'!$G$16*COS(RADIANS(F32))+'Geometry'!$F$16*SIN(RADIANS(F32))),('Geometry'!$G$17*COS(RADIANS(F32))+'Geometry'!$F$17*SIN(RADIANS(F32))),('Geometry'!$G$18*COS(RADIANS(F32))+'Geometry'!$F$18*SIN(RADIANS(F32))),('Geometry'!$G$19*COS(RADIANS(F32))+'Geometry'!$F$19*SIN(RADIANS(F32))),('Geometry'!$G$20*COS(RADIANS(F32))+'Geometry'!$F$20*SIN(RADIANS(F32))))</f>
        <v>813.1598511989835</v>
      </c>
      <c r="J32" s="11">
        <f>I32-H32*K32</f>
        <v>-2439.4795535969506</v>
      </c>
      <c r="K32" s="11">
        <f>I32-MIN(('Geometry'!$G$13*COS(RADIANS(F32))+'Geometry'!$F$13*SIN(RADIANS(F32))),('Geometry'!$G$14*COS(RADIANS(F32))+'Geometry'!$F$14*SIN(RADIANS(F32))),('Geometry'!$G$15*COS(RADIANS(F32))+'Geometry'!$F$15*SIN(RADIANS(F32))),('Geometry'!$G$16*COS(RADIANS(F32))+'Geometry'!$F$16*SIN(RADIANS(F32))),('Geometry'!$G$17*COS(RADIANS(F32))+'Geometry'!$F$17*SIN(RADIANS(F32))),('Geometry'!$G$18*COS(RADIANS(F32))+'Geometry'!$F$18*SIN(RADIANS(F32))),('Geometry'!$G$19*COS(RADIANS(F32))+'Geometry'!$F$19*SIN(RADIANS(F32))),('Geometry'!$G$20*COS(RADIANS(F32))+'Geometry'!$F$20*SIN(RADIANS(F32))))</f>
        <v>1626.319702397967</v>
      </c>
      <c r="L32" s="16">
        <f>C_ecu</f>
        <v>0.0033</v>
      </c>
      <c r="M32" s="16">
        <f>0</f>
        <v>0</v>
      </c>
      <c r="N32" s="22">
        <f>IF(ABS(I32-J32)&lt;0.000000000001,0,(L32-M32)/(I32-J32))</f>
        <v>0.0000010145606657578562</v>
      </c>
      <c r="O32" s="16">
        <f>L32-N32*I32</f>
        <v>0.002475</v>
      </c>
      <c r="P32" s="22">
        <f>N32*COS(RADIANS(F32))</f>
        <v>7.771985602108965e-7</v>
      </c>
      <c r="Q32" s="22">
        <f>N32*SIN(RADIANS(F32))</f>
        <v>6.521470252244763e-7</v>
      </c>
      <c r="R32" s="11">
        <f>AP32</f>
        <v>15280.236471834909</v>
      </c>
      <c r="S32" s="11">
        <f>AQ32</f>
        <v>354.3316350861832</v>
      </c>
      <c r="T32" s="11">
        <f>AR32</f>
        <v>406.94528810150666</v>
      </c>
      <c r="U32" s="11">
        <f>AS32</f>
        <v>2390.1091436483266</v>
      </c>
      <c r="V32" s="11">
        <f>AT32</f>
        <v>113.17530535840775</v>
      </c>
      <c r="W32" s="11">
        <f>AU32</f>
        <v>130.12863720123553</v>
      </c>
      <c r="X32" s="11">
        <f>AM32</f>
        <v>17670.345615483235</v>
      </c>
      <c r="Y32" s="11">
        <f>AN32</f>
        <v>467.506940444591</v>
      </c>
      <c r="Z32" s="11">
        <f>AO32</f>
        <v>537.0739253027422</v>
      </c>
      <c r="AA32" s="7">
        <v>1</v>
      </c>
      <c r="AB32" s="7">
        <v>1</v>
      </c>
      <c r="AC32" s="7">
        <v>1</v>
      </c>
      <c r="AD32" s="11">
        <f>X32*AA32</f>
        <v>17670.345615483235</v>
      </c>
      <c r="AE32" s="11">
        <f>Y32*AB32</f>
        <v>467.506940444591</v>
      </c>
      <c r="AF32" s="11">
        <f>Z32*AC32</f>
        <v>537.0739253027422</v>
      </c>
      <c r="AG32" s="7">
        <v>17670.345615483235</v>
      </c>
      <c r="AH32" s="7">
        <v>467.506940444591</v>
      </c>
      <c r="AI32" s="7">
        <v>537.0739253027422</v>
      </c>
      <c r="AJ32" s="16">
        <f>AD32-AG32</f>
        <v>0</v>
      </c>
      <c r="AK32" s="16">
        <f>SQRT((AE32-AH32)^2+(AF32-AI32)^2)</f>
        <v>0</v>
      </c>
      <c r="AL32" s="7" t="s">
        <v>190</v>
      </c>
      <c r="AM32" s="7">
        <v>17670.345615483235</v>
      </c>
      <c r="AN32" s="7">
        <v>467.506940444591</v>
      </c>
      <c r="AO32" s="7">
        <v>537.0739253027422</v>
      </c>
      <c r="AP32" s="7">
        <v>15280.236471834909</v>
      </c>
      <c r="AQ32" s="7">
        <v>354.3316350861832</v>
      </c>
      <c r="AR32" s="7">
        <v>406.94528810150666</v>
      </c>
      <c r="AS32" s="7">
        <v>2390.1091436483266</v>
      </c>
      <c r="AT32" s="7">
        <v>113.17530535840775</v>
      </c>
      <c r="AU32" s="7">
        <v>130.12863720123553</v>
      </c>
    </row>
    <row r="33" spans="1:47" x14ac:dyDescent="0.25">
      <c r="A33" s="7" t="s">
        <v>246</v>
      </c>
      <c r="B33" s="7">
        <v>3</v>
      </c>
      <c r="C33" s="19">
        <v>40</v>
      </c>
      <c r="D33" s="7" t="s">
        <v>247</v>
      </c>
      <c r="E33" s="7" t="s">
        <v>611</v>
      </c>
      <c r="F33" s="20">
        <v>40</v>
      </c>
      <c r="G33" s="7" t="s">
        <v>194</v>
      </c>
      <c r="H33" s="21">
        <v>1.5000000000000002</v>
      </c>
      <c r="I33" s="11">
        <f>MAX(('Geometry'!$G$13*COS(RADIANS(F33))+'Geometry'!$F$13*SIN(RADIANS(F33))),('Geometry'!$G$14*COS(RADIANS(F33))+'Geometry'!$F$14*SIN(RADIANS(F33))),('Geometry'!$G$15*COS(RADIANS(F33))+'Geometry'!$F$15*SIN(RADIANS(F33))),('Geometry'!$G$16*COS(RADIANS(F33))+'Geometry'!$F$16*SIN(RADIANS(F33))),('Geometry'!$G$17*COS(RADIANS(F33))+'Geometry'!$F$17*SIN(RADIANS(F33))),('Geometry'!$G$18*COS(RADIANS(F33))+'Geometry'!$F$18*SIN(RADIANS(F33))),('Geometry'!$G$19*COS(RADIANS(F33))+'Geometry'!$F$19*SIN(RADIANS(F33))),('Geometry'!$G$20*COS(RADIANS(F33))+'Geometry'!$F$20*SIN(RADIANS(F33))))</f>
        <v>813.1598511989835</v>
      </c>
      <c r="J33" s="11">
        <f>I33-H33*K33</f>
        <v>-1626.3197023979674</v>
      </c>
      <c r="K33" s="11">
        <f>I33-MIN(('Geometry'!$G$13*COS(RADIANS(F33))+'Geometry'!$F$13*SIN(RADIANS(F33))),('Geometry'!$G$14*COS(RADIANS(F33))+'Geometry'!$F$14*SIN(RADIANS(F33))),('Geometry'!$G$15*COS(RADIANS(F33))+'Geometry'!$F$15*SIN(RADIANS(F33))),('Geometry'!$G$16*COS(RADIANS(F33))+'Geometry'!$F$16*SIN(RADIANS(F33))),('Geometry'!$G$17*COS(RADIANS(F33))+'Geometry'!$F$17*SIN(RADIANS(F33))),('Geometry'!$G$18*COS(RADIANS(F33))+'Geometry'!$F$18*SIN(RADIANS(F33))),('Geometry'!$G$19*COS(RADIANS(F33))+'Geometry'!$F$19*SIN(RADIANS(F33))),('Geometry'!$G$20*COS(RADIANS(F33))+'Geometry'!$F$20*SIN(RADIANS(F33))))</f>
        <v>1626.319702397967</v>
      </c>
      <c r="L33" s="16">
        <f>C_ecu</f>
        <v>0.0033</v>
      </c>
      <c r="M33" s="16">
        <f>0</f>
        <v>0</v>
      </c>
      <c r="N33" s="22">
        <f>IF(ABS(I33-J33)&lt;0.000000000001,0,(L33-M33)/(I33-J33))</f>
        <v>0.000001352747554343808</v>
      </c>
      <c r="O33" s="16">
        <f>L33-N33*I33</f>
        <v>0.0022</v>
      </c>
      <c r="P33" s="22">
        <f>N33*COS(RADIANS(F33))</f>
        <v>0.000001036264746947862</v>
      </c>
      <c r="Q33" s="22">
        <f>N33*SIN(RADIANS(F33))</f>
        <v>8.695293669659683e-7</v>
      </c>
      <c r="R33" s="11">
        <f>AP33</f>
        <v>15280.236471834909</v>
      </c>
      <c r="S33" s="11">
        <f>AQ33</f>
        <v>531.4974526292748</v>
      </c>
      <c r="T33" s="11">
        <f>AR33</f>
        <v>610.4179321522599</v>
      </c>
      <c r="U33" s="11">
        <f>AS33</f>
        <v>2390.1091436483266</v>
      </c>
      <c r="V33" s="11">
        <f>AT33</f>
        <v>169.76295803761164</v>
      </c>
      <c r="W33" s="11">
        <f>AU33</f>
        <v>195.19295580185332</v>
      </c>
      <c r="X33" s="11">
        <f>AM33</f>
        <v>17670.345615483235</v>
      </c>
      <c r="Y33" s="11">
        <f>AN33</f>
        <v>701.2604106668864</v>
      </c>
      <c r="Z33" s="11">
        <f>AO33</f>
        <v>805.6108879541132</v>
      </c>
      <c r="AA33" s="7">
        <v>1</v>
      </c>
      <c r="AB33" s="7">
        <v>1</v>
      </c>
      <c r="AC33" s="7">
        <v>1</v>
      </c>
      <c r="AD33" s="11">
        <f>X33*AA33</f>
        <v>17670.345615483235</v>
      </c>
      <c r="AE33" s="11">
        <f>Y33*AB33</f>
        <v>701.2604106668864</v>
      </c>
      <c r="AF33" s="11">
        <f>Z33*AC33</f>
        <v>805.6108879541132</v>
      </c>
      <c r="AG33" s="7">
        <v>17670.345615483235</v>
      </c>
      <c r="AH33" s="7">
        <v>701.2604106668864</v>
      </c>
      <c r="AI33" s="7">
        <v>805.6108879541132</v>
      </c>
      <c r="AJ33" s="16">
        <f>AD33-AG33</f>
        <v>0</v>
      </c>
      <c r="AK33" s="16">
        <f>SQRT((AE33-AH33)^2+(AF33-AI33)^2)</f>
        <v>0</v>
      </c>
      <c r="AL33" s="7" t="s">
        <v>190</v>
      </c>
      <c r="AM33" s="7">
        <v>17670.345615483235</v>
      </c>
      <c r="AN33" s="7">
        <v>701.2604106668864</v>
      </c>
      <c r="AO33" s="7">
        <v>805.6108879541132</v>
      </c>
      <c r="AP33" s="7">
        <v>15280.236471834909</v>
      </c>
      <c r="AQ33" s="7">
        <v>531.4974526292748</v>
      </c>
      <c r="AR33" s="7">
        <v>610.4179321522599</v>
      </c>
      <c r="AS33" s="7">
        <v>2390.1091436483266</v>
      </c>
      <c r="AT33" s="7">
        <v>169.76295803761164</v>
      </c>
      <c r="AU33" s="7">
        <v>195.19295580185332</v>
      </c>
    </row>
    <row r="34" spans="1:47" x14ac:dyDescent="0.25">
      <c r="A34" s="7" t="s">
        <v>248</v>
      </c>
      <c r="B34" s="7">
        <v>4</v>
      </c>
      <c r="C34" s="19">
        <v>40</v>
      </c>
      <c r="D34" s="7" t="s">
        <v>249</v>
      </c>
      <c r="E34" s="7" t="s">
        <v>612</v>
      </c>
      <c r="F34" s="20">
        <v>40</v>
      </c>
      <c r="G34" s="7" t="s">
        <v>194</v>
      </c>
      <c r="H34" s="21">
        <v>1.2</v>
      </c>
      <c r="I34" s="11">
        <f>MAX(('Geometry'!$G$13*COS(RADIANS(F34))+'Geometry'!$F$13*SIN(RADIANS(F34))),('Geometry'!$G$14*COS(RADIANS(F34))+'Geometry'!$F$14*SIN(RADIANS(F34))),('Geometry'!$G$15*COS(RADIANS(F34))+'Geometry'!$F$15*SIN(RADIANS(F34))),('Geometry'!$G$16*COS(RADIANS(F34))+'Geometry'!$F$16*SIN(RADIANS(F34))),('Geometry'!$G$17*COS(RADIANS(F34))+'Geometry'!$F$17*SIN(RADIANS(F34))),('Geometry'!$G$18*COS(RADIANS(F34))+'Geometry'!$F$18*SIN(RADIANS(F34))),('Geometry'!$G$19*COS(RADIANS(F34))+'Geometry'!$F$19*SIN(RADIANS(F34))),('Geometry'!$G$20*COS(RADIANS(F34))+'Geometry'!$F$20*SIN(RADIANS(F34))))</f>
        <v>813.1598511989835</v>
      </c>
      <c r="J34" s="11">
        <f>I34-H34*K34</f>
        <v>-1138.423791678577</v>
      </c>
      <c r="K34" s="11">
        <f>I34-MIN(('Geometry'!$G$13*COS(RADIANS(F34))+'Geometry'!$F$13*SIN(RADIANS(F34))),('Geometry'!$G$14*COS(RADIANS(F34))+'Geometry'!$F$14*SIN(RADIANS(F34))),('Geometry'!$G$15*COS(RADIANS(F34))+'Geometry'!$F$15*SIN(RADIANS(F34))),('Geometry'!$G$16*COS(RADIANS(F34))+'Geometry'!$F$16*SIN(RADIANS(F34))),('Geometry'!$G$17*COS(RADIANS(F34))+'Geometry'!$F$17*SIN(RADIANS(F34))),('Geometry'!$G$18*COS(RADIANS(F34))+'Geometry'!$F$18*SIN(RADIANS(F34))),('Geometry'!$G$19*COS(RADIANS(F34))+'Geometry'!$F$19*SIN(RADIANS(F34))),('Geometry'!$G$20*COS(RADIANS(F34))+'Geometry'!$F$20*SIN(RADIANS(F34))))</f>
        <v>1626.319702397967</v>
      </c>
      <c r="L34" s="16">
        <f>C_ecu</f>
        <v>0.0033</v>
      </c>
      <c r="M34" s="16">
        <f>0</f>
        <v>0</v>
      </c>
      <c r="N34" s="22">
        <f>IF(ABS(I34-J34)&lt;0.000000000001,0,(L34-M34)/(I34-J34))</f>
        <v>0.0000016909344429297603</v>
      </c>
      <c r="O34" s="16">
        <f>L34-N34*I34</f>
        <v>0.0019249999999999998</v>
      </c>
      <c r="P34" s="22">
        <f>N34*COS(RADIANS(F34))</f>
        <v>0.0000012953309336848276</v>
      </c>
      <c r="Q34" s="22">
        <f>N34*SIN(RADIANS(F34))</f>
        <v>0.0000010869117087074606</v>
      </c>
      <c r="R34" s="11">
        <f>AP34</f>
        <v>15280.236471834909</v>
      </c>
      <c r="S34" s="11">
        <f>AQ34</f>
        <v>708.6632701723664</v>
      </c>
      <c r="T34" s="11">
        <f>AR34</f>
        <v>813.8905762030133</v>
      </c>
      <c r="U34" s="11">
        <f>AS34</f>
        <v>2390.1091436483266</v>
      </c>
      <c r="V34" s="11">
        <f>AT34</f>
        <v>226.3506107168155</v>
      </c>
      <c r="W34" s="11">
        <f>AU34</f>
        <v>260.25727440247107</v>
      </c>
      <c r="X34" s="11">
        <f>AM34</f>
        <v>17670.345615483235</v>
      </c>
      <c r="Y34" s="11">
        <f>AN34</f>
        <v>935.013880889182</v>
      </c>
      <c r="Z34" s="11">
        <f>AO34</f>
        <v>1074.1478506054843</v>
      </c>
      <c r="AA34" s="7">
        <v>1</v>
      </c>
      <c r="AB34" s="7">
        <v>1</v>
      </c>
      <c r="AC34" s="7">
        <v>1</v>
      </c>
      <c r="AD34" s="11">
        <f>X34*AA34</f>
        <v>17670.345615483235</v>
      </c>
      <c r="AE34" s="11">
        <f>Y34*AB34</f>
        <v>935.013880889182</v>
      </c>
      <c r="AF34" s="11">
        <f>Z34*AC34</f>
        <v>1074.1478506054843</v>
      </c>
      <c r="AG34" s="7">
        <v>17670.345615483235</v>
      </c>
      <c r="AH34" s="7">
        <v>935.013880889182</v>
      </c>
      <c r="AI34" s="7">
        <v>1074.1478506054843</v>
      </c>
      <c r="AJ34" s="16">
        <f>AD34-AG34</f>
        <v>0</v>
      </c>
      <c r="AK34" s="16">
        <f>SQRT((AE34-AH34)^2+(AF34-AI34)^2)</f>
        <v>0</v>
      </c>
      <c r="AL34" s="7" t="s">
        <v>190</v>
      </c>
      <c r="AM34" s="7">
        <v>17670.345615483235</v>
      </c>
      <c r="AN34" s="7">
        <v>935.013880889182</v>
      </c>
      <c r="AO34" s="7">
        <v>1074.1478506054843</v>
      </c>
      <c r="AP34" s="7">
        <v>15280.236471834909</v>
      </c>
      <c r="AQ34" s="7">
        <v>708.6632701723664</v>
      </c>
      <c r="AR34" s="7">
        <v>813.8905762030133</v>
      </c>
      <c r="AS34" s="7">
        <v>2390.1091436483266</v>
      </c>
      <c r="AT34" s="7">
        <v>226.3506107168155</v>
      </c>
      <c r="AU34" s="7">
        <v>260.25727440247107</v>
      </c>
    </row>
    <row r="35" spans="1:47" x14ac:dyDescent="0.25">
      <c r="A35" s="7" t="s">
        <v>250</v>
      </c>
      <c r="B35" s="7">
        <v>5</v>
      </c>
      <c r="C35" s="19">
        <v>40</v>
      </c>
      <c r="D35" s="7" t="s">
        <v>251</v>
      </c>
      <c r="E35" s="7" t="s">
        <v>613</v>
      </c>
      <c r="F35" s="20">
        <v>40</v>
      </c>
      <c r="G35" s="7" t="s">
        <v>194</v>
      </c>
      <c r="H35" s="21">
        <v>1.1</v>
      </c>
      <c r="I35" s="11">
        <f>MAX(('Geometry'!$G$13*COS(RADIANS(F35))+'Geometry'!$F$13*SIN(RADIANS(F35))),('Geometry'!$G$14*COS(RADIANS(F35))+'Geometry'!$F$14*SIN(RADIANS(F35))),('Geometry'!$G$15*COS(RADIANS(F35))+'Geometry'!$F$15*SIN(RADIANS(F35))),('Geometry'!$G$16*COS(RADIANS(F35))+'Geometry'!$F$16*SIN(RADIANS(F35))),('Geometry'!$G$17*COS(RADIANS(F35))+'Geometry'!$F$17*SIN(RADIANS(F35))),('Geometry'!$G$18*COS(RADIANS(F35))+'Geometry'!$F$18*SIN(RADIANS(F35))),('Geometry'!$G$19*COS(RADIANS(F35))+'Geometry'!$F$19*SIN(RADIANS(F35))),('Geometry'!$G$20*COS(RADIANS(F35))+'Geometry'!$F$20*SIN(RADIANS(F35))))</f>
        <v>813.1598511989835</v>
      </c>
      <c r="J35" s="11">
        <f>I35-H35*K35</f>
        <v>-975.7918214387803</v>
      </c>
      <c r="K35" s="11">
        <f>I35-MIN(('Geometry'!$G$13*COS(RADIANS(F35))+'Geometry'!$F$13*SIN(RADIANS(F35))),('Geometry'!$G$14*COS(RADIANS(F35))+'Geometry'!$F$14*SIN(RADIANS(F35))),('Geometry'!$G$15*COS(RADIANS(F35))+'Geometry'!$F$15*SIN(RADIANS(F35))),('Geometry'!$G$16*COS(RADIANS(F35))+'Geometry'!$F$16*SIN(RADIANS(F35))),('Geometry'!$G$17*COS(RADIANS(F35))+'Geometry'!$F$17*SIN(RADIANS(F35))),('Geometry'!$G$18*COS(RADIANS(F35))+'Geometry'!$F$18*SIN(RADIANS(F35))),('Geometry'!$G$19*COS(RADIANS(F35))+'Geometry'!$F$19*SIN(RADIANS(F35))),('Geometry'!$G$20*COS(RADIANS(F35))+'Geometry'!$F$20*SIN(RADIANS(F35))))</f>
        <v>1626.319702397967</v>
      </c>
      <c r="L35" s="16">
        <f>C_ecu</f>
        <v>0.0033</v>
      </c>
      <c r="M35" s="16">
        <f>0</f>
        <v>0</v>
      </c>
      <c r="N35" s="22">
        <f>IF(ABS(I35-J35)&lt;0.000000000001,0,(L35-M35)/(I35-J35))</f>
        <v>0.0000018446557559233748</v>
      </c>
      <c r="O35" s="16">
        <f>L35-N35*I35</f>
        <v>0.0018</v>
      </c>
      <c r="P35" s="22">
        <f>N35*COS(RADIANS(F35))</f>
        <v>0.0000014130882912925392</v>
      </c>
      <c r="Q35" s="22">
        <f>N35*SIN(RADIANS(F35))</f>
        <v>0.0000011857218640445023</v>
      </c>
      <c r="R35" s="11">
        <f>AP35</f>
        <v>15280.236471834909</v>
      </c>
      <c r="S35" s="11">
        <f>AQ35</f>
        <v>885.8290877154581</v>
      </c>
      <c r="T35" s="11">
        <f>AR35</f>
        <v>1017.3632202537667</v>
      </c>
      <c r="U35" s="11">
        <f>AS35</f>
        <v>2390.1091436483266</v>
      </c>
      <c r="V35" s="11">
        <f>AT35</f>
        <v>282.9382633960194</v>
      </c>
      <c r="W35" s="11">
        <f>AU35</f>
        <v>325.3215930030889</v>
      </c>
      <c r="X35" s="11">
        <f>AM35</f>
        <v>17670.345615483235</v>
      </c>
      <c r="Y35" s="11">
        <f>AN35</f>
        <v>1168.7673511114776</v>
      </c>
      <c r="Z35" s="11">
        <f>AO35</f>
        <v>1342.6848132568555</v>
      </c>
      <c r="AA35" s="7">
        <v>1</v>
      </c>
      <c r="AB35" s="7">
        <v>1</v>
      </c>
      <c r="AC35" s="7">
        <v>1</v>
      </c>
      <c r="AD35" s="11">
        <f>X35*AA35</f>
        <v>17670.345615483235</v>
      </c>
      <c r="AE35" s="11">
        <f>Y35*AB35</f>
        <v>1168.7673511114776</v>
      </c>
      <c r="AF35" s="11">
        <f>Z35*AC35</f>
        <v>1342.6848132568555</v>
      </c>
      <c r="AG35" s="7">
        <v>17670.345615483235</v>
      </c>
      <c r="AH35" s="7">
        <v>1168.7673511114776</v>
      </c>
      <c r="AI35" s="7">
        <v>1342.6848132568555</v>
      </c>
      <c r="AJ35" s="16">
        <f>AD35-AG35</f>
        <v>0</v>
      </c>
      <c r="AK35" s="16">
        <f>SQRT((AE35-AH35)^2+(AF35-AI35)^2)</f>
        <v>0</v>
      </c>
      <c r="AL35" s="7" t="s">
        <v>190</v>
      </c>
      <c r="AM35" s="7">
        <v>17670.345615483235</v>
      </c>
      <c r="AN35" s="7">
        <v>1168.7673511114776</v>
      </c>
      <c r="AO35" s="7">
        <v>1342.6848132568555</v>
      </c>
      <c r="AP35" s="7">
        <v>15280.236471834909</v>
      </c>
      <c r="AQ35" s="7">
        <v>885.8290877154581</v>
      </c>
      <c r="AR35" s="7">
        <v>1017.3632202537667</v>
      </c>
      <c r="AS35" s="7">
        <v>2390.1091436483266</v>
      </c>
      <c r="AT35" s="7">
        <v>282.9382633960194</v>
      </c>
      <c r="AU35" s="7">
        <v>325.3215930030889</v>
      </c>
    </row>
    <row r="36" spans="1:47" x14ac:dyDescent="0.25">
      <c r="A36" s="7" t="s">
        <v>252</v>
      </c>
      <c r="B36" s="7">
        <v>6</v>
      </c>
      <c r="C36" s="19">
        <v>40</v>
      </c>
      <c r="D36" s="7" t="s">
        <v>253</v>
      </c>
      <c r="E36" s="7" t="s">
        <v>614</v>
      </c>
      <c r="F36" s="20">
        <v>40</v>
      </c>
      <c r="G36" s="7" t="s">
        <v>194</v>
      </c>
      <c r="H36" s="21">
        <v>1.0000000000000002</v>
      </c>
      <c r="I36" s="11">
        <f>MAX(('Geometry'!$G$13*COS(RADIANS(F36))+'Geometry'!$F$13*SIN(RADIANS(F36))),('Geometry'!$G$14*COS(RADIANS(F36))+'Geometry'!$F$14*SIN(RADIANS(F36))),('Geometry'!$G$15*COS(RADIANS(F36))+'Geometry'!$F$15*SIN(RADIANS(F36))),('Geometry'!$G$16*COS(RADIANS(F36))+'Geometry'!$F$16*SIN(RADIANS(F36))),('Geometry'!$G$17*COS(RADIANS(F36))+'Geometry'!$F$17*SIN(RADIANS(F36))),('Geometry'!$G$18*COS(RADIANS(F36))+'Geometry'!$F$18*SIN(RADIANS(F36))),('Geometry'!$G$19*COS(RADIANS(F36))+'Geometry'!$F$19*SIN(RADIANS(F36))),('Geometry'!$G$20*COS(RADIANS(F36))+'Geometry'!$F$20*SIN(RADIANS(F36))))</f>
        <v>813.1598511989835</v>
      </c>
      <c r="J36" s="11">
        <f>I36-H36*K36</f>
        <v>-813.1598511989837</v>
      </c>
      <c r="K36" s="11">
        <f>I36-MIN(('Geometry'!$G$13*COS(RADIANS(F36))+'Geometry'!$F$13*SIN(RADIANS(F36))),('Geometry'!$G$14*COS(RADIANS(F36))+'Geometry'!$F$14*SIN(RADIANS(F36))),('Geometry'!$G$15*COS(RADIANS(F36))+'Geometry'!$F$15*SIN(RADIANS(F36))),('Geometry'!$G$16*COS(RADIANS(F36))+'Geometry'!$F$16*SIN(RADIANS(F36))),('Geometry'!$G$17*COS(RADIANS(F36))+'Geometry'!$F$17*SIN(RADIANS(F36))),('Geometry'!$G$18*COS(RADIANS(F36))+'Geometry'!$F$18*SIN(RADIANS(F36))),('Geometry'!$G$19*COS(RADIANS(F36))+'Geometry'!$F$19*SIN(RADIANS(F36))),('Geometry'!$G$20*COS(RADIANS(F36))+'Geometry'!$F$20*SIN(RADIANS(F36))))</f>
        <v>1626.319702397967</v>
      </c>
      <c r="L36" s="16">
        <f>C_ecu</f>
        <v>0.0033</v>
      </c>
      <c r="M36" s="16">
        <f>0</f>
        <v>0</v>
      </c>
      <c r="N36" s="22">
        <f>IF(ABS(I36-J36)&lt;0.000000000001,0,(L36-M36)/(I36-J36))</f>
        <v>0.0000020291213315157124</v>
      </c>
      <c r="O36" s="16">
        <f>L36-N36*I36</f>
        <v>0.0016500000000000002</v>
      </c>
      <c r="P36" s="22">
        <f>N36*COS(RADIANS(F36))</f>
        <v>0.000001554397120421793</v>
      </c>
      <c r="Q36" s="22">
        <f>N36*SIN(RADIANS(F36))</f>
        <v>0.0000013042940504489526</v>
      </c>
      <c r="R36" s="11">
        <f>AP36</f>
        <v>15280.236471834909</v>
      </c>
      <c r="S36" s="11">
        <f>AQ36</f>
        <v>1062.9949052585496</v>
      </c>
      <c r="T36" s="11">
        <f>AR36</f>
        <v>1220.8358643045199</v>
      </c>
      <c r="U36" s="11">
        <f>AS36</f>
        <v>2390.1091436483266</v>
      </c>
      <c r="V36" s="11">
        <f>AT36</f>
        <v>339.5259160752233</v>
      </c>
      <c r="W36" s="11">
        <f>AU36</f>
        <v>390.38591160370663</v>
      </c>
      <c r="X36" s="11">
        <f>AM36</f>
        <v>17670.345615483235</v>
      </c>
      <c r="Y36" s="11">
        <f>AN36</f>
        <v>1402.5208213337728</v>
      </c>
      <c r="Z36" s="11">
        <f>AO36</f>
        <v>1611.2217759082264</v>
      </c>
      <c r="AA36" s="7">
        <v>1</v>
      </c>
      <c r="AB36" s="7">
        <v>1</v>
      </c>
      <c r="AC36" s="7">
        <v>1</v>
      </c>
      <c r="AD36" s="11">
        <f>X36*AA36</f>
        <v>17670.345615483235</v>
      </c>
      <c r="AE36" s="11">
        <f>Y36*AB36</f>
        <v>1402.5208213337728</v>
      </c>
      <c r="AF36" s="11">
        <f>Z36*AC36</f>
        <v>1611.2217759082264</v>
      </c>
      <c r="AG36" s="7">
        <v>17670.345615483235</v>
      </c>
      <c r="AH36" s="7">
        <v>1402.5208213337728</v>
      </c>
      <c r="AI36" s="7">
        <v>1611.2217759082264</v>
      </c>
      <c r="AJ36" s="16">
        <f>AD36-AG36</f>
        <v>0</v>
      </c>
      <c r="AK36" s="16">
        <f>SQRT((AE36-AH36)^2+(AF36-AI36)^2)</f>
        <v>0</v>
      </c>
      <c r="AL36" s="7" t="s">
        <v>190</v>
      </c>
      <c r="AM36" s="7">
        <v>17670.345615483235</v>
      </c>
      <c r="AN36" s="7">
        <v>1402.5208213337728</v>
      </c>
      <c r="AO36" s="7">
        <v>1611.2217759082264</v>
      </c>
      <c r="AP36" s="7">
        <v>15280.236471834909</v>
      </c>
      <c r="AQ36" s="7">
        <v>1062.9949052585496</v>
      </c>
      <c r="AR36" s="7">
        <v>1220.8358643045199</v>
      </c>
      <c r="AS36" s="7">
        <v>2390.1091436483266</v>
      </c>
      <c r="AT36" s="7">
        <v>339.5259160752233</v>
      </c>
      <c r="AU36" s="7">
        <v>390.38591160370663</v>
      </c>
    </row>
    <row r="37" spans="1:47" x14ac:dyDescent="0.25">
      <c r="A37" s="7" t="s">
        <v>254</v>
      </c>
      <c r="B37" s="7">
        <v>1</v>
      </c>
      <c r="C37" s="19">
        <v>50</v>
      </c>
      <c r="D37" s="7" t="s">
        <v>255</v>
      </c>
      <c r="E37" s="7" t="s">
        <v>609</v>
      </c>
      <c r="F37" s="20">
        <v>50</v>
      </c>
      <c r="G37" s="7" t="s">
        <v>194</v>
      </c>
      <c r="H37" s="21">
        <v>2.9999999999999996</v>
      </c>
      <c r="I37" s="11">
        <f>MAX(('Geometry'!$G$13*COS(RADIANS(F37))+'Geometry'!$F$13*SIN(RADIANS(F37))),('Geometry'!$G$14*COS(RADIANS(F37))+'Geometry'!$F$14*SIN(RADIANS(F37))),('Geometry'!$G$15*COS(RADIANS(F37))+'Geometry'!$F$15*SIN(RADIANS(F37))),('Geometry'!$G$16*COS(RADIANS(F37))+'Geometry'!$F$16*SIN(RADIANS(F37))),('Geometry'!$G$17*COS(RADIANS(F37))+'Geometry'!$F$17*SIN(RADIANS(F37))),('Geometry'!$G$18*COS(RADIANS(F37))+'Geometry'!$F$18*SIN(RADIANS(F37))),('Geometry'!$G$19*COS(RADIANS(F37))+'Geometry'!$F$19*SIN(RADIANS(F37))),('Geometry'!$G$20*COS(RADIANS(F37))+'Geometry'!$F$20*SIN(RADIANS(F37))))</f>
        <v>831.6483762138494</v>
      </c>
      <c r="J37" s="11">
        <f>I37-H37*K37</f>
        <v>-4158.241881069246</v>
      </c>
      <c r="K37" s="11">
        <f>I37-MIN(('Geometry'!$G$13*COS(RADIANS(F37))+'Geometry'!$F$13*SIN(RADIANS(F37))),('Geometry'!$G$14*COS(RADIANS(F37))+'Geometry'!$F$14*SIN(RADIANS(F37))),('Geometry'!$G$15*COS(RADIANS(F37))+'Geometry'!$F$15*SIN(RADIANS(F37))),('Geometry'!$G$16*COS(RADIANS(F37))+'Geometry'!$F$16*SIN(RADIANS(F37))),('Geometry'!$G$17*COS(RADIANS(F37))+'Geometry'!$F$17*SIN(RADIANS(F37))),('Geometry'!$G$18*COS(RADIANS(F37))+'Geometry'!$F$18*SIN(RADIANS(F37))),('Geometry'!$G$19*COS(RADIANS(F37))+'Geometry'!$F$19*SIN(RADIANS(F37))),('Geometry'!$G$20*COS(RADIANS(F37))+'Geometry'!$F$20*SIN(RADIANS(F37))))</f>
        <v>1663.2967524276987</v>
      </c>
      <c r="L37" s="16">
        <f>C_ecu</f>
        <v>0.0033</v>
      </c>
      <c r="M37" s="16">
        <f>0</f>
        <v>0</v>
      </c>
      <c r="N37" s="22">
        <f>IF(ABS(I37-J37)&lt;0.000000000001,0,(L37-M37)/(I37-J37))</f>
        <v>6.613371897675341e-7</v>
      </c>
      <c r="O37" s="16">
        <f>L37-N37*I37</f>
        <v>0.00275</v>
      </c>
      <c r="P37" s="22">
        <f>N37*COS(RADIANS(F37))</f>
        <v>4.250993514074865e-7</v>
      </c>
      <c r="Q37" s="22">
        <f>N37*SIN(RADIANS(F37))</f>
        <v>5.066136792493406e-7</v>
      </c>
      <c r="R37" s="11">
        <f>AP37</f>
        <v>15287.791798119022</v>
      </c>
      <c r="S37" s="11">
        <f>AQ37</f>
        <v>147.1002304996231</v>
      </c>
      <c r="T37" s="11">
        <f>AR37</f>
        <v>232.76860759196776</v>
      </c>
      <c r="U37" s="11">
        <f>AS37</f>
        <v>2382.553817364214</v>
      </c>
      <c r="V37" s="11">
        <f>AT37</f>
        <v>46.6018297344042</v>
      </c>
      <c r="W37" s="11">
        <f>AU37</f>
        <v>73.95867242573082</v>
      </c>
      <c r="X37" s="11">
        <f>AM37</f>
        <v>17670.345615483235</v>
      </c>
      <c r="Y37" s="11">
        <f>AN37</f>
        <v>193.7020602340273</v>
      </c>
      <c r="Z37" s="11">
        <f>AO37</f>
        <v>306.7272800176986</v>
      </c>
      <c r="AA37" s="7">
        <v>1</v>
      </c>
      <c r="AB37" s="7">
        <v>1</v>
      </c>
      <c r="AC37" s="7">
        <v>1</v>
      </c>
      <c r="AD37" s="11">
        <f>X37*AA37</f>
        <v>17670.345615483235</v>
      </c>
      <c r="AE37" s="11">
        <f>Y37*AB37</f>
        <v>193.7020602340273</v>
      </c>
      <c r="AF37" s="11">
        <f>Z37*AC37</f>
        <v>306.7272800176986</v>
      </c>
      <c r="AG37" s="7">
        <v>17670.345615483235</v>
      </c>
      <c r="AH37" s="7">
        <v>193.7020602340273</v>
      </c>
      <c r="AI37" s="7">
        <v>306.7272800176986</v>
      </c>
      <c r="AJ37" s="16">
        <f>AD37-AG37</f>
        <v>0</v>
      </c>
      <c r="AK37" s="16">
        <f>SQRT((AE37-AH37)^2+(AF37-AI37)^2)</f>
        <v>0</v>
      </c>
      <c r="AL37" s="7" t="s">
        <v>190</v>
      </c>
      <c r="AM37" s="7">
        <v>17670.345615483235</v>
      </c>
      <c r="AN37" s="7">
        <v>193.7020602340273</v>
      </c>
      <c r="AO37" s="7">
        <v>306.7272800176986</v>
      </c>
      <c r="AP37" s="7">
        <v>15287.791798119022</v>
      </c>
      <c r="AQ37" s="7">
        <v>147.1002304996231</v>
      </c>
      <c r="AR37" s="7">
        <v>232.76860759196776</v>
      </c>
      <c r="AS37" s="7">
        <v>2382.553817364214</v>
      </c>
      <c r="AT37" s="7">
        <v>46.6018297344042</v>
      </c>
      <c r="AU37" s="7">
        <v>73.95867242573082</v>
      </c>
    </row>
    <row r="38" spans="1:47" x14ac:dyDescent="0.25">
      <c r="A38" s="7" t="s">
        <v>256</v>
      </c>
      <c r="B38" s="7">
        <v>2</v>
      </c>
      <c r="C38" s="19">
        <v>50</v>
      </c>
      <c r="D38" s="7" t="s">
        <v>257</v>
      </c>
      <c r="E38" s="7" t="s">
        <v>610</v>
      </c>
      <c r="F38" s="20">
        <v>50</v>
      </c>
      <c r="G38" s="7" t="s">
        <v>194</v>
      </c>
      <c r="H38" s="21">
        <v>2</v>
      </c>
      <c r="I38" s="11">
        <f>MAX(('Geometry'!$G$13*COS(RADIANS(F38))+'Geometry'!$F$13*SIN(RADIANS(F38))),('Geometry'!$G$14*COS(RADIANS(F38))+'Geometry'!$F$14*SIN(RADIANS(F38))),('Geometry'!$G$15*COS(RADIANS(F38))+'Geometry'!$F$15*SIN(RADIANS(F38))),('Geometry'!$G$16*COS(RADIANS(F38))+'Geometry'!$F$16*SIN(RADIANS(F38))),('Geometry'!$G$17*COS(RADIANS(F38))+'Geometry'!$F$17*SIN(RADIANS(F38))),('Geometry'!$G$18*COS(RADIANS(F38))+'Geometry'!$F$18*SIN(RADIANS(F38))),('Geometry'!$G$19*COS(RADIANS(F38))+'Geometry'!$F$19*SIN(RADIANS(F38))),('Geometry'!$G$20*COS(RADIANS(F38))+'Geometry'!$F$20*SIN(RADIANS(F38))))</f>
        <v>831.6483762138494</v>
      </c>
      <c r="J38" s="11">
        <f>I38-H38*K38</f>
        <v>-2494.945128641548</v>
      </c>
      <c r="K38" s="11">
        <f>I38-MIN(('Geometry'!$G$13*COS(RADIANS(F38))+'Geometry'!$F$13*SIN(RADIANS(F38))),('Geometry'!$G$14*COS(RADIANS(F38))+'Geometry'!$F$14*SIN(RADIANS(F38))),('Geometry'!$G$15*COS(RADIANS(F38))+'Geometry'!$F$15*SIN(RADIANS(F38))),('Geometry'!$G$16*COS(RADIANS(F38))+'Geometry'!$F$16*SIN(RADIANS(F38))),('Geometry'!$G$17*COS(RADIANS(F38))+'Geometry'!$F$17*SIN(RADIANS(F38))),('Geometry'!$G$18*COS(RADIANS(F38))+'Geometry'!$F$18*SIN(RADIANS(F38))),('Geometry'!$G$19*COS(RADIANS(F38))+'Geometry'!$F$19*SIN(RADIANS(F38))),('Geometry'!$G$20*COS(RADIANS(F38))+'Geometry'!$F$20*SIN(RADIANS(F38))))</f>
        <v>1663.2967524276987</v>
      </c>
      <c r="L38" s="16">
        <f>C_ecu</f>
        <v>0.0033</v>
      </c>
      <c r="M38" s="16">
        <f>0</f>
        <v>0</v>
      </c>
      <c r="N38" s="22">
        <f>IF(ABS(I38-J38)&lt;0.000000000001,0,(L38-M38)/(I38-J38))</f>
        <v>9.92005784651301e-7</v>
      </c>
      <c r="O38" s="16">
        <f>L38-N38*I38</f>
        <v>0.0024749999999999998</v>
      </c>
      <c r="P38" s="22">
        <f>N38*COS(RADIANS(F38))</f>
        <v>6.376490271112297e-7</v>
      </c>
      <c r="Q38" s="22">
        <f>N38*SIN(RADIANS(F38))</f>
        <v>7.599205188740108e-7</v>
      </c>
      <c r="R38" s="11">
        <f>AP38</f>
        <v>15287.791798119022</v>
      </c>
      <c r="S38" s="11">
        <f>AQ38</f>
        <v>294.2004609992462</v>
      </c>
      <c r="T38" s="11">
        <f>AR38</f>
        <v>465.53721518393553</v>
      </c>
      <c r="U38" s="11">
        <f>AS38</f>
        <v>2382.553817364214</v>
      </c>
      <c r="V38" s="11">
        <f>AT38</f>
        <v>93.2036594688084</v>
      </c>
      <c r="W38" s="11">
        <f>AU38</f>
        <v>147.91734485146165</v>
      </c>
      <c r="X38" s="11">
        <f>AM38</f>
        <v>17670.345615483235</v>
      </c>
      <c r="Y38" s="11">
        <f>AN38</f>
        <v>387.4041204680546</v>
      </c>
      <c r="Z38" s="11">
        <f>AO38</f>
        <v>613.4545600353972</v>
      </c>
      <c r="AA38" s="7">
        <v>1</v>
      </c>
      <c r="AB38" s="7">
        <v>1</v>
      </c>
      <c r="AC38" s="7">
        <v>1</v>
      </c>
      <c r="AD38" s="11">
        <f>X38*AA38</f>
        <v>17670.345615483235</v>
      </c>
      <c r="AE38" s="11">
        <f>Y38*AB38</f>
        <v>387.4041204680546</v>
      </c>
      <c r="AF38" s="11">
        <f>Z38*AC38</f>
        <v>613.4545600353972</v>
      </c>
      <c r="AG38" s="7">
        <v>17670.345615483235</v>
      </c>
      <c r="AH38" s="7">
        <v>387.4041204680546</v>
      </c>
      <c r="AI38" s="7">
        <v>613.4545600353972</v>
      </c>
      <c r="AJ38" s="16">
        <f>AD38-AG38</f>
        <v>0</v>
      </c>
      <c r="AK38" s="16">
        <f>SQRT((AE38-AH38)^2+(AF38-AI38)^2)</f>
        <v>0</v>
      </c>
      <c r="AL38" s="7" t="s">
        <v>190</v>
      </c>
      <c r="AM38" s="7">
        <v>17670.345615483235</v>
      </c>
      <c r="AN38" s="7">
        <v>387.4041204680546</v>
      </c>
      <c r="AO38" s="7">
        <v>613.4545600353972</v>
      </c>
      <c r="AP38" s="7">
        <v>15287.791798119022</v>
      </c>
      <c r="AQ38" s="7">
        <v>294.2004609992462</v>
      </c>
      <c r="AR38" s="7">
        <v>465.53721518393553</v>
      </c>
      <c r="AS38" s="7">
        <v>2382.553817364214</v>
      </c>
      <c r="AT38" s="7">
        <v>93.2036594688084</v>
      </c>
      <c r="AU38" s="7">
        <v>147.91734485146165</v>
      </c>
    </row>
    <row r="39" spans="1:47" x14ac:dyDescent="0.25">
      <c r="A39" s="7" t="s">
        <v>258</v>
      </c>
      <c r="B39" s="7">
        <v>3</v>
      </c>
      <c r="C39" s="19">
        <v>50</v>
      </c>
      <c r="D39" s="7" t="s">
        <v>259</v>
      </c>
      <c r="E39" s="7" t="s">
        <v>611</v>
      </c>
      <c r="F39" s="20">
        <v>50</v>
      </c>
      <c r="G39" s="7" t="s">
        <v>194</v>
      </c>
      <c r="H39" s="21">
        <v>1.4999999999999998</v>
      </c>
      <c r="I39" s="11">
        <f>MAX(('Geometry'!$G$13*COS(RADIANS(F39))+'Geometry'!$F$13*SIN(RADIANS(F39))),('Geometry'!$G$14*COS(RADIANS(F39))+'Geometry'!$F$14*SIN(RADIANS(F39))),('Geometry'!$G$15*COS(RADIANS(F39))+'Geometry'!$F$15*SIN(RADIANS(F39))),('Geometry'!$G$16*COS(RADIANS(F39))+'Geometry'!$F$16*SIN(RADIANS(F39))),('Geometry'!$G$17*COS(RADIANS(F39))+'Geometry'!$F$17*SIN(RADIANS(F39))),('Geometry'!$G$18*COS(RADIANS(F39))+'Geometry'!$F$18*SIN(RADIANS(F39))),('Geometry'!$G$19*COS(RADIANS(F39))+'Geometry'!$F$19*SIN(RADIANS(F39))),('Geometry'!$G$20*COS(RADIANS(F39))+'Geometry'!$F$20*SIN(RADIANS(F39))))</f>
        <v>831.6483762138494</v>
      </c>
      <c r="J39" s="11">
        <f>I39-H39*K39</f>
        <v>-1663.2967524276983</v>
      </c>
      <c r="K39" s="11">
        <f>I39-MIN(('Geometry'!$G$13*COS(RADIANS(F39))+'Geometry'!$F$13*SIN(RADIANS(F39))),('Geometry'!$G$14*COS(RADIANS(F39))+'Geometry'!$F$14*SIN(RADIANS(F39))),('Geometry'!$G$15*COS(RADIANS(F39))+'Geometry'!$F$15*SIN(RADIANS(F39))),('Geometry'!$G$16*COS(RADIANS(F39))+'Geometry'!$F$16*SIN(RADIANS(F39))),('Geometry'!$G$17*COS(RADIANS(F39))+'Geometry'!$F$17*SIN(RADIANS(F39))),('Geometry'!$G$18*COS(RADIANS(F39))+'Geometry'!$F$18*SIN(RADIANS(F39))),('Geometry'!$G$19*COS(RADIANS(F39))+'Geometry'!$F$19*SIN(RADIANS(F39))),('Geometry'!$G$20*COS(RADIANS(F39))+'Geometry'!$F$20*SIN(RADIANS(F39))))</f>
        <v>1663.2967524276987</v>
      </c>
      <c r="L39" s="16">
        <f>C_ecu</f>
        <v>0.0033</v>
      </c>
      <c r="M39" s="16">
        <f>0</f>
        <v>0</v>
      </c>
      <c r="N39" s="22">
        <f>IF(ABS(I39-J39)&lt;0.000000000001,0,(L39-M39)/(I39-J39))</f>
        <v>0.0000013226743795350681</v>
      </c>
      <c r="O39" s="16">
        <f>L39-N39*I39</f>
        <v>0.0021999999999999997</v>
      </c>
      <c r="P39" s="22">
        <f>N39*COS(RADIANS(F39))</f>
        <v>8.50198702814973e-7</v>
      </c>
      <c r="Q39" s="22">
        <f>N39*SIN(RADIANS(F39))</f>
        <v>0.0000010132273584986811</v>
      </c>
      <c r="R39" s="11">
        <f>AP39</f>
        <v>15287.791798119022</v>
      </c>
      <c r="S39" s="11">
        <f>AQ39</f>
        <v>441.30069149886936</v>
      </c>
      <c r="T39" s="11">
        <f>AR39</f>
        <v>698.3058227759034</v>
      </c>
      <c r="U39" s="11">
        <f>AS39</f>
        <v>2382.553817364214</v>
      </c>
      <c r="V39" s="11">
        <f>AT39</f>
        <v>139.80548920321263</v>
      </c>
      <c r="W39" s="11">
        <f>AU39</f>
        <v>221.87601727719246</v>
      </c>
      <c r="X39" s="11">
        <f>AM39</f>
        <v>17670.345615483235</v>
      </c>
      <c r="Y39" s="11">
        <f>AN39</f>
        <v>581.106180702082</v>
      </c>
      <c r="Z39" s="11">
        <f>AO39</f>
        <v>920.1818400530958</v>
      </c>
      <c r="AA39" s="7">
        <v>1</v>
      </c>
      <c r="AB39" s="7">
        <v>1</v>
      </c>
      <c r="AC39" s="7">
        <v>1</v>
      </c>
      <c r="AD39" s="11">
        <f>X39*AA39</f>
        <v>17670.345615483235</v>
      </c>
      <c r="AE39" s="11">
        <f>Y39*AB39</f>
        <v>581.106180702082</v>
      </c>
      <c r="AF39" s="11">
        <f>Z39*AC39</f>
        <v>920.1818400530958</v>
      </c>
      <c r="AG39" s="7">
        <v>17670.345615483235</v>
      </c>
      <c r="AH39" s="7">
        <v>581.106180702082</v>
      </c>
      <c r="AI39" s="7">
        <v>920.1818400530958</v>
      </c>
      <c r="AJ39" s="16">
        <f>AD39-AG39</f>
        <v>0</v>
      </c>
      <c r="AK39" s="16">
        <f>SQRT((AE39-AH39)^2+(AF39-AI39)^2)</f>
        <v>0</v>
      </c>
      <c r="AL39" s="7" t="s">
        <v>190</v>
      </c>
      <c r="AM39" s="7">
        <v>17670.345615483235</v>
      </c>
      <c r="AN39" s="7">
        <v>581.106180702082</v>
      </c>
      <c r="AO39" s="7">
        <v>920.1818400530958</v>
      </c>
      <c r="AP39" s="7">
        <v>15287.791798119022</v>
      </c>
      <c r="AQ39" s="7">
        <v>441.30069149886936</v>
      </c>
      <c r="AR39" s="7">
        <v>698.3058227759034</v>
      </c>
      <c r="AS39" s="7">
        <v>2382.553817364214</v>
      </c>
      <c r="AT39" s="7">
        <v>139.80548920321263</v>
      </c>
      <c r="AU39" s="7">
        <v>221.87601727719246</v>
      </c>
    </row>
    <row r="40" spans="1:47" x14ac:dyDescent="0.25">
      <c r="A40" s="7" t="s">
        <v>260</v>
      </c>
      <c r="B40" s="7">
        <v>4</v>
      </c>
      <c r="C40" s="19">
        <v>50</v>
      </c>
      <c r="D40" s="7" t="s">
        <v>261</v>
      </c>
      <c r="E40" s="7" t="s">
        <v>612</v>
      </c>
      <c r="F40" s="20">
        <v>50</v>
      </c>
      <c r="G40" s="7" t="s">
        <v>194</v>
      </c>
      <c r="H40" s="21">
        <v>1.2</v>
      </c>
      <c r="I40" s="11">
        <f>MAX(('Geometry'!$G$13*COS(RADIANS(F40))+'Geometry'!$F$13*SIN(RADIANS(F40))),('Geometry'!$G$14*COS(RADIANS(F40))+'Geometry'!$F$14*SIN(RADIANS(F40))),('Geometry'!$G$15*COS(RADIANS(F40))+'Geometry'!$F$15*SIN(RADIANS(F40))),('Geometry'!$G$16*COS(RADIANS(F40))+'Geometry'!$F$16*SIN(RADIANS(F40))),('Geometry'!$G$17*COS(RADIANS(F40))+'Geometry'!$F$17*SIN(RADIANS(F40))),('Geometry'!$G$18*COS(RADIANS(F40))+'Geometry'!$F$18*SIN(RADIANS(F40))),('Geometry'!$G$19*COS(RADIANS(F40))+'Geometry'!$F$19*SIN(RADIANS(F40))),('Geometry'!$G$20*COS(RADIANS(F40))+'Geometry'!$F$20*SIN(RADIANS(F40))))</f>
        <v>831.6483762138494</v>
      </c>
      <c r="J40" s="11">
        <f>I40-H40*K40</f>
        <v>-1164.307726699389</v>
      </c>
      <c r="K40" s="11">
        <f>I40-MIN(('Geometry'!$G$13*COS(RADIANS(F40))+'Geometry'!$F$13*SIN(RADIANS(F40))),('Geometry'!$G$14*COS(RADIANS(F40))+'Geometry'!$F$14*SIN(RADIANS(F40))),('Geometry'!$G$15*COS(RADIANS(F40))+'Geometry'!$F$15*SIN(RADIANS(F40))),('Geometry'!$G$16*COS(RADIANS(F40))+'Geometry'!$F$16*SIN(RADIANS(F40))),('Geometry'!$G$17*COS(RADIANS(F40))+'Geometry'!$F$17*SIN(RADIANS(F40))),('Geometry'!$G$18*COS(RADIANS(F40))+'Geometry'!$F$18*SIN(RADIANS(F40))),('Geometry'!$G$19*COS(RADIANS(F40))+'Geometry'!$F$19*SIN(RADIANS(F40))),('Geometry'!$G$20*COS(RADIANS(F40))+'Geometry'!$F$20*SIN(RADIANS(F40))))</f>
        <v>1663.2967524276987</v>
      </c>
      <c r="L40" s="16">
        <f>C_ecu</f>
        <v>0.0033</v>
      </c>
      <c r="M40" s="16">
        <f>0</f>
        <v>0</v>
      </c>
      <c r="N40" s="22">
        <f>IF(ABS(I40-J40)&lt;0.000000000001,0,(L40-M40)/(I40-J40))</f>
        <v>0.000001653342974418835</v>
      </c>
      <c r="O40" s="16">
        <f>L40-N40*I40</f>
        <v>0.0019249999999999998</v>
      </c>
      <c r="P40" s="22">
        <f>N40*COS(RADIANS(F40))</f>
        <v>0.0000010627483785187162</v>
      </c>
      <c r="Q40" s="22">
        <f>N40*SIN(RADIANS(F40))</f>
        <v>0.0000012665341981233513</v>
      </c>
      <c r="R40" s="11">
        <f>AP40</f>
        <v>15287.791798119022</v>
      </c>
      <c r="S40" s="11">
        <f>AQ40</f>
        <v>588.4009219984924</v>
      </c>
      <c r="T40" s="11">
        <f>AR40</f>
        <v>931.0744303678711</v>
      </c>
      <c r="U40" s="11">
        <f>AS40</f>
        <v>2382.553817364214</v>
      </c>
      <c r="V40" s="11">
        <f>AT40</f>
        <v>186.4073189376168</v>
      </c>
      <c r="W40" s="11">
        <f>AU40</f>
        <v>295.8346897029233</v>
      </c>
      <c r="X40" s="11">
        <f>AM40</f>
        <v>17670.345615483235</v>
      </c>
      <c r="Y40" s="11">
        <f>AN40</f>
        <v>774.8082409361092</v>
      </c>
      <c r="Z40" s="11">
        <f>AO40</f>
        <v>1226.9091200707944</v>
      </c>
      <c r="AA40" s="7">
        <v>1</v>
      </c>
      <c r="AB40" s="7">
        <v>1</v>
      </c>
      <c r="AC40" s="7">
        <v>1</v>
      </c>
      <c r="AD40" s="11">
        <f>X40*AA40</f>
        <v>17670.345615483235</v>
      </c>
      <c r="AE40" s="11">
        <f>Y40*AB40</f>
        <v>774.8082409361092</v>
      </c>
      <c r="AF40" s="11">
        <f>Z40*AC40</f>
        <v>1226.9091200707944</v>
      </c>
      <c r="AG40" s="7">
        <v>17670.345615483235</v>
      </c>
      <c r="AH40" s="7">
        <v>774.8082409361092</v>
      </c>
      <c r="AI40" s="7">
        <v>1226.9091200707944</v>
      </c>
      <c r="AJ40" s="16">
        <f>AD40-AG40</f>
        <v>0</v>
      </c>
      <c r="AK40" s="16">
        <f>SQRT((AE40-AH40)^2+(AF40-AI40)^2)</f>
        <v>0</v>
      </c>
      <c r="AL40" s="7" t="s">
        <v>190</v>
      </c>
      <c r="AM40" s="7">
        <v>17670.345615483235</v>
      </c>
      <c r="AN40" s="7">
        <v>774.8082409361092</v>
      </c>
      <c r="AO40" s="7">
        <v>1226.9091200707944</v>
      </c>
      <c r="AP40" s="7">
        <v>15287.791798119022</v>
      </c>
      <c r="AQ40" s="7">
        <v>588.4009219984924</v>
      </c>
      <c r="AR40" s="7">
        <v>931.0744303678711</v>
      </c>
      <c r="AS40" s="7">
        <v>2382.553817364214</v>
      </c>
      <c r="AT40" s="7">
        <v>186.4073189376168</v>
      </c>
      <c r="AU40" s="7">
        <v>295.8346897029233</v>
      </c>
    </row>
    <row r="41" spans="1:47" x14ac:dyDescent="0.25">
      <c r="A41" s="7" t="s">
        <v>262</v>
      </c>
      <c r="B41" s="7">
        <v>5</v>
      </c>
      <c r="C41" s="19">
        <v>50</v>
      </c>
      <c r="D41" s="7" t="s">
        <v>263</v>
      </c>
      <c r="E41" s="7" t="s">
        <v>613</v>
      </c>
      <c r="F41" s="20">
        <v>50</v>
      </c>
      <c r="G41" s="7" t="s">
        <v>194</v>
      </c>
      <c r="H41" s="21">
        <v>1.1000000000000003</v>
      </c>
      <c r="I41" s="11">
        <f>MAX(('Geometry'!$G$13*COS(RADIANS(F41))+'Geometry'!$F$13*SIN(RADIANS(F41))),('Geometry'!$G$14*COS(RADIANS(F41))+'Geometry'!$F$14*SIN(RADIANS(F41))),('Geometry'!$G$15*COS(RADIANS(F41))+'Geometry'!$F$15*SIN(RADIANS(F41))),('Geometry'!$G$16*COS(RADIANS(F41))+'Geometry'!$F$16*SIN(RADIANS(F41))),('Geometry'!$G$17*COS(RADIANS(F41))+'Geometry'!$F$17*SIN(RADIANS(F41))),('Geometry'!$G$18*COS(RADIANS(F41))+'Geometry'!$F$18*SIN(RADIANS(F41))),('Geometry'!$G$19*COS(RADIANS(F41))+'Geometry'!$F$19*SIN(RADIANS(F41))),('Geometry'!$G$20*COS(RADIANS(F41))+'Geometry'!$F$20*SIN(RADIANS(F41))))</f>
        <v>831.6483762138494</v>
      </c>
      <c r="J41" s="11">
        <f>I41-H41*K41</f>
        <v>-997.9780514566196</v>
      </c>
      <c r="K41" s="11">
        <f>I41-MIN(('Geometry'!$G$13*COS(RADIANS(F41))+'Geometry'!$F$13*SIN(RADIANS(F41))),('Geometry'!$G$14*COS(RADIANS(F41))+'Geometry'!$F$14*SIN(RADIANS(F41))),('Geometry'!$G$15*COS(RADIANS(F41))+'Geometry'!$F$15*SIN(RADIANS(F41))),('Geometry'!$G$16*COS(RADIANS(F41))+'Geometry'!$F$16*SIN(RADIANS(F41))),('Geometry'!$G$17*COS(RADIANS(F41))+'Geometry'!$F$17*SIN(RADIANS(F41))),('Geometry'!$G$18*COS(RADIANS(F41))+'Geometry'!$F$18*SIN(RADIANS(F41))),('Geometry'!$G$19*COS(RADIANS(F41))+'Geometry'!$F$19*SIN(RADIANS(F41))),('Geometry'!$G$20*COS(RADIANS(F41))+'Geometry'!$F$20*SIN(RADIANS(F41))))</f>
        <v>1663.2967524276987</v>
      </c>
      <c r="L41" s="16">
        <f>C_ecu</f>
        <v>0.0033</v>
      </c>
      <c r="M41" s="16">
        <f>0</f>
        <v>0</v>
      </c>
      <c r="N41" s="22">
        <f>IF(ABS(I41-J41)&lt;0.000000000001,0,(L41-M41)/(I41-J41))</f>
        <v>0.0000018036468811841832</v>
      </c>
      <c r="O41" s="16">
        <f>L41-N41*I41</f>
        <v>0.0018000000000000002</v>
      </c>
      <c r="P41" s="22">
        <f>N41*COS(RADIANS(F41))</f>
        <v>0.0000011593618674749628</v>
      </c>
      <c r="Q41" s="22">
        <f>N41*SIN(RADIANS(F41))</f>
        <v>0.0000013816736706800193</v>
      </c>
      <c r="R41" s="11">
        <f>AP41</f>
        <v>15287.791798119022</v>
      </c>
      <c r="S41" s="11">
        <f>AQ41</f>
        <v>735.5011524981156</v>
      </c>
      <c r="T41" s="11">
        <f>AR41</f>
        <v>1163.843037959839</v>
      </c>
      <c r="U41" s="11">
        <f>AS41</f>
        <v>2382.553817364214</v>
      </c>
      <c r="V41" s="11">
        <f>AT41</f>
        <v>233.009148672021</v>
      </c>
      <c r="W41" s="11">
        <f>AU41</f>
        <v>369.7933621286541</v>
      </c>
      <c r="X41" s="11">
        <f>AM41</f>
        <v>17670.345615483235</v>
      </c>
      <c r="Y41" s="11">
        <f>AN41</f>
        <v>968.5103011701367</v>
      </c>
      <c r="Z41" s="11">
        <f>AO41</f>
        <v>1533.636400088493</v>
      </c>
      <c r="AA41" s="7">
        <v>1</v>
      </c>
      <c r="AB41" s="7">
        <v>1</v>
      </c>
      <c r="AC41" s="7">
        <v>1</v>
      </c>
      <c r="AD41" s="11">
        <f>X41*AA41</f>
        <v>17670.345615483235</v>
      </c>
      <c r="AE41" s="11">
        <f>Y41*AB41</f>
        <v>968.5103011701367</v>
      </c>
      <c r="AF41" s="11">
        <f>Z41*AC41</f>
        <v>1533.636400088493</v>
      </c>
      <c r="AG41" s="7">
        <v>17670.345615483235</v>
      </c>
      <c r="AH41" s="7">
        <v>968.5103011701367</v>
      </c>
      <c r="AI41" s="7">
        <v>1533.636400088493</v>
      </c>
      <c r="AJ41" s="16">
        <f>AD41-AG41</f>
        <v>0</v>
      </c>
      <c r="AK41" s="16">
        <f>SQRT((AE41-AH41)^2+(AF41-AI41)^2)</f>
        <v>0</v>
      </c>
      <c r="AL41" s="7" t="s">
        <v>190</v>
      </c>
      <c r="AM41" s="7">
        <v>17670.345615483235</v>
      </c>
      <c r="AN41" s="7">
        <v>968.5103011701367</v>
      </c>
      <c r="AO41" s="7">
        <v>1533.636400088493</v>
      </c>
      <c r="AP41" s="7">
        <v>15287.791798119022</v>
      </c>
      <c r="AQ41" s="7">
        <v>735.5011524981156</v>
      </c>
      <c r="AR41" s="7">
        <v>1163.843037959839</v>
      </c>
      <c r="AS41" s="7">
        <v>2382.553817364214</v>
      </c>
      <c r="AT41" s="7">
        <v>233.009148672021</v>
      </c>
      <c r="AU41" s="7">
        <v>369.7933621286541</v>
      </c>
    </row>
    <row r="42" spans="1:47" x14ac:dyDescent="0.25">
      <c r="A42" s="7" t="s">
        <v>264</v>
      </c>
      <c r="B42" s="7">
        <v>6</v>
      </c>
      <c r="C42" s="19">
        <v>50</v>
      </c>
      <c r="D42" s="7" t="s">
        <v>265</v>
      </c>
      <c r="E42" s="7" t="s">
        <v>614</v>
      </c>
      <c r="F42" s="20">
        <v>50</v>
      </c>
      <c r="G42" s="7" t="s">
        <v>194</v>
      </c>
      <c r="H42" s="21">
        <v>1</v>
      </c>
      <c r="I42" s="11">
        <f>MAX(('Geometry'!$G$13*COS(RADIANS(F42))+'Geometry'!$F$13*SIN(RADIANS(F42))),('Geometry'!$G$14*COS(RADIANS(F42))+'Geometry'!$F$14*SIN(RADIANS(F42))),('Geometry'!$G$15*COS(RADIANS(F42))+'Geometry'!$F$15*SIN(RADIANS(F42))),('Geometry'!$G$16*COS(RADIANS(F42))+'Geometry'!$F$16*SIN(RADIANS(F42))),('Geometry'!$G$17*COS(RADIANS(F42))+'Geometry'!$F$17*SIN(RADIANS(F42))),('Geometry'!$G$18*COS(RADIANS(F42))+'Geometry'!$F$18*SIN(RADIANS(F42))),('Geometry'!$G$19*COS(RADIANS(F42))+'Geometry'!$F$19*SIN(RADIANS(F42))),('Geometry'!$G$20*COS(RADIANS(F42))+'Geometry'!$F$20*SIN(RADIANS(F42))))</f>
        <v>831.6483762138494</v>
      </c>
      <c r="J42" s="11">
        <f>I42-H42*K42</f>
        <v>-831.6483762138494</v>
      </c>
      <c r="K42" s="11">
        <f>I42-MIN(('Geometry'!$G$13*COS(RADIANS(F42))+'Geometry'!$F$13*SIN(RADIANS(F42))),('Geometry'!$G$14*COS(RADIANS(F42))+'Geometry'!$F$14*SIN(RADIANS(F42))),('Geometry'!$G$15*COS(RADIANS(F42))+'Geometry'!$F$15*SIN(RADIANS(F42))),('Geometry'!$G$16*COS(RADIANS(F42))+'Geometry'!$F$16*SIN(RADIANS(F42))),('Geometry'!$G$17*COS(RADIANS(F42))+'Geometry'!$F$17*SIN(RADIANS(F42))),('Geometry'!$G$18*COS(RADIANS(F42))+'Geometry'!$F$18*SIN(RADIANS(F42))),('Geometry'!$G$19*COS(RADIANS(F42))+'Geometry'!$F$19*SIN(RADIANS(F42))),('Geometry'!$G$20*COS(RADIANS(F42))+'Geometry'!$F$20*SIN(RADIANS(F42))))</f>
        <v>1663.2967524276987</v>
      </c>
      <c r="L42" s="16">
        <f>C_ecu</f>
        <v>0.0033</v>
      </c>
      <c r="M42" s="16">
        <f>0</f>
        <v>0</v>
      </c>
      <c r="N42" s="22">
        <f>IF(ABS(I42-J42)&lt;0.000000000001,0,(L42-M42)/(I42-J42))</f>
        <v>0.000001984011569302602</v>
      </c>
      <c r="O42" s="16">
        <f>L42-N42*I42</f>
        <v>0.00165</v>
      </c>
      <c r="P42" s="22">
        <f>N42*COS(RADIANS(F42))</f>
        <v>0.0000012752980542224595</v>
      </c>
      <c r="Q42" s="22">
        <f>N42*SIN(RADIANS(F42))</f>
        <v>0.0000015198410377480215</v>
      </c>
      <c r="R42" s="11">
        <f>AP42</f>
        <v>15287.791798119022</v>
      </c>
      <c r="S42" s="11">
        <f>AQ42</f>
        <v>882.6013829977387</v>
      </c>
      <c r="T42" s="11">
        <f>AR42</f>
        <v>1396.6116455518068</v>
      </c>
      <c r="U42" s="11">
        <f>AS42</f>
        <v>2382.553817364214</v>
      </c>
      <c r="V42" s="11">
        <f>AT42</f>
        <v>279.61097840642526</v>
      </c>
      <c r="W42" s="11">
        <f>AU42</f>
        <v>443.7520345543849</v>
      </c>
      <c r="X42" s="11">
        <f>AM42</f>
        <v>17670.345615483235</v>
      </c>
      <c r="Y42" s="11">
        <f>AN42</f>
        <v>1162.212361404164</v>
      </c>
      <c r="Z42" s="11">
        <f>AO42</f>
        <v>1840.3636801061916</v>
      </c>
      <c r="AA42" s="7">
        <v>1</v>
      </c>
      <c r="AB42" s="7">
        <v>1</v>
      </c>
      <c r="AC42" s="7">
        <v>1</v>
      </c>
      <c r="AD42" s="11">
        <f>X42*AA42</f>
        <v>17670.345615483235</v>
      </c>
      <c r="AE42" s="11">
        <f>Y42*AB42</f>
        <v>1162.212361404164</v>
      </c>
      <c r="AF42" s="11">
        <f>Z42*AC42</f>
        <v>1840.3636801061916</v>
      </c>
      <c r="AG42" s="7">
        <v>17670.345615483235</v>
      </c>
      <c r="AH42" s="7">
        <v>1162.212361404164</v>
      </c>
      <c r="AI42" s="7">
        <v>1840.3636801061916</v>
      </c>
      <c r="AJ42" s="16">
        <f>AD42-AG42</f>
        <v>0</v>
      </c>
      <c r="AK42" s="16">
        <f>SQRT((AE42-AH42)^2+(AF42-AI42)^2)</f>
        <v>0</v>
      </c>
      <c r="AL42" s="7" t="s">
        <v>190</v>
      </c>
      <c r="AM42" s="7">
        <v>17670.345615483235</v>
      </c>
      <c r="AN42" s="7">
        <v>1162.212361404164</v>
      </c>
      <c r="AO42" s="7">
        <v>1840.3636801061916</v>
      </c>
      <c r="AP42" s="7">
        <v>15287.791798119022</v>
      </c>
      <c r="AQ42" s="7">
        <v>882.6013829977387</v>
      </c>
      <c r="AR42" s="7">
        <v>1396.6116455518068</v>
      </c>
      <c r="AS42" s="7">
        <v>2382.553817364214</v>
      </c>
      <c r="AT42" s="7">
        <v>279.61097840642526</v>
      </c>
      <c r="AU42" s="7">
        <v>443.7520345543849</v>
      </c>
    </row>
    <row r="43" spans="1:47" x14ac:dyDescent="0.25">
      <c r="A43" s="7" t="s">
        <v>266</v>
      </c>
      <c r="B43" s="7">
        <v>1</v>
      </c>
      <c r="C43" s="19">
        <v>60</v>
      </c>
      <c r="D43" s="7" t="s">
        <v>267</v>
      </c>
      <c r="E43" s="7" t="s">
        <v>609</v>
      </c>
      <c r="F43" s="20">
        <v>60</v>
      </c>
      <c r="G43" s="7" t="s">
        <v>194</v>
      </c>
      <c r="H43" s="21">
        <v>3</v>
      </c>
      <c r="I43" s="11">
        <f>MAX(('Geometry'!$G$13*COS(RADIANS(F43))+'Geometry'!$F$13*SIN(RADIANS(F43))),('Geometry'!$G$14*COS(RADIANS(F43))+'Geometry'!$F$14*SIN(RADIANS(F43))),('Geometry'!$G$15*COS(RADIANS(F43))+'Geometry'!$F$15*SIN(RADIANS(F43))),('Geometry'!$G$16*COS(RADIANS(F43))+'Geometry'!$F$16*SIN(RADIANS(F43))),('Geometry'!$G$17*COS(RADIANS(F43))+'Geometry'!$F$17*SIN(RADIANS(F43))),('Geometry'!$G$18*COS(RADIANS(F43))+'Geometry'!$F$18*SIN(RADIANS(F43))),('Geometry'!$G$19*COS(RADIANS(F43))+'Geometry'!$F$19*SIN(RADIANS(F43))),('Geometry'!$G$20*COS(RADIANS(F43))+'Geometry'!$F$20*SIN(RADIANS(F43))))</f>
        <v>849.5190528383291</v>
      </c>
      <c r="J43" s="11">
        <f>I43-H43*K43</f>
        <v>-4247.595264191646</v>
      </c>
      <c r="K43" s="11">
        <f>I43-MIN(('Geometry'!$G$13*COS(RADIANS(F43))+'Geometry'!$F$13*SIN(RADIANS(F43))),('Geometry'!$G$14*COS(RADIANS(F43))+'Geometry'!$F$14*SIN(RADIANS(F43))),('Geometry'!$G$15*COS(RADIANS(F43))+'Geometry'!$F$15*SIN(RADIANS(F43))),('Geometry'!$G$16*COS(RADIANS(F43))+'Geometry'!$F$16*SIN(RADIANS(F43))),('Geometry'!$G$17*COS(RADIANS(F43))+'Geometry'!$F$17*SIN(RADIANS(F43))),('Geometry'!$G$18*COS(RADIANS(F43))+'Geometry'!$F$18*SIN(RADIANS(F43))),('Geometry'!$G$19*COS(RADIANS(F43))+'Geometry'!$F$19*SIN(RADIANS(F43))),('Geometry'!$G$20*COS(RADIANS(F43))+'Geometry'!$F$20*SIN(RADIANS(F43))))</f>
        <v>1699.0381056766582</v>
      </c>
      <c r="L43" s="16">
        <f>C_ecu</f>
        <v>0.0033</v>
      </c>
      <c r="M43" s="16">
        <f>0</f>
        <v>0</v>
      </c>
      <c r="N43" s="22">
        <f>IF(ABS(I43-J43)&lt;0.000000000001,0,(L43-M43)/(I43-J43))</f>
        <v>6.474251497507847e-7</v>
      </c>
      <c r="O43" s="16">
        <f>L43-N43*I43</f>
        <v>0.00275</v>
      </c>
      <c r="P43" s="22">
        <f>N43*COS(RADIANS(F43))</f>
        <v>3.237125748753924e-7</v>
      </c>
      <c r="Q43" s="22">
        <f>N43*SIN(RADIANS(F43))</f>
        <v>5.606866267331239e-7</v>
      </c>
      <c r="R43" s="11">
        <f>AP43</f>
        <v>15289.892011223284</v>
      </c>
      <c r="S43" s="11">
        <f>AQ43</f>
        <v>113.8022906208376</v>
      </c>
      <c r="T43" s="11">
        <f>AR43</f>
        <v>254.99857144061852</v>
      </c>
      <c r="U43" s="11">
        <f>AS43</f>
        <v>2380.4536042599534</v>
      </c>
      <c r="V43" s="11">
        <f>AT43</f>
        <v>35.05098578453965</v>
      </c>
      <c r="W43" s="11">
        <f>AU43</f>
        <v>81.631067219369</v>
      </c>
      <c r="X43" s="11">
        <f>AM43</f>
        <v>17670.345615483235</v>
      </c>
      <c r="Y43" s="11">
        <f>AN43</f>
        <v>148.85327640537727</v>
      </c>
      <c r="Z43" s="11">
        <f>AO43</f>
        <v>336.62963865998745</v>
      </c>
      <c r="AA43" s="7">
        <v>1</v>
      </c>
      <c r="AB43" s="7">
        <v>1</v>
      </c>
      <c r="AC43" s="7">
        <v>1</v>
      </c>
      <c r="AD43" s="11">
        <f>X43*AA43</f>
        <v>17670.345615483235</v>
      </c>
      <c r="AE43" s="11">
        <f>Y43*AB43</f>
        <v>148.85327640537727</v>
      </c>
      <c r="AF43" s="11">
        <f>Z43*AC43</f>
        <v>336.62963865998745</v>
      </c>
      <c r="AG43" s="7">
        <v>17670.345615483235</v>
      </c>
      <c r="AH43" s="7">
        <v>148.85327640537727</v>
      </c>
      <c r="AI43" s="7">
        <v>336.62963865998745</v>
      </c>
      <c r="AJ43" s="16">
        <f>AD43-AG43</f>
        <v>0</v>
      </c>
      <c r="AK43" s="16">
        <f>SQRT((AE43-AH43)^2+(AF43-AI43)^2)</f>
        <v>0</v>
      </c>
      <c r="AL43" s="7" t="s">
        <v>190</v>
      </c>
      <c r="AM43" s="7">
        <v>17670.345615483235</v>
      </c>
      <c r="AN43" s="7">
        <v>148.85327640537727</v>
      </c>
      <c r="AO43" s="7">
        <v>336.62963865998745</v>
      </c>
      <c r="AP43" s="7">
        <v>15289.892011223284</v>
      </c>
      <c r="AQ43" s="7">
        <v>113.8022906208376</v>
      </c>
      <c r="AR43" s="7">
        <v>254.99857144061852</v>
      </c>
      <c r="AS43" s="7">
        <v>2380.4536042599534</v>
      </c>
      <c r="AT43" s="7">
        <v>35.05098578453965</v>
      </c>
      <c r="AU43" s="7">
        <v>81.631067219369</v>
      </c>
    </row>
    <row r="44" spans="1:47" x14ac:dyDescent="0.25">
      <c r="A44" s="7" t="s">
        <v>268</v>
      </c>
      <c r="B44" s="7">
        <v>2</v>
      </c>
      <c r="C44" s="19">
        <v>60</v>
      </c>
      <c r="D44" s="7" t="s">
        <v>269</v>
      </c>
      <c r="E44" s="7" t="s">
        <v>610</v>
      </c>
      <c r="F44" s="20">
        <v>60</v>
      </c>
      <c r="G44" s="7" t="s">
        <v>194</v>
      </c>
      <c r="H44" s="21">
        <v>1.9999999999999998</v>
      </c>
      <c r="I44" s="11">
        <f>MAX(('Geometry'!$G$13*COS(RADIANS(F44))+'Geometry'!$F$13*SIN(RADIANS(F44))),('Geometry'!$G$14*COS(RADIANS(F44))+'Geometry'!$F$14*SIN(RADIANS(F44))),('Geometry'!$G$15*COS(RADIANS(F44))+'Geometry'!$F$15*SIN(RADIANS(F44))),('Geometry'!$G$16*COS(RADIANS(F44))+'Geometry'!$F$16*SIN(RADIANS(F44))),('Geometry'!$G$17*COS(RADIANS(F44))+'Geometry'!$F$17*SIN(RADIANS(F44))),('Geometry'!$G$18*COS(RADIANS(F44))+'Geometry'!$F$18*SIN(RADIANS(F44))),('Geometry'!$G$19*COS(RADIANS(F44))+'Geometry'!$F$19*SIN(RADIANS(F44))),('Geometry'!$G$20*COS(RADIANS(F44))+'Geometry'!$F$20*SIN(RADIANS(F44))))</f>
        <v>849.5190528383291</v>
      </c>
      <c r="J44" s="11">
        <f>I44-H44*K44</f>
        <v>-2548.557158514987</v>
      </c>
      <c r="K44" s="11">
        <f>I44-MIN(('Geometry'!$G$13*COS(RADIANS(F44))+'Geometry'!$F$13*SIN(RADIANS(F44))),('Geometry'!$G$14*COS(RADIANS(F44))+'Geometry'!$F$14*SIN(RADIANS(F44))),('Geometry'!$G$15*COS(RADIANS(F44))+'Geometry'!$F$15*SIN(RADIANS(F44))),('Geometry'!$G$16*COS(RADIANS(F44))+'Geometry'!$F$16*SIN(RADIANS(F44))),('Geometry'!$G$17*COS(RADIANS(F44))+'Geometry'!$F$17*SIN(RADIANS(F44))),('Geometry'!$G$18*COS(RADIANS(F44))+'Geometry'!$F$18*SIN(RADIANS(F44))),('Geometry'!$G$19*COS(RADIANS(F44))+'Geometry'!$F$19*SIN(RADIANS(F44))),('Geometry'!$G$20*COS(RADIANS(F44))+'Geometry'!$F$20*SIN(RADIANS(F44))))</f>
        <v>1699.0381056766582</v>
      </c>
      <c r="L44" s="16">
        <f>C_ecu</f>
        <v>0.0033</v>
      </c>
      <c r="M44" s="16">
        <f>0</f>
        <v>0</v>
      </c>
      <c r="N44" s="22">
        <f>IF(ABS(I44-J44)&lt;0.000000000001,0,(L44-M44)/(I44-J44))</f>
        <v>9.71137724626177e-7</v>
      </c>
      <c r="O44" s="16">
        <f>L44-N44*I44</f>
        <v>0.0024749999999999998</v>
      </c>
      <c r="P44" s="22">
        <f>N44*COS(RADIANS(F44))</f>
        <v>4.855688623130887e-7</v>
      </c>
      <c r="Q44" s="22">
        <f>N44*SIN(RADIANS(F44))</f>
        <v>8.41029940099686e-7</v>
      </c>
      <c r="R44" s="11">
        <f>AP44</f>
        <v>15289.892011223284</v>
      </c>
      <c r="S44" s="11">
        <f>AQ44</f>
        <v>227.6045812416752</v>
      </c>
      <c r="T44" s="11">
        <f>AR44</f>
        <v>509.99714288123704</v>
      </c>
      <c r="U44" s="11">
        <f>AS44</f>
        <v>2380.4536042599534</v>
      </c>
      <c r="V44" s="11">
        <f>AT44</f>
        <v>70.1019715690793</v>
      </c>
      <c r="W44" s="11">
        <f>AU44</f>
        <v>163.262134438738</v>
      </c>
      <c r="X44" s="11">
        <f>AM44</f>
        <v>17670.345615483235</v>
      </c>
      <c r="Y44" s="11">
        <f>AN44</f>
        <v>297.70655281075454</v>
      </c>
      <c r="Z44" s="11">
        <f>AO44</f>
        <v>673.2592773199749</v>
      </c>
      <c r="AA44" s="7">
        <v>1</v>
      </c>
      <c r="AB44" s="7">
        <v>1</v>
      </c>
      <c r="AC44" s="7">
        <v>1</v>
      </c>
      <c r="AD44" s="11">
        <f>X44*AA44</f>
        <v>17670.345615483235</v>
      </c>
      <c r="AE44" s="11">
        <f>Y44*AB44</f>
        <v>297.70655281075454</v>
      </c>
      <c r="AF44" s="11">
        <f>Z44*AC44</f>
        <v>673.2592773199749</v>
      </c>
      <c r="AG44" s="7">
        <v>17670.345615483235</v>
      </c>
      <c r="AH44" s="7">
        <v>297.70655281075454</v>
      </c>
      <c r="AI44" s="7">
        <v>673.2592773199749</v>
      </c>
      <c r="AJ44" s="16">
        <f>AD44-AG44</f>
        <v>0</v>
      </c>
      <c r="AK44" s="16">
        <f>SQRT((AE44-AH44)^2+(AF44-AI44)^2)</f>
        <v>0</v>
      </c>
      <c r="AL44" s="7" t="s">
        <v>190</v>
      </c>
      <c r="AM44" s="7">
        <v>17670.345615483235</v>
      </c>
      <c r="AN44" s="7">
        <v>297.70655281075454</v>
      </c>
      <c r="AO44" s="7">
        <v>673.2592773199749</v>
      </c>
      <c r="AP44" s="7">
        <v>15289.892011223284</v>
      </c>
      <c r="AQ44" s="7">
        <v>227.6045812416752</v>
      </c>
      <c r="AR44" s="7">
        <v>509.99714288123704</v>
      </c>
      <c r="AS44" s="7">
        <v>2380.4536042599534</v>
      </c>
      <c r="AT44" s="7">
        <v>70.1019715690793</v>
      </c>
      <c r="AU44" s="7">
        <v>163.262134438738</v>
      </c>
    </row>
    <row r="45" spans="1:47" x14ac:dyDescent="0.25">
      <c r="A45" s="7" t="s">
        <v>270</v>
      </c>
      <c r="B45" s="7">
        <v>3</v>
      </c>
      <c r="C45" s="19">
        <v>60</v>
      </c>
      <c r="D45" s="7" t="s">
        <v>271</v>
      </c>
      <c r="E45" s="7" t="s">
        <v>611</v>
      </c>
      <c r="F45" s="20">
        <v>60</v>
      </c>
      <c r="G45" s="7" t="s">
        <v>194</v>
      </c>
      <c r="H45" s="21">
        <v>1.5</v>
      </c>
      <c r="I45" s="11">
        <f>MAX(('Geometry'!$G$13*COS(RADIANS(F45))+'Geometry'!$F$13*SIN(RADIANS(F45))),('Geometry'!$G$14*COS(RADIANS(F45))+'Geometry'!$F$14*SIN(RADIANS(F45))),('Geometry'!$G$15*COS(RADIANS(F45))+'Geometry'!$F$15*SIN(RADIANS(F45))),('Geometry'!$G$16*COS(RADIANS(F45))+'Geometry'!$F$16*SIN(RADIANS(F45))),('Geometry'!$G$17*COS(RADIANS(F45))+'Geometry'!$F$17*SIN(RADIANS(F45))),('Geometry'!$G$18*COS(RADIANS(F45))+'Geometry'!$F$18*SIN(RADIANS(F45))),('Geometry'!$G$19*COS(RADIANS(F45))+'Geometry'!$F$19*SIN(RADIANS(F45))),('Geometry'!$G$20*COS(RADIANS(F45))+'Geometry'!$F$20*SIN(RADIANS(F45))))</f>
        <v>849.5190528383291</v>
      </c>
      <c r="J45" s="11">
        <f>I45-H45*K45</f>
        <v>-1699.038105676658</v>
      </c>
      <c r="K45" s="11">
        <f>I45-MIN(('Geometry'!$G$13*COS(RADIANS(F45))+'Geometry'!$F$13*SIN(RADIANS(F45))),('Geometry'!$G$14*COS(RADIANS(F45))+'Geometry'!$F$14*SIN(RADIANS(F45))),('Geometry'!$G$15*COS(RADIANS(F45))+'Geometry'!$F$15*SIN(RADIANS(F45))),('Geometry'!$G$16*COS(RADIANS(F45))+'Geometry'!$F$16*SIN(RADIANS(F45))),('Geometry'!$G$17*COS(RADIANS(F45))+'Geometry'!$F$17*SIN(RADIANS(F45))),('Geometry'!$G$18*COS(RADIANS(F45))+'Geometry'!$F$18*SIN(RADIANS(F45))),('Geometry'!$G$19*COS(RADIANS(F45))+'Geometry'!$F$19*SIN(RADIANS(F45))),('Geometry'!$G$20*COS(RADIANS(F45))+'Geometry'!$F$20*SIN(RADIANS(F45))))</f>
        <v>1699.0381056766582</v>
      </c>
      <c r="L45" s="16">
        <f>C_ecu</f>
        <v>0.0033</v>
      </c>
      <c r="M45" s="16">
        <f>0</f>
        <v>0</v>
      </c>
      <c r="N45" s="22">
        <f>IF(ABS(I45-J45)&lt;0.000000000001,0,(L45-M45)/(I45-J45))</f>
        <v>0.0000012948502995015694</v>
      </c>
      <c r="O45" s="16">
        <f>L45-N45*I45</f>
        <v>0.0021999999999999997</v>
      </c>
      <c r="P45" s="22">
        <f>N45*COS(RADIANS(F45))</f>
        <v>6.474251497507848e-7</v>
      </c>
      <c r="Q45" s="22">
        <f>N45*SIN(RADIANS(F45))</f>
        <v>0.0000011213732534662478</v>
      </c>
      <c r="R45" s="11">
        <f>AP45</f>
        <v>15289.892011223284</v>
      </c>
      <c r="S45" s="11">
        <f>AQ45</f>
        <v>341.40687186251284</v>
      </c>
      <c r="T45" s="11">
        <f>AR45</f>
        <v>764.9957143218555</v>
      </c>
      <c r="U45" s="11">
        <f>AS45</f>
        <v>2380.4536042599534</v>
      </c>
      <c r="V45" s="11">
        <f>AT45</f>
        <v>105.15295735361896</v>
      </c>
      <c r="W45" s="11">
        <f>AU45</f>
        <v>244.89320165810702</v>
      </c>
      <c r="X45" s="11">
        <f>AM45</f>
        <v>17670.345615483235</v>
      </c>
      <c r="Y45" s="11">
        <f>AN45</f>
        <v>446.5598292161318</v>
      </c>
      <c r="Z45" s="11">
        <f>AO45</f>
        <v>1009.8889159799625</v>
      </c>
      <c r="AA45" s="7">
        <v>1</v>
      </c>
      <c r="AB45" s="7">
        <v>1</v>
      </c>
      <c r="AC45" s="7">
        <v>1</v>
      </c>
      <c r="AD45" s="11">
        <f>X45*AA45</f>
        <v>17670.345615483235</v>
      </c>
      <c r="AE45" s="11">
        <f>Y45*AB45</f>
        <v>446.5598292161318</v>
      </c>
      <c r="AF45" s="11">
        <f>Z45*AC45</f>
        <v>1009.8889159799625</v>
      </c>
      <c r="AG45" s="7">
        <v>17670.345615483235</v>
      </c>
      <c r="AH45" s="7">
        <v>446.5598292161318</v>
      </c>
      <c r="AI45" s="7">
        <v>1009.8889159799625</v>
      </c>
      <c r="AJ45" s="16">
        <f>AD45-AG45</f>
        <v>0</v>
      </c>
      <c r="AK45" s="16">
        <f>SQRT((AE45-AH45)^2+(AF45-AI45)^2)</f>
        <v>0</v>
      </c>
      <c r="AL45" s="7" t="s">
        <v>190</v>
      </c>
      <c r="AM45" s="7">
        <v>17670.345615483235</v>
      </c>
      <c r="AN45" s="7">
        <v>446.5598292161318</v>
      </c>
      <c r="AO45" s="7">
        <v>1009.8889159799625</v>
      </c>
      <c r="AP45" s="7">
        <v>15289.892011223284</v>
      </c>
      <c r="AQ45" s="7">
        <v>341.40687186251284</v>
      </c>
      <c r="AR45" s="7">
        <v>764.9957143218555</v>
      </c>
      <c r="AS45" s="7">
        <v>2380.4536042599534</v>
      </c>
      <c r="AT45" s="7">
        <v>105.15295735361896</v>
      </c>
      <c r="AU45" s="7">
        <v>244.89320165810702</v>
      </c>
    </row>
    <row r="46" spans="1:47" x14ac:dyDescent="0.25">
      <c r="A46" s="7" t="s">
        <v>272</v>
      </c>
      <c r="B46" s="7">
        <v>4</v>
      </c>
      <c r="C46" s="19">
        <v>60</v>
      </c>
      <c r="D46" s="7" t="s">
        <v>273</v>
      </c>
      <c r="E46" s="7" t="s">
        <v>612</v>
      </c>
      <c r="F46" s="20">
        <v>60</v>
      </c>
      <c r="G46" s="7" t="s">
        <v>194</v>
      </c>
      <c r="H46" s="21">
        <v>1.2</v>
      </c>
      <c r="I46" s="11">
        <f>MAX(('Geometry'!$G$13*COS(RADIANS(F46))+'Geometry'!$F$13*SIN(RADIANS(F46))),('Geometry'!$G$14*COS(RADIANS(F46))+'Geometry'!$F$14*SIN(RADIANS(F46))),('Geometry'!$G$15*COS(RADIANS(F46))+'Geometry'!$F$15*SIN(RADIANS(F46))),('Geometry'!$G$16*COS(RADIANS(F46))+'Geometry'!$F$16*SIN(RADIANS(F46))),('Geometry'!$G$17*COS(RADIANS(F46))+'Geometry'!$F$17*SIN(RADIANS(F46))),('Geometry'!$G$18*COS(RADIANS(F46))+'Geometry'!$F$18*SIN(RADIANS(F46))),('Geometry'!$G$19*COS(RADIANS(F46))+'Geometry'!$F$19*SIN(RADIANS(F46))),('Geometry'!$G$20*COS(RADIANS(F46))+'Geometry'!$F$20*SIN(RADIANS(F46))))</f>
        <v>849.5190528383291</v>
      </c>
      <c r="J46" s="11">
        <f>I46-H46*K46</f>
        <v>-1189.3266739736607</v>
      </c>
      <c r="K46" s="11">
        <f>I46-MIN(('Geometry'!$G$13*COS(RADIANS(F46))+'Geometry'!$F$13*SIN(RADIANS(F46))),('Geometry'!$G$14*COS(RADIANS(F46))+'Geometry'!$F$14*SIN(RADIANS(F46))),('Geometry'!$G$15*COS(RADIANS(F46))+'Geometry'!$F$15*SIN(RADIANS(F46))),('Geometry'!$G$16*COS(RADIANS(F46))+'Geometry'!$F$16*SIN(RADIANS(F46))),('Geometry'!$G$17*COS(RADIANS(F46))+'Geometry'!$F$17*SIN(RADIANS(F46))),('Geometry'!$G$18*COS(RADIANS(F46))+'Geometry'!$F$18*SIN(RADIANS(F46))),('Geometry'!$G$19*COS(RADIANS(F46))+'Geometry'!$F$19*SIN(RADIANS(F46))),('Geometry'!$G$20*COS(RADIANS(F46))+'Geometry'!$F$20*SIN(RADIANS(F46))))</f>
        <v>1699.0381056766582</v>
      </c>
      <c r="L46" s="16">
        <f>C_ecu</f>
        <v>0.0033</v>
      </c>
      <c r="M46" s="16">
        <f>0</f>
        <v>0</v>
      </c>
      <c r="N46" s="22">
        <f>IF(ABS(I46-J46)&lt;0.000000000001,0,(L46-M46)/(I46-J46))</f>
        <v>0.0000016185628743769617</v>
      </c>
      <c r="O46" s="16">
        <f>L46-N46*I46</f>
        <v>0.001925</v>
      </c>
      <c r="P46" s="22">
        <f>N46*COS(RADIANS(F46))</f>
        <v>8.092814371884811e-7</v>
      </c>
      <c r="Q46" s="22">
        <f>N46*SIN(RADIANS(F46))</f>
        <v>0.0000014017165668328098</v>
      </c>
      <c r="R46" s="11">
        <f>AP46</f>
        <v>15289.892011223284</v>
      </c>
      <c r="S46" s="11">
        <f>AQ46</f>
        <v>455.2091624833504</v>
      </c>
      <c r="T46" s="11">
        <f>AR46</f>
        <v>1019.9942857624741</v>
      </c>
      <c r="U46" s="11">
        <f>AS46</f>
        <v>2380.4536042599534</v>
      </c>
      <c r="V46" s="11">
        <f>AT46</f>
        <v>140.2039431381586</v>
      </c>
      <c r="W46" s="11">
        <f>AU46</f>
        <v>326.524268877476</v>
      </c>
      <c r="X46" s="11">
        <f>AM46</f>
        <v>17670.345615483235</v>
      </c>
      <c r="Y46" s="11">
        <f>AN46</f>
        <v>595.4131056215091</v>
      </c>
      <c r="Z46" s="11">
        <f>AO46</f>
        <v>1346.5185546399498</v>
      </c>
      <c r="AA46" s="7">
        <v>1</v>
      </c>
      <c r="AB46" s="7">
        <v>1</v>
      </c>
      <c r="AC46" s="7">
        <v>1</v>
      </c>
      <c r="AD46" s="11">
        <f>X46*AA46</f>
        <v>17670.345615483235</v>
      </c>
      <c r="AE46" s="11">
        <f>Y46*AB46</f>
        <v>595.4131056215091</v>
      </c>
      <c r="AF46" s="11">
        <f>Z46*AC46</f>
        <v>1346.5185546399498</v>
      </c>
      <c r="AG46" s="7">
        <v>17670.345615483235</v>
      </c>
      <c r="AH46" s="7">
        <v>595.4131056215091</v>
      </c>
      <c r="AI46" s="7">
        <v>1346.5185546399498</v>
      </c>
      <c r="AJ46" s="16">
        <f>AD46-AG46</f>
        <v>0</v>
      </c>
      <c r="AK46" s="16">
        <f>SQRT((AE46-AH46)^2+(AF46-AI46)^2)</f>
        <v>0</v>
      </c>
      <c r="AL46" s="7" t="s">
        <v>190</v>
      </c>
      <c r="AM46" s="7">
        <v>17670.345615483235</v>
      </c>
      <c r="AN46" s="7">
        <v>595.4131056215091</v>
      </c>
      <c r="AO46" s="7">
        <v>1346.5185546399498</v>
      </c>
      <c r="AP46" s="7">
        <v>15289.892011223284</v>
      </c>
      <c r="AQ46" s="7">
        <v>455.2091624833504</v>
      </c>
      <c r="AR46" s="7">
        <v>1019.9942857624741</v>
      </c>
      <c r="AS46" s="7">
        <v>2380.4536042599534</v>
      </c>
      <c r="AT46" s="7">
        <v>140.2039431381586</v>
      </c>
      <c r="AU46" s="7">
        <v>326.524268877476</v>
      </c>
    </row>
    <row r="47" spans="1:47" x14ac:dyDescent="0.25">
      <c r="A47" s="7" t="s">
        <v>274</v>
      </c>
      <c r="B47" s="7">
        <v>5</v>
      </c>
      <c r="C47" s="19">
        <v>60</v>
      </c>
      <c r="D47" s="7" t="s">
        <v>275</v>
      </c>
      <c r="E47" s="7" t="s">
        <v>613</v>
      </c>
      <c r="F47" s="20">
        <v>60</v>
      </c>
      <c r="G47" s="7" t="s">
        <v>194</v>
      </c>
      <c r="H47" s="21">
        <v>1.1</v>
      </c>
      <c r="I47" s="11">
        <f>MAX(('Geometry'!$G$13*COS(RADIANS(F47))+'Geometry'!$F$13*SIN(RADIANS(F47))),('Geometry'!$G$14*COS(RADIANS(F47))+'Geometry'!$F$14*SIN(RADIANS(F47))),('Geometry'!$G$15*COS(RADIANS(F47))+'Geometry'!$F$15*SIN(RADIANS(F47))),('Geometry'!$G$16*COS(RADIANS(F47))+'Geometry'!$F$16*SIN(RADIANS(F47))),('Geometry'!$G$17*COS(RADIANS(F47))+'Geometry'!$F$17*SIN(RADIANS(F47))),('Geometry'!$G$18*COS(RADIANS(F47))+'Geometry'!$F$18*SIN(RADIANS(F47))),('Geometry'!$G$19*COS(RADIANS(F47))+'Geometry'!$F$19*SIN(RADIANS(F47))),('Geometry'!$G$20*COS(RADIANS(F47))+'Geometry'!$F$20*SIN(RADIANS(F47))))</f>
        <v>849.5190528383291</v>
      </c>
      <c r="J47" s="11">
        <f>I47-H47*K47</f>
        <v>-1019.422863405995</v>
      </c>
      <c r="K47" s="11">
        <f>I47-MIN(('Geometry'!$G$13*COS(RADIANS(F47))+'Geometry'!$F$13*SIN(RADIANS(F47))),('Geometry'!$G$14*COS(RADIANS(F47))+'Geometry'!$F$14*SIN(RADIANS(F47))),('Geometry'!$G$15*COS(RADIANS(F47))+'Geometry'!$F$15*SIN(RADIANS(F47))),('Geometry'!$G$16*COS(RADIANS(F47))+'Geometry'!$F$16*SIN(RADIANS(F47))),('Geometry'!$G$17*COS(RADIANS(F47))+'Geometry'!$F$17*SIN(RADIANS(F47))),('Geometry'!$G$18*COS(RADIANS(F47))+'Geometry'!$F$18*SIN(RADIANS(F47))),('Geometry'!$G$19*COS(RADIANS(F47))+'Geometry'!$F$19*SIN(RADIANS(F47))),('Geometry'!$G$20*COS(RADIANS(F47))+'Geometry'!$F$20*SIN(RADIANS(F47))))</f>
        <v>1699.0381056766582</v>
      </c>
      <c r="L47" s="16">
        <f>C_ecu</f>
        <v>0.0033</v>
      </c>
      <c r="M47" s="16">
        <f>0</f>
        <v>0</v>
      </c>
      <c r="N47" s="22">
        <f>IF(ABS(I47-J47)&lt;0.000000000001,0,(L47-M47)/(I47-J47))</f>
        <v>0.0000017657049538657765</v>
      </c>
      <c r="O47" s="16">
        <f>L47-N47*I47</f>
        <v>0.0018000000000000002</v>
      </c>
      <c r="P47" s="22">
        <f>N47*COS(RADIANS(F47))</f>
        <v>8.828524769328883e-7</v>
      </c>
      <c r="Q47" s="22">
        <f>N47*SIN(RADIANS(F47))</f>
        <v>0.0000015291453456357924</v>
      </c>
      <c r="R47" s="11">
        <f>AP47</f>
        <v>15289.892011223284</v>
      </c>
      <c r="S47" s="11">
        <f>AQ47</f>
        <v>569.011453104188</v>
      </c>
      <c r="T47" s="11">
        <f>AR47</f>
        <v>1274.9928572030926</v>
      </c>
      <c r="U47" s="11">
        <f>AS47</f>
        <v>2380.4536042599534</v>
      </c>
      <c r="V47" s="11">
        <f>AT47</f>
        <v>175.25492892269827</v>
      </c>
      <c r="W47" s="11">
        <f>AU47</f>
        <v>408.155336096845</v>
      </c>
      <c r="X47" s="11">
        <f>AM47</f>
        <v>17670.345615483235</v>
      </c>
      <c r="Y47" s="11">
        <f>AN47</f>
        <v>744.2663820268864</v>
      </c>
      <c r="Z47" s="11">
        <f>AO47</f>
        <v>1683.1481932999375</v>
      </c>
      <c r="AA47" s="7">
        <v>1</v>
      </c>
      <c r="AB47" s="7">
        <v>1</v>
      </c>
      <c r="AC47" s="7">
        <v>1</v>
      </c>
      <c r="AD47" s="11">
        <f>X47*AA47</f>
        <v>17670.345615483235</v>
      </c>
      <c r="AE47" s="11">
        <f>Y47*AB47</f>
        <v>744.2663820268864</v>
      </c>
      <c r="AF47" s="11">
        <f>Z47*AC47</f>
        <v>1683.1481932999375</v>
      </c>
      <c r="AG47" s="7">
        <v>17670.345615483235</v>
      </c>
      <c r="AH47" s="7">
        <v>744.2663820268864</v>
      </c>
      <c r="AI47" s="7">
        <v>1683.1481932999375</v>
      </c>
      <c r="AJ47" s="16">
        <f>AD47-AG47</f>
        <v>0</v>
      </c>
      <c r="AK47" s="16">
        <f>SQRT((AE47-AH47)^2+(AF47-AI47)^2)</f>
        <v>0</v>
      </c>
      <c r="AL47" s="7" t="s">
        <v>190</v>
      </c>
      <c r="AM47" s="7">
        <v>17670.345615483235</v>
      </c>
      <c r="AN47" s="7">
        <v>744.2663820268864</v>
      </c>
      <c r="AO47" s="7">
        <v>1683.1481932999375</v>
      </c>
      <c r="AP47" s="7">
        <v>15289.892011223284</v>
      </c>
      <c r="AQ47" s="7">
        <v>569.011453104188</v>
      </c>
      <c r="AR47" s="7">
        <v>1274.9928572030926</v>
      </c>
      <c r="AS47" s="7">
        <v>2380.4536042599534</v>
      </c>
      <c r="AT47" s="7">
        <v>175.25492892269827</v>
      </c>
      <c r="AU47" s="7">
        <v>408.155336096845</v>
      </c>
    </row>
    <row r="48" spans="1:47" x14ac:dyDescent="0.25">
      <c r="A48" s="7" t="s">
        <v>276</v>
      </c>
      <c r="B48" s="7">
        <v>6</v>
      </c>
      <c r="C48" s="19">
        <v>60</v>
      </c>
      <c r="D48" s="7" t="s">
        <v>277</v>
      </c>
      <c r="E48" s="7" t="s">
        <v>614</v>
      </c>
      <c r="F48" s="20">
        <v>60</v>
      </c>
      <c r="G48" s="7" t="s">
        <v>194</v>
      </c>
      <c r="H48" s="21">
        <v>0.9999999999999999</v>
      </c>
      <c r="I48" s="11">
        <f>MAX(('Geometry'!$G$13*COS(RADIANS(F48))+'Geometry'!$F$13*SIN(RADIANS(F48))),('Geometry'!$G$14*COS(RADIANS(F48))+'Geometry'!$F$14*SIN(RADIANS(F48))),('Geometry'!$G$15*COS(RADIANS(F48))+'Geometry'!$F$15*SIN(RADIANS(F48))),('Geometry'!$G$16*COS(RADIANS(F48))+'Geometry'!$F$16*SIN(RADIANS(F48))),('Geometry'!$G$17*COS(RADIANS(F48))+'Geometry'!$F$17*SIN(RADIANS(F48))),('Geometry'!$G$18*COS(RADIANS(F48))+'Geometry'!$F$18*SIN(RADIANS(F48))),('Geometry'!$G$19*COS(RADIANS(F48))+'Geometry'!$F$19*SIN(RADIANS(F48))),('Geometry'!$G$20*COS(RADIANS(F48))+'Geometry'!$F$20*SIN(RADIANS(F48))))</f>
        <v>849.5190528383291</v>
      </c>
      <c r="J48" s="11">
        <f>I48-H48*K48</f>
        <v>-849.5190528383289</v>
      </c>
      <c r="K48" s="11">
        <f>I48-MIN(('Geometry'!$G$13*COS(RADIANS(F48))+'Geometry'!$F$13*SIN(RADIANS(F48))),('Geometry'!$G$14*COS(RADIANS(F48))+'Geometry'!$F$14*SIN(RADIANS(F48))),('Geometry'!$G$15*COS(RADIANS(F48))+'Geometry'!$F$15*SIN(RADIANS(F48))),('Geometry'!$G$16*COS(RADIANS(F48))+'Geometry'!$F$16*SIN(RADIANS(F48))),('Geometry'!$G$17*COS(RADIANS(F48))+'Geometry'!$F$17*SIN(RADIANS(F48))),('Geometry'!$G$18*COS(RADIANS(F48))+'Geometry'!$F$18*SIN(RADIANS(F48))),('Geometry'!$G$19*COS(RADIANS(F48))+'Geometry'!$F$19*SIN(RADIANS(F48))),('Geometry'!$G$20*COS(RADIANS(F48))+'Geometry'!$F$20*SIN(RADIANS(F48))))</f>
        <v>1699.0381056766582</v>
      </c>
      <c r="L48" s="16">
        <f>C_ecu</f>
        <v>0.0033</v>
      </c>
      <c r="M48" s="16">
        <f>0</f>
        <v>0</v>
      </c>
      <c r="N48" s="22">
        <f>IF(ABS(I48-J48)&lt;0.000000000001,0,(L48-M48)/(I48-J48))</f>
        <v>0.000001942275449252354</v>
      </c>
      <c r="O48" s="16">
        <f>L48-N48*I48</f>
        <v>0.0016499999999999998</v>
      </c>
      <c r="P48" s="22">
        <f>N48*COS(RADIANS(F48))</f>
        <v>9.711377246261773e-7</v>
      </c>
      <c r="Q48" s="22">
        <f>N48*SIN(RADIANS(F48))</f>
        <v>0.000001682059880199372</v>
      </c>
      <c r="R48" s="11">
        <f>AP48</f>
        <v>15289.892011223284</v>
      </c>
      <c r="S48" s="11">
        <f>AQ48</f>
        <v>682.8137437250257</v>
      </c>
      <c r="T48" s="11">
        <f>AR48</f>
        <v>1529.991428643711</v>
      </c>
      <c r="U48" s="11">
        <f>AS48</f>
        <v>2380.4536042599534</v>
      </c>
      <c r="V48" s="11">
        <f>AT48</f>
        <v>210.30591470723792</v>
      </c>
      <c r="W48" s="11">
        <f>AU48</f>
        <v>489.78640331621403</v>
      </c>
      <c r="X48" s="11">
        <f>AM48</f>
        <v>17670.345615483235</v>
      </c>
      <c r="Y48" s="11">
        <f>AN48</f>
        <v>893.1196584322636</v>
      </c>
      <c r="Z48" s="11">
        <f>AO48</f>
        <v>2019.777831959925</v>
      </c>
      <c r="AA48" s="7">
        <v>1</v>
      </c>
      <c r="AB48" s="7">
        <v>1</v>
      </c>
      <c r="AC48" s="7">
        <v>1</v>
      </c>
      <c r="AD48" s="11">
        <f>X48*AA48</f>
        <v>17670.345615483235</v>
      </c>
      <c r="AE48" s="11">
        <f>Y48*AB48</f>
        <v>893.1196584322636</v>
      </c>
      <c r="AF48" s="11">
        <f>Z48*AC48</f>
        <v>2019.777831959925</v>
      </c>
      <c r="AG48" s="7">
        <v>17670.345615483235</v>
      </c>
      <c r="AH48" s="7">
        <v>893.1196584322636</v>
      </c>
      <c r="AI48" s="7">
        <v>2019.777831959925</v>
      </c>
      <c r="AJ48" s="16">
        <f>AD48-AG48</f>
        <v>0</v>
      </c>
      <c r="AK48" s="16">
        <f>SQRT((AE48-AH48)^2+(AF48-AI48)^2)</f>
        <v>0</v>
      </c>
      <c r="AL48" s="7" t="s">
        <v>190</v>
      </c>
      <c r="AM48" s="7">
        <v>17670.345615483235</v>
      </c>
      <c r="AN48" s="7">
        <v>893.1196584322636</v>
      </c>
      <c r="AO48" s="7">
        <v>2019.777831959925</v>
      </c>
      <c r="AP48" s="7">
        <v>15289.892011223284</v>
      </c>
      <c r="AQ48" s="7">
        <v>682.8137437250257</v>
      </c>
      <c r="AR48" s="7">
        <v>1529.991428643711</v>
      </c>
      <c r="AS48" s="7">
        <v>2380.4536042599534</v>
      </c>
      <c r="AT48" s="7">
        <v>210.30591470723792</v>
      </c>
      <c r="AU48" s="7">
        <v>489.78640331621403</v>
      </c>
    </row>
    <row r="49" spans="1:47" x14ac:dyDescent="0.25">
      <c r="A49" s="7" t="s">
        <v>278</v>
      </c>
      <c r="B49" s="7">
        <v>1</v>
      </c>
      <c r="C49" s="19">
        <v>70</v>
      </c>
      <c r="D49" s="7" t="s">
        <v>279</v>
      </c>
      <c r="E49" s="7" t="s">
        <v>609</v>
      </c>
      <c r="F49" s="20">
        <v>70</v>
      </c>
      <c r="G49" s="7" t="s">
        <v>194</v>
      </c>
      <c r="H49" s="21">
        <v>3.0000000000000004</v>
      </c>
      <c r="I49" s="11">
        <f>MAX(('Geometry'!$G$13*COS(RADIANS(F49))+'Geometry'!$F$13*SIN(RADIANS(F49))),('Geometry'!$G$14*COS(RADIANS(F49))+'Geometry'!$F$14*SIN(RADIANS(F49))),('Geometry'!$G$15*COS(RADIANS(F49))+'Geometry'!$F$15*SIN(RADIANS(F49))),('Geometry'!$G$16*COS(RADIANS(F49))+'Geometry'!$F$16*SIN(RADIANS(F49))),('Geometry'!$G$17*COS(RADIANS(F49))+'Geometry'!$F$17*SIN(RADIANS(F49))),('Geometry'!$G$18*COS(RADIANS(F49))+'Geometry'!$F$18*SIN(RADIANS(F49))),('Geometry'!$G$19*COS(RADIANS(F49))+'Geometry'!$F$19*SIN(RADIANS(F49))),('Geometry'!$G$20*COS(RADIANS(F49))+'Geometry'!$F$20*SIN(RADIANS(F49))))</f>
        <v>841.5775229196987</v>
      </c>
      <c r="J49" s="11">
        <f>I49-H49*K49</f>
        <v>-4207.887614598494</v>
      </c>
      <c r="K49" s="11">
        <f>I49-MIN(('Geometry'!$G$13*COS(RADIANS(F49))+'Geometry'!$F$13*SIN(RADIANS(F49))),('Geometry'!$G$14*COS(RADIANS(F49))+'Geometry'!$F$14*SIN(RADIANS(F49))),('Geometry'!$G$15*COS(RADIANS(F49))+'Geometry'!$F$15*SIN(RADIANS(F49))),('Geometry'!$G$16*COS(RADIANS(F49))+'Geometry'!$F$16*SIN(RADIANS(F49))),('Geometry'!$G$17*COS(RADIANS(F49))+'Geometry'!$F$17*SIN(RADIANS(F49))),('Geometry'!$G$18*COS(RADIANS(F49))+'Geometry'!$F$18*SIN(RADIANS(F49))),('Geometry'!$G$19*COS(RADIANS(F49))+'Geometry'!$F$19*SIN(RADIANS(F49))),('Geometry'!$G$20*COS(RADIANS(F49))+'Geometry'!$F$20*SIN(RADIANS(F49))))</f>
        <v>1683.1550458393974</v>
      </c>
      <c r="L49" s="16">
        <f>C_ecu</f>
        <v>0.0033</v>
      </c>
      <c r="M49" s="16">
        <f>0</f>
        <v>0</v>
      </c>
      <c r="N49" s="22">
        <f>IF(ABS(I49-J49)&lt;0.000000000001,0,(L49-M49)/(I49-J49))</f>
        <v>6.535345645780508e-7</v>
      </c>
      <c r="O49" s="16">
        <f>L49-N49*I49</f>
        <v>0.00275</v>
      </c>
      <c r="P49" s="22">
        <f>N49*COS(RADIANS(F49))</f>
        <v>2.2352198544526355e-7</v>
      </c>
      <c r="Q49" s="22">
        <f>N49*SIN(RADIANS(F49))</f>
        <v>6.141216077625262e-7</v>
      </c>
      <c r="R49" s="11">
        <f>AP49</f>
        <v>15276.903228450983</v>
      </c>
      <c r="S49" s="11">
        <f>AQ49</f>
        <v>79.98232386213876</v>
      </c>
      <c r="T49" s="11">
        <f>AR49</f>
        <v>278.1058096425089</v>
      </c>
      <c r="U49" s="11">
        <f>AS49</f>
        <v>2393.442387032251</v>
      </c>
      <c r="V49" s="11">
        <f>AT49</f>
        <v>23.712611992106595</v>
      </c>
      <c r="W49" s="11">
        <f>AU49</f>
        <v>89.58151322519441</v>
      </c>
      <c r="X49" s="11">
        <f>AM49</f>
        <v>17670.345615483235</v>
      </c>
      <c r="Y49" s="11">
        <f>AN49</f>
        <v>103.69493585424533</v>
      </c>
      <c r="Z49" s="11">
        <f>AO49</f>
        <v>367.68732286770336</v>
      </c>
      <c r="AA49" s="7">
        <v>1</v>
      </c>
      <c r="AB49" s="7">
        <v>1</v>
      </c>
      <c r="AC49" s="7">
        <v>1</v>
      </c>
      <c r="AD49" s="11">
        <f>X49*AA49</f>
        <v>17670.345615483235</v>
      </c>
      <c r="AE49" s="11">
        <f>Y49*AB49</f>
        <v>103.69493585424533</v>
      </c>
      <c r="AF49" s="11">
        <f>Z49*AC49</f>
        <v>367.68732286770336</v>
      </c>
      <c r="AG49" s="7">
        <v>17670.345615483235</v>
      </c>
      <c r="AH49" s="7">
        <v>103.69493585424533</v>
      </c>
      <c r="AI49" s="7">
        <v>367.68732286770336</v>
      </c>
      <c r="AJ49" s="16">
        <f>AD49-AG49</f>
        <v>0</v>
      </c>
      <c r="AK49" s="16">
        <f>SQRT((AE49-AH49)^2+(AF49-AI49)^2)</f>
        <v>0</v>
      </c>
      <c r="AL49" s="7" t="s">
        <v>190</v>
      </c>
      <c r="AM49" s="7">
        <v>17670.345615483235</v>
      </c>
      <c r="AN49" s="7">
        <v>103.69493585424533</v>
      </c>
      <c r="AO49" s="7">
        <v>367.68732286770336</v>
      </c>
      <c r="AP49" s="7">
        <v>15276.903228450983</v>
      </c>
      <c r="AQ49" s="7">
        <v>79.98232386213876</v>
      </c>
      <c r="AR49" s="7">
        <v>278.1058096425089</v>
      </c>
      <c r="AS49" s="7">
        <v>2393.442387032251</v>
      </c>
      <c r="AT49" s="7">
        <v>23.712611992106595</v>
      </c>
      <c r="AU49" s="7">
        <v>89.58151322519441</v>
      </c>
    </row>
    <row r="50" spans="1:47" x14ac:dyDescent="0.25">
      <c r="A50" s="7" t="s">
        <v>280</v>
      </c>
      <c r="B50" s="7">
        <v>2</v>
      </c>
      <c r="C50" s="19">
        <v>70</v>
      </c>
      <c r="D50" s="7" t="s">
        <v>281</v>
      </c>
      <c r="E50" s="7" t="s">
        <v>610</v>
      </c>
      <c r="F50" s="20">
        <v>70</v>
      </c>
      <c r="G50" s="7" t="s">
        <v>194</v>
      </c>
      <c r="H50" s="21">
        <v>2.0000000000000004</v>
      </c>
      <c r="I50" s="11">
        <f>MAX(('Geometry'!$G$13*COS(RADIANS(F50))+'Geometry'!$F$13*SIN(RADIANS(F50))),('Geometry'!$G$14*COS(RADIANS(F50))+'Geometry'!$F$14*SIN(RADIANS(F50))),('Geometry'!$G$15*COS(RADIANS(F50))+'Geometry'!$F$15*SIN(RADIANS(F50))),('Geometry'!$G$16*COS(RADIANS(F50))+'Geometry'!$F$16*SIN(RADIANS(F50))),('Geometry'!$G$17*COS(RADIANS(F50))+'Geometry'!$F$17*SIN(RADIANS(F50))),('Geometry'!$G$18*COS(RADIANS(F50))+'Geometry'!$F$18*SIN(RADIANS(F50))),('Geometry'!$G$19*COS(RADIANS(F50))+'Geometry'!$F$19*SIN(RADIANS(F50))),('Geometry'!$G$20*COS(RADIANS(F50))+'Geometry'!$F$20*SIN(RADIANS(F50))))</f>
        <v>841.5775229196987</v>
      </c>
      <c r="J50" s="11">
        <f>I50-H50*K50</f>
        <v>-2524.7325687590965</v>
      </c>
      <c r="K50" s="11">
        <f>I50-MIN(('Geometry'!$G$13*COS(RADIANS(F50))+'Geometry'!$F$13*SIN(RADIANS(F50))),('Geometry'!$G$14*COS(RADIANS(F50))+'Geometry'!$F$14*SIN(RADIANS(F50))),('Geometry'!$G$15*COS(RADIANS(F50))+'Geometry'!$F$15*SIN(RADIANS(F50))),('Geometry'!$G$16*COS(RADIANS(F50))+'Geometry'!$F$16*SIN(RADIANS(F50))),('Geometry'!$G$17*COS(RADIANS(F50))+'Geometry'!$F$17*SIN(RADIANS(F50))),('Geometry'!$G$18*COS(RADIANS(F50))+'Geometry'!$F$18*SIN(RADIANS(F50))),('Geometry'!$G$19*COS(RADIANS(F50))+'Geometry'!$F$19*SIN(RADIANS(F50))),('Geometry'!$G$20*COS(RADIANS(F50))+'Geometry'!$F$20*SIN(RADIANS(F50))))</f>
        <v>1683.1550458393974</v>
      </c>
      <c r="L50" s="16">
        <f>C_ecu</f>
        <v>0.0032999999999999995</v>
      </c>
      <c r="M50" s="16">
        <f>0</f>
        <v>0</v>
      </c>
      <c r="N50" s="22">
        <f>IF(ABS(I50-J50)&lt;0.000000000001,0,(L50-M50)/(I50-J50))</f>
        <v>9.803018468670762e-7</v>
      </c>
      <c r="O50" s="16">
        <f>L50-N50*I50</f>
        <v>0.0024749999999999998</v>
      </c>
      <c r="P50" s="22">
        <f>N50*COS(RADIANS(F50))</f>
        <v>3.352829781678953e-7</v>
      </c>
      <c r="Q50" s="22">
        <f>N50*SIN(RADIANS(F50))</f>
        <v>9.211824116437892e-7</v>
      </c>
      <c r="R50" s="11">
        <f>AP50</f>
        <v>15276.903228450983</v>
      </c>
      <c r="S50" s="11">
        <f>AQ50</f>
        <v>159.9646477242775</v>
      </c>
      <c r="T50" s="11">
        <f>AR50</f>
        <v>556.2116192850178</v>
      </c>
      <c r="U50" s="11">
        <f>AS50</f>
        <v>2393.442387032251</v>
      </c>
      <c r="V50" s="11">
        <f>AT50</f>
        <v>47.42522398421319</v>
      </c>
      <c r="W50" s="11">
        <f>AU50</f>
        <v>179.16302645038883</v>
      </c>
      <c r="X50" s="11">
        <f>AM50</f>
        <v>17670.345615483235</v>
      </c>
      <c r="Y50" s="11">
        <f>AN50</f>
        <v>207.38987170849066</v>
      </c>
      <c r="Z50" s="11">
        <f>AO50</f>
        <v>735.3746457354067</v>
      </c>
      <c r="AA50" s="7">
        <v>1</v>
      </c>
      <c r="AB50" s="7">
        <v>1</v>
      </c>
      <c r="AC50" s="7">
        <v>1</v>
      </c>
      <c r="AD50" s="11">
        <f>X50*AA50</f>
        <v>17670.345615483235</v>
      </c>
      <c r="AE50" s="11">
        <f>Y50*AB50</f>
        <v>207.38987170849066</v>
      </c>
      <c r="AF50" s="11">
        <f>Z50*AC50</f>
        <v>735.3746457354067</v>
      </c>
      <c r="AG50" s="7">
        <v>17670.345615483235</v>
      </c>
      <c r="AH50" s="7">
        <v>207.38987170849066</v>
      </c>
      <c r="AI50" s="7">
        <v>735.3746457354067</v>
      </c>
      <c r="AJ50" s="16">
        <f>AD50-AG50</f>
        <v>0</v>
      </c>
      <c r="AK50" s="16">
        <f>SQRT((AE50-AH50)^2+(AF50-AI50)^2)</f>
        <v>0</v>
      </c>
      <c r="AL50" s="7" t="s">
        <v>190</v>
      </c>
      <c r="AM50" s="7">
        <v>17670.345615483235</v>
      </c>
      <c r="AN50" s="7">
        <v>207.38987170849066</v>
      </c>
      <c r="AO50" s="7">
        <v>735.3746457354067</v>
      </c>
      <c r="AP50" s="7">
        <v>15276.903228450983</v>
      </c>
      <c r="AQ50" s="7">
        <v>159.9646477242775</v>
      </c>
      <c r="AR50" s="7">
        <v>556.2116192850178</v>
      </c>
      <c r="AS50" s="7">
        <v>2393.442387032251</v>
      </c>
      <c r="AT50" s="7">
        <v>47.42522398421319</v>
      </c>
      <c r="AU50" s="7">
        <v>179.16302645038883</v>
      </c>
    </row>
    <row r="51" spans="1:47" x14ac:dyDescent="0.25">
      <c r="A51" s="7" t="s">
        <v>282</v>
      </c>
      <c r="B51" s="7">
        <v>3</v>
      </c>
      <c r="C51" s="19">
        <v>70</v>
      </c>
      <c r="D51" s="7" t="s">
        <v>283</v>
      </c>
      <c r="E51" s="7" t="s">
        <v>611</v>
      </c>
      <c r="F51" s="20">
        <v>70</v>
      </c>
      <c r="G51" s="7" t="s">
        <v>194</v>
      </c>
      <c r="H51" s="21">
        <v>1.5</v>
      </c>
      <c r="I51" s="11">
        <f>MAX(('Geometry'!$G$13*COS(RADIANS(F51))+'Geometry'!$F$13*SIN(RADIANS(F51))),('Geometry'!$G$14*COS(RADIANS(F51))+'Geometry'!$F$14*SIN(RADIANS(F51))),('Geometry'!$G$15*COS(RADIANS(F51))+'Geometry'!$F$15*SIN(RADIANS(F51))),('Geometry'!$G$16*COS(RADIANS(F51))+'Geometry'!$F$16*SIN(RADIANS(F51))),('Geometry'!$G$17*COS(RADIANS(F51))+'Geometry'!$F$17*SIN(RADIANS(F51))),('Geometry'!$G$18*COS(RADIANS(F51))+'Geometry'!$F$18*SIN(RADIANS(F51))),('Geometry'!$G$19*COS(RADIANS(F51))+'Geometry'!$F$19*SIN(RADIANS(F51))),('Geometry'!$G$20*COS(RADIANS(F51))+'Geometry'!$F$20*SIN(RADIANS(F51))))</f>
        <v>841.5775229196987</v>
      </c>
      <c r="J51" s="11">
        <f>I51-H51*K51</f>
        <v>-1683.1550458393974</v>
      </c>
      <c r="K51" s="11">
        <f>I51-MIN(('Geometry'!$G$13*COS(RADIANS(F51))+'Geometry'!$F$13*SIN(RADIANS(F51))),('Geometry'!$G$14*COS(RADIANS(F51))+'Geometry'!$F$14*SIN(RADIANS(F51))),('Geometry'!$G$15*COS(RADIANS(F51))+'Geometry'!$F$15*SIN(RADIANS(F51))),('Geometry'!$G$16*COS(RADIANS(F51))+'Geometry'!$F$16*SIN(RADIANS(F51))),('Geometry'!$G$17*COS(RADIANS(F51))+'Geometry'!$F$17*SIN(RADIANS(F51))),('Geometry'!$G$18*COS(RADIANS(F51))+'Geometry'!$F$18*SIN(RADIANS(F51))),('Geometry'!$G$19*COS(RADIANS(F51))+'Geometry'!$F$19*SIN(RADIANS(F51))),('Geometry'!$G$20*COS(RADIANS(F51))+'Geometry'!$F$20*SIN(RADIANS(F51))))</f>
        <v>1683.1550458393974</v>
      </c>
      <c r="L51" s="16">
        <f>C_ecu</f>
        <v>0.0032999999999999995</v>
      </c>
      <c r="M51" s="16">
        <f>0</f>
        <v>0</v>
      </c>
      <c r="N51" s="22">
        <f>IF(ABS(I51-J51)&lt;0.000000000001,0,(L51-M51)/(I51-J51))</f>
        <v>0.0000013070691291561017</v>
      </c>
      <c r="O51" s="16">
        <f>L51-N51*I51</f>
        <v>0.0021999999999999997</v>
      </c>
      <c r="P51" s="22">
        <f>N51*COS(RADIANS(F51))</f>
        <v>4.470439708905271e-7</v>
      </c>
      <c r="Q51" s="22">
        <f>N51*SIN(RADIANS(F51))</f>
        <v>0.0000012282432155250523</v>
      </c>
      <c r="R51" s="11">
        <f>AP51</f>
        <v>15276.903228450983</v>
      </c>
      <c r="S51" s="11">
        <f>AQ51</f>
        <v>239.94697158641625</v>
      </c>
      <c r="T51" s="11">
        <f>AR51</f>
        <v>834.3174289275267</v>
      </c>
      <c r="U51" s="11">
        <f>AS51</f>
        <v>2393.442387032251</v>
      </c>
      <c r="V51" s="11">
        <f>AT51</f>
        <v>71.13783597631978</v>
      </c>
      <c r="W51" s="11">
        <f>AU51</f>
        <v>268.7445396755832</v>
      </c>
      <c r="X51" s="11">
        <f>AM51</f>
        <v>17670.345615483235</v>
      </c>
      <c r="Y51" s="11">
        <f>AN51</f>
        <v>311.084807562736</v>
      </c>
      <c r="Z51" s="11">
        <f>AO51</f>
        <v>1103.0619686031098</v>
      </c>
      <c r="AA51" s="7">
        <v>1</v>
      </c>
      <c r="AB51" s="7">
        <v>1</v>
      </c>
      <c r="AC51" s="7">
        <v>1</v>
      </c>
      <c r="AD51" s="11">
        <f>X51*AA51</f>
        <v>17670.345615483235</v>
      </c>
      <c r="AE51" s="11">
        <f>Y51*AB51</f>
        <v>311.084807562736</v>
      </c>
      <c r="AF51" s="11">
        <f>Z51*AC51</f>
        <v>1103.0619686031098</v>
      </c>
      <c r="AG51" s="7">
        <v>17670.345615483235</v>
      </c>
      <c r="AH51" s="7">
        <v>311.084807562736</v>
      </c>
      <c r="AI51" s="7">
        <v>1103.0619686031098</v>
      </c>
      <c r="AJ51" s="16">
        <f>AD51-AG51</f>
        <v>0</v>
      </c>
      <c r="AK51" s="16">
        <f>SQRT((AE51-AH51)^2+(AF51-AI51)^2)</f>
        <v>0</v>
      </c>
      <c r="AL51" s="7" t="s">
        <v>190</v>
      </c>
      <c r="AM51" s="7">
        <v>17670.345615483235</v>
      </c>
      <c r="AN51" s="7">
        <v>311.084807562736</v>
      </c>
      <c r="AO51" s="7">
        <v>1103.0619686031098</v>
      </c>
      <c r="AP51" s="7">
        <v>15276.903228450983</v>
      </c>
      <c r="AQ51" s="7">
        <v>239.94697158641625</v>
      </c>
      <c r="AR51" s="7">
        <v>834.3174289275267</v>
      </c>
      <c r="AS51" s="7">
        <v>2393.442387032251</v>
      </c>
      <c r="AT51" s="7">
        <v>71.13783597631978</v>
      </c>
      <c r="AU51" s="7">
        <v>268.7445396755832</v>
      </c>
    </row>
    <row r="52" spans="1:47" x14ac:dyDescent="0.25">
      <c r="A52" s="7" t="s">
        <v>284</v>
      </c>
      <c r="B52" s="7">
        <v>4</v>
      </c>
      <c r="C52" s="19">
        <v>70</v>
      </c>
      <c r="D52" s="7" t="s">
        <v>285</v>
      </c>
      <c r="E52" s="7" t="s">
        <v>612</v>
      </c>
      <c r="F52" s="20">
        <v>70</v>
      </c>
      <c r="G52" s="7" t="s">
        <v>194</v>
      </c>
      <c r="H52" s="21">
        <v>1.2</v>
      </c>
      <c r="I52" s="11">
        <f>MAX(('Geometry'!$G$13*COS(RADIANS(F52))+'Geometry'!$F$13*SIN(RADIANS(F52))),('Geometry'!$G$14*COS(RADIANS(F52))+'Geometry'!$F$14*SIN(RADIANS(F52))),('Geometry'!$G$15*COS(RADIANS(F52))+'Geometry'!$F$15*SIN(RADIANS(F52))),('Geometry'!$G$16*COS(RADIANS(F52))+'Geometry'!$F$16*SIN(RADIANS(F52))),('Geometry'!$G$17*COS(RADIANS(F52))+'Geometry'!$F$17*SIN(RADIANS(F52))),('Geometry'!$G$18*COS(RADIANS(F52))+'Geometry'!$F$18*SIN(RADIANS(F52))),('Geometry'!$G$19*COS(RADIANS(F52))+'Geometry'!$F$19*SIN(RADIANS(F52))),('Geometry'!$G$20*COS(RADIANS(F52))+'Geometry'!$F$20*SIN(RADIANS(F52))))</f>
        <v>841.5775229196987</v>
      </c>
      <c r="J52" s="11">
        <f>I52-H52*K52</f>
        <v>-1178.2085320875783</v>
      </c>
      <c r="K52" s="11">
        <f>I52-MIN(('Geometry'!$G$13*COS(RADIANS(F52))+'Geometry'!$F$13*SIN(RADIANS(F52))),('Geometry'!$G$14*COS(RADIANS(F52))+'Geometry'!$F$14*SIN(RADIANS(F52))),('Geometry'!$G$15*COS(RADIANS(F52))+'Geometry'!$F$15*SIN(RADIANS(F52))),('Geometry'!$G$16*COS(RADIANS(F52))+'Geometry'!$F$16*SIN(RADIANS(F52))),('Geometry'!$G$17*COS(RADIANS(F52))+'Geometry'!$F$17*SIN(RADIANS(F52))),('Geometry'!$G$18*COS(RADIANS(F52))+'Geometry'!$F$18*SIN(RADIANS(F52))),('Geometry'!$G$19*COS(RADIANS(F52))+'Geometry'!$F$19*SIN(RADIANS(F52))),('Geometry'!$G$20*COS(RADIANS(F52))+'Geometry'!$F$20*SIN(RADIANS(F52))))</f>
        <v>1683.1550458393974</v>
      </c>
      <c r="L52" s="16">
        <f>C_ecu</f>
        <v>0.0033</v>
      </c>
      <c r="M52" s="16">
        <f>0</f>
        <v>0</v>
      </c>
      <c r="N52" s="22">
        <f>IF(ABS(I52-J52)&lt;0.000000000001,0,(L52-M52)/(I52-J52))</f>
        <v>0.0000016338364114451272</v>
      </c>
      <c r="O52" s="16">
        <f>L52-N52*I52</f>
        <v>0.001925</v>
      </c>
      <c r="P52" s="22">
        <f>N52*COS(RADIANS(F52))</f>
        <v>5.58804963613159e-7</v>
      </c>
      <c r="Q52" s="22">
        <f>N52*SIN(RADIANS(F52))</f>
        <v>0.0000015353040194063154</v>
      </c>
      <c r="R52" s="11">
        <f>AP52</f>
        <v>15276.903228450983</v>
      </c>
      <c r="S52" s="11">
        <f>AQ52</f>
        <v>319.929295448555</v>
      </c>
      <c r="T52" s="11">
        <f>AR52</f>
        <v>1112.4232385700357</v>
      </c>
      <c r="U52" s="11">
        <f>AS52</f>
        <v>2393.442387032251</v>
      </c>
      <c r="V52" s="11">
        <f>AT52</f>
        <v>94.85044796842638</v>
      </c>
      <c r="W52" s="11">
        <f>AU52</f>
        <v>358.32605290077765</v>
      </c>
      <c r="X52" s="11">
        <f>AM52</f>
        <v>17670.345615483235</v>
      </c>
      <c r="Y52" s="11">
        <f>AN52</f>
        <v>414.7797434169813</v>
      </c>
      <c r="Z52" s="11">
        <f>AO52</f>
        <v>1470.7492914708134</v>
      </c>
      <c r="AA52" s="7">
        <v>1</v>
      </c>
      <c r="AB52" s="7">
        <v>1</v>
      </c>
      <c r="AC52" s="7">
        <v>1</v>
      </c>
      <c r="AD52" s="11">
        <f>X52*AA52</f>
        <v>17670.345615483235</v>
      </c>
      <c r="AE52" s="11">
        <f>Y52*AB52</f>
        <v>414.7797434169813</v>
      </c>
      <c r="AF52" s="11">
        <f>Z52*AC52</f>
        <v>1470.7492914708134</v>
      </c>
      <c r="AG52" s="7">
        <v>17670.345615483235</v>
      </c>
      <c r="AH52" s="7">
        <v>414.7797434169813</v>
      </c>
      <c r="AI52" s="7">
        <v>1470.7492914708134</v>
      </c>
      <c r="AJ52" s="16">
        <f>AD52-AG52</f>
        <v>0</v>
      </c>
      <c r="AK52" s="16">
        <f>SQRT((AE52-AH52)^2+(AF52-AI52)^2)</f>
        <v>0</v>
      </c>
      <c r="AL52" s="7" t="s">
        <v>190</v>
      </c>
      <c r="AM52" s="7">
        <v>17670.345615483235</v>
      </c>
      <c r="AN52" s="7">
        <v>414.7797434169813</v>
      </c>
      <c r="AO52" s="7">
        <v>1470.7492914708134</v>
      </c>
      <c r="AP52" s="7">
        <v>15276.903228450983</v>
      </c>
      <c r="AQ52" s="7">
        <v>319.929295448555</v>
      </c>
      <c r="AR52" s="7">
        <v>1112.4232385700357</v>
      </c>
      <c r="AS52" s="7">
        <v>2393.442387032251</v>
      </c>
      <c r="AT52" s="7">
        <v>94.85044796842638</v>
      </c>
      <c r="AU52" s="7">
        <v>358.32605290077765</v>
      </c>
    </row>
    <row r="53" spans="1:47" x14ac:dyDescent="0.25">
      <c r="A53" s="7" t="s">
        <v>286</v>
      </c>
      <c r="B53" s="7">
        <v>5</v>
      </c>
      <c r="C53" s="19">
        <v>70</v>
      </c>
      <c r="D53" s="7" t="s">
        <v>287</v>
      </c>
      <c r="E53" s="7" t="s">
        <v>613</v>
      </c>
      <c r="F53" s="20">
        <v>70</v>
      </c>
      <c r="G53" s="7" t="s">
        <v>194</v>
      </c>
      <c r="H53" s="21">
        <v>1.1000000000000003</v>
      </c>
      <c r="I53" s="11">
        <f>MAX(('Geometry'!$G$13*COS(RADIANS(F53))+'Geometry'!$F$13*SIN(RADIANS(F53))),('Geometry'!$G$14*COS(RADIANS(F53))+'Geometry'!$F$14*SIN(RADIANS(F53))),('Geometry'!$G$15*COS(RADIANS(F53))+'Geometry'!$F$15*SIN(RADIANS(F53))),('Geometry'!$G$16*COS(RADIANS(F53))+'Geometry'!$F$16*SIN(RADIANS(F53))),('Geometry'!$G$17*COS(RADIANS(F53))+'Geometry'!$F$17*SIN(RADIANS(F53))),('Geometry'!$G$18*COS(RADIANS(F53))+'Geometry'!$F$18*SIN(RADIANS(F53))),('Geometry'!$G$19*COS(RADIANS(F53))+'Geometry'!$F$19*SIN(RADIANS(F53))),('Geometry'!$G$20*COS(RADIANS(F53))+'Geometry'!$F$20*SIN(RADIANS(F53))))</f>
        <v>841.5775229196987</v>
      </c>
      <c r="J53" s="11">
        <f>I53-H53*K53</f>
        <v>-1009.8930275036387</v>
      </c>
      <c r="K53" s="11">
        <f>I53-MIN(('Geometry'!$G$13*COS(RADIANS(F53))+'Geometry'!$F$13*SIN(RADIANS(F53))),('Geometry'!$G$14*COS(RADIANS(F53))+'Geometry'!$F$14*SIN(RADIANS(F53))),('Geometry'!$G$15*COS(RADIANS(F53))+'Geometry'!$F$15*SIN(RADIANS(F53))),('Geometry'!$G$16*COS(RADIANS(F53))+'Geometry'!$F$16*SIN(RADIANS(F53))),('Geometry'!$G$17*COS(RADIANS(F53))+'Geometry'!$F$17*SIN(RADIANS(F53))),('Geometry'!$G$18*COS(RADIANS(F53))+'Geometry'!$F$18*SIN(RADIANS(F53))),('Geometry'!$G$19*COS(RADIANS(F53))+'Geometry'!$F$19*SIN(RADIANS(F53))),('Geometry'!$G$20*COS(RADIANS(F53))+'Geometry'!$F$20*SIN(RADIANS(F53))))</f>
        <v>1683.1550458393974</v>
      </c>
      <c r="L53" s="16">
        <f>C_ecu</f>
        <v>0.0033</v>
      </c>
      <c r="M53" s="16">
        <f>0</f>
        <v>0</v>
      </c>
      <c r="N53" s="22">
        <f>IF(ABS(I53-J53)&lt;0.000000000001,0,(L53-M53)/(I53-J53))</f>
        <v>0.000001782366994303775</v>
      </c>
      <c r="O53" s="16">
        <f>L53-N53*I53</f>
        <v>0.0018000000000000002</v>
      </c>
      <c r="P53" s="22">
        <f>N53*COS(RADIANS(F53))</f>
        <v>6.096054148507187e-7</v>
      </c>
      <c r="Q53" s="22">
        <f>N53*SIN(RADIANS(F53))</f>
        <v>0.0000016748771120796167</v>
      </c>
      <c r="R53" s="11">
        <f>AP53</f>
        <v>15276.903228450983</v>
      </c>
      <c r="S53" s="11">
        <f>AQ53</f>
        <v>399.91161931069377</v>
      </c>
      <c r="T53" s="11">
        <f>AR53</f>
        <v>1390.5290482125445</v>
      </c>
      <c r="U53" s="11">
        <f>AS53</f>
        <v>2393.442387032251</v>
      </c>
      <c r="V53" s="11">
        <f>AT53</f>
        <v>118.56305996053297</v>
      </c>
      <c r="W53" s="11">
        <f>AU53</f>
        <v>447.907566125972</v>
      </c>
      <c r="X53" s="11">
        <f>AM53</f>
        <v>17670.345615483235</v>
      </c>
      <c r="Y53" s="11">
        <f>AN53</f>
        <v>518.4746792712266</v>
      </c>
      <c r="Z53" s="11">
        <f>AO53</f>
        <v>1838.4366143385164</v>
      </c>
      <c r="AA53" s="7">
        <v>1</v>
      </c>
      <c r="AB53" s="7">
        <v>1</v>
      </c>
      <c r="AC53" s="7">
        <v>1</v>
      </c>
      <c r="AD53" s="11">
        <f>X53*AA53</f>
        <v>17670.345615483235</v>
      </c>
      <c r="AE53" s="11">
        <f>Y53*AB53</f>
        <v>518.4746792712266</v>
      </c>
      <c r="AF53" s="11">
        <f>Z53*AC53</f>
        <v>1838.4366143385164</v>
      </c>
      <c r="AG53" s="7">
        <v>17670.345615483235</v>
      </c>
      <c r="AH53" s="7">
        <v>518.4746792712266</v>
      </c>
      <c r="AI53" s="7">
        <v>1838.4366143385164</v>
      </c>
      <c r="AJ53" s="16">
        <f>AD53-AG53</f>
        <v>0</v>
      </c>
      <c r="AK53" s="16">
        <f>SQRT((AE53-AH53)^2+(AF53-AI53)^2)</f>
        <v>0</v>
      </c>
      <c r="AL53" s="7" t="s">
        <v>190</v>
      </c>
      <c r="AM53" s="7">
        <v>17670.345615483235</v>
      </c>
      <c r="AN53" s="7">
        <v>518.4746792712266</v>
      </c>
      <c r="AO53" s="7">
        <v>1838.4366143385164</v>
      </c>
      <c r="AP53" s="7">
        <v>15276.903228450983</v>
      </c>
      <c r="AQ53" s="7">
        <v>399.91161931069377</v>
      </c>
      <c r="AR53" s="7">
        <v>1390.5290482125445</v>
      </c>
      <c r="AS53" s="7">
        <v>2393.442387032251</v>
      </c>
      <c r="AT53" s="7">
        <v>118.56305996053297</v>
      </c>
      <c r="AU53" s="7">
        <v>447.907566125972</v>
      </c>
    </row>
    <row r="54" spans="1:47" x14ac:dyDescent="0.25">
      <c r="A54" s="7" t="s">
        <v>288</v>
      </c>
      <c r="B54" s="7">
        <v>6</v>
      </c>
      <c r="C54" s="19">
        <v>70</v>
      </c>
      <c r="D54" s="7" t="s">
        <v>289</v>
      </c>
      <c r="E54" s="7" t="s">
        <v>614</v>
      </c>
      <c r="F54" s="20">
        <v>70</v>
      </c>
      <c r="G54" s="7" t="s">
        <v>194</v>
      </c>
      <c r="H54" s="21">
        <v>1.0000000000000002</v>
      </c>
      <c r="I54" s="11">
        <f>MAX(('Geometry'!$G$13*COS(RADIANS(F54))+'Geometry'!$F$13*SIN(RADIANS(F54))),('Geometry'!$G$14*COS(RADIANS(F54))+'Geometry'!$F$14*SIN(RADIANS(F54))),('Geometry'!$G$15*COS(RADIANS(F54))+'Geometry'!$F$15*SIN(RADIANS(F54))),('Geometry'!$G$16*COS(RADIANS(F54))+'Geometry'!$F$16*SIN(RADIANS(F54))),('Geometry'!$G$17*COS(RADIANS(F54))+'Geometry'!$F$17*SIN(RADIANS(F54))),('Geometry'!$G$18*COS(RADIANS(F54))+'Geometry'!$F$18*SIN(RADIANS(F54))),('Geometry'!$G$19*COS(RADIANS(F54))+'Geometry'!$F$19*SIN(RADIANS(F54))),('Geometry'!$G$20*COS(RADIANS(F54))+'Geometry'!$F$20*SIN(RADIANS(F54))))</f>
        <v>841.5775229196987</v>
      </c>
      <c r="J54" s="11">
        <f>I54-H54*K54</f>
        <v>-841.5775229196989</v>
      </c>
      <c r="K54" s="11">
        <f>I54-MIN(('Geometry'!$G$13*COS(RADIANS(F54))+'Geometry'!$F$13*SIN(RADIANS(F54))),('Geometry'!$G$14*COS(RADIANS(F54))+'Geometry'!$F$14*SIN(RADIANS(F54))),('Geometry'!$G$15*COS(RADIANS(F54))+'Geometry'!$F$15*SIN(RADIANS(F54))),('Geometry'!$G$16*COS(RADIANS(F54))+'Geometry'!$F$16*SIN(RADIANS(F54))),('Geometry'!$G$17*COS(RADIANS(F54))+'Geometry'!$F$17*SIN(RADIANS(F54))),('Geometry'!$G$18*COS(RADIANS(F54))+'Geometry'!$F$18*SIN(RADIANS(F54))),('Geometry'!$G$19*COS(RADIANS(F54))+'Geometry'!$F$19*SIN(RADIANS(F54))),('Geometry'!$G$20*COS(RADIANS(F54))+'Geometry'!$F$20*SIN(RADIANS(F54))))</f>
        <v>1683.1550458393974</v>
      </c>
      <c r="L54" s="16">
        <f>C_ecu</f>
        <v>0.0032999999999999995</v>
      </c>
      <c r="M54" s="16">
        <f>0</f>
        <v>0</v>
      </c>
      <c r="N54" s="22">
        <f>IF(ABS(I54-J54)&lt;0.000000000001,0,(L54-M54)/(I54-J54))</f>
        <v>0.0000019606036937341523</v>
      </c>
      <c r="O54" s="16">
        <f>L54-N54*I54</f>
        <v>0.00165</v>
      </c>
      <c r="P54" s="22">
        <f>N54*COS(RADIANS(F54))</f>
        <v>6.705659563357906e-7</v>
      </c>
      <c r="Q54" s="22">
        <f>N54*SIN(RADIANS(F54))</f>
        <v>0.0000018423648232875784</v>
      </c>
      <c r="R54" s="11">
        <f>AP54</f>
        <v>15276.903228450983</v>
      </c>
      <c r="S54" s="11">
        <f>AQ54</f>
        <v>479.8939431728325</v>
      </c>
      <c r="T54" s="11">
        <f>AR54</f>
        <v>1668.6348578550535</v>
      </c>
      <c r="U54" s="11">
        <f>AS54</f>
        <v>2393.442387032251</v>
      </c>
      <c r="V54" s="11">
        <f>AT54</f>
        <v>142.27567195263956</v>
      </c>
      <c r="W54" s="11">
        <f>AU54</f>
        <v>537.4890793511664</v>
      </c>
      <c r="X54" s="11">
        <f>AM54</f>
        <v>17670.345615483235</v>
      </c>
      <c r="Y54" s="11">
        <f>AN54</f>
        <v>622.169615125472</v>
      </c>
      <c r="Z54" s="11">
        <f>AO54</f>
        <v>2206.1239372062196</v>
      </c>
      <c r="AA54" s="7">
        <v>1</v>
      </c>
      <c r="AB54" s="7">
        <v>1</v>
      </c>
      <c r="AC54" s="7">
        <v>1</v>
      </c>
      <c r="AD54" s="11">
        <f>X54*AA54</f>
        <v>17670.345615483235</v>
      </c>
      <c r="AE54" s="11">
        <f>Y54*AB54</f>
        <v>622.169615125472</v>
      </c>
      <c r="AF54" s="11">
        <f>Z54*AC54</f>
        <v>2206.1239372062196</v>
      </c>
      <c r="AG54" s="7">
        <v>17670.345615483235</v>
      </c>
      <c r="AH54" s="7">
        <v>622.169615125472</v>
      </c>
      <c r="AI54" s="7">
        <v>2206.1239372062196</v>
      </c>
      <c r="AJ54" s="16">
        <f>AD54-AG54</f>
        <v>0</v>
      </c>
      <c r="AK54" s="16">
        <f>SQRT((AE54-AH54)^2+(AF54-AI54)^2)</f>
        <v>0</v>
      </c>
      <c r="AL54" s="7" t="s">
        <v>190</v>
      </c>
      <c r="AM54" s="7">
        <v>17670.345615483235</v>
      </c>
      <c r="AN54" s="7">
        <v>622.169615125472</v>
      </c>
      <c r="AO54" s="7">
        <v>2206.1239372062196</v>
      </c>
      <c r="AP54" s="7">
        <v>15276.903228450983</v>
      </c>
      <c r="AQ54" s="7">
        <v>479.8939431728325</v>
      </c>
      <c r="AR54" s="7">
        <v>1668.6348578550535</v>
      </c>
      <c r="AS54" s="7">
        <v>2393.442387032251</v>
      </c>
      <c r="AT54" s="7">
        <v>142.27567195263956</v>
      </c>
      <c r="AU54" s="7">
        <v>537.4890793511664</v>
      </c>
    </row>
    <row r="55" spans="1:47" x14ac:dyDescent="0.25">
      <c r="A55" s="7" t="s">
        <v>290</v>
      </c>
      <c r="B55" s="7">
        <v>1</v>
      </c>
      <c r="C55" s="19">
        <v>80</v>
      </c>
      <c r="D55" s="7" t="s">
        <v>291</v>
      </c>
      <c r="E55" s="7" t="s">
        <v>609</v>
      </c>
      <c r="F55" s="20">
        <v>80</v>
      </c>
      <c r="G55" s="7" t="s">
        <v>194</v>
      </c>
      <c r="H55" s="21">
        <v>3</v>
      </c>
      <c r="I55" s="11">
        <f>MAX(('Geometry'!$G$13*COS(RADIANS(F55))+'Geometry'!$F$13*SIN(RADIANS(F55))),('Geometry'!$G$14*COS(RADIANS(F55))+'Geometry'!$F$14*SIN(RADIANS(F55))),('Geometry'!$G$15*COS(RADIANS(F55))+'Geometry'!$F$15*SIN(RADIANS(F55))),('Geometry'!$G$16*COS(RADIANS(F55))+'Geometry'!$F$16*SIN(RADIANS(F55))),('Geometry'!$G$17*COS(RADIANS(F55))+'Geometry'!$F$17*SIN(RADIANS(F55))),('Geometry'!$G$18*COS(RADIANS(F55))+'Geometry'!$F$18*SIN(RADIANS(F55))),('Geometry'!$G$19*COS(RADIANS(F55))+'Geometry'!$F$19*SIN(RADIANS(F55))),('Geometry'!$G$20*COS(RADIANS(F55))+'Geometry'!$F$20*SIN(RADIANS(F55))))</f>
        <v>808.0650858259282</v>
      </c>
      <c r="J55" s="11">
        <f>I55-H55*K55</f>
        <v>-4040.325429129641</v>
      </c>
      <c r="K55" s="11">
        <f>I55-MIN(('Geometry'!$G$13*COS(RADIANS(F55))+'Geometry'!$F$13*SIN(RADIANS(F55))),('Geometry'!$G$14*COS(RADIANS(F55))+'Geometry'!$F$14*SIN(RADIANS(F55))),('Geometry'!$G$15*COS(RADIANS(F55))+'Geometry'!$F$15*SIN(RADIANS(F55))),('Geometry'!$G$16*COS(RADIANS(F55))+'Geometry'!$F$16*SIN(RADIANS(F55))),('Geometry'!$G$17*COS(RADIANS(F55))+'Geometry'!$F$17*SIN(RADIANS(F55))),('Geometry'!$G$18*COS(RADIANS(F55))+'Geometry'!$F$18*SIN(RADIANS(F55))),('Geometry'!$G$19*COS(RADIANS(F55))+'Geometry'!$F$19*SIN(RADIANS(F55))),('Geometry'!$G$20*COS(RADIANS(F55))+'Geometry'!$F$20*SIN(RADIANS(F55))))</f>
        <v>1616.1301716518565</v>
      </c>
      <c r="L55" s="16">
        <f>C_ecu</f>
        <v>0.0033</v>
      </c>
      <c r="M55" s="16">
        <f>0</f>
        <v>0</v>
      </c>
      <c r="N55" s="22">
        <f>IF(ABS(I55-J55)&lt;0.000000000001,0,(L55-M55)/(I55-J55))</f>
        <v>6.806382426953165e-7</v>
      </c>
      <c r="O55" s="16">
        <f>L55-N55*I55</f>
        <v>0.00275</v>
      </c>
      <c r="P55" s="22">
        <f>N55*COS(RADIANS(F55))</f>
        <v>1.1819159049446365e-7</v>
      </c>
      <c r="Q55" s="22">
        <f>N55*SIN(RADIANS(F55))</f>
        <v>6.702978184029527e-7</v>
      </c>
      <c r="R55" s="11">
        <f>AP55</f>
        <v>15273.41073119215</v>
      </c>
      <c r="S55" s="11">
        <f>AQ55</f>
        <v>43.04249985687842</v>
      </c>
      <c r="T55" s="11">
        <f>AR55</f>
        <v>303.4142337482788</v>
      </c>
      <c r="U55" s="11">
        <f>AS55</f>
        <v>2396.9348842910854</v>
      </c>
      <c r="V55" s="11">
        <f>AT55</f>
        <v>12.260077803650596</v>
      </c>
      <c r="W55" s="11">
        <f>AU55</f>
        <v>97.1405510214524</v>
      </c>
      <c r="X55" s="11">
        <f>AM55</f>
        <v>17670.345615483235</v>
      </c>
      <c r="Y55" s="11">
        <f>AN55</f>
        <v>55.30257766052902</v>
      </c>
      <c r="Z55" s="11">
        <f>AO55</f>
        <v>400.55478476973116</v>
      </c>
      <c r="AA55" s="7">
        <v>1</v>
      </c>
      <c r="AB55" s="7">
        <v>1</v>
      </c>
      <c r="AC55" s="7">
        <v>1</v>
      </c>
      <c r="AD55" s="11">
        <f>X55*AA55</f>
        <v>17670.345615483235</v>
      </c>
      <c r="AE55" s="11">
        <f>Y55*AB55</f>
        <v>55.30257766052902</v>
      </c>
      <c r="AF55" s="11">
        <f>Z55*AC55</f>
        <v>400.55478476973116</v>
      </c>
      <c r="AG55" s="7">
        <v>17670.345615483235</v>
      </c>
      <c r="AH55" s="7">
        <v>55.30257766052902</v>
      </c>
      <c r="AI55" s="7">
        <v>400.55478476973116</v>
      </c>
      <c r="AJ55" s="16">
        <f>AD55-AG55</f>
        <v>0</v>
      </c>
      <c r="AK55" s="16">
        <f>SQRT((AE55-AH55)^2+(AF55-AI55)^2)</f>
        <v>0</v>
      </c>
      <c r="AL55" s="7" t="s">
        <v>190</v>
      </c>
      <c r="AM55" s="7">
        <v>17670.345615483235</v>
      </c>
      <c r="AN55" s="7">
        <v>55.30257766052902</v>
      </c>
      <c r="AO55" s="7">
        <v>400.55478476973116</v>
      </c>
      <c r="AP55" s="7">
        <v>15273.41073119215</v>
      </c>
      <c r="AQ55" s="7">
        <v>43.04249985687842</v>
      </c>
      <c r="AR55" s="7">
        <v>303.4142337482788</v>
      </c>
      <c r="AS55" s="7">
        <v>2396.9348842910854</v>
      </c>
      <c r="AT55" s="7">
        <v>12.260077803650596</v>
      </c>
      <c r="AU55" s="7">
        <v>97.1405510214524</v>
      </c>
    </row>
    <row r="56" spans="1:47" x14ac:dyDescent="0.25">
      <c r="A56" s="7" t="s">
        <v>292</v>
      </c>
      <c r="B56" s="7">
        <v>2</v>
      </c>
      <c r="C56" s="19">
        <v>80</v>
      </c>
      <c r="D56" s="7" t="s">
        <v>293</v>
      </c>
      <c r="E56" s="7" t="s">
        <v>610</v>
      </c>
      <c r="F56" s="20">
        <v>80</v>
      </c>
      <c r="G56" s="7" t="s">
        <v>194</v>
      </c>
      <c r="H56" s="21">
        <v>2</v>
      </c>
      <c r="I56" s="11">
        <f>MAX(('Geometry'!$G$13*COS(RADIANS(F56))+'Geometry'!$F$13*SIN(RADIANS(F56))),('Geometry'!$G$14*COS(RADIANS(F56))+'Geometry'!$F$14*SIN(RADIANS(F56))),('Geometry'!$G$15*COS(RADIANS(F56))+'Geometry'!$F$15*SIN(RADIANS(F56))),('Geometry'!$G$16*COS(RADIANS(F56))+'Geometry'!$F$16*SIN(RADIANS(F56))),('Geometry'!$G$17*COS(RADIANS(F56))+'Geometry'!$F$17*SIN(RADIANS(F56))),('Geometry'!$G$18*COS(RADIANS(F56))+'Geometry'!$F$18*SIN(RADIANS(F56))),('Geometry'!$G$19*COS(RADIANS(F56))+'Geometry'!$F$19*SIN(RADIANS(F56))),('Geometry'!$G$20*COS(RADIANS(F56))+'Geometry'!$F$20*SIN(RADIANS(F56))))</f>
        <v>808.0650858259282</v>
      </c>
      <c r="J56" s="11">
        <f>I56-H56*K56</f>
        <v>-2424.1952574777847</v>
      </c>
      <c r="K56" s="11">
        <f>I56-MIN(('Geometry'!$G$13*COS(RADIANS(F56))+'Geometry'!$F$13*SIN(RADIANS(F56))),('Geometry'!$G$14*COS(RADIANS(F56))+'Geometry'!$F$14*SIN(RADIANS(F56))),('Geometry'!$G$15*COS(RADIANS(F56))+'Geometry'!$F$15*SIN(RADIANS(F56))),('Geometry'!$G$16*COS(RADIANS(F56))+'Geometry'!$F$16*SIN(RADIANS(F56))),('Geometry'!$G$17*COS(RADIANS(F56))+'Geometry'!$F$17*SIN(RADIANS(F56))),('Geometry'!$G$18*COS(RADIANS(F56))+'Geometry'!$F$18*SIN(RADIANS(F56))),('Geometry'!$G$19*COS(RADIANS(F56))+'Geometry'!$F$19*SIN(RADIANS(F56))),('Geometry'!$G$20*COS(RADIANS(F56))+'Geometry'!$F$20*SIN(RADIANS(F56))))</f>
        <v>1616.1301716518565</v>
      </c>
      <c r="L56" s="16">
        <f>C_ecu</f>
        <v>0.0032999999999999995</v>
      </c>
      <c r="M56" s="16">
        <f>0</f>
        <v>0</v>
      </c>
      <c r="N56" s="22">
        <f>IF(ABS(I56-J56)&lt;0.000000000001,0,(L56-M56)/(I56-J56))</f>
        <v>0.0000010209573640429748</v>
      </c>
      <c r="O56" s="16">
        <f>L56-N56*I56</f>
        <v>0.0024749999999999998</v>
      </c>
      <c r="P56" s="22">
        <f>N56*COS(RADIANS(F56))</f>
        <v>1.772873857416955e-7</v>
      </c>
      <c r="Q56" s="22">
        <f>N56*SIN(RADIANS(F56))</f>
        <v>0.000001005446727604429</v>
      </c>
      <c r="R56" s="11">
        <f>AP56</f>
        <v>15273.41073119215</v>
      </c>
      <c r="S56" s="11">
        <f>AQ56</f>
        <v>86.08499971375684</v>
      </c>
      <c r="T56" s="11">
        <f>AR56</f>
        <v>606.8284674965576</v>
      </c>
      <c r="U56" s="11">
        <f>AS56</f>
        <v>2396.9348842910854</v>
      </c>
      <c r="V56" s="11">
        <f>AT56</f>
        <v>24.52015560730119</v>
      </c>
      <c r="W56" s="11">
        <f>AU56</f>
        <v>194.2811020429048</v>
      </c>
      <c r="X56" s="11">
        <f>AM56</f>
        <v>17670.345615483235</v>
      </c>
      <c r="Y56" s="11">
        <f>AN56</f>
        <v>110.60515532105804</v>
      </c>
      <c r="Z56" s="11">
        <f>AO56</f>
        <v>801.1095695394623</v>
      </c>
      <c r="AA56" s="7">
        <v>1</v>
      </c>
      <c r="AB56" s="7">
        <v>1</v>
      </c>
      <c r="AC56" s="7">
        <v>1</v>
      </c>
      <c r="AD56" s="11">
        <f>X56*AA56</f>
        <v>17670.345615483235</v>
      </c>
      <c r="AE56" s="11">
        <f>Y56*AB56</f>
        <v>110.60515532105804</v>
      </c>
      <c r="AF56" s="11">
        <f>Z56*AC56</f>
        <v>801.1095695394623</v>
      </c>
      <c r="AG56" s="7">
        <v>17670.345615483235</v>
      </c>
      <c r="AH56" s="7">
        <v>110.60515532105804</v>
      </c>
      <c r="AI56" s="7">
        <v>801.1095695394623</v>
      </c>
      <c r="AJ56" s="16">
        <f>AD56-AG56</f>
        <v>0</v>
      </c>
      <c r="AK56" s="16">
        <f>SQRT((AE56-AH56)^2+(AF56-AI56)^2)</f>
        <v>0</v>
      </c>
      <c r="AL56" s="7" t="s">
        <v>190</v>
      </c>
      <c r="AM56" s="7">
        <v>17670.345615483235</v>
      </c>
      <c r="AN56" s="7">
        <v>110.60515532105804</v>
      </c>
      <c r="AO56" s="7">
        <v>801.1095695394623</v>
      </c>
      <c r="AP56" s="7">
        <v>15273.41073119215</v>
      </c>
      <c r="AQ56" s="7">
        <v>86.08499971375684</v>
      </c>
      <c r="AR56" s="7">
        <v>606.8284674965576</v>
      </c>
      <c r="AS56" s="7">
        <v>2396.9348842910854</v>
      </c>
      <c r="AT56" s="7">
        <v>24.52015560730119</v>
      </c>
      <c r="AU56" s="7">
        <v>194.2811020429048</v>
      </c>
    </row>
    <row r="57" spans="1:47" x14ac:dyDescent="0.25">
      <c r="A57" s="7" t="s">
        <v>294</v>
      </c>
      <c r="B57" s="7">
        <v>3</v>
      </c>
      <c r="C57" s="19">
        <v>80</v>
      </c>
      <c r="D57" s="7" t="s">
        <v>295</v>
      </c>
      <c r="E57" s="7" t="s">
        <v>611</v>
      </c>
      <c r="F57" s="20">
        <v>80</v>
      </c>
      <c r="G57" s="7" t="s">
        <v>194</v>
      </c>
      <c r="H57" s="21">
        <v>1.5</v>
      </c>
      <c r="I57" s="11">
        <f>MAX(('Geometry'!$G$13*COS(RADIANS(F57))+'Geometry'!$F$13*SIN(RADIANS(F57))),('Geometry'!$G$14*COS(RADIANS(F57))+'Geometry'!$F$14*SIN(RADIANS(F57))),('Geometry'!$G$15*COS(RADIANS(F57))+'Geometry'!$F$15*SIN(RADIANS(F57))),('Geometry'!$G$16*COS(RADIANS(F57))+'Geometry'!$F$16*SIN(RADIANS(F57))),('Geometry'!$G$17*COS(RADIANS(F57))+'Geometry'!$F$17*SIN(RADIANS(F57))),('Geometry'!$G$18*COS(RADIANS(F57))+'Geometry'!$F$18*SIN(RADIANS(F57))),('Geometry'!$G$19*COS(RADIANS(F57))+'Geometry'!$F$19*SIN(RADIANS(F57))),('Geometry'!$G$20*COS(RADIANS(F57))+'Geometry'!$F$20*SIN(RADIANS(F57))))</f>
        <v>808.0650858259282</v>
      </c>
      <c r="J57" s="11">
        <f>I57-H57*K57</f>
        <v>-1616.1301716518565</v>
      </c>
      <c r="K57" s="11">
        <f>I57-MIN(('Geometry'!$G$13*COS(RADIANS(F57))+'Geometry'!$F$13*SIN(RADIANS(F57))),('Geometry'!$G$14*COS(RADIANS(F57))+'Geometry'!$F$14*SIN(RADIANS(F57))),('Geometry'!$G$15*COS(RADIANS(F57))+'Geometry'!$F$15*SIN(RADIANS(F57))),('Geometry'!$G$16*COS(RADIANS(F57))+'Geometry'!$F$16*SIN(RADIANS(F57))),('Geometry'!$G$17*COS(RADIANS(F57))+'Geometry'!$F$17*SIN(RADIANS(F57))),('Geometry'!$G$18*COS(RADIANS(F57))+'Geometry'!$F$18*SIN(RADIANS(F57))),('Geometry'!$G$19*COS(RADIANS(F57))+'Geometry'!$F$19*SIN(RADIANS(F57))),('Geometry'!$G$20*COS(RADIANS(F57))+'Geometry'!$F$20*SIN(RADIANS(F57))))</f>
        <v>1616.1301716518565</v>
      </c>
      <c r="L57" s="16">
        <f>C_ecu</f>
        <v>0.0032999999999999995</v>
      </c>
      <c r="M57" s="16">
        <f>0</f>
        <v>0</v>
      </c>
      <c r="N57" s="22">
        <f>IF(ABS(I57-J57)&lt;0.000000000001,0,(L57-M57)/(I57-J57))</f>
        <v>0.000001361276485390633</v>
      </c>
      <c r="O57" s="16">
        <f>L57-N57*I57</f>
        <v>0.0021999999999999997</v>
      </c>
      <c r="P57" s="22">
        <f>N57*COS(RADIANS(F57))</f>
        <v>2.363831809889273e-7</v>
      </c>
      <c r="Q57" s="22">
        <f>N57*SIN(RADIANS(F57))</f>
        <v>0.0000013405956368059054</v>
      </c>
      <c r="R57" s="11">
        <f>AP57</f>
        <v>15273.41073119215</v>
      </c>
      <c r="S57" s="11">
        <f>AQ57</f>
        <v>129.12749957063528</v>
      </c>
      <c r="T57" s="11">
        <f>AR57</f>
        <v>910.2427012448364</v>
      </c>
      <c r="U57" s="11">
        <f>AS57</f>
        <v>2396.9348842910854</v>
      </c>
      <c r="V57" s="11">
        <f>AT57</f>
        <v>36.78023341095179</v>
      </c>
      <c r="W57" s="11">
        <f>AU57</f>
        <v>291.4216530643572</v>
      </c>
      <c r="X57" s="11">
        <f>AM57</f>
        <v>17670.345615483235</v>
      </c>
      <c r="Y57" s="11">
        <f>AN57</f>
        <v>165.90773298158706</v>
      </c>
      <c r="Z57" s="11">
        <f>AO57</f>
        <v>1201.6643543091936</v>
      </c>
      <c r="AA57" s="7">
        <v>1</v>
      </c>
      <c r="AB57" s="7">
        <v>1</v>
      </c>
      <c r="AC57" s="7">
        <v>1</v>
      </c>
      <c r="AD57" s="11">
        <f>X57*AA57</f>
        <v>17670.345615483235</v>
      </c>
      <c r="AE57" s="11">
        <f>Y57*AB57</f>
        <v>165.90773298158706</v>
      </c>
      <c r="AF57" s="11">
        <f>Z57*AC57</f>
        <v>1201.6643543091936</v>
      </c>
      <c r="AG57" s="7">
        <v>17670.345615483235</v>
      </c>
      <c r="AH57" s="7">
        <v>165.90773298158706</v>
      </c>
      <c r="AI57" s="7">
        <v>1201.6643543091936</v>
      </c>
      <c r="AJ57" s="16">
        <f>AD57-AG57</f>
        <v>0</v>
      </c>
      <c r="AK57" s="16">
        <f>SQRT((AE57-AH57)^2+(AF57-AI57)^2)</f>
        <v>0</v>
      </c>
      <c r="AL57" s="7" t="s">
        <v>190</v>
      </c>
      <c r="AM57" s="7">
        <v>17670.345615483235</v>
      </c>
      <c r="AN57" s="7">
        <v>165.90773298158706</v>
      </c>
      <c r="AO57" s="7">
        <v>1201.6643543091936</v>
      </c>
      <c r="AP57" s="7">
        <v>15273.41073119215</v>
      </c>
      <c r="AQ57" s="7">
        <v>129.12749957063528</v>
      </c>
      <c r="AR57" s="7">
        <v>910.2427012448364</v>
      </c>
      <c r="AS57" s="7">
        <v>2396.9348842910854</v>
      </c>
      <c r="AT57" s="7">
        <v>36.78023341095179</v>
      </c>
      <c r="AU57" s="7">
        <v>291.4216530643572</v>
      </c>
    </row>
    <row r="58" spans="1:47" x14ac:dyDescent="0.25">
      <c r="A58" s="7" t="s">
        <v>296</v>
      </c>
      <c r="B58" s="7">
        <v>4</v>
      </c>
      <c r="C58" s="19">
        <v>80</v>
      </c>
      <c r="D58" s="7" t="s">
        <v>297</v>
      </c>
      <c r="E58" s="7" t="s">
        <v>612</v>
      </c>
      <c r="F58" s="20">
        <v>80</v>
      </c>
      <c r="G58" s="7" t="s">
        <v>194</v>
      </c>
      <c r="H58" s="21">
        <v>1.2000000000000002</v>
      </c>
      <c r="I58" s="11">
        <f>MAX(('Geometry'!$G$13*COS(RADIANS(F58))+'Geometry'!$F$13*SIN(RADIANS(F58))),('Geometry'!$G$14*COS(RADIANS(F58))+'Geometry'!$F$14*SIN(RADIANS(F58))),('Geometry'!$G$15*COS(RADIANS(F58))+'Geometry'!$F$15*SIN(RADIANS(F58))),('Geometry'!$G$16*COS(RADIANS(F58))+'Geometry'!$F$16*SIN(RADIANS(F58))),('Geometry'!$G$17*COS(RADIANS(F58))+'Geometry'!$F$17*SIN(RADIANS(F58))),('Geometry'!$G$18*COS(RADIANS(F58))+'Geometry'!$F$18*SIN(RADIANS(F58))),('Geometry'!$G$19*COS(RADIANS(F58))+'Geometry'!$F$19*SIN(RADIANS(F58))),('Geometry'!$G$20*COS(RADIANS(F58))+'Geometry'!$F$20*SIN(RADIANS(F58))))</f>
        <v>808.0650858259282</v>
      </c>
      <c r="J58" s="11">
        <f>I58-H58*K58</f>
        <v>-1131.2911201562997</v>
      </c>
      <c r="K58" s="11">
        <f>I58-MIN(('Geometry'!$G$13*COS(RADIANS(F58))+'Geometry'!$F$13*SIN(RADIANS(F58))),('Geometry'!$G$14*COS(RADIANS(F58))+'Geometry'!$F$14*SIN(RADIANS(F58))),('Geometry'!$G$15*COS(RADIANS(F58))+'Geometry'!$F$15*SIN(RADIANS(F58))),('Geometry'!$G$16*COS(RADIANS(F58))+'Geometry'!$F$16*SIN(RADIANS(F58))),('Geometry'!$G$17*COS(RADIANS(F58))+'Geometry'!$F$17*SIN(RADIANS(F58))),('Geometry'!$G$18*COS(RADIANS(F58))+'Geometry'!$F$18*SIN(RADIANS(F58))),('Geometry'!$G$19*COS(RADIANS(F58))+'Geometry'!$F$19*SIN(RADIANS(F58))),('Geometry'!$G$20*COS(RADIANS(F58))+'Geometry'!$F$20*SIN(RADIANS(F58))))</f>
        <v>1616.1301716518565</v>
      </c>
      <c r="L58" s="16">
        <f>C_ecu</f>
        <v>0.0033</v>
      </c>
      <c r="M58" s="16">
        <f>0</f>
        <v>0</v>
      </c>
      <c r="N58" s="22">
        <f>IF(ABS(I58-J58)&lt;0.000000000001,0,(L58-M58)/(I58-J58))</f>
        <v>0.0000017015956067382914</v>
      </c>
      <c r="O58" s="16">
        <f>L58-N58*I58</f>
        <v>0.001925</v>
      </c>
      <c r="P58" s="22">
        <f>N58*COS(RADIANS(F58))</f>
        <v>2.954789762361591e-7</v>
      </c>
      <c r="Q58" s="22">
        <f>N58*SIN(RADIANS(F58))</f>
        <v>0.0000016757445460073818</v>
      </c>
      <c r="R58" s="11">
        <f>AP58</f>
        <v>15273.41073119215</v>
      </c>
      <c r="S58" s="11">
        <f>AQ58</f>
        <v>172.1699994275137</v>
      </c>
      <c r="T58" s="11">
        <f>AR58</f>
        <v>1213.656934993115</v>
      </c>
      <c r="U58" s="11">
        <f>AS58</f>
        <v>2396.9348842910854</v>
      </c>
      <c r="V58" s="11">
        <f>AT58</f>
        <v>49.04031121460238</v>
      </c>
      <c r="W58" s="11">
        <f>AU58</f>
        <v>388.5622040858096</v>
      </c>
      <c r="X58" s="11">
        <f>AM58</f>
        <v>17670.345615483235</v>
      </c>
      <c r="Y58" s="11">
        <f>AN58</f>
        <v>221.21031064211607</v>
      </c>
      <c r="Z58" s="11">
        <f>AO58</f>
        <v>1602.2191390789246</v>
      </c>
      <c r="AA58" s="7">
        <v>1</v>
      </c>
      <c r="AB58" s="7">
        <v>1</v>
      </c>
      <c r="AC58" s="7">
        <v>1</v>
      </c>
      <c r="AD58" s="11">
        <f>X58*AA58</f>
        <v>17670.345615483235</v>
      </c>
      <c r="AE58" s="11">
        <f>Y58*AB58</f>
        <v>221.21031064211607</v>
      </c>
      <c r="AF58" s="11">
        <f>Z58*AC58</f>
        <v>1602.2191390789246</v>
      </c>
      <c r="AG58" s="7">
        <v>17670.345615483235</v>
      </c>
      <c r="AH58" s="7">
        <v>221.21031064211607</v>
      </c>
      <c r="AI58" s="7">
        <v>1602.2191390789246</v>
      </c>
      <c r="AJ58" s="16">
        <f>AD58-AG58</f>
        <v>0</v>
      </c>
      <c r="AK58" s="16">
        <f>SQRT((AE58-AH58)^2+(AF58-AI58)^2)</f>
        <v>0</v>
      </c>
      <c r="AL58" s="7" t="s">
        <v>190</v>
      </c>
      <c r="AM58" s="7">
        <v>17670.345615483235</v>
      </c>
      <c r="AN58" s="7">
        <v>221.21031064211607</v>
      </c>
      <c r="AO58" s="7">
        <v>1602.2191390789246</v>
      </c>
      <c r="AP58" s="7">
        <v>15273.41073119215</v>
      </c>
      <c r="AQ58" s="7">
        <v>172.1699994275137</v>
      </c>
      <c r="AR58" s="7">
        <v>1213.656934993115</v>
      </c>
      <c r="AS58" s="7">
        <v>2396.9348842910854</v>
      </c>
      <c r="AT58" s="7">
        <v>49.04031121460238</v>
      </c>
      <c r="AU58" s="7">
        <v>388.5622040858096</v>
      </c>
    </row>
    <row r="59" spans="1:47" x14ac:dyDescent="0.25">
      <c r="A59" s="7" t="s">
        <v>298</v>
      </c>
      <c r="B59" s="7">
        <v>5</v>
      </c>
      <c r="C59" s="19">
        <v>80</v>
      </c>
      <c r="D59" s="7" t="s">
        <v>299</v>
      </c>
      <c r="E59" s="7" t="s">
        <v>613</v>
      </c>
      <c r="F59" s="20">
        <v>80</v>
      </c>
      <c r="G59" s="7" t="s">
        <v>194</v>
      </c>
      <c r="H59" s="21">
        <v>1.1</v>
      </c>
      <c r="I59" s="11">
        <f>MAX(('Geometry'!$G$13*COS(RADIANS(F59))+'Geometry'!$F$13*SIN(RADIANS(F59))),('Geometry'!$G$14*COS(RADIANS(F59))+'Geometry'!$F$14*SIN(RADIANS(F59))),('Geometry'!$G$15*COS(RADIANS(F59))+'Geometry'!$F$15*SIN(RADIANS(F59))),('Geometry'!$G$16*COS(RADIANS(F59))+'Geometry'!$F$16*SIN(RADIANS(F59))),('Geometry'!$G$17*COS(RADIANS(F59))+'Geometry'!$F$17*SIN(RADIANS(F59))),('Geometry'!$G$18*COS(RADIANS(F59))+'Geometry'!$F$18*SIN(RADIANS(F59))),('Geometry'!$G$19*COS(RADIANS(F59))+'Geometry'!$F$19*SIN(RADIANS(F59))),('Geometry'!$G$20*COS(RADIANS(F59))+'Geometry'!$F$20*SIN(RADIANS(F59))))</f>
        <v>808.0650858259282</v>
      </c>
      <c r="J59" s="11">
        <f>I59-H59*K59</f>
        <v>-969.678102991114</v>
      </c>
      <c r="K59" s="11">
        <f>I59-MIN(('Geometry'!$G$13*COS(RADIANS(F59))+'Geometry'!$F$13*SIN(RADIANS(F59))),('Geometry'!$G$14*COS(RADIANS(F59))+'Geometry'!$F$14*SIN(RADIANS(F59))),('Geometry'!$G$15*COS(RADIANS(F59))+'Geometry'!$F$15*SIN(RADIANS(F59))),('Geometry'!$G$16*COS(RADIANS(F59))+'Geometry'!$F$16*SIN(RADIANS(F59))),('Geometry'!$G$17*COS(RADIANS(F59))+'Geometry'!$F$17*SIN(RADIANS(F59))),('Geometry'!$G$18*COS(RADIANS(F59))+'Geometry'!$F$18*SIN(RADIANS(F59))),('Geometry'!$G$19*COS(RADIANS(F59))+'Geometry'!$F$19*SIN(RADIANS(F59))),('Geometry'!$G$20*COS(RADIANS(F59))+'Geometry'!$F$20*SIN(RADIANS(F59))))</f>
        <v>1616.1301716518565</v>
      </c>
      <c r="L59" s="16">
        <f>C_ecu</f>
        <v>0.0033</v>
      </c>
      <c r="M59" s="16">
        <f>0</f>
        <v>0</v>
      </c>
      <c r="N59" s="22">
        <f>IF(ABS(I59-J59)&lt;0.000000000001,0,(L59-M59)/(I59-J59))</f>
        <v>0.0000018562861164417723</v>
      </c>
      <c r="O59" s="16">
        <f>L59-N59*I59</f>
        <v>0.0018</v>
      </c>
      <c r="P59" s="22">
        <f>N59*COS(RADIANS(F59))</f>
        <v>3.223407013485372e-7</v>
      </c>
      <c r="Q59" s="22">
        <f>N59*SIN(RADIANS(F59))</f>
        <v>0.0000018280849592807799</v>
      </c>
      <c r="R59" s="11">
        <f>AP59</f>
        <v>15273.41073119215</v>
      </c>
      <c r="S59" s="11">
        <f>AQ59</f>
        <v>215.21249928439212</v>
      </c>
      <c r="T59" s="11">
        <f>AR59</f>
        <v>1517.0711687413943</v>
      </c>
      <c r="U59" s="11">
        <f>AS59</f>
        <v>2396.9348842910854</v>
      </c>
      <c r="V59" s="11">
        <f>AT59</f>
        <v>61.30038901825298</v>
      </c>
      <c r="W59" s="11">
        <f>AU59</f>
        <v>485.7027551072621</v>
      </c>
      <c r="X59" s="11">
        <f>AM59</f>
        <v>17670.345615483235</v>
      </c>
      <c r="Y59" s="11">
        <f>AN59</f>
        <v>276.5128883026451</v>
      </c>
      <c r="Z59" s="11">
        <f>AO59</f>
        <v>2002.773923848656</v>
      </c>
      <c r="AA59" s="7">
        <v>1</v>
      </c>
      <c r="AB59" s="7">
        <v>1</v>
      </c>
      <c r="AC59" s="7">
        <v>1</v>
      </c>
      <c r="AD59" s="11">
        <f>X59*AA59</f>
        <v>17670.345615483235</v>
      </c>
      <c r="AE59" s="11">
        <f>Y59*AB59</f>
        <v>276.5128883026451</v>
      </c>
      <c r="AF59" s="11">
        <f>Z59*AC59</f>
        <v>2002.773923848656</v>
      </c>
      <c r="AG59" s="7">
        <v>17670.345615483235</v>
      </c>
      <c r="AH59" s="7">
        <v>276.5128883026451</v>
      </c>
      <c r="AI59" s="7">
        <v>2002.773923848656</v>
      </c>
      <c r="AJ59" s="16">
        <f>AD59-AG59</f>
        <v>0</v>
      </c>
      <c r="AK59" s="16">
        <f>SQRT((AE59-AH59)^2+(AF59-AI59)^2)</f>
        <v>0</v>
      </c>
      <c r="AL59" s="7" t="s">
        <v>190</v>
      </c>
      <c r="AM59" s="7">
        <v>17670.345615483235</v>
      </c>
      <c r="AN59" s="7">
        <v>276.5128883026451</v>
      </c>
      <c r="AO59" s="7">
        <v>2002.773923848656</v>
      </c>
      <c r="AP59" s="7">
        <v>15273.41073119215</v>
      </c>
      <c r="AQ59" s="7">
        <v>215.21249928439212</v>
      </c>
      <c r="AR59" s="7">
        <v>1517.0711687413943</v>
      </c>
      <c r="AS59" s="7">
        <v>2396.9348842910854</v>
      </c>
      <c r="AT59" s="7">
        <v>61.30038901825298</v>
      </c>
      <c r="AU59" s="7">
        <v>485.7027551072621</v>
      </c>
    </row>
    <row r="60" spans="1:47" x14ac:dyDescent="0.25">
      <c r="A60" s="7" t="s">
        <v>300</v>
      </c>
      <c r="B60" s="7">
        <v>1</v>
      </c>
      <c r="C60" s="19">
        <v>90</v>
      </c>
      <c r="D60" s="7" t="s">
        <v>301</v>
      </c>
      <c r="E60" s="7" t="s">
        <v>609</v>
      </c>
      <c r="F60" s="20">
        <v>90</v>
      </c>
      <c r="G60" s="7" t="s">
        <v>194</v>
      </c>
      <c r="H60" s="21">
        <v>3</v>
      </c>
      <c r="I60" s="11">
        <f>MAX(('Geometry'!$G$13*COS(RADIANS(F60))+'Geometry'!$F$13*SIN(RADIANS(F60))),('Geometry'!$G$14*COS(RADIANS(F60))+'Geometry'!$F$14*SIN(RADIANS(F60))),('Geometry'!$G$15*COS(RADIANS(F60))+'Geometry'!$F$15*SIN(RADIANS(F60))),('Geometry'!$G$16*COS(RADIANS(F60))+'Geometry'!$F$16*SIN(RADIANS(F60))),('Geometry'!$G$17*COS(RADIANS(F60))+'Geometry'!$F$17*SIN(RADIANS(F60))),('Geometry'!$G$18*COS(RADIANS(F60))+'Geometry'!$F$18*SIN(RADIANS(F60))),('Geometry'!$G$19*COS(RADIANS(F60))+'Geometry'!$F$19*SIN(RADIANS(F60))),('Geometry'!$G$20*COS(RADIANS(F60))+'Geometry'!$F$20*SIN(RADIANS(F60))))</f>
        <v>750</v>
      </c>
      <c r="J60" s="11">
        <f>I60-H60*K60</f>
        <v>-3749.9999999999995</v>
      </c>
      <c r="K60" s="11">
        <f>I60-MIN(('Geometry'!$G$13*COS(RADIANS(F60))+'Geometry'!$F$13*SIN(RADIANS(F60))),('Geometry'!$G$14*COS(RADIANS(F60))+'Geometry'!$F$14*SIN(RADIANS(F60))),('Geometry'!$G$15*COS(RADIANS(F60))+'Geometry'!$F$15*SIN(RADIANS(F60))),('Geometry'!$G$16*COS(RADIANS(F60))+'Geometry'!$F$16*SIN(RADIANS(F60))),('Geometry'!$G$17*COS(RADIANS(F60))+'Geometry'!$F$17*SIN(RADIANS(F60))),('Geometry'!$G$18*COS(RADIANS(F60))+'Geometry'!$F$18*SIN(RADIANS(F60))),('Geometry'!$G$19*COS(RADIANS(F60))+'Geometry'!$F$19*SIN(RADIANS(F60))),('Geometry'!$G$20*COS(RADIANS(F60))+'Geometry'!$F$20*SIN(RADIANS(F60))))</f>
        <v>1500</v>
      </c>
      <c r="L60" s="16">
        <f>C_ecu</f>
        <v>0.0033</v>
      </c>
      <c r="M60" s="16">
        <f>0</f>
        <v>0</v>
      </c>
      <c r="N60" s="22">
        <f>IF(ABS(I60-J60)&lt;0.000000000001,0,(L60-M60)/(I60-J60))</f>
        <v>7.333333333333333e-7</v>
      </c>
      <c r="O60" s="16">
        <f>L60-N60*I60</f>
        <v>0.00275</v>
      </c>
      <c r="P60" s="22">
        <f>N60*COS(RADIANS(F60))</f>
        <v>4.4903715968736284e-23</v>
      </c>
      <c r="Q60" s="22">
        <f>N60*SIN(RADIANS(F60))</f>
        <v>7.333333333333333e-7</v>
      </c>
      <c r="R60" s="11">
        <f>AP60</f>
        <v>15260.444169480972</v>
      </c>
      <c r="S60" s="11">
        <f>AQ60</f>
        <v>0.00031436705836624887</v>
      </c>
      <c r="T60" s="11">
        <f>AR60</f>
        <v>330.4287217533079</v>
      </c>
      <c r="U60" s="11">
        <f>AS60</f>
        <v>2409.9014460022645</v>
      </c>
      <c r="V60" s="11">
        <f>AT60</f>
        <v>-6.262072502793731e-15</v>
      </c>
      <c r="W60" s="11">
        <f>AU60</f>
        <v>104.660375492688</v>
      </c>
      <c r="X60" s="11">
        <f>AM60</f>
        <v>17670.345615483235</v>
      </c>
      <c r="Y60" s="11">
        <f>AN60</f>
        <v>0.0003143670583599867</v>
      </c>
      <c r="Z60" s="11">
        <f>AO60</f>
        <v>435.08909724599596</v>
      </c>
      <c r="AA60" s="7">
        <v>1</v>
      </c>
      <c r="AB60" s="7">
        <v>1</v>
      </c>
      <c r="AC60" s="7">
        <v>1</v>
      </c>
      <c r="AD60" s="11">
        <f>X60*AA60</f>
        <v>17670.345615483235</v>
      </c>
      <c r="AE60" s="11">
        <f>Y60*AB60</f>
        <v>0.0003143670583599867</v>
      </c>
      <c r="AF60" s="11">
        <f>Z60*AC60</f>
        <v>435.08909724599596</v>
      </c>
      <c r="AG60" s="7">
        <v>17670.345615483235</v>
      </c>
      <c r="AH60" s="7">
        <v>0.0003143670583599867</v>
      </c>
      <c r="AI60" s="7">
        <v>435.08909724599596</v>
      </c>
      <c r="AJ60" s="16">
        <f>AD60-AG60</f>
        <v>0</v>
      </c>
      <c r="AK60" s="16">
        <f>SQRT((AE60-AH60)^2+(AF60-AI60)^2)</f>
        <v>0</v>
      </c>
      <c r="AL60" s="7" t="s">
        <v>190</v>
      </c>
      <c r="AM60" s="7">
        <v>17670.345615483235</v>
      </c>
      <c r="AN60" s="7">
        <v>0.0003143670583599867</v>
      </c>
      <c r="AO60" s="7">
        <v>435.08909724599596</v>
      </c>
      <c r="AP60" s="7">
        <v>15260.444169480972</v>
      </c>
      <c r="AQ60" s="7">
        <v>0.00031436705836624887</v>
      </c>
      <c r="AR60" s="7">
        <v>330.4287217533079</v>
      </c>
      <c r="AS60" s="7">
        <v>2409.9014460022645</v>
      </c>
      <c r="AT60" s="7">
        <v>-6.262072502793731e-15</v>
      </c>
      <c r="AU60" s="7">
        <v>104.660375492688</v>
      </c>
    </row>
    <row r="61" spans="1:47" x14ac:dyDescent="0.25">
      <c r="A61" s="7" t="s">
        <v>302</v>
      </c>
      <c r="B61" s="7">
        <v>2</v>
      </c>
      <c r="C61" s="19">
        <v>90</v>
      </c>
      <c r="D61" s="7" t="s">
        <v>303</v>
      </c>
      <c r="E61" s="7" t="s">
        <v>610</v>
      </c>
      <c r="F61" s="20">
        <v>90</v>
      </c>
      <c r="G61" s="7" t="s">
        <v>194</v>
      </c>
      <c r="H61" s="21">
        <v>1.9999999999999998</v>
      </c>
      <c r="I61" s="11">
        <f>MAX(('Geometry'!$G$13*COS(RADIANS(F61))+'Geometry'!$F$13*SIN(RADIANS(F61))),('Geometry'!$G$14*COS(RADIANS(F61))+'Geometry'!$F$14*SIN(RADIANS(F61))),('Geometry'!$G$15*COS(RADIANS(F61))+'Geometry'!$F$15*SIN(RADIANS(F61))),('Geometry'!$G$16*COS(RADIANS(F61))+'Geometry'!$F$16*SIN(RADIANS(F61))),('Geometry'!$G$17*COS(RADIANS(F61))+'Geometry'!$F$17*SIN(RADIANS(F61))),('Geometry'!$G$18*COS(RADIANS(F61))+'Geometry'!$F$18*SIN(RADIANS(F61))),('Geometry'!$G$19*COS(RADIANS(F61))+'Geometry'!$F$19*SIN(RADIANS(F61))),('Geometry'!$G$20*COS(RADIANS(F61))+'Geometry'!$F$20*SIN(RADIANS(F61))))</f>
        <v>750</v>
      </c>
      <c r="J61" s="11">
        <f>I61-H61*K61</f>
        <v>-2249.9999999999995</v>
      </c>
      <c r="K61" s="11">
        <f>I61-MIN(('Geometry'!$G$13*COS(RADIANS(F61))+'Geometry'!$F$13*SIN(RADIANS(F61))),('Geometry'!$G$14*COS(RADIANS(F61))+'Geometry'!$F$14*SIN(RADIANS(F61))),('Geometry'!$G$15*COS(RADIANS(F61))+'Geometry'!$F$15*SIN(RADIANS(F61))),('Geometry'!$G$16*COS(RADIANS(F61))+'Geometry'!$F$16*SIN(RADIANS(F61))),('Geometry'!$G$17*COS(RADIANS(F61))+'Geometry'!$F$17*SIN(RADIANS(F61))),('Geometry'!$G$18*COS(RADIANS(F61))+'Geometry'!$F$18*SIN(RADIANS(F61))),('Geometry'!$G$19*COS(RADIANS(F61))+'Geometry'!$F$19*SIN(RADIANS(F61))),('Geometry'!$G$20*COS(RADIANS(F61))+'Geometry'!$F$20*SIN(RADIANS(F61))))</f>
        <v>1500</v>
      </c>
      <c r="L61" s="16">
        <f>C_ecu</f>
        <v>0.0033</v>
      </c>
      <c r="M61" s="16">
        <f>0</f>
        <v>0</v>
      </c>
      <c r="N61" s="22">
        <f>IF(ABS(I61-J61)&lt;0.000000000001,0,(L61-M61)/(I61-J61))</f>
        <v>0.0000011</v>
      </c>
      <c r="O61" s="16">
        <f>L61-N61*I61</f>
        <v>0.0024749999999999998</v>
      </c>
      <c r="P61" s="22">
        <f>N61*COS(RADIANS(F61))</f>
        <v>6.735557395310443e-23</v>
      </c>
      <c r="Q61" s="22">
        <f>N61*SIN(RADIANS(F61))</f>
        <v>0.0000011</v>
      </c>
      <c r="R61" s="11">
        <f>AP61</f>
        <v>15260.444169480972</v>
      </c>
      <c r="S61" s="11">
        <f>AQ61</f>
        <v>0.0006287341167324977</v>
      </c>
      <c r="T61" s="11">
        <f>AR61</f>
        <v>660.8574435066158</v>
      </c>
      <c r="U61" s="11">
        <f>AS61</f>
        <v>2409.9014460022645</v>
      </c>
      <c r="V61" s="11">
        <f>AT61</f>
        <v>-1.2524145005587462e-14</v>
      </c>
      <c r="W61" s="11">
        <f>AU61</f>
        <v>209.320750985376</v>
      </c>
      <c r="X61" s="11">
        <f>AM61</f>
        <v>17670.345615483235</v>
      </c>
      <c r="Y61" s="11">
        <f>AN61</f>
        <v>0.0006287341167199734</v>
      </c>
      <c r="Z61" s="11">
        <f>AO61</f>
        <v>870.1781944919919</v>
      </c>
      <c r="AA61" s="7">
        <v>1</v>
      </c>
      <c r="AB61" s="7">
        <v>1</v>
      </c>
      <c r="AC61" s="7">
        <v>1</v>
      </c>
      <c r="AD61" s="11">
        <f>X61*AA61</f>
        <v>17670.345615483235</v>
      </c>
      <c r="AE61" s="11">
        <f>Y61*AB61</f>
        <v>0.0006287341167199734</v>
      </c>
      <c r="AF61" s="11">
        <f>Z61*AC61</f>
        <v>870.1781944919919</v>
      </c>
      <c r="AG61" s="7">
        <v>17670.345615483235</v>
      </c>
      <c r="AH61" s="7">
        <v>0.0006287341167199734</v>
      </c>
      <c r="AI61" s="7">
        <v>870.1781944919919</v>
      </c>
      <c r="AJ61" s="16">
        <f>AD61-AG61</f>
        <v>0</v>
      </c>
      <c r="AK61" s="16">
        <f>SQRT((AE61-AH61)^2+(AF61-AI61)^2)</f>
        <v>0</v>
      </c>
      <c r="AL61" s="7" t="s">
        <v>190</v>
      </c>
      <c r="AM61" s="7">
        <v>17670.345615483235</v>
      </c>
      <c r="AN61" s="7">
        <v>0.0006287341167199734</v>
      </c>
      <c r="AO61" s="7">
        <v>870.1781944919919</v>
      </c>
      <c r="AP61" s="7">
        <v>15260.444169480972</v>
      </c>
      <c r="AQ61" s="7">
        <v>0.0006287341167324977</v>
      </c>
      <c r="AR61" s="7">
        <v>660.8574435066158</v>
      </c>
      <c r="AS61" s="7">
        <v>2409.9014460022645</v>
      </c>
      <c r="AT61" s="7">
        <v>-1.2524145005587462e-14</v>
      </c>
      <c r="AU61" s="7">
        <v>209.320750985376</v>
      </c>
    </row>
    <row r="62" spans="1:47" x14ac:dyDescent="0.25">
      <c r="A62" s="7" t="s">
        <v>304</v>
      </c>
      <c r="B62" s="7">
        <v>3</v>
      </c>
      <c r="C62" s="19">
        <v>90</v>
      </c>
      <c r="D62" s="7" t="s">
        <v>305</v>
      </c>
      <c r="E62" s="7" t="s">
        <v>611</v>
      </c>
      <c r="F62" s="20">
        <v>90</v>
      </c>
      <c r="G62" s="7" t="s">
        <v>194</v>
      </c>
      <c r="H62" s="21">
        <v>1.5</v>
      </c>
      <c r="I62" s="11">
        <f>MAX(('Geometry'!$G$13*COS(RADIANS(F62))+'Geometry'!$F$13*SIN(RADIANS(F62))),('Geometry'!$G$14*COS(RADIANS(F62))+'Geometry'!$F$14*SIN(RADIANS(F62))),('Geometry'!$G$15*COS(RADIANS(F62))+'Geometry'!$F$15*SIN(RADIANS(F62))),('Geometry'!$G$16*COS(RADIANS(F62))+'Geometry'!$F$16*SIN(RADIANS(F62))),('Geometry'!$G$17*COS(RADIANS(F62))+'Geometry'!$F$17*SIN(RADIANS(F62))),('Geometry'!$G$18*COS(RADIANS(F62))+'Geometry'!$F$18*SIN(RADIANS(F62))),('Geometry'!$G$19*COS(RADIANS(F62))+'Geometry'!$F$19*SIN(RADIANS(F62))),('Geometry'!$G$20*COS(RADIANS(F62))+'Geometry'!$F$20*SIN(RADIANS(F62))))</f>
        <v>750</v>
      </c>
      <c r="J62" s="11">
        <f>I62-H62*K62</f>
        <v>-1499.9999999999998</v>
      </c>
      <c r="K62" s="11">
        <f>I62-MIN(('Geometry'!$G$13*COS(RADIANS(F62))+'Geometry'!$F$13*SIN(RADIANS(F62))),('Geometry'!$G$14*COS(RADIANS(F62))+'Geometry'!$F$14*SIN(RADIANS(F62))),('Geometry'!$G$15*COS(RADIANS(F62))+'Geometry'!$F$15*SIN(RADIANS(F62))),('Geometry'!$G$16*COS(RADIANS(F62))+'Geometry'!$F$16*SIN(RADIANS(F62))),('Geometry'!$G$17*COS(RADIANS(F62))+'Geometry'!$F$17*SIN(RADIANS(F62))),('Geometry'!$G$18*COS(RADIANS(F62))+'Geometry'!$F$18*SIN(RADIANS(F62))),('Geometry'!$G$19*COS(RADIANS(F62))+'Geometry'!$F$19*SIN(RADIANS(F62))),('Geometry'!$G$20*COS(RADIANS(F62))+'Geometry'!$F$20*SIN(RADIANS(F62))))</f>
        <v>1500</v>
      </c>
      <c r="L62" s="16">
        <f>C_ecu</f>
        <v>0.0033</v>
      </c>
      <c r="M62" s="16">
        <f>0</f>
        <v>0</v>
      </c>
      <c r="N62" s="22">
        <f>IF(ABS(I62-J62)&lt;0.000000000001,0,(L62-M62)/(I62-J62))</f>
        <v>0.0000014666666666666667</v>
      </c>
      <c r="O62" s="16">
        <f>L62-N62*I62</f>
        <v>0.0021999999999999997</v>
      </c>
      <c r="P62" s="22">
        <f>N62*COS(RADIANS(F62))</f>
        <v>8.980743193747257e-23</v>
      </c>
      <c r="Q62" s="22">
        <f>N62*SIN(RADIANS(F62))</f>
        <v>0.0000014666666666666667</v>
      </c>
      <c r="R62" s="11">
        <f>AP62</f>
        <v>15260.444169480972</v>
      </c>
      <c r="S62" s="11">
        <f>AQ62</f>
        <v>0.0009431011750987464</v>
      </c>
      <c r="T62" s="11">
        <f>AR62</f>
        <v>991.2861652599238</v>
      </c>
      <c r="U62" s="11">
        <f>AS62</f>
        <v>2409.9014460022645</v>
      </c>
      <c r="V62" s="11">
        <f>AT62</f>
        <v>-1.8786217508381193e-14</v>
      </c>
      <c r="W62" s="11">
        <f>AU62</f>
        <v>313.981126478064</v>
      </c>
      <c r="X62" s="11">
        <f>AM62</f>
        <v>17670.345615483235</v>
      </c>
      <c r="Y62" s="11">
        <f>AN62</f>
        <v>0.00094310117507996</v>
      </c>
      <c r="Z62" s="11">
        <f>AO62</f>
        <v>1305.2672917379878</v>
      </c>
      <c r="AA62" s="7">
        <v>1</v>
      </c>
      <c r="AB62" s="7">
        <v>1</v>
      </c>
      <c r="AC62" s="7">
        <v>1</v>
      </c>
      <c r="AD62" s="11">
        <f>X62*AA62</f>
        <v>17670.345615483235</v>
      </c>
      <c r="AE62" s="11">
        <f>Y62*AB62</f>
        <v>0.00094310117507996</v>
      </c>
      <c r="AF62" s="11">
        <f>Z62*AC62</f>
        <v>1305.2672917379878</v>
      </c>
      <c r="AG62" s="7">
        <v>17670.345615483235</v>
      </c>
      <c r="AH62" s="7">
        <v>0.00094310117507996</v>
      </c>
      <c r="AI62" s="7">
        <v>1305.2672917379878</v>
      </c>
      <c r="AJ62" s="16">
        <f>AD62-AG62</f>
        <v>0</v>
      </c>
      <c r="AK62" s="16">
        <f>SQRT((AE62-AH62)^2+(AF62-AI62)^2)</f>
        <v>0</v>
      </c>
      <c r="AL62" s="7" t="s">
        <v>190</v>
      </c>
      <c r="AM62" s="7">
        <v>17670.345615483235</v>
      </c>
      <c r="AN62" s="7">
        <v>0.00094310117507996</v>
      </c>
      <c r="AO62" s="7">
        <v>1305.2672917379878</v>
      </c>
      <c r="AP62" s="7">
        <v>15260.444169480972</v>
      </c>
      <c r="AQ62" s="7">
        <v>0.0009431011750987464</v>
      </c>
      <c r="AR62" s="7">
        <v>991.2861652599238</v>
      </c>
      <c r="AS62" s="7">
        <v>2409.9014460022645</v>
      </c>
      <c r="AT62" s="7">
        <v>-1.8786217508381193e-14</v>
      </c>
      <c r="AU62" s="7">
        <v>313.981126478064</v>
      </c>
    </row>
    <row r="63" spans="1:47" x14ac:dyDescent="0.25">
      <c r="A63" s="7" t="s">
        <v>306</v>
      </c>
      <c r="B63" s="7">
        <v>4</v>
      </c>
      <c r="C63" s="19">
        <v>90</v>
      </c>
      <c r="D63" s="7" t="s">
        <v>307</v>
      </c>
      <c r="E63" s="7" t="s">
        <v>612</v>
      </c>
      <c r="F63" s="20">
        <v>90</v>
      </c>
      <c r="G63" s="7" t="s">
        <v>194</v>
      </c>
      <c r="H63" s="21">
        <v>1.2</v>
      </c>
      <c r="I63" s="11">
        <f>MAX(('Geometry'!$G$13*COS(RADIANS(F63))+'Geometry'!$F$13*SIN(RADIANS(F63))),('Geometry'!$G$14*COS(RADIANS(F63))+'Geometry'!$F$14*SIN(RADIANS(F63))),('Geometry'!$G$15*COS(RADIANS(F63))+'Geometry'!$F$15*SIN(RADIANS(F63))),('Geometry'!$G$16*COS(RADIANS(F63))+'Geometry'!$F$16*SIN(RADIANS(F63))),('Geometry'!$G$17*COS(RADIANS(F63))+'Geometry'!$F$17*SIN(RADIANS(F63))),('Geometry'!$G$18*COS(RADIANS(F63))+'Geometry'!$F$18*SIN(RADIANS(F63))),('Geometry'!$G$19*COS(RADIANS(F63))+'Geometry'!$F$19*SIN(RADIANS(F63))),('Geometry'!$G$20*COS(RADIANS(F63))+'Geometry'!$F$20*SIN(RADIANS(F63))))</f>
        <v>750</v>
      </c>
      <c r="J63" s="11">
        <f>I63-H63*K63</f>
        <v>-1050</v>
      </c>
      <c r="K63" s="11">
        <f>I63-MIN(('Geometry'!$G$13*COS(RADIANS(F63))+'Geometry'!$F$13*SIN(RADIANS(F63))),('Geometry'!$G$14*COS(RADIANS(F63))+'Geometry'!$F$14*SIN(RADIANS(F63))),('Geometry'!$G$15*COS(RADIANS(F63))+'Geometry'!$F$15*SIN(RADIANS(F63))),('Geometry'!$G$16*COS(RADIANS(F63))+'Geometry'!$F$16*SIN(RADIANS(F63))),('Geometry'!$G$17*COS(RADIANS(F63))+'Geometry'!$F$17*SIN(RADIANS(F63))),('Geometry'!$G$18*COS(RADIANS(F63))+'Geometry'!$F$18*SIN(RADIANS(F63))),('Geometry'!$G$19*COS(RADIANS(F63))+'Geometry'!$F$19*SIN(RADIANS(F63))),('Geometry'!$G$20*COS(RADIANS(F63))+'Geometry'!$F$20*SIN(RADIANS(F63))))</f>
        <v>1500</v>
      </c>
      <c r="L63" s="16">
        <f>C_ecu</f>
        <v>0.0033</v>
      </c>
      <c r="M63" s="16">
        <f>0</f>
        <v>0</v>
      </c>
      <c r="N63" s="22">
        <f>IF(ABS(I63-J63)&lt;0.000000000001,0,(L63-M63)/(I63-J63))</f>
        <v>0.0000018333333333333333</v>
      </c>
      <c r="O63" s="16">
        <f>L63-N63*I63</f>
        <v>0.001925</v>
      </c>
      <c r="P63" s="22">
        <f>N63*COS(RADIANS(F63))</f>
        <v>1.122592899218407e-22</v>
      </c>
      <c r="Q63" s="22">
        <f>N63*SIN(RADIANS(F63))</f>
        <v>0.0000018333333333333333</v>
      </c>
      <c r="R63" s="11">
        <f>AP63</f>
        <v>15260.444169480972</v>
      </c>
      <c r="S63" s="11">
        <f>AQ63</f>
        <v>0.0012574682334649955</v>
      </c>
      <c r="T63" s="11">
        <f>AR63</f>
        <v>1321.7148870132316</v>
      </c>
      <c r="U63" s="11">
        <f>AS63</f>
        <v>2409.9014460022645</v>
      </c>
      <c r="V63" s="11">
        <f>AT63</f>
        <v>-2.5048290011174925e-14</v>
      </c>
      <c r="W63" s="11">
        <f>AU63</f>
        <v>418.641501970752</v>
      </c>
      <c r="X63" s="11">
        <f>AM63</f>
        <v>17670.345615483235</v>
      </c>
      <c r="Y63" s="11">
        <f>AN63</f>
        <v>0.0012574682334399467</v>
      </c>
      <c r="Z63" s="11">
        <f>AO63</f>
        <v>1740.3563889839838</v>
      </c>
      <c r="AA63" s="7">
        <v>1</v>
      </c>
      <c r="AB63" s="7">
        <v>1</v>
      </c>
      <c r="AC63" s="7">
        <v>1</v>
      </c>
      <c r="AD63" s="11">
        <f>X63*AA63</f>
        <v>17670.345615483235</v>
      </c>
      <c r="AE63" s="11">
        <f>Y63*AB63</f>
        <v>0.0012574682334399467</v>
      </c>
      <c r="AF63" s="11">
        <f>Z63*AC63</f>
        <v>1740.3563889839838</v>
      </c>
      <c r="AG63" s="7">
        <v>17670.345615483235</v>
      </c>
      <c r="AH63" s="7">
        <v>0.0012574682334399467</v>
      </c>
      <c r="AI63" s="7">
        <v>1740.3563889839838</v>
      </c>
      <c r="AJ63" s="16">
        <f>AD63-AG63</f>
        <v>0</v>
      </c>
      <c r="AK63" s="16">
        <f>SQRT((AE63-AH63)^2+(AF63-AI63)^2)</f>
        <v>0</v>
      </c>
      <c r="AL63" s="7" t="s">
        <v>190</v>
      </c>
      <c r="AM63" s="7">
        <v>17670.345615483235</v>
      </c>
      <c r="AN63" s="7">
        <v>0.0012574682334399467</v>
      </c>
      <c r="AO63" s="7">
        <v>1740.3563889839838</v>
      </c>
      <c r="AP63" s="7">
        <v>15260.444169480972</v>
      </c>
      <c r="AQ63" s="7">
        <v>0.0012574682334649955</v>
      </c>
      <c r="AR63" s="7">
        <v>1321.7148870132316</v>
      </c>
      <c r="AS63" s="7">
        <v>2409.9014460022645</v>
      </c>
      <c r="AT63" s="7">
        <v>-2.5048290011174925e-14</v>
      </c>
      <c r="AU63" s="7">
        <v>418.641501970752</v>
      </c>
    </row>
    <row r="64" spans="1:47" x14ac:dyDescent="0.25">
      <c r="A64" s="7" t="s">
        <v>308</v>
      </c>
      <c r="B64" s="7">
        <v>5</v>
      </c>
      <c r="C64" s="19">
        <v>90</v>
      </c>
      <c r="D64" s="7" t="s">
        <v>309</v>
      </c>
      <c r="E64" s="7" t="s">
        <v>613</v>
      </c>
      <c r="F64" s="20">
        <v>90</v>
      </c>
      <c r="G64" s="7" t="s">
        <v>194</v>
      </c>
      <c r="H64" s="21">
        <v>1.1</v>
      </c>
      <c r="I64" s="11">
        <f>MAX(('Geometry'!$G$13*COS(RADIANS(F64))+'Geometry'!$F$13*SIN(RADIANS(F64))),('Geometry'!$G$14*COS(RADIANS(F64))+'Geometry'!$F$14*SIN(RADIANS(F64))),('Geometry'!$G$15*COS(RADIANS(F64))+'Geometry'!$F$15*SIN(RADIANS(F64))),('Geometry'!$G$16*COS(RADIANS(F64))+'Geometry'!$F$16*SIN(RADIANS(F64))),('Geometry'!$G$17*COS(RADIANS(F64))+'Geometry'!$F$17*SIN(RADIANS(F64))),('Geometry'!$G$18*COS(RADIANS(F64))+'Geometry'!$F$18*SIN(RADIANS(F64))),('Geometry'!$G$19*COS(RADIANS(F64))+'Geometry'!$F$19*SIN(RADIANS(F64))),('Geometry'!$G$20*COS(RADIANS(F64))+'Geometry'!$F$20*SIN(RADIANS(F64))))</f>
        <v>750</v>
      </c>
      <c r="J64" s="11">
        <f>I64-H64*K64</f>
        <v>-900</v>
      </c>
      <c r="K64" s="11">
        <f>I64-MIN(('Geometry'!$G$13*COS(RADIANS(F64))+'Geometry'!$F$13*SIN(RADIANS(F64))),('Geometry'!$G$14*COS(RADIANS(F64))+'Geometry'!$F$14*SIN(RADIANS(F64))),('Geometry'!$G$15*COS(RADIANS(F64))+'Geometry'!$F$15*SIN(RADIANS(F64))),('Geometry'!$G$16*COS(RADIANS(F64))+'Geometry'!$F$16*SIN(RADIANS(F64))),('Geometry'!$G$17*COS(RADIANS(F64))+'Geometry'!$F$17*SIN(RADIANS(F64))),('Geometry'!$G$18*COS(RADIANS(F64))+'Geometry'!$F$18*SIN(RADIANS(F64))),('Geometry'!$G$19*COS(RADIANS(F64))+'Geometry'!$F$19*SIN(RADIANS(F64))),('Geometry'!$G$20*COS(RADIANS(F64))+'Geometry'!$F$20*SIN(RADIANS(F64))))</f>
        <v>1500</v>
      </c>
      <c r="L64" s="16">
        <f>C_ecu</f>
        <v>0.0033</v>
      </c>
      <c r="M64" s="16">
        <f>0</f>
        <v>0</v>
      </c>
      <c r="N64" s="22">
        <f>IF(ABS(I64-J64)&lt;0.000000000001,0,(L64-M64)/(I64-J64))</f>
        <v>0.000002</v>
      </c>
      <c r="O64" s="16">
        <f>L64-N64*I64</f>
        <v>0.0018</v>
      </c>
      <c r="P64" s="22">
        <f>N64*COS(RADIANS(F64))</f>
        <v>1.2246467991473532e-22</v>
      </c>
      <c r="Q64" s="22">
        <f>N64*SIN(RADIANS(F64))</f>
        <v>0.000002</v>
      </c>
      <c r="R64" s="11">
        <f>AP64</f>
        <v>15260.444169480972</v>
      </c>
      <c r="S64" s="11">
        <f>AQ64</f>
        <v>0.0015718352918312442</v>
      </c>
      <c r="T64" s="11">
        <f>AR64</f>
        <v>1652.1436087665397</v>
      </c>
      <c r="U64" s="11">
        <f>AS64</f>
        <v>2409.9014460022645</v>
      </c>
      <c r="V64" s="11">
        <f>AT64</f>
        <v>-3.131036251396866e-14</v>
      </c>
      <c r="W64" s="11">
        <f>AU64</f>
        <v>523.30187746344</v>
      </c>
      <c r="X64" s="11">
        <f>AM64</f>
        <v>17670.345615483235</v>
      </c>
      <c r="Y64" s="11">
        <f>AN64</f>
        <v>0.0015718352917999333</v>
      </c>
      <c r="Z64" s="11">
        <f>AO64</f>
        <v>2175.4454862299795</v>
      </c>
      <c r="AA64" s="7">
        <v>1</v>
      </c>
      <c r="AB64" s="7">
        <v>1</v>
      </c>
      <c r="AC64" s="7">
        <v>1</v>
      </c>
      <c r="AD64" s="11">
        <f>X64*AA64</f>
        <v>17670.345615483235</v>
      </c>
      <c r="AE64" s="11">
        <f>Y64*AB64</f>
        <v>0.0015718352917999333</v>
      </c>
      <c r="AF64" s="11">
        <f>Z64*AC64</f>
        <v>2175.4454862299795</v>
      </c>
      <c r="AG64" s="7">
        <v>17670.345615483235</v>
      </c>
      <c r="AH64" s="7">
        <v>0.0015718352917999333</v>
      </c>
      <c r="AI64" s="7">
        <v>2175.4454862299795</v>
      </c>
      <c r="AJ64" s="16">
        <f>AD64-AG64</f>
        <v>0</v>
      </c>
      <c r="AK64" s="16">
        <f>SQRT((AE64-AH64)^2+(AF64-AI64)^2)</f>
        <v>0</v>
      </c>
      <c r="AL64" s="7" t="s">
        <v>190</v>
      </c>
      <c r="AM64" s="7">
        <v>17670.345615483235</v>
      </c>
      <c r="AN64" s="7">
        <v>0.0015718352917999333</v>
      </c>
      <c r="AO64" s="7">
        <v>2175.4454862299795</v>
      </c>
      <c r="AP64" s="7">
        <v>15260.444169480972</v>
      </c>
      <c r="AQ64" s="7">
        <v>0.0015718352918312442</v>
      </c>
      <c r="AR64" s="7">
        <v>1652.1436087665397</v>
      </c>
      <c r="AS64" s="7">
        <v>2409.9014460022645</v>
      </c>
      <c r="AT64" s="7">
        <v>-3.131036251396866e-14</v>
      </c>
      <c r="AU64" s="7">
        <v>523.30187746344</v>
      </c>
    </row>
    <row r="65" spans="1:47" x14ac:dyDescent="0.25">
      <c r="A65" s="7" t="s">
        <v>310</v>
      </c>
      <c r="B65" s="7">
        <v>1</v>
      </c>
      <c r="C65" s="19">
        <v>100</v>
      </c>
      <c r="D65" s="7" t="s">
        <v>311</v>
      </c>
      <c r="E65" s="7" t="s">
        <v>609</v>
      </c>
      <c r="F65" s="20">
        <v>100</v>
      </c>
      <c r="G65" s="7" t="s">
        <v>194</v>
      </c>
      <c r="H65" s="21">
        <v>3</v>
      </c>
      <c r="I65" s="11">
        <f>MAX(('Geometry'!$G$13*COS(RADIANS(F65))+'Geometry'!$F$13*SIN(RADIANS(F65))),('Geometry'!$G$14*COS(RADIANS(F65))+'Geometry'!$F$14*SIN(RADIANS(F65))),('Geometry'!$G$15*COS(RADIANS(F65))+'Geometry'!$F$15*SIN(RADIANS(F65))),('Geometry'!$G$16*COS(RADIANS(F65))+'Geometry'!$F$16*SIN(RADIANS(F65))),('Geometry'!$G$17*COS(RADIANS(F65))+'Geometry'!$F$17*SIN(RADIANS(F65))),('Geometry'!$G$18*COS(RADIANS(F65))+'Geometry'!$F$18*SIN(RADIANS(F65))),('Geometry'!$G$19*COS(RADIANS(F65))+'Geometry'!$F$19*SIN(RADIANS(F65))),('Geometry'!$G$20*COS(RADIANS(F65))+'Geometry'!$F$20*SIN(RADIANS(F65))))</f>
        <v>808.0650858259281</v>
      </c>
      <c r="J65" s="11">
        <f>I65-H65*K65</f>
        <v>-4040.3254291296407</v>
      </c>
      <c r="K65" s="11">
        <f>I65-MIN(('Geometry'!$G$13*COS(RADIANS(F65))+'Geometry'!$F$13*SIN(RADIANS(F65))),('Geometry'!$G$14*COS(RADIANS(F65))+'Geometry'!$F$14*SIN(RADIANS(F65))),('Geometry'!$G$15*COS(RADIANS(F65))+'Geometry'!$F$15*SIN(RADIANS(F65))),('Geometry'!$G$16*COS(RADIANS(F65))+'Geometry'!$F$16*SIN(RADIANS(F65))),('Geometry'!$G$17*COS(RADIANS(F65))+'Geometry'!$F$17*SIN(RADIANS(F65))),('Geometry'!$G$18*COS(RADIANS(F65))+'Geometry'!$F$18*SIN(RADIANS(F65))),('Geometry'!$G$19*COS(RADIANS(F65))+'Geometry'!$F$19*SIN(RADIANS(F65))),('Geometry'!$G$20*COS(RADIANS(F65))+'Geometry'!$F$20*SIN(RADIANS(F65))))</f>
        <v>1616.1301716518562</v>
      </c>
      <c r="L65" s="16">
        <f>C_ecu</f>
        <v>0.0033</v>
      </c>
      <c r="M65" s="16">
        <f>0</f>
        <v>0</v>
      </c>
      <c r="N65" s="22">
        <f>IF(ABS(I65-J65)&lt;0.000000000001,0,(L65-M65)/(I65-J65))</f>
        <v>6.806382426953167e-7</v>
      </c>
      <c r="O65" s="16">
        <f>L65-N65*I65</f>
        <v>0.00275</v>
      </c>
      <c r="P65" s="22">
        <f>N65*COS(RADIANS(F65))</f>
        <v>-1.181915904944636e-7</v>
      </c>
      <c r="Q65" s="22">
        <f>N65*SIN(RADIANS(F65))</f>
        <v>6.702978184029528e-7</v>
      </c>
      <c r="R65" s="11">
        <f>AP65</f>
        <v>15273.405703020671</v>
      </c>
      <c r="S65" s="11">
        <f>AQ65</f>
        <v>-43.04084195864466</v>
      </c>
      <c r="T65" s="11">
        <f>AR65</f>
        <v>303.41236678719736</v>
      </c>
      <c r="U65" s="11">
        <f>AS65</f>
        <v>2396.939912462562</v>
      </c>
      <c r="V65" s="11">
        <f>AT65</f>
        <v>-12.260077226664565</v>
      </c>
      <c r="W65" s="11">
        <f>AU65</f>
        <v>97.1405691168391</v>
      </c>
      <c r="X65" s="11">
        <f>AM65</f>
        <v>17670.345615483235</v>
      </c>
      <c r="Y65" s="11">
        <f>AN65</f>
        <v>-55.30091918530923</v>
      </c>
      <c r="Z65" s="11">
        <f>AO65</f>
        <v>400.5529359040365</v>
      </c>
      <c r="AA65" s="7">
        <v>1</v>
      </c>
      <c r="AB65" s="7">
        <v>1</v>
      </c>
      <c r="AC65" s="7">
        <v>1</v>
      </c>
      <c r="AD65" s="11">
        <f>X65*AA65</f>
        <v>17670.345615483235</v>
      </c>
      <c r="AE65" s="11">
        <f>Y65*AB65</f>
        <v>-55.30091918530923</v>
      </c>
      <c r="AF65" s="11">
        <f>Z65*AC65</f>
        <v>400.5529359040365</v>
      </c>
      <c r="AG65" s="7">
        <v>17670.345615483235</v>
      </c>
      <c r="AH65" s="7">
        <v>-55.30091918530923</v>
      </c>
      <c r="AI65" s="7">
        <v>400.5529359040365</v>
      </c>
      <c r="AJ65" s="16">
        <f>AD65-AG65</f>
        <v>0</v>
      </c>
      <c r="AK65" s="16">
        <f>SQRT((AE65-AH65)^2+(AF65-AI65)^2)</f>
        <v>0</v>
      </c>
      <c r="AL65" s="7" t="s">
        <v>190</v>
      </c>
      <c r="AM65" s="7">
        <v>17670.345615483235</v>
      </c>
      <c r="AN65" s="7">
        <v>-55.30091918530923</v>
      </c>
      <c r="AO65" s="7">
        <v>400.5529359040365</v>
      </c>
      <c r="AP65" s="7">
        <v>15273.405703020671</v>
      </c>
      <c r="AQ65" s="7">
        <v>-43.04084195864466</v>
      </c>
      <c r="AR65" s="7">
        <v>303.41236678719736</v>
      </c>
      <c r="AS65" s="7">
        <v>2396.939912462562</v>
      </c>
      <c r="AT65" s="7">
        <v>-12.260077226664565</v>
      </c>
      <c r="AU65" s="7">
        <v>97.1405691168391</v>
      </c>
    </row>
    <row r="66" spans="1:47" x14ac:dyDescent="0.25">
      <c r="A66" s="7" t="s">
        <v>312</v>
      </c>
      <c r="B66" s="7">
        <v>2</v>
      </c>
      <c r="C66" s="19">
        <v>100</v>
      </c>
      <c r="D66" s="7" t="s">
        <v>313</v>
      </c>
      <c r="E66" s="7" t="s">
        <v>610</v>
      </c>
      <c r="F66" s="20">
        <v>100</v>
      </c>
      <c r="G66" s="7" t="s">
        <v>194</v>
      </c>
      <c r="H66" s="21">
        <v>2.0000000000000004</v>
      </c>
      <c r="I66" s="11">
        <f>MAX(('Geometry'!$G$13*COS(RADIANS(F66))+'Geometry'!$F$13*SIN(RADIANS(F66))),('Geometry'!$G$14*COS(RADIANS(F66))+'Geometry'!$F$14*SIN(RADIANS(F66))),('Geometry'!$G$15*COS(RADIANS(F66))+'Geometry'!$F$15*SIN(RADIANS(F66))),('Geometry'!$G$16*COS(RADIANS(F66))+'Geometry'!$F$16*SIN(RADIANS(F66))),('Geometry'!$G$17*COS(RADIANS(F66))+'Geometry'!$F$17*SIN(RADIANS(F66))),('Geometry'!$G$18*COS(RADIANS(F66))+'Geometry'!$F$18*SIN(RADIANS(F66))),('Geometry'!$G$19*COS(RADIANS(F66))+'Geometry'!$F$19*SIN(RADIANS(F66))),('Geometry'!$G$20*COS(RADIANS(F66))+'Geometry'!$F$20*SIN(RADIANS(F66))))</f>
        <v>808.0650858259281</v>
      </c>
      <c r="J66" s="11">
        <f>I66-H66*K66</f>
        <v>-2424.1952574777847</v>
      </c>
      <c r="K66" s="11">
        <f>I66-MIN(('Geometry'!$G$13*COS(RADIANS(F66))+'Geometry'!$F$13*SIN(RADIANS(F66))),('Geometry'!$G$14*COS(RADIANS(F66))+'Geometry'!$F$14*SIN(RADIANS(F66))),('Geometry'!$G$15*COS(RADIANS(F66))+'Geometry'!$F$15*SIN(RADIANS(F66))),('Geometry'!$G$16*COS(RADIANS(F66))+'Geometry'!$F$16*SIN(RADIANS(F66))),('Geometry'!$G$17*COS(RADIANS(F66))+'Geometry'!$F$17*SIN(RADIANS(F66))),('Geometry'!$G$18*COS(RADIANS(F66))+'Geometry'!$F$18*SIN(RADIANS(F66))),('Geometry'!$G$19*COS(RADIANS(F66))+'Geometry'!$F$19*SIN(RADIANS(F66))),('Geometry'!$G$20*COS(RADIANS(F66))+'Geometry'!$F$20*SIN(RADIANS(F66))))</f>
        <v>1616.1301716518562</v>
      </c>
      <c r="L66" s="16">
        <f>C_ecu</f>
        <v>0.0032999999999999995</v>
      </c>
      <c r="M66" s="16">
        <f>0</f>
        <v>0</v>
      </c>
      <c r="N66" s="22">
        <f>IF(ABS(I66-J66)&lt;0.000000000001,0,(L66-M66)/(I66-J66))</f>
        <v>0.0000010209573640429748</v>
      </c>
      <c r="O66" s="16">
        <f>L66-N66*I66</f>
        <v>0.0024749999999999998</v>
      </c>
      <c r="P66" s="22">
        <f>N66*COS(RADIANS(F66))</f>
        <v>-1.7728738574169536e-7</v>
      </c>
      <c r="Q66" s="22">
        <f>N66*SIN(RADIANS(F66))</f>
        <v>0.000001005446727604429</v>
      </c>
      <c r="R66" s="11">
        <f>AP66</f>
        <v>15273.405703020671</v>
      </c>
      <c r="S66" s="11">
        <f>AQ66</f>
        <v>-86.08168391728933</v>
      </c>
      <c r="T66" s="11">
        <f>AR66</f>
        <v>606.8247335743947</v>
      </c>
      <c r="U66" s="11">
        <f>AS66</f>
        <v>2396.939912462562</v>
      </c>
      <c r="V66" s="11">
        <f>AT66</f>
        <v>-24.52015445332913</v>
      </c>
      <c r="W66" s="11">
        <f>AU66</f>
        <v>194.2811382336782</v>
      </c>
      <c r="X66" s="11">
        <f>AM66</f>
        <v>17670.345615483235</v>
      </c>
      <c r="Y66" s="11">
        <f>AN66</f>
        <v>-110.60183837061847</v>
      </c>
      <c r="Z66" s="11">
        <f>AO66</f>
        <v>801.105871808073</v>
      </c>
      <c r="AA66" s="7">
        <v>1</v>
      </c>
      <c r="AB66" s="7">
        <v>1</v>
      </c>
      <c r="AC66" s="7">
        <v>1</v>
      </c>
      <c r="AD66" s="11">
        <f>X66*AA66</f>
        <v>17670.345615483235</v>
      </c>
      <c r="AE66" s="11">
        <f>Y66*AB66</f>
        <v>-110.60183837061847</v>
      </c>
      <c r="AF66" s="11">
        <f>Z66*AC66</f>
        <v>801.105871808073</v>
      </c>
      <c r="AG66" s="7">
        <v>17670.345615483235</v>
      </c>
      <c r="AH66" s="7">
        <v>-110.60183837061847</v>
      </c>
      <c r="AI66" s="7">
        <v>801.105871808073</v>
      </c>
      <c r="AJ66" s="16">
        <f>AD66-AG66</f>
        <v>0</v>
      </c>
      <c r="AK66" s="16">
        <f>SQRT((AE66-AH66)^2+(AF66-AI66)^2)</f>
        <v>0</v>
      </c>
      <c r="AL66" s="7" t="s">
        <v>190</v>
      </c>
      <c r="AM66" s="7">
        <v>17670.345615483235</v>
      </c>
      <c r="AN66" s="7">
        <v>-110.60183837061847</v>
      </c>
      <c r="AO66" s="7">
        <v>801.105871808073</v>
      </c>
      <c r="AP66" s="7">
        <v>15273.405703020671</v>
      </c>
      <c r="AQ66" s="7">
        <v>-86.08168391728933</v>
      </c>
      <c r="AR66" s="7">
        <v>606.8247335743947</v>
      </c>
      <c r="AS66" s="7">
        <v>2396.939912462562</v>
      </c>
      <c r="AT66" s="7">
        <v>-24.52015445332913</v>
      </c>
      <c r="AU66" s="7">
        <v>194.2811382336782</v>
      </c>
    </row>
    <row r="67" spans="1:47" x14ac:dyDescent="0.25">
      <c r="A67" s="7" t="s">
        <v>314</v>
      </c>
      <c r="B67" s="7">
        <v>3</v>
      </c>
      <c r="C67" s="19">
        <v>100</v>
      </c>
      <c r="D67" s="7" t="s">
        <v>315</v>
      </c>
      <c r="E67" s="7" t="s">
        <v>611</v>
      </c>
      <c r="F67" s="20">
        <v>100</v>
      </c>
      <c r="G67" s="7" t="s">
        <v>194</v>
      </c>
      <c r="H67" s="21">
        <v>1.5</v>
      </c>
      <c r="I67" s="11">
        <f>MAX(('Geometry'!$G$13*COS(RADIANS(F67))+'Geometry'!$F$13*SIN(RADIANS(F67))),('Geometry'!$G$14*COS(RADIANS(F67))+'Geometry'!$F$14*SIN(RADIANS(F67))),('Geometry'!$G$15*COS(RADIANS(F67))+'Geometry'!$F$15*SIN(RADIANS(F67))),('Geometry'!$G$16*COS(RADIANS(F67))+'Geometry'!$F$16*SIN(RADIANS(F67))),('Geometry'!$G$17*COS(RADIANS(F67))+'Geometry'!$F$17*SIN(RADIANS(F67))),('Geometry'!$G$18*COS(RADIANS(F67))+'Geometry'!$F$18*SIN(RADIANS(F67))),('Geometry'!$G$19*COS(RADIANS(F67))+'Geometry'!$F$19*SIN(RADIANS(F67))),('Geometry'!$G$20*COS(RADIANS(F67))+'Geometry'!$F$20*SIN(RADIANS(F67))))</f>
        <v>808.0650858259281</v>
      </c>
      <c r="J67" s="11">
        <f>I67-H67*K67</f>
        <v>-1616.1301716518562</v>
      </c>
      <c r="K67" s="11">
        <f>I67-MIN(('Geometry'!$G$13*COS(RADIANS(F67))+'Geometry'!$F$13*SIN(RADIANS(F67))),('Geometry'!$G$14*COS(RADIANS(F67))+'Geometry'!$F$14*SIN(RADIANS(F67))),('Geometry'!$G$15*COS(RADIANS(F67))+'Geometry'!$F$15*SIN(RADIANS(F67))),('Geometry'!$G$16*COS(RADIANS(F67))+'Geometry'!$F$16*SIN(RADIANS(F67))),('Geometry'!$G$17*COS(RADIANS(F67))+'Geometry'!$F$17*SIN(RADIANS(F67))),('Geometry'!$G$18*COS(RADIANS(F67))+'Geometry'!$F$18*SIN(RADIANS(F67))),('Geometry'!$G$19*COS(RADIANS(F67))+'Geometry'!$F$19*SIN(RADIANS(F67))),('Geometry'!$G$20*COS(RADIANS(F67))+'Geometry'!$F$20*SIN(RADIANS(F67))))</f>
        <v>1616.1301716518562</v>
      </c>
      <c r="L67" s="16">
        <f>C_ecu</f>
        <v>0.0032999999999999995</v>
      </c>
      <c r="M67" s="16">
        <f>0</f>
        <v>0</v>
      </c>
      <c r="N67" s="22">
        <f>IF(ABS(I67-J67)&lt;0.000000000001,0,(L67-M67)/(I67-J67))</f>
        <v>0.0000013612764853906333</v>
      </c>
      <c r="O67" s="16">
        <f>L67-N67*I67</f>
        <v>0.0021999999999999997</v>
      </c>
      <c r="P67" s="22">
        <f>N67*COS(RADIANS(F67))</f>
        <v>-2.363831809889272e-7</v>
      </c>
      <c r="Q67" s="22">
        <f>N67*SIN(RADIANS(F67))</f>
        <v>0.0000013405956368059057</v>
      </c>
      <c r="R67" s="11">
        <f>AP67</f>
        <v>15273.405703020671</v>
      </c>
      <c r="S67" s="11">
        <f>AQ67</f>
        <v>-129.12252587593403</v>
      </c>
      <c r="T67" s="11">
        <f>AR67</f>
        <v>910.2371003615922</v>
      </c>
      <c r="U67" s="11">
        <f>AS67</f>
        <v>2396.939912462562</v>
      </c>
      <c r="V67" s="11">
        <f>AT67</f>
        <v>-36.780231679993705</v>
      </c>
      <c r="W67" s="11">
        <f>AU67</f>
        <v>291.42170735051735</v>
      </c>
      <c r="X67" s="11">
        <f>AM67</f>
        <v>17670.345615483235</v>
      </c>
      <c r="Y67" s="11">
        <f>AN67</f>
        <v>-165.90275755592774</v>
      </c>
      <c r="Z67" s="11">
        <f>AO67</f>
        <v>1201.6588077121096</v>
      </c>
      <c r="AA67" s="7">
        <v>1</v>
      </c>
      <c r="AB67" s="7">
        <v>1</v>
      </c>
      <c r="AC67" s="7">
        <v>1</v>
      </c>
      <c r="AD67" s="11">
        <f>X67*AA67</f>
        <v>17670.345615483235</v>
      </c>
      <c r="AE67" s="11">
        <f>Y67*AB67</f>
        <v>-165.90275755592774</v>
      </c>
      <c r="AF67" s="11">
        <f>Z67*AC67</f>
        <v>1201.6588077121096</v>
      </c>
      <c r="AG67" s="7">
        <v>17670.345615483235</v>
      </c>
      <c r="AH67" s="7">
        <v>-165.90275755592774</v>
      </c>
      <c r="AI67" s="7">
        <v>1201.6588077121096</v>
      </c>
      <c r="AJ67" s="16">
        <f>AD67-AG67</f>
        <v>0</v>
      </c>
      <c r="AK67" s="16">
        <f>SQRT((AE67-AH67)^2+(AF67-AI67)^2)</f>
        <v>0</v>
      </c>
      <c r="AL67" s="7" t="s">
        <v>190</v>
      </c>
      <c r="AM67" s="7">
        <v>17670.345615483235</v>
      </c>
      <c r="AN67" s="7">
        <v>-165.90275755592774</v>
      </c>
      <c r="AO67" s="7">
        <v>1201.6588077121096</v>
      </c>
      <c r="AP67" s="7">
        <v>15273.405703020671</v>
      </c>
      <c r="AQ67" s="7">
        <v>-129.12252587593403</v>
      </c>
      <c r="AR67" s="7">
        <v>910.2371003615922</v>
      </c>
      <c r="AS67" s="7">
        <v>2396.939912462562</v>
      </c>
      <c r="AT67" s="7">
        <v>-36.780231679993705</v>
      </c>
      <c r="AU67" s="7">
        <v>291.42170735051735</v>
      </c>
    </row>
    <row r="68" spans="1:47" x14ac:dyDescent="0.25">
      <c r="A68" s="7" t="s">
        <v>316</v>
      </c>
      <c r="B68" s="7">
        <v>4</v>
      </c>
      <c r="C68" s="19">
        <v>100</v>
      </c>
      <c r="D68" s="7" t="s">
        <v>317</v>
      </c>
      <c r="E68" s="7" t="s">
        <v>612</v>
      </c>
      <c r="F68" s="20">
        <v>100</v>
      </c>
      <c r="G68" s="7" t="s">
        <v>194</v>
      </c>
      <c r="H68" s="21">
        <v>1.2</v>
      </c>
      <c r="I68" s="11">
        <f>MAX(('Geometry'!$G$13*COS(RADIANS(F68))+'Geometry'!$F$13*SIN(RADIANS(F68))),('Geometry'!$G$14*COS(RADIANS(F68))+'Geometry'!$F$14*SIN(RADIANS(F68))),('Geometry'!$G$15*COS(RADIANS(F68))+'Geometry'!$F$15*SIN(RADIANS(F68))),('Geometry'!$G$16*COS(RADIANS(F68))+'Geometry'!$F$16*SIN(RADIANS(F68))),('Geometry'!$G$17*COS(RADIANS(F68))+'Geometry'!$F$17*SIN(RADIANS(F68))),('Geometry'!$G$18*COS(RADIANS(F68))+'Geometry'!$F$18*SIN(RADIANS(F68))),('Geometry'!$G$19*COS(RADIANS(F68))+'Geometry'!$F$19*SIN(RADIANS(F68))),('Geometry'!$G$20*COS(RADIANS(F68))+'Geometry'!$F$20*SIN(RADIANS(F68))))</f>
        <v>808.0650858259281</v>
      </c>
      <c r="J68" s="11">
        <f>I68-H68*K68</f>
        <v>-1131.2911201562995</v>
      </c>
      <c r="K68" s="11">
        <f>I68-MIN(('Geometry'!$G$13*COS(RADIANS(F68))+'Geometry'!$F$13*SIN(RADIANS(F68))),('Geometry'!$G$14*COS(RADIANS(F68))+'Geometry'!$F$14*SIN(RADIANS(F68))),('Geometry'!$G$15*COS(RADIANS(F68))+'Geometry'!$F$15*SIN(RADIANS(F68))),('Geometry'!$G$16*COS(RADIANS(F68))+'Geometry'!$F$16*SIN(RADIANS(F68))),('Geometry'!$G$17*COS(RADIANS(F68))+'Geometry'!$F$17*SIN(RADIANS(F68))),('Geometry'!$G$18*COS(RADIANS(F68))+'Geometry'!$F$18*SIN(RADIANS(F68))),('Geometry'!$G$19*COS(RADIANS(F68))+'Geometry'!$F$19*SIN(RADIANS(F68))),('Geometry'!$G$20*COS(RADIANS(F68))+'Geometry'!$F$20*SIN(RADIANS(F68))))</f>
        <v>1616.1301716518562</v>
      </c>
      <c r="L68" s="16">
        <f>C_ecu</f>
        <v>0.0033</v>
      </c>
      <c r="M68" s="16">
        <f>0</f>
        <v>0</v>
      </c>
      <c r="N68" s="22">
        <f>IF(ABS(I68-J68)&lt;0.000000000001,0,(L68-M68)/(I68-J68))</f>
        <v>0.0000017015956067382918</v>
      </c>
      <c r="O68" s="16">
        <f>L68-N68*I68</f>
        <v>0.001925</v>
      </c>
      <c r="P68" s="22">
        <f>N68*COS(RADIANS(F68))</f>
        <v>-2.9547897623615897e-7</v>
      </c>
      <c r="Q68" s="22">
        <f>N68*SIN(RADIANS(F68))</f>
        <v>0.000001675744546007382</v>
      </c>
      <c r="R68" s="11">
        <f>AP68</f>
        <v>15273.405703020671</v>
      </c>
      <c r="S68" s="11">
        <f>AQ68</f>
        <v>-172.16336783457865</v>
      </c>
      <c r="T68" s="11">
        <f>AR68</f>
        <v>1213.6494671487894</v>
      </c>
      <c r="U68" s="11">
        <f>AS68</f>
        <v>2396.939912462562</v>
      </c>
      <c r="V68" s="11">
        <f>AT68</f>
        <v>-49.04030890665826</v>
      </c>
      <c r="W68" s="11">
        <f>AU68</f>
        <v>388.5622764673564</v>
      </c>
      <c r="X68" s="11">
        <f>AM68</f>
        <v>17670.345615483235</v>
      </c>
      <c r="Y68" s="11">
        <f>AN68</f>
        <v>-221.20367674123693</v>
      </c>
      <c r="Z68" s="11">
        <f>AO68</f>
        <v>1602.211743616146</v>
      </c>
      <c r="AA68" s="7">
        <v>1</v>
      </c>
      <c r="AB68" s="7">
        <v>1</v>
      </c>
      <c r="AC68" s="7">
        <v>1</v>
      </c>
      <c r="AD68" s="11">
        <f>X68*AA68</f>
        <v>17670.345615483235</v>
      </c>
      <c r="AE68" s="11">
        <f>Y68*AB68</f>
        <v>-221.20367674123693</v>
      </c>
      <c r="AF68" s="11">
        <f>Z68*AC68</f>
        <v>1602.211743616146</v>
      </c>
      <c r="AG68" s="7">
        <v>17670.345615483235</v>
      </c>
      <c r="AH68" s="7">
        <v>-221.20367674123693</v>
      </c>
      <c r="AI68" s="7">
        <v>1602.211743616146</v>
      </c>
      <c r="AJ68" s="16">
        <f>AD68-AG68</f>
        <v>0</v>
      </c>
      <c r="AK68" s="16">
        <f>SQRT((AE68-AH68)^2+(AF68-AI68)^2)</f>
        <v>0</v>
      </c>
      <c r="AL68" s="7" t="s">
        <v>190</v>
      </c>
      <c r="AM68" s="7">
        <v>17670.345615483235</v>
      </c>
      <c r="AN68" s="7">
        <v>-221.20367674123693</v>
      </c>
      <c r="AO68" s="7">
        <v>1602.211743616146</v>
      </c>
      <c r="AP68" s="7">
        <v>15273.405703020671</v>
      </c>
      <c r="AQ68" s="7">
        <v>-172.16336783457865</v>
      </c>
      <c r="AR68" s="7">
        <v>1213.6494671487894</v>
      </c>
      <c r="AS68" s="7">
        <v>2396.939912462562</v>
      </c>
      <c r="AT68" s="7">
        <v>-49.04030890665826</v>
      </c>
      <c r="AU68" s="7">
        <v>388.5622764673564</v>
      </c>
    </row>
    <row r="69" spans="1:47" x14ac:dyDescent="0.25">
      <c r="A69" s="7" t="s">
        <v>318</v>
      </c>
      <c r="B69" s="7">
        <v>5</v>
      </c>
      <c r="C69" s="19">
        <v>100</v>
      </c>
      <c r="D69" s="7" t="s">
        <v>319</v>
      </c>
      <c r="E69" s="7" t="s">
        <v>613</v>
      </c>
      <c r="F69" s="20">
        <v>100</v>
      </c>
      <c r="G69" s="7" t="s">
        <v>194</v>
      </c>
      <c r="H69" s="21">
        <v>1.1000000000000003</v>
      </c>
      <c r="I69" s="11">
        <f>MAX(('Geometry'!$G$13*COS(RADIANS(F69))+'Geometry'!$F$13*SIN(RADIANS(F69))),('Geometry'!$G$14*COS(RADIANS(F69))+'Geometry'!$F$14*SIN(RADIANS(F69))),('Geometry'!$G$15*COS(RADIANS(F69))+'Geometry'!$F$15*SIN(RADIANS(F69))),('Geometry'!$G$16*COS(RADIANS(F69))+'Geometry'!$F$16*SIN(RADIANS(F69))),('Geometry'!$G$17*COS(RADIANS(F69))+'Geometry'!$F$17*SIN(RADIANS(F69))),('Geometry'!$G$18*COS(RADIANS(F69))+'Geometry'!$F$18*SIN(RADIANS(F69))),('Geometry'!$G$19*COS(RADIANS(F69))+'Geometry'!$F$19*SIN(RADIANS(F69))),('Geometry'!$G$20*COS(RADIANS(F69))+'Geometry'!$F$20*SIN(RADIANS(F69))))</f>
        <v>808.0650858259281</v>
      </c>
      <c r="J69" s="11">
        <f>I69-H69*K69</f>
        <v>-969.678102991114</v>
      </c>
      <c r="K69" s="11">
        <f>I69-MIN(('Geometry'!$G$13*COS(RADIANS(F69))+'Geometry'!$F$13*SIN(RADIANS(F69))),('Geometry'!$G$14*COS(RADIANS(F69))+'Geometry'!$F$14*SIN(RADIANS(F69))),('Geometry'!$G$15*COS(RADIANS(F69))+'Geometry'!$F$15*SIN(RADIANS(F69))),('Geometry'!$G$16*COS(RADIANS(F69))+'Geometry'!$F$16*SIN(RADIANS(F69))),('Geometry'!$G$17*COS(RADIANS(F69))+'Geometry'!$F$17*SIN(RADIANS(F69))),('Geometry'!$G$18*COS(RADIANS(F69))+'Geometry'!$F$18*SIN(RADIANS(F69))),('Geometry'!$G$19*COS(RADIANS(F69))+'Geometry'!$F$19*SIN(RADIANS(F69))),('Geometry'!$G$20*COS(RADIANS(F69))+'Geometry'!$F$20*SIN(RADIANS(F69))))</f>
        <v>1616.1301716518562</v>
      </c>
      <c r="L69" s="16">
        <f>C_ecu</f>
        <v>0.0033</v>
      </c>
      <c r="M69" s="16">
        <f>0</f>
        <v>0</v>
      </c>
      <c r="N69" s="22">
        <f>IF(ABS(I69-J69)&lt;0.000000000001,0,(L69-M69)/(I69-J69))</f>
        <v>0.0000018562861164417725</v>
      </c>
      <c r="O69" s="16">
        <f>L69-N69*I69</f>
        <v>0.0018000000000000002</v>
      </c>
      <c r="P69" s="22">
        <f>N69*COS(RADIANS(F69))</f>
        <v>-3.22340701348537e-7</v>
      </c>
      <c r="Q69" s="22">
        <f>N69*SIN(RADIANS(F69))</f>
        <v>0.00000182808495928078</v>
      </c>
      <c r="R69" s="11">
        <f>AP69</f>
        <v>15273.405703020671</v>
      </c>
      <c r="S69" s="11">
        <f>AQ69</f>
        <v>-215.20420979322336</v>
      </c>
      <c r="T69" s="11">
        <f>AR69</f>
        <v>1517.061833935987</v>
      </c>
      <c r="U69" s="11">
        <f>AS69</f>
        <v>2396.939912462562</v>
      </c>
      <c r="V69" s="11">
        <f>AT69</f>
        <v>-61.30038613332283</v>
      </c>
      <c r="W69" s="11">
        <f>AU69</f>
        <v>485.70284558419553</v>
      </c>
      <c r="X69" s="11">
        <f>AM69</f>
        <v>17670.345615483235</v>
      </c>
      <c r="Y69" s="11">
        <f>AN69</f>
        <v>-276.50459592654613</v>
      </c>
      <c r="Z69" s="11">
        <f>AO69</f>
        <v>2002.7646795201827</v>
      </c>
      <c r="AA69" s="7">
        <v>1</v>
      </c>
      <c r="AB69" s="7">
        <v>1</v>
      </c>
      <c r="AC69" s="7">
        <v>1</v>
      </c>
      <c r="AD69" s="11">
        <f>X69*AA69</f>
        <v>17670.345615483235</v>
      </c>
      <c r="AE69" s="11">
        <f>Y69*AB69</f>
        <v>-276.50459592654613</v>
      </c>
      <c r="AF69" s="11">
        <f>Z69*AC69</f>
        <v>2002.7646795201827</v>
      </c>
      <c r="AG69" s="7">
        <v>17670.345615483235</v>
      </c>
      <c r="AH69" s="7">
        <v>-276.50459592654613</v>
      </c>
      <c r="AI69" s="7">
        <v>2002.7646795201827</v>
      </c>
      <c r="AJ69" s="16">
        <f>AD69-AG69</f>
        <v>0</v>
      </c>
      <c r="AK69" s="16">
        <f>SQRT((AE69-AH69)^2+(AF69-AI69)^2)</f>
        <v>0</v>
      </c>
      <c r="AL69" s="7" t="s">
        <v>190</v>
      </c>
      <c r="AM69" s="7">
        <v>17670.345615483235</v>
      </c>
      <c r="AN69" s="7">
        <v>-276.50459592654613</v>
      </c>
      <c r="AO69" s="7">
        <v>2002.7646795201827</v>
      </c>
      <c r="AP69" s="7">
        <v>15273.405703020671</v>
      </c>
      <c r="AQ69" s="7">
        <v>-215.20420979322336</v>
      </c>
      <c r="AR69" s="7">
        <v>1517.061833935987</v>
      </c>
      <c r="AS69" s="7">
        <v>2396.939912462562</v>
      </c>
      <c r="AT69" s="7">
        <v>-61.30038613332283</v>
      </c>
      <c r="AU69" s="7">
        <v>485.70284558419553</v>
      </c>
    </row>
    <row r="70" spans="1:47" x14ac:dyDescent="0.25">
      <c r="A70" s="7" t="s">
        <v>320</v>
      </c>
      <c r="B70" s="7">
        <v>1</v>
      </c>
      <c r="C70" s="19">
        <v>110</v>
      </c>
      <c r="D70" s="7" t="s">
        <v>321</v>
      </c>
      <c r="E70" s="7" t="s">
        <v>609</v>
      </c>
      <c r="F70" s="20">
        <v>110</v>
      </c>
      <c r="G70" s="7" t="s">
        <v>194</v>
      </c>
      <c r="H70" s="21">
        <v>3</v>
      </c>
      <c r="I70" s="11">
        <f>MAX(('Geometry'!$G$13*COS(RADIANS(F70))+'Geometry'!$F$13*SIN(RADIANS(F70))),('Geometry'!$G$14*COS(RADIANS(F70))+'Geometry'!$F$14*SIN(RADIANS(F70))),('Geometry'!$G$15*COS(RADIANS(F70))+'Geometry'!$F$15*SIN(RADIANS(F70))),('Geometry'!$G$16*COS(RADIANS(F70))+'Geometry'!$F$16*SIN(RADIANS(F70))),('Geometry'!$G$17*COS(RADIANS(F70))+'Geometry'!$F$17*SIN(RADIANS(F70))),('Geometry'!$G$18*COS(RADIANS(F70))+'Geometry'!$F$18*SIN(RADIANS(F70))),('Geometry'!$G$19*COS(RADIANS(F70))+'Geometry'!$F$19*SIN(RADIANS(F70))),('Geometry'!$G$20*COS(RADIANS(F70))+'Geometry'!$F$20*SIN(RADIANS(F70))))</f>
        <v>841.5775229196988</v>
      </c>
      <c r="J70" s="11">
        <f>I70-H70*K70</f>
        <v>-4207.887614598494</v>
      </c>
      <c r="K70" s="11">
        <f>I70-MIN(('Geometry'!$G$13*COS(RADIANS(F70))+'Geometry'!$F$13*SIN(RADIANS(F70))),('Geometry'!$G$14*COS(RADIANS(F70))+'Geometry'!$F$14*SIN(RADIANS(F70))),('Geometry'!$G$15*COS(RADIANS(F70))+'Geometry'!$F$15*SIN(RADIANS(F70))),('Geometry'!$G$16*COS(RADIANS(F70))+'Geometry'!$F$16*SIN(RADIANS(F70))),('Geometry'!$G$17*COS(RADIANS(F70))+'Geometry'!$F$17*SIN(RADIANS(F70))),('Geometry'!$G$18*COS(RADIANS(F70))+'Geometry'!$F$18*SIN(RADIANS(F70))),('Geometry'!$G$19*COS(RADIANS(F70))+'Geometry'!$F$19*SIN(RADIANS(F70))),('Geometry'!$G$20*COS(RADIANS(F70))+'Geometry'!$F$20*SIN(RADIANS(F70))))</f>
        <v>1683.1550458393976</v>
      </c>
      <c r="L70" s="16">
        <f>C_ecu</f>
        <v>0.0033</v>
      </c>
      <c r="M70" s="16">
        <f>0</f>
        <v>0</v>
      </c>
      <c r="N70" s="22">
        <f>IF(ABS(I70-J70)&lt;0.000000000001,0,(L70-M70)/(I70-J70))</f>
        <v>6.535345645780508e-7</v>
      </c>
      <c r="O70" s="16">
        <f>L70-N70*I70</f>
        <v>0.00275</v>
      </c>
      <c r="P70" s="22">
        <f>N70*COS(RADIANS(F70))</f>
        <v>-2.2352198544526334e-7</v>
      </c>
      <c r="Q70" s="22">
        <f>N70*SIN(RADIANS(F70))</f>
        <v>6.141216077625262e-7</v>
      </c>
      <c r="R70" s="11">
        <f>AP70</f>
        <v>15276.893497392042</v>
      </c>
      <c r="S70" s="11">
        <f>AQ70</f>
        <v>-79.98404592549073</v>
      </c>
      <c r="T70" s="11">
        <f>AR70</f>
        <v>278.1106870093745</v>
      </c>
      <c r="U70" s="11">
        <f>AS70</f>
        <v>2393.4521180911925</v>
      </c>
      <c r="V70" s="11">
        <f>AT70</f>
        <v>-23.71269593732325</v>
      </c>
      <c r="W70" s="11">
        <f>AU70</f>
        <v>89.58181799736968</v>
      </c>
      <c r="X70" s="11">
        <f>AM70</f>
        <v>17670.345615483235</v>
      </c>
      <c r="Y70" s="11">
        <f>AN70</f>
        <v>-103.696741862814</v>
      </c>
      <c r="Z70" s="11">
        <f>AO70</f>
        <v>367.6925050067442</v>
      </c>
      <c r="AA70" s="7">
        <v>1</v>
      </c>
      <c r="AB70" s="7">
        <v>1</v>
      </c>
      <c r="AC70" s="7">
        <v>1</v>
      </c>
      <c r="AD70" s="11">
        <f>X70*AA70</f>
        <v>17670.345615483235</v>
      </c>
      <c r="AE70" s="11">
        <f>Y70*AB70</f>
        <v>-103.696741862814</v>
      </c>
      <c r="AF70" s="11">
        <f>Z70*AC70</f>
        <v>367.6925050067442</v>
      </c>
      <c r="AG70" s="7">
        <v>17670.345615483235</v>
      </c>
      <c r="AH70" s="7">
        <v>-103.696741862814</v>
      </c>
      <c r="AI70" s="7">
        <v>367.6925050067442</v>
      </c>
      <c r="AJ70" s="16">
        <f>AD70-AG70</f>
        <v>0</v>
      </c>
      <c r="AK70" s="16">
        <f>SQRT((AE70-AH70)^2+(AF70-AI70)^2)</f>
        <v>0</v>
      </c>
      <c r="AL70" s="7" t="s">
        <v>190</v>
      </c>
      <c r="AM70" s="7">
        <v>17670.345615483235</v>
      </c>
      <c r="AN70" s="7">
        <v>-103.696741862814</v>
      </c>
      <c r="AO70" s="7">
        <v>367.6925050067442</v>
      </c>
      <c r="AP70" s="7">
        <v>15276.893497392042</v>
      </c>
      <c r="AQ70" s="7">
        <v>-79.98404592549073</v>
      </c>
      <c r="AR70" s="7">
        <v>278.1106870093745</v>
      </c>
      <c r="AS70" s="7">
        <v>2393.4521180911925</v>
      </c>
      <c r="AT70" s="7">
        <v>-23.71269593732325</v>
      </c>
      <c r="AU70" s="7">
        <v>89.58181799736968</v>
      </c>
    </row>
    <row r="71" spans="1:47" x14ac:dyDescent="0.25">
      <c r="A71" s="7" t="s">
        <v>322</v>
      </c>
      <c r="B71" s="7">
        <v>2</v>
      </c>
      <c r="C71" s="19">
        <v>110</v>
      </c>
      <c r="D71" s="7" t="s">
        <v>323</v>
      </c>
      <c r="E71" s="7" t="s">
        <v>610</v>
      </c>
      <c r="F71" s="20">
        <v>110</v>
      </c>
      <c r="G71" s="7" t="s">
        <v>194</v>
      </c>
      <c r="H71" s="21">
        <v>1.9999999999999998</v>
      </c>
      <c r="I71" s="11">
        <f>MAX(('Geometry'!$G$13*COS(RADIANS(F71))+'Geometry'!$F$13*SIN(RADIANS(F71))),('Geometry'!$G$14*COS(RADIANS(F71))+'Geometry'!$F$14*SIN(RADIANS(F71))),('Geometry'!$G$15*COS(RADIANS(F71))+'Geometry'!$F$15*SIN(RADIANS(F71))),('Geometry'!$G$16*COS(RADIANS(F71))+'Geometry'!$F$16*SIN(RADIANS(F71))),('Geometry'!$G$17*COS(RADIANS(F71))+'Geometry'!$F$17*SIN(RADIANS(F71))),('Geometry'!$G$18*COS(RADIANS(F71))+'Geometry'!$F$18*SIN(RADIANS(F71))),('Geometry'!$G$19*COS(RADIANS(F71))+'Geometry'!$F$19*SIN(RADIANS(F71))),('Geometry'!$G$20*COS(RADIANS(F71))+'Geometry'!$F$20*SIN(RADIANS(F71))))</f>
        <v>841.5775229196988</v>
      </c>
      <c r="J71" s="11">
        <f>I71-H71*K71</f>
        <v>-2524.732568759096</v>
      </c>
      <c r="K71" s="11">
        <f>I71-MIN(('Geometry'!$G$13*COS(RADIANS(F71))+'Geometry'!$F$13*SIN(RADIANS(F71))),('Geometry'!$G$14*COS(RADIANS(F71))+'Geometry'!$F$14*SIN(RADIANS(F71))),('Geometry'!$G$15*COS(RADIANS(F71))+'Geometry'!$F$15*SIN(RADIANS(F71))),('Geometry'!$G$16*COS(RADIANS(F71))+'Geometry'!$F$16*SIN(RADIANS(F71))),('Geometry'!$G$17*COS(RADIANS(F71))+'Geometry'!$F$17*SIN(RADIANS(F71))),('Geometry'!$G$18*COS(RADIANS(F71))+'Geometry'!$F$18*SIN(RADIANS(F71))),('Geometry'!$G$19*COS(RADIANS(F71))+'Geometry'!$F$19*SIN(RADIANS(F71))),('Geometry'!$G$20*COS(RADIANS(F71))+'Geometry'!$F$20*SIN(RADIANS(F71))))</f>
        <v>1683.1550458393976</v>
      </c>
      <c r="L71" s="16">
        <f>C_ecu</f>
        <v>0.0033</v>
      </c>
      <c r="M71" s="16">
        <f>0</f>
        <v>0</v>
      </c>
      <c r="N71" s="22">
        <f>IF(ABS(I71-J71)&lt;0.000000000001,0,(L71-M71)/(I71-J71))</f>
        <v>9.803018468670764e-7</v>
      </c>
      <c r="O71" s="16">
        <f>L71-N71*I71</f>
        <v>0.0024749999999999998</v>
      </c>
      <c r="P71" s="22">
        <f>N71*COS(RADIANS(F71))</f>
        <v>-3.35282978167895e-7</v>
      </c>
      <c r="Q71" s="22">
        <f>N71*SIN(RADIANS(F71))</f>
        <v>9.211824116437893e-7</v>
      </c>
      <c r="R71" s="11">
        <f>AP71</f>
        <v>15276.893497392042</v>
      </c>
      <c r="S71" s="11">
        <f>AQ71</f>
        <v>-159.96809185098147</v>
      </c>
      <c r="T71" s="11">
        <f>AR71</f>
        <v>556.221374018749</v>
      </c>
      <c r="U71" s="11">
        <f>AS71</f>
        <v>2393.4521180911925</v>
      </c>
      <c r="V71" s="11">
        <f>AT71</f>
        <v>-47.4253918746465</v>
      </c>
      <c r="W71" s="11">
        <f>AU71</f>
        <v>179.16363599473937</v>
      </c>
      <c r="X71" s="11">
        <f>AM71</f>
        <v>17670.345615483235</v>
      </c>
      <c r="Y71" s="11">
        <f>AN71</f>
        <v>-207.393483725628</v>
      </c>
      <c r="Z71" s="11">
        <f>AO71</f>
        <v>735.3850100134885</v>
      </c>
      <c r="AA71" s="7">
        <v>1</v>
      </c>
      <c r="AB71" s="7">
        <v>1</v>
      </c>
      <c r="AC71" s="7">
        <v>1</v>
      </c>
      <c r="AD71" s="11">
        <f>X71*AA71</f>
        <v>17670.345615483235</v>
      </c>
      <c r="AE71" s="11">
        <f>Y71*AB71</f>
        <v>-207.393483725628</v>
      </c>
      <c r="AF71" s="11">
        <f>Z71*AC71</f>
        <v>735.3850100134885</v>
      </c>
      <c r="AG71" s="7">
        <v>17670.345615483235</v>
      </c>
      <c r="AH71" s="7">
        <v>-207.393483725628</v>
      </c>
      <c r="AI71" s="7">
        <v>735.3850100134885</v>
      </c>
      <c r="AJ71" s="16">
        <f>AD71-AG71</f>
        <v>0</v>
      </c>
      <c r="AK71" s="16">
        <f>SQRT((AE71-AH71)^2+(AF71-AI71)^2)</f>
        <v>0</v>
      </c>
      <c r="AL71" s="7" t="s">
        <v>190</v>
      </c>
      <c r="AM71" s="7">
        <v>17670.345615483235</v>
      </c>
      <c r="AN71" s="7">
        <v>-207.393483725628</v>
      </c>
      <c r="AO71" s="7">
        <v>735.3850100134885</v>
      </c>
      <c r="AP71" s="7">
        <v>15276.893497392042</v>
      </c>
      <c r="AQ71" s="7">
        <v>-159.96809185098147</v>
      </c>
      <c r="AR71" s="7">
        <v>556.221374018749</v>
      </c>
      <c r="AS71" s="7">
        <v>2393.4521180911925</v>
      </c>
      <c r="AT71" s="7">
        <v>-47.4253918746465</v>
      </c>
      <c r="AU71" s="7">
        <v>179.16363599473937</v>
      </c>
    </row>
    <row r="72" spans="1:47" x14ac:dyDescent="0.25">
      <c r="A72" s="7" t="s">
        <v>324</v>
      </c>
      <c r="B72" s="7">
        <v>3</v>
      </c>
      <c r="C72" s="19">
        <v>110</v>
      </c>
      <c r="D72" s="7" t="s">
        <v>325</v>
      </c>
      <c r="E72" s="7" t="s">
        <v>612</v>
      </c>
      <c r="F72" s="20">
        <v>110</v>
      </c>
      <c r="G72" s="7" t="s">
        <v>194</v>
      </c>
      <c r="H72" s="21">
        <v>1.2</v>
      </c>
      <c r="I72" s="11">
        <f>MAX(('Geometry'!$G$13*COS(RADIANS(F72))+'Geometry'!$F$13*SIN(RADIANS(F72))),('Geometry'!$G$14*COS(RADIANS(F72))+'Geometry'!$F$14*SIN(RADIANS(F72))),('Geometry'!$G$15*COS(RADIANS(F72))+'Geometry'!$F$15*SIN(RADIANS(F72))),('Geometry'!$G$16*COS(RADIANS(F72))+'Geometry'!$F$16*SIN(RADIANS(F72))),('Geometry'!$G$17*COS(RADIANS(F72))+'Geometry'!$F$17*SIN(RADIANS(F72))),('Geometry'!$G$18*COS(RADIANS(F72))+'Geometry'!$F$18*SIN(RADIANS(F72))),('Geometry'!$G$19*COS(RADIANS(F72))+'Geometry'!$F$19*SIN(RADIANS(F72))),('Geometry'!$G$20*COS(RADIANS(F72))+'Geometry'!$F$20*SIN(RADIANS(F72))))</f>
        <v>841.5775229196988</v>
      </c>
      <c r="J72" s="11">
        <f>I72-H72*K72</f>
        <v>-1178.2085320875783</v>
      </c>
      <c r="K72" s="11">
        <f>I72-MIN(('Geometry'!$G$13*COS(RADIANS(F72))+'Geometry'!$F$13*SIN(RADIANS(F72))),('Geometry'!$G$14*COS(RADIANS(F72))+'Geometry'!$F$14*SIN(RADIANS(F72))),('Geometry'!$G$15*COS(RADIANS(F72))+'Geometry'!$F$15*SIN(RADIANS(F72))),('Geometry'!$G$16*COS(RADIANS(F72))+'Geometry'!$F$16*SIN(RADIANS(F72))),('Geometry'!$G$17*COS(RADIANS(F72))+'Geometry'!$F$17*SIN(RADIANS(F72))),('Geometry'!$G$18*COS(RADIANS(F72))+'Geometry'!$F$18*SIN(RADIANS(F72))),('Geometry'!$G$19*COS(RADIANS(F72))+'Geometry'!$F$19*SIN(RADIANS(F72))),('Geometry'!$G$20*COS(RADIANS(F72))+'Geometry'!$F$20*SIN(RADIANS(F72))))</f>
        <v>1683.1550458393976</v>
      </c>
      <c r="L72" s="16">
        <f>C_ecu</f>
        <v>0.0033</v>
      </c>
      <c r="M72" s="16">
        <f>0</f>
        <v>0</v>
      </c>
      <c r="N72" s="22">
        <f>IF(ABS(I72-J72)&lt;0.000000000001,0,(L72-M72)/(I72-J72))</f>
        <v>0.0000016338364114451274</v>
      </c>
      <c r="O72" s="16">
        <f>L72-N72*I72</f>
        <v>0.001925</v>
      </c>
      <c r="P72" s="22">
        <f>N72*COS(RADIANS(F72))</f>
        <v>-5.588049636131583e-7</v>
      </c>
      <c r="Q72" s="22">
        <f>N72*SIN(RADIANS(F72))</f>
        <v>0.0000015353040194063156</v>
      </c>
      <c r="R72" s="11">
        <f>AP72</f>
        <v>15276.893497392042</v>
      </c>
      <c r="S72" s="11">
        <f>AQ72</f>
        <v>-319.93618370196293</v>
      </c>
      <c r="T72" s="11">
        <f>AR72</f>
        <v>1112.442748037498</v>
      </c>
      <c r="U72" s="11">
        <f>AS72</f>
        <v>2393.4521180911925</v>
      </c>
      <c r="V72" s="11">
        <f>AT72</f>
        <v>-94.850783749293</v>
      </c>
      <c r="W72" s="11">
        <f>AU72</f>
        <v>358.32727198947873</v>
      </c>
      <c r="X72" s="11">
        <f>AM72</f>
        <v>17670.345615483235</v>
      </c>
      <c r="Y72" s="11">
        <f>AN72</f>
        <v>-414.786967451256</v>
      </c>
      <c r="Z72" s="11">
        <f>AO72</f>
        <v>1470.770020026977</v>
      </c>
      <c r="AA72" s="7">
        <v>1</v>
      </c>
      <c r="AB72" s="7">
        <v>1</v>
      </c>
      <c r="AC72" s="7">
        <v>1</v>
      </c>
      <c r="AD72" s="11">
        <f>X72*AA72</f>
        <v>17670.345615483235</v>
      </c>
      <c r="AE72" s="11">
        <f>Y72*AB72</f>
        <v>-414.786967451256</v>
      </c>
      <c r="AF72" s="11">
        <f>Z72*AC72</f>
        <v>1470.770020026977</v>
      </c>
      <c r="AG72" s="7">
        <v>17670.345615483235</v>
      </c>
      <c r="AH72" s="7">
        <v>-414.786967451256</v>
      </c>
      <c r="AI72" s="7">
        <v>1470.770020026977</v>
      </c>
      <c r="AJ72" s="16">
        <f>AD72-AG72</f>
        <v>0</v>
      </c>
      <c r="AK72" s="16">
        <f>SQRT((AE72-AH72)^2+(AF72-AI72)^2)</f>
        <v>0</v>
      </c>
      <c r="AL72" s="7" t="s">
        <v>190</v>
      </c>
      <c r="AM72" s="7">
        <v>17670.345615483235</v>
      </c>
      <c r="AN72" s="7">
        <v>-414.786967451256</v>
      </c>
      <c r="AO72" s="7">
        <v>1470.770020026977</v>
      </c>
      <c r="AP72" s="7">
        <v>15276.893497392042</v>
      </c>
      <c r="AQ72" s="7">
        <v>-319.93618370196293</v>
      </c>
      <c r="AR72" s="7">
        <v>1112.442748037498</v>
      </c>
      <c r="AS72" s="7">
        <v>2393.4521180911925</v>
      </c>
      <c r="AT72" s="7">
        <v>-94.850783749293</v>
      </c>
      <c r="AU72" s="7">
        <v>358.32727198947873</v>
      </c>
    </row>
    <row r="73" spans="1:47" x14ac:dyDescent="0.25">
      <c r="A73" s="7" t="s">
        <v>326</v>
      </c>
      <c r="B73" s="7">
        <v>4</v>
      </c>
      <c r="C73" s="19">
        <v>110</v>
      </c>
      <c r="D73" s="7" t="s">
        <v>327</v>
      </c>
      <c r="E73" s="7" t="s">
        <v>613</v>
      </c>
      <c r="F73" s="20">
        <v>110</v>
      </c>
      <c r="G73" s="7" t="s">
        <v>194</v>
      </c>
      <c r="H73" s="21">
        <v>1.1</v>
      </c>
      <c r="I73" s="11">
        <f>MAX(('Geometry'!$G$13*COS(RADIANS(F73))+'Geometry'!$F$13*SIN(RADIANS(F73))),('Geometry'!$G$14*COS(RADIANS(F73))+'Geometry'!$F$14*SIN(RADIANS(F73))),('Geometry'!$G$15*COS(RADIANS(F73))+'Geometry'!$F$15*SIN(RADIANS(F73))),('Geometry'!$G$16*COS(RADIANS(F73))+'Geometry'!$F$16*SIN(RADIANS(F73))),('Geometry'!$G$17*COS(RADIANS(F73))+'Geometry'!$F$17*SIN(RADIANS(F73))),('Geometry'!$G$18*COS(RADIANS(F73))+'Geometry'!$F$18*SIN(RADIANS(F73))),('Geometry'!$G$19*COS(RADIANS(F73))+'Geometry'!$F$19*SIN(RADIANS(F73))),('Geometry'!$G$20*COS(RADIANS(F73))+'Geometry'!$F$20*SIN(RADIANS(F73))))</f>
        <v>841.5775229196988</v>
      </c>
      <c r="J73" s="11">
        <f>I73-H73*K73</f>
        <v>-1009.8930275036386</v>
      </c>
      <c r="K73" s="11">
        <f>I73-MIN(('Geometry'!$G$13*COS(RADIANS(F73))+'Geometry'!$F$13*SIN(RADIANS(F73))),('Geometry'!$G$14*COS(RADIANS(F73))+'Geometry'!$F$14*SIN(RADIANS(F73))),('Geometry'!$G$15*COS(RADIANS(F73))+'Geometry'!$F$15*SIN(RADIANS(F73))),('Geometry'!$G$16*COS(RADIANS(F73))+'Geometry'!$F$16*SIN(RADIANS(F73))),('Geometry'!$G$17*COS(RADIANS(F73))+'Geometry'!$F$17*SIN(RADIANS(F73))),('Geometry'!$G$18*COS(RADIANS(F73))+'Geometry'!$F$18*SIN(RADIANS(F73))),('Geometry'!$G$19*COS(RADIANS(F73))+'Geometry'!$F$19*SIN(RADIANS(F73))),('Geometry'!$G$20*COS(RADIANS(F73))+'Geometry'!$F$20*SIN(RADIANS(F73))))</f>
        <v>1683.1550458393976</v>
      </c>
      <c r="L73" s="16">
        <f>C_ecu</f>
        <v>0.0033</v>
      </c>
      <c r="M73" s="16">
        <f>0</f>
        <v>0</v>
      </c>
      <c r="N73" s="22">
        <f>IF(ABS(I73-J73)&lt;0.000000000001,0,(L73-M73)/(I73-J73))</f>
        <v>0.0000017823669943037752</v>
      </c>
      <c r="O73" s="16">
        <f>L73-N73*I73</f>
        <v>0.0018000000000000002</v>
      </c>
      <c r="P73" s="22">
        <f>N73*COS(RADIANS(F73))</f>
        <v>-6.096054148507182e-7</v>
      </c>
      <c r="Q73" s="22">
        <f>N73*SIN(RADIANS(F73))</f>
        <v>0.0000016748771120796169</v>
      </c>
      <c r="R73" s="11">
        <f>AP73</f>
        <v>15276.893497392042</v>
      </c>
      <c r="S73" s="11">
        <f>AQ73</f>
        <v>-399.9202296274537</v>
      </c>
      <c r="T73" s="11">
        <f>AR73</f>
        <v>1390.5534350468727</v>
      </c>
      <c r="U73" s="11">
        <f>AS73</f>
        <v>2393.4521180911925</v>
      </c>
      <c r="V73" s="11">
        <f>AT73</f>
        <v>-118.56347968661626</v>
      </c>
      <c r="W73" s="11">
        <f>AU73</f>
        <v>447.9090899868484</v>
      </c>
      <c r="X73" s="11">
        <f>AM73</f>
        <v>17670.345615483235</v>
      </c>
      <c r="Y73" s="11">
        <f>AN73</f>
        <v>-518.48370931407</v>
      </c>
      <c r="Z73" s="11">
        <f>AO73</f>
        <v>1838.462525033721</v>
      </c>
      <c r="AA73" s="7">
        <v>1</v>
      </c>
      <c r="AB73" s="7">
        <v>1</v>
      </c>
      <c r="AC73" s="7">
        <v>1</v>
      </c>
      <c r="AD73" s="11">
        <f>X73*AA73</f>
        <v>17670.345615483235</v>
      </c>
      <c r="AE73" s="11">
        <f>Y73*AB73</f>
        <v>-518.48370931407</v>
      </c>
      <c r="AF73" s="11">
        <f>Z73*AC73</f>
        <v>1838.462525033721</v>
      </c>
      <c r="AG73" s="7">
        <v>17670.345615483235</v>
      </c>
      <c r="AH73" s="7">
        <v>-518.48370931407</v>
      </c>
      <c r="AI73" s="7">
        <v>1838.462525033721</v>
      </c>
      <c r="AJ73" s="16">
        <f>AD73-AG73</f>
        <v>0</v>
      </c>
      <c r="AK73" s="16">
        <f>SQRT((AE73-AH73)^2+(AF73-AI73)^2)</f>
        <v>0</v>
      </c>
      <c r="AL73" s="7" t="s">
        <v>190</v>
      </c>
      <c r="AM73" s="7">
        <v>17670.345615483235</v>
      </c>
      <c r="AN73" s="7">
        <v>-518.48370931407</v>
      </c>
      <c r="AO73" s="7">
        <v>1838.462525033721</v>
      </c>
      <c r="AP73" s="7">
        <v>15276.893497392042</v>
      </c>
      <c r="AQ73" s="7">
        <v>-399.9202296274537</v>
      </c>
      <c r="AR73" s="7">
        <v>1390.5534350468727</v>
      </c>
      <c r="AS73" s="7">
        <v>2393.4521180911925</v>
      </c>
      <c r="AT73" s="7">
        <v>-118.56347968661626</v>
      </c>
      <c r="AU73" s="7">
        <v>447.9090899868484</v>
      </c>
    </row>
    <row r="74" spans="1:47" x14ac:dyDescent="0.25">
      <c r="A74" s="7" t="s">
        <v>328</v>
      </c>
      <c r="B74" s="7">
        <v>5</v>
      </c>
      <c r="C74" s="19">
        <v>110</v>
      </c>
      <c r="D74" s="7" t="s">
        <v>329</v>
      </c>
      <c r="E74" s="7" t="s">
        <v>611</v>
      </c>
      <c r="F74" s="20">
        <v>110</v>
      </c>
      <c r="G74" s="7" t="s">
        <v>194</v>
      </c>
      <c r="H74" s="21">
        <v>1.5</v>
      </c>
      <c r="I74" s="11">
        <f>MAX(('Geometry'!$G$13*COS(RADIANS(F74))+'Geometry'!$F$13*SIN(RADIANS(F74))),('Geometry'!$G$14*COS(RADIANS(F74))+'Geometry'!$F$14*SIN(RADIANS(F74))),('Geometry'!$G$15*COS(RADIANS(F74))+'Geometry'!$F$15*SIN(RADIANS(F74))),('Geometry'!$G$16*COS(RADIANS(F74))+'Geometry'!$F$16*SIN(RADIANS(F74))),('Geometry'!$G$17*COS(RADIANS(F74))+'Geometry'!$F$17*SIN(RADIANS(F74))),('Geometry'!$G$18*COS(RADIANS(F74))+'Geometry'!$F$18*SIN(RADIANS(F74))),('Geometry'!$G$19*COS(RADIANS(F74))+'Geometry'!$F$19*SIN(RADIANS(F74))),('Geometry'!$G$20*COS(RADIANS(F74))+'Geometry'!$F$20*SIN(RADIANS(F74))))</f>
        <v>841.5775229196988</v>
      </c>
      <c r="J74" s="11">
        <f>I74-H74*K74</f>
        <v>-1683.1550458393974</v>
      </c>
      <c r="K74" s="11">
        <f>I74-MIN(('Geometry'!$G$13*COS(RADIANS(F74))+'Geometry'!$F$13*SIN(RADIANS(F74))),('Geometry'!$G$14*COS(RADIANS(F74))+'Geometry'!$F$14*SIN(RADIANS(F74))),('Geometry'!$G$15*COS(RADIANS(F74))+'Geometry'!$F$15*SIN(RADIANS(F74))),('Geometry'!$G$16*COS(RADIANS(F74))+'Geometry'!$F$16*SIN(RADIANS(F74))),('Geometry'!$G$17*COS(RADIANS(F74))+'Geometry'!$F$17*SIN(RADIANS(F74))),('Geometry'!$G$18*COS(RADIANS(F74))+'Geometry'!$F$18*SIN(RADIANS(F74))),('Geometry'!$G$19*COS(RADIANS(F74))+'Geometry'!$F$19*SIN(RADIANS(F74))),('Geometry'!$G$20*COS(RADIANS(F74))+'Geometry'!$F$20*SIN(RADIANS(F74))))</f>
        <v>1683.1550458393976</v>
      </c>
      <c r="L74" s="16">
        <f>C_ecu</f>
        <v>0.0032999999999999995</v>
      </c>
      <c r="M74" s="16">
        <f>0</f>
        <v>0</v>
      </c>
      <c r="N74" s="22">
        <f>IF(ABS(I74-J74)&lt;0.000000000001,0,(L74-M74)/(I74-J74))</f>
        <v>0.0000013070691291561017</v>
      </c>
      <c r="O74" s="16">
        <f>L74-N74*I74</f>
        <v>0.0021999999999999997</v>
      </c>
      <c r="P74" s="22">
        <f>N74*COS(RADIANS(F74))</f>
        <v>-4.4704397089052667e-7</v>
      </c>
      <c r="Q74" s="22">
        <f>N74*SIN(RADIANS(F74))</f>
        <v>0.0000012282432155250523</v>
      </c>
      <c r="R74" s="11">
        <f>AP74</f>
        <v>15276.893497392042</v>
      </c>
      <c r="S74" s="11">
        <f>AQ74</f>
        <v>-239.9521377764722</v>
      </c>
      <c r="T74" s="11">
        <f>AR74</f>
        <v>834.3320610281236</v>
      </c>
      <c r="U74" s="11">
        <f>AS74</f>
        <v>2393.4521180911925</v>
      </c>
      <c r="V74" s="11">
        <f>AT74</f>
        <v>-71.13808781196975</v>
      </c>
      <c r="W74" s="11">
        <f>AU74</f>
        <v>268.74545399210905</v>
      </c>
      <c r="X74" s="11">
        <f>AM74</f>
        <v>17670.345615483235</v>
      </c>
      <c r="Y74" s="11">
        <f>AN74</f>
        <v>-311.09022558844197</v>
      </c>
      <c r="Z74" s="11">
        <f>AO74</f>
        <v>1103.0775150202323</v>
      </c>
      <c r="AA74" s="7">
        <v>1</v>
      </c>
      <c r="AB74" s="7">
        <v>1</v>
      </c>
      <c r="AC74" s="7">
        <v>1</v>
      </c>
      <c r="AD74" s="11">
        <f>X74*AA74</f>
        <v>17670.345615483235</v>
      </c>
      <c r="AE74" s="11">
        <f>Y74*AB74</f>
        <v>-311.09022558844197</v>
      </c>
      <c r="AF74" s="11">
        <f>Z74*AC74</f>
        <v>1103.0775150202323</v>
      </c>
      <c r="AG74" s="7">
        <v>17670.345615483235</v>
      </c>
      <c r="AH74" s="7">
        <v>-311.09022558844197</v>
      </c>
      <c r="AI74" s="7">
        <v>1103.0775150202323</v>
      </c>
      <c r="AJ74" s="16">
        <f>AD74-AG74</f>
        <v>0</v>
      </c>
      <c r="AK74" s="16">
        <f>SQRT((AE74-AH74)^2+(AF74-AI74)^2)</f>
        <v>0</v>
      </c>
      <c r="AL74" s="7" t="s">
        <v>190</v>
      </c>
      <c r="AM74" s="7">
        <v>17670.345615483235</v>
      </c>
      <c r="AN74" s="7">
        <v>-311.09022558844197</v>
      </c>
      <c r="AO74" s="7">
        <v>1103.0775150202323</v>
      </c>
      <c r="AP74" s="7">
        <v>15276.893497392042</v>
      </c>
      <c r="AQ74" s="7">
        <v>-239.9521377764722</v>
      </c>
      <c r="AR74" s="7">
        <v>834.3320610281236</v>
      </c>
      <c r="AS74" s="7">
        <v>2393.4521180911925</v>
      </c>
      <c r="AT74" s="7">
        <v>-71.13808781196975</v>
      </c>
      <c r="AU74" s="7">
        <v>268.74545399210905</v>
      </c>
    </row>
    <row r="75" spans="1:47" x14ac:dyDescent="0.25">
      <c r="A75" s="7" t="s">
        <v>330</v>
      </c>
      <c r="B75" s="7">
        <v>6</v>
      </c>
      <c r="C75" s="19">
        <v>110</v>
      </c>
      <c r="D75" s="7" t="s">
        <v>331</v>
      </c>
      <c r="E75" s="7" t="s">
        <v>614</v>
      </c>
      <c r="F75" s="20">
        <v>110</v>
      </c>
      <c r="G75" s="7" t="s">
        <v>194</v>
      </c>
      <c r="H75" s="21">
        <v>1</v>
      </c>
      <c r="I75" s="11">
        <f>MAX(('Geometry'!$G$13*COS(RADIANS(F75))+'Geometry'!$F$13*SIN(RADIANS(F75))),('Geometry'!$G$14*COS(RADIANS(F75))+'Geometry'!$F$14*SIN(RADIANS(F75))),('Geometry'!$G$15*COS(RADIANS(F75))+'Geometry'!$F$15*SIN(RADIANS(F75))),('Geometry'!$G$16*COS(RADIANS(F75))+'Geometry'!$F$16*SIN(RADIANS(F75))),('Geometry'!$G$17*COS(RADIANS(F75))+'Geometry'!$F$17*SIN(RADIANS(F75))),('Geometry'!$G$18*COS(RADIANS(F75))+'Geometry'!$F$18*SIN(RADIANS(F75))),('Geometry'!$G$19*COS(RADIANS(F75))+'Geometry'!$F$19*SIN(RADIANS(F75))),('Geometry'!$G$20*COS(RADIANS(F75))+'Geometry'!$F$20*SIN(RADIANS(F75))))</f>
        <v>841.5775229196988</v>
      </c>
      <c r="J75" s="11">
        <f>I75-H75*K75</f>
        <v>-841.5775229196987</v>
      </c>
      <c r="K75" s="11">
        <f>I75-MIN(('Geometry'!$G$13*COS(RADIANS(F75))+'Geometry'!$F$13*SIN(RADIANS(F75))),('Geometry'!$G$14*COS(RADIANS(F75))+'Geometry'!$F$14*SIN(RADIANS(F75))),('Geometry'!$G$15*COS(RADIANS(F75))+'Geometry'!$F$15*SIN(RADIANS(F75))),('Geometry'!$G$16*COS(RADIANS(F75))+'Geometry'!$F$16*SIN(RADIANS(F75))),('Geometry'!$G$17*COS(RADIANS(F75))+'Geometry'!$F$17*SIN(RADIANS(F75))),('Geometry'!$G$18*COS(RADIANS(F75))+'Geometry'!$F$18*SIN(RADIANS(F75))),('Geometry'!$G$19*COS(RADIANS(F75))+'Geometry'!$F$19*SIN(RADIANS(F75))),('Geometry'!$G$20*COS(RADIANS(F75))+'Geometry'!$F$20*SIN(RADIANS(F75))))</f>
        <v>1683.1550458393976</v>
      </c>
      <c r="L75" s="16">
        <f>C_ecu</f>
        <v>0.0033</v>
      </c>
      <c r="M75" s="16">
        <f>0</f>
        <v>0</v>
      </c>
      <c r="N75" s="22">
        <f>IF(ABS(I75-J75)&lt;0.000000000001,0,(L75-M75)/(I75-J75))</f>
        <v>0.0000019606036937341528</v>
      </c>
      <c r="O75" s="16">
        <f>L75-N75*I75</f>
        <v>0.00165</v>
      </c>
      <c r="P75" s="22">
        <f>N75*COS(RADIANS(F75))</f>
        <v>-6.7056595633579e-7</v>
      </c>
      <c r="Q75" s="22">
        <f>N75*SIN(RADIANS(F75))</f>
        <v>0.0000018423648232875786</v>
      </c>
      <c r="R75" s="11">
        <f>AP75</f>
        <v>15276.893497392042</v>
      </c>
      <c r="S75" s="11">
        <f>AQ75</f>
        <v>-479.9042755529444</v>
      </c>
      <c r="T75" s="11">
        <f>AR75</f>
        <v>1668.6641220562472</v>
      </c>
      <c r="U75" s="11">
        <f>AS75</f>
        <v>2393.4521180911925</v>
      </c>
      <c r="V75" s="11">
        <f>AT75</f>
        <v>-142.2761756239395</v>
      </c>
      <c r="W75" s="11">
        <f>AU75</f>
        <v>537.4909079842181</v>
      </c>
      <c r="X75" s="11">
        <f>AM75</f>
        <v>17670.345615483235</v>
      </c>
      <c r="Y75" s="11">
        <f>AN75</f>
        <v>-622.1804511768839</v>
      </c>
      <c r="Z75" s="11">
        <f>AO75</f>
        <v>2206.1550300404647</v>
      </c>
      <c r="AA75" s="7">
        <v>1</v>
      </c>
      <c r="AB75" s="7">
        <v>1</v>
      </c>
      <c r="AC75" s="7">
        <v>1</v>
      </c>
      <c r="AD75" s="11">
        <f>X75*AA75</f>
        <v>17670.345615483235</v>
      </c>
      <c r="AE75" s="11">
        <f>Y75*AB75</f>
        <v>-622.1804511768839</v>
      </c>
      <c r="AF75" s="11">
        <f>Z75*AC75</f>
        <v>2206.1550300404647</v>
      </c>
      <c r="AG75" s="7">
        <v>17670.345615483235</v>
      </c>
      <c r="AH75" s="7">
        <v>-622.1804511768839</v>
      </c>
      <c r="AI75" s="7">
        <v>2206.1550300404647</v>
      </c>
      <c r="AJ75" s="16">
        <f>AD75-AG75</f>
        <v>0</v>
      </c>
      <c r="AK75" s="16">
        <f>SQRT((AE75-AH75)^2+(AF75-AI75)^2)</f>
        <v>0</v>
      </c>
      <c r="AL75" s="7" t="s">
        <v>190</v>
      </c>
      <c r="AM75" s="7">
        <v>17670.345615483235</v>
      </c>
      <c r="AN75" s="7">
        <v>-622.1804511768839</v>
      </c>
      <c r="AO75" s="7">
        <v>2206.1550300404647</v>
      </c>
      <c r="AP75" s="7">
        <v>15276.893497392042</v>
      </c>
      <c r="AQ75" s="7">
        <v>-479.9042755529444</v>
      </c>
      <c r="AR75" s="7">
        <v>1668.6641220562472</v>
      </c>
      <c r="AS75" s="7">
        <v>2393.4521180911925</v>
      </c>
      <c r="AT75" s="7">
        <v>-142.2761756239395</v>
      </c>
      <c r="AU75" s="7">
        <v>537.4909079842181</v>
      </c>
    </row>
    <row r="76" spans="1:47" x14ac:dyDescent="0.25">
      <c r="A76" s="7" t="s">
        <v>332</v>
      </c>
      <c r="B76" s="7">
        <v>1</v>
      </c>
      <c r="C76" s="19">
        <v>120</v>
      </c>
      <c r="D76" s="7" t="s">
        <v>333</v>
      </c>
      <c r="E76" s="7" t="s">
        <v>609</v>
      </c>
      <c r="F76" s="20">
        <v>120</v>
      </c>
      <c r="G76" s="7" t="s">
        <v>194</v>
      </c>
      <c r="H76" s="21">
        <v>2.9999999999999996</v>
      </c>
      <c r="I76" s="11">
        <f>MAX(('Geometry'!$G$13*COS(RADIANS(F76))+'Geometry'!$F$13*SIN(RADIANS(F76))),('Geometry'!$G$14*COS(RADIANS(F76))+'Geometry'!$F$14*SIN(RADIANS(F76))),('Geometry'!$G$15*COS(RADIANS(F76))+'Geometry'!$F$15*SIN(RADIANS(F76))),('Geometry'!$G$16*COS(RADIANS(F76))+'Geometry'!$F$16*SIN(RADIANS(F76))),('Geometry'!$G$17*COS(RADIANS(F76))+'Geometry'!$F$17*SIN(RADIANS(F76))),('Geometry'!$G$18*COS(RADIANS(F76))+'Geometry'!$F$18*SIN(RADIANS(F76))),('Geometry'!$G$19*COS(RADIANS(F76))+'Geometry'!$F$19*SIN(RADIANS(F76))),('Geometry'!$G$20*COS(RADIANS(F76))+'Geometry'!$F$20*SIN(RADIANS(F76))))</f>
        <v>849.5190528383289</v>
      </c>
      <c r="J76" s="11">
        <f>I76-H76*K76</f>
        <v>-4247.595264191644</v>
      </c>
      <c r="K76" s="11">
        <f>I76-MIN(('Geometry'!$G$13*COS(RADIANS(F76))+'Geometry'!$F$13*SIN(RADIANS(F76))),('Geometry'!$G$14*COS(RADIANS(F76))+'Geometry'!$F$14*SIN(RADIANS(F76))),('Geometry'!$G$15*COS(RADIANS(F76))+'Geometry'!$F$15*SIN(RADIANS(F76))),('Geometry'!$G$16*COS(RADIANS(F76))+'Geometry'!$F$16*SIN(RADIANS(F76))),('Geometry'!$G$17*COS(RADIANS(F76))+'Geometry'!$F$17*SIN(RADIANS(F76))),('Geometry'!$G$18*COS(RADIANS(F76))+'Geometry'!$F$18*SIN(RADIANS(F76))),('Geometry'!$G$19*COS(RADIANS(F76))+'Geometry'!$F$19*SIN(RADIANS(F76))),('Geometry'!$G$20*COS(RADIANS(F76))+'Geometry'!$F$20*SIN(RADIANS(F76))))</f>
        <v>1699.0381056766578</v>
      </c>
      <c r="L76" s="16">
        <f>C_ecu</f>
        <v>0.0033</v>
      </c>
      <c r="M76" s="16">
        <f>0</f>
        <v>0</v>
      </c>
      <c r="N76" s="22">
        <f>IF(ABS(I76-J76)&lt;0.000000000001,0,(L76-M76)/(I76-J76))</f>
        <v>6.474251497507849e-7</v>
      </c>
      <c r="O76" s="16">
        <f>L76-N76*I76</f>
        <v>0.00275</v>
      </c>
      <c r="P76" s="22">
        <f>N76*COS(RADIANS(F76))</f>
        <v>-3.237125748753923e-7</v>
      </c>
      <c r="Q76" s="22">
        <f>N76*SIN(RADIANS(F76))</f>
        <v>5.606866267331242e-7</v>
      </c>
      <c r="R76" s="11">
        <f>AP76</f>
        <v>15289.862634204503</v>
      </c>
      <c r="S76" s="11">
        <f>AQ76</f>
        <v>-113.81103196827847</v>
      </c>
      <c r="T76" s="11">
        <f>AR76</f>
        <v>255.0181719876211</v>
      </c>
      <c r="U76" s="11">
        <f>AS76</f>
        <v>2380.4829812787325</v>
      </c>
      <c r="V76" s="11">
        <f>AT76</f>
        <v>-35.05119006830386</v>
      </c>
      <c r="W76" s="11">
        <f>AU76</f>
        <v>81.63164476072399</v>
      </c>
      <c r="X76" s="11">
        <f>AM76</f>
        <v>17670.345615483235</v>
      </c>
      <c r="Y76" s="11">
        <f>AN76</f>
        <v>-148.86222203658235</v>
      </c>
      <c r="Z76" s="11">
        <f>AO76</f>
        <v>336.6498167483451</v>
      </c>
      <c r="AA76" s="7">
        <v>1</v>
      </c>
      <c r="AB76" s="7">
        <v>1</v>
      </c>
      <c r="AC76" s="7">
        <v>1</v>
      </c>
      <c r="AD76" s="11">
        <f>X76*AA76</f>
        <v>17670.345615483235</v>
      </c>
      <c r="AE76" s="11">
        <f>Y76*AB76</f>
        <v>-148.86222203658235</v>
      </c>
      <c r="AF76" s="11">
        <f>Z76*AC76</f>
        <v>336.6498167483451</v>
      </c>
      <c r="AG76" s="7">
        <v>17670.345615483235</v>
      </c>
      <c r="AH76" s="7">
        <v>-148.86222203658235</v>
      </c>
      <c r="AI76" s="7">
        <v>336.6498167483451</v>
      </c>
      <c r="AJ76" s="16">
        <f>AD76-AG76</f>
        <v>0</v>
      </c>
      <c r="AK76" s="16">
        <f>SQRT((AE76-AH76)^2+(AF76-AI76)^2)</f>
        <v>0</v>
      </c>
      <c r="AL76" s="7" t="s">
        <v>190</v>
      </c>
      <c r="AM76" s="7">
        <v>17670.345615483235</v>
      </c>
      <c r="AN76" s="7">
        <v>-148.86222203658235</v>
      </c>
      <c r="AO76" s="7">
        <v>336.6498167483451</v>
      </c>
      <c r="AP76" s="7">
        <v>15289.862634204503</v>
      </c>
      <c r="AQ76" s="7">
        <v>-113.81103196827847</v>
      </c>
      <c r="AR76" s="7">
        <v>255.0181719876211</v>
      </c>
      <c r="AS76" s="7">
        <v>2380.4829812787325</v>
      </c>
      <c r="AT76" s="7">
        <v>-35.05119006830386</v>
      </c>
      <c r="AU76" s="7">
        <v>81.63164476072399</v>
      </c>
    </row>
    <row r="77" spans="1:47" x14ac:dyDescent="0.25">
      <c r="A77" s="7" t="s">
        <v>334</v>
      </c>
      <c r="B77" s="7">
        <v>2</v>
      </c>
      <c r="C77" s="19">
        <v>120</v>
      </c>
      <c r="D77" s="7" t="s">
        <v>335</v>
      </c>
      <c r="E77" s="7" t="s">
        <v>610</v>
      </c>
      <c r="F77" s="20">
        <v>120</v>
      </c>
      <c r="G77" s="7" t="s">
        <v>194</v>
      </c>
      <c r="H77" s="21">
        <v>2</v>
      </c>
      <c r="I77" s="11">
        <f>MAX(('Geometry'!$G$13*COS(RADIANS(F77))+'Geometry'!$F$13*SIN(RADIANS(F77))),('Geometry'!$G$14*COS(RADIANS(F77))+'Geometry'!$F$14*SIN(RADIANS(F77))),('Geometry'!$G$15*COS(RADIANS(F77))+'Geometry'!$F$15*SIN(RADIANS(F77))),('Geometry'!$G$16*COS(RADIANS(F77))+'Geometry'!$F$16*SIN(RADIANS(F77))),('Geometry'!$G$17*COS(RADIANS(F77))+'Geometry'!$F$17*SIN(RADIANS(F77))),('Geometry'!$G$18*COS(RADIANS(F77))+'Geometry'!$F$18*SIN(RADIANS(F77))),('Geometry'!$G$19*COS(RADIANS(F77))+'Geometry'!$F$19*SIN(RADIANS(F77))),('Geometry'!$G$20*COS(RADIANS(F77))+'Geometry'!$F$20*SIN(RADIANS(F77))))</f>
        <v>849.5190528383289</v>
      </c>
      <c r="J77" s="11">
        <f>I77-H77*K77</f>
        <v>-2548.5571585149864</v>
      </c>
      <c r="K77" s="11">
        <f>I77-MIN(('Geometry'!$G$13*COS(RADIANS(F77))+'Geometry'!$F$13*SIN(RADIANS(F77))),('Geometry'!$G$14*COS(RADIANS(F77))+'Geometry'!$F$14*SIN(RADIANS(F77))),('Geometry'!$G$15*COS(RADIANS(F77))+'Geometry'!$F$15*SIN(RADIANS(F77))),('Geometry'!$G$16*COS(RADIANS(F77))+'Geometry'!$F$16*SIN(RADIANS(F77))),('Geometry'!$G$17*COS(RADIANS(F77))+'Geometry'!$F$17*SIN(RADIANS(F77))),('Geometry'!$G$18*COS(RADIANS(F77))+'Geometry'!$F$18*SIN(RADIANS(F77))),('Geometry'!$G$19*COS(RADIANS(F77))+'Geometry'!$F$19*SIN(RADIANS(F77))),('Geometry'!$G$20*COS(RADIANS(F77))+'Geometry'!$F$20*SIN(RADIANS(F77))))</f>
        <v>1699.0381056766578</v>
      </c>
      <c r="L77" s="16">
        <f>C_ecu</f>
        <v>0.0033</v>
      </c>
      <c r="M77" s="16">
        <f>0</f>
        <v>0</v>
      </c>
      <c r="N77" s="22">
        <f>IF(ABS(I77-J77)&lt;0.000000000001,0,(L77-M77)/(I77-J77))</f>
        <v>9.711377246261773e-7</v>
      </c>
      <c r="O77" s="16">
        <f>L77-N77*I77</f>
        <v>0.0024749999999999998</v>
      </c>
      <c r="P77" s="22">
        <f>N77*COS(RADIANS(F77))</f>
        <v>-4.855688623130884e-7</v>
      </c>
      <c r="Q77" s="22">
        <f>N77*SIN(RADIANS(F77))</f>
        <v>8.410299400996863e-7</v>
      </c>
      <c r="R77" s="11">
        <f>AP77</f>
        <v>15289.862634204503</v>
      </c>
      <c r="S77" s="11">
        <f>AQ77</f>
        <v>-227.62206393655694</v>
      </c>
      <c r="T77" s="11">
        <f>AR77</f>
        <v>510.0363439752422</v>
      </c>
      <c r="U77" s="11">
        <f>AS77</f>
        <v>2380.4829812787325</v>
      </c>
      <c r="V77" s="11">
        <f>AT77</f>
        <v>-70.10238013660772</v>
      </c>
      <c r="W77" s="11">
        <f>AU77</f>
        <v>163.26328952144797</v>
      </c>
      <c r="X77" s="11">
        <f>AM77</f>
        <v>17670.345615483235</v>
      </c>
      <c r="Y77" s="11">
        <f>AN77</f>
        <v>-297.7244440731647</v>
      </c>
      <c r="Z77" s="11">
        <f>AO77</f>
        <v>673.2996334966901</v>
      </c>
      <c r="AA77" s="7">
        <v>1</v>
      </c>
      <c r="AB77" s="7">
        <v>1</v>
      </c>
      <c r="AC77" s="7">
        <v>1</v>
      </c>
      <c r="AD77" s="11">
        <f>X77*AA77</f>
        <v>17670.345615483235</v>
      </c>
      <c r="AE77" s="11">
        <f>Y77*AB77</f>
        <v>-297.7244440731647</v>
      </c>
      <c r="AF77" s="11">
        <f>Z77*AC77</f>
        <v>673.2996334966901</v>
      </c>
      <c r="AG77" s="7">
        <v>17670.345615483235</v>
      </c>
      <c r="AH77" s="7">
        <v>-297.7244440731647</v>
      </c>
      <c r="AI77" s="7">
        <v>673.2996334966901</v>
      </c>
      <c r="AJ77" s="16">
        <f>AD77-AG77</f>
        <v>0</v>
      </c>
      <c r="AK77" s="16">
        <f>SQRT((AE77-AH77)^2+(AF77-AI77)^2)</f>
        <v>0</v>
      </c>
      <c r="AL77" s="7" t="s">
        <v>190</v>
      </c>
      <c r="AM77" s="7">
        <v>17670.345615483235</v>
      </c>
      <c r="AN77" s="7">
        <v>-297.7244440731647</v>
      </c>
      <c r="AO77" s="7">
        <v>673.2996334966901</v>
      </c>
      <c r="AP77" s="7">
        <v>15289.862634204503</v>
      </c>
      <c r="AQ77" s="7">
        <v>-227.62206393655694</v>
      </c>
      <c r="AR77" s="7">
        <v>510.0363439752422</v>
      </c>
      <c r="AS77" s="7">
        <v>2380.4829812787325</v>
      </c>
      <c r="AT77" s="7">
        <v>-70.10238013660772</v>
      </c>
      <c r="AU77" s="7">
        <v>163.26328952144797</v>
      </c>
    </row>
    <row r="78" spans="1:47" x14ac:dyDescent="0.25">
      <c r="A78" s="7" t="s">
        <v>336</v>
      </c>
      <c r="B78" s="7">
        <v>3</v>
      </c>
      <c r="C78" s="19">
        <v>120</v>
      </c>
      <c r="D78" s="7" t="s">
        <v>337</v>
      </c>
      <c r="E78" s="7" t="s">
        <v>611</v>
      </c>
      <c r="F78" s="20">
        <v>120</v>
      </c>
      <c r="G78" s="7" t="s">
        <v>194</v>
      </c>
      <c r="H78" s="21">
        <v>1.4999999999999998</v>
      </c>
      <c r="I78" s="11">
        <f>MAX(('Geometry'!$G$13*COS(RADIANS(F78))+'Geometry'!$F$13*SIN(RADIANS(F78))),('Geometry'!$G$14*COS(RADIANS(F78))+'Geometry'!$F$14*SIN(RADIANS(F78))),('Geometry'!$G$15*COS(RADIANS(F78))+'Geometry'!$F$15*SIN(RADIANS(F78))),('Geometry'!$G$16*COS(RADIANS(F78))+'Geometry'!$F$16*SIN(RADIANS(F78))),('Geometry'!$G$17*COS(RADIANS(F78))+'Geometry'!$F$17*SIN(RADIANS(F78))),('Geometry'!$G$18*COS(RADIANS(F78))+'Geometry'!$F$18*SIN(RADIANS(F78))),('Geometry'!$G$19*COS(RADIANS(F78))+'Geometry'!$F$19*SIN(RADIANS(F78))),('Geometry'!$G$20*COS(RADIANS(F78))+'Geometry'!$F$20*SIN(RADIANS(F78))))</f>
        <v>849.5190528383289</v>
      </c>
      <c r="J78" s="11">
        <f>I78-H78*K78</f>
        <v>-1699.0381056766573</v>
      </c>
      <c r="K78" s="11">
        <f>I78-MIN(('Geometry'!$G$13*COS(RADIANS(F78))+'Geometry'!$F$13*SIN(RADIANS(F78))),('Geometry'!$G$14*COS(RADIANS(F78))+'Geometry'!$F$14*SIN(RADIANS(F78))),('Geometry'!$G$15*COS(RADIANS(F78))+'Geometry'!$F$15*SIN(RADIANS(F78))),('Geometry'!$G$16*COS(RADIANS(F78))+'Geometry'!$F$16*SIN(RADIANS(F78))),('Geometry'!$G$17*COS(RADIANS(F78))+'Geometry'!$F$17*SIN(RADIANS(F78))),('Geometry'!$G$18*COS(RADIANS(F78))+'Geometry'!$F$18*SIN(RADIANS(F78))),('Geometry'!$G$19*COS(RADIANS(F78))+'Geometry'!$F$19*SIN(RADIANS(F78))),('Geometry'!$G$20*COS(RADIANS(F78))+'Geometry'!$F$20*SIN(RADIANS(F78))))</f>
        <v>1699.0381056766578</v>
      </c>
      <c r="L78" s="16">
        <f>C_ecu</f>
        <v>0.0033</v>
      </c>
      <c r="M78" s="16">
        <f>0</f>
        <v>0</v>
      </c>
      <c r="N78" s="22">
        <f>IF(ABS(I78-J78)&lt;0.000000000001,0,(L78-M78)/(I78-J78))</f>
        <v>0.0000012948502995015698</v>
      </c>
      <c r="O78" s="16">
        <f>L78-N78*I78</f>
        <v>0.0021999999999999997</v>
      </c>
      <c r="P78" s="22">
        <f>N78*COS(RADIANS(F78))</f>
        <v>-6.474251497507846e-7</v>
      </c>
      <c r="Q78" s="22">
        <f>N78*SIN(RADIANS(F78))</f>
        <v>0.0000011213732534662485</v>
      </c>
      <c r="R78" s="11">
        <f>AP78</f>
        <v>15289.862634204503</v>
      </c>
      <c r="S78" s="11">
        <f>AQ78</f>
        <v>-341.43309590483534</v>
      </c>
      <c r="T78" s="11">
        <f>AR78</f>
        <v>765.0545159628632</v>
      </c>
      <c r="U78" s="11">
        <f>AS78</f>
        <v>2380.4829812787325</v>
      </c>
      <c r="V78" s="11">
        <f>AT78</f>
        <v>-105.15357020491157</v>
      </c>
      <c r="W78" s="11">
        <f>AU78</f>
        <v>244.89493428217196</v>
      </c>
      <c r="X78" s="11">
        <f>AM78</f>
        <v>17670.345615483235</v>
      </c>
      <c r="Y78" s="11">
        <f>AN78</f>
        <v>-446.586666109747</v>
      </c>
      <c r="Z78" s="11">
        <f>AO78</f>
        <v>1009.9494502450353</v>
      </c>
      <c r="AA78" s="7">
        <v>1</v>
      </c>
      <c r="AB78" s="7">
        <v>1</v>
      </c>
      <c r="AC78" s="7">
        <v>1</v>
      </c>
      <c r="AD78" s="11">
        <f>X78*AA78</f>
        <v>17670.345615483235</v>
      </c>
      <c r="AE78" s="11">
        <f>Y78*AB78</f>
        <v>-446.586666109747</v>
      </c>
      <c r="AF78" s="11">
        <f>Z78*AC78</f>
        <v>1009.9494502450353</v>
      </c>
      <c r="AG78" s="7">
        <v>17670.345615483235</v>
      </c>
      <c r="AH78" s="7">
        <v>-446.586666109747</v>
      </c>
      <c r="AI78" s="7">
        <v>1009.9494502450353</v>
      </c>
      <c r="AJ78" s="16">
        <f>AD78-AG78</f>
        <v>0</v>
      </c>
      <c r="AK78" s="16">
        <f>SQRT((AE78-AH78)^2+(AF78-AI78)^2)</f>
        <v>0</v>
      </c>
      <c r="AL78" s="7" t="s">
        <v>190</v>
      </c>
      <c r="AM78" s="7">
        <v>17670.345615483235</v>
      </c>
      <c r="AN78" s="7">
        <v>-446.586666109747</v>
      </c>
      <c r="AO78" s="7">
        <v>1009.9494502450353</v>
      </c>
      <c r="AP78" s="7">
        <v>15289.862634204503</v>
      </c>
      <c r="AQ78" s="7">
        <v>-341.43309590483534</v>
      </c>
      <c r="AR78" s="7">
        <v>765.0545159628632</v>
      </c>
      <c r="AS78" s="7">
        <v>2380.4829812787325</v>
      </c>
      <c r="AT78" s="7">
        <v>-105.15357020491157</v>
      </c>
      <c r="AU78" s="7">
        <v>244.89493428217196</v>
      </c>
    </row>
    <row r="79" spans="1:47" x14ac:dyDescent="0.25">
      <c r="A79" s="7" t="s">
        <v>338</v>
      </c>
      <c r="B79" s="7">
        <v>4</v>
      </c>
      <c r="C79" s="19">
        <v>120</v>
      </c>
      <c r="D79" s="7" t="s">
        <v>339</v>
      </c>
      <c r="E79" s="7" t="s">
        <v>612</v>
      </c>
      <c r="F79" s="20">
        <v>120</v>
      </c>
      <c r="G79" s="7" t="s">
        <v>194</v>
      </c>
      <c r="H79" s="21">
        <v>1.1999999999999997</v>
      </c>
      <c r="I79" s="11">
        <f>MAX(('Geometry'!$G$13*COS(RADIANS(F79))+'Geometry'!$F$13*SIN(RADIANS(F79))),('Geometry'!$G$14*COS(RADIANS(F79))+'Geometry'!$F$14*SIN(RADIANS(F79))),('Geometry'!$G$15*COS(RADIANS(F79))+'Geometry'!$F$15*SIN(RADIANS(F79))),('Geometry'!$G$16*COS(RADIANS(F79))+'Geometry'!$F$16*SIN(RADIANS(F79))),('Geometry'!$G$17*COS(RADIANS(F79))+'Geometry'!$F$17*SIN(RADIANS(F79))),('Geometry'!$G$18*COS(RADIANS(F79))+'Geometry'!$F$18*SIN(RADIANS(F79))),('Geometry'!$G$19*COS(RADIANS(F79))+'Geometry'!$F$19*SIN(RADIANS(F79))),('Geometry'!$G$20*COS(RADIANS(F79))+'Geometry'!$F$20*SIN(RADIANS(F79))))</f>
        <v>849.5190528383289</v>
      </c>
      <c r="J79" s="11">
        <f>I79-H79*K79</f>
        <v>-1189.32667397366</v>
      </c>
      <c r="K79" s="11">
        <f>I79-MIN(('Geometry'!$G$13*COS(RADIANS(F79))+'Geometry'!$F$13*SIN(RADIANS(F79))),('Geometry'!$G$14*COS(RADIANS(F79))+'Geometry'!$F$14*SIN(RADIANS(F79))),('Geometry'!$G$15*COS(RADIANS(F79))+'Geometry'!$F$15*SIN(RADIANS(F79))),('Geometry'!$G$16*COS(RADIANS(F79))+'Geometry'!$F$16*SIN(RADIANS(F79))),('Geometry'!$G$17*COS(RADIANS(F79))+'Geometry'!$F$17*SIN(RADIANS(F79))),('Geometry'!$G$18*COS(RADIANS(F79))+'Geometry'!$F$18*SIN(RADIANS(F79))),('Geometry'!$G$19*COS(RADIANS(F79))+'Geometry'!$F$19*SIN(RADIANS(F79))),('Geometry'!$G$20*COS(RADIANS(F79))+'Geometry'!$F$20*SIN(RADIANS(F79))))</f>
        <v>1699.0381056766578</v>
      </c>
      <c r="L79" s="16">
        <f>C_ecu</f>
        <v>0.0033</v>
      </c>
      <c r="M79" s="16">
        <f>0</f>
        <v>0</v>
      </c>
      <c r="N79" s="22">
        <f>IF(ABS(I79-J79)&lt;0.000000000001,0,(L79-M79)/(I79-J79))</f>
        <v>0.0000016185628743769625</v>
      </c>
      <c r="O79" s="16">
        <f>L79-N79*I79</f>
        <v>0.0019249999999999998</v>
      </c>
      <c r="P79" s="22">
        <f>N79*COS(RADIANS(F79))</f>
        <v>-8.092814371884808e-7</v>
      </c>
      <c r="Q79" s="22">
        <f>N79*SIN(RADIANS(F79))</f>
        <v>0.0000014017165668328106</v>
      </c>
      <c r="R79" s="11">
        <f>AP79</f>
        <v>15289.862634204503</v>
      </c>
      <c r="S79" s="11">
        <f>AQ79</f>
        <v>-455.2441278731139</v>
      </c>
      <c r="T79" s="11">
        <f>AR79</f>
        <v>1020.0726879504844</v>
      </c>
      <c r="U79" s="11">
        <f>AS79</f>
        <v>2380.4829812787325</v>
      </c>
      <c r="V79" s="11">
        <f>AT79</f>
        <v>-140.20476027321544</v>
      </c>
      <c r="W79" s="11">
        <f>AU79</f>
        <v>326.52657904289595</v>
      </c>
      <c r="X79" s="11">
        <f>AM79</f>
        <v>17670.345615483235</v>
      </c>
      <c r="Y79" s="11">
        <f>AN79</f>
        <v>-595.4488881463294</v>
      </c>
      <c r="Z79" s="11">
        <f>AO79</f>
        <v>1346.5992669933803</v>
      </c>
      <c r="AA79" s="7">
        <v>1</v>
      </c>
      <c r="AB79" s="7">
        <v>1</v>
      </c>
      <c r="AC79" s="7">
        <v>1</v>
      </c>
      <c r="AD79" s="11">
        <f>X79*AA79</f>
        <v>17670.345615483235</v>
      </c>
      <c r="AE79" s="11">
        <f>Y79*AB79</f>
        <v>-595.4488881463294</v>
      </c>
      <c r="AF79" s="11">
        <f>Z79*AC79</f>
        <v>1346.5992669933803</v>
      </c>
      <c r="AG79" s="7">
        <v>17670.345615483235</v>
      </c>
      <c r="AH79" s="7">
        <v>-595.4488881463294</v>
      </c>
      <c r="AI79" s="7">
        <v>1346.5992669933803</v>
      </c>
      <c r="AJ79" s="16">
        <f>AD79-AG79</f>
        <v>0</v>
      </c>
      <c r="AK79" s="16">
        <f>SQRT((AE79-AH79)^2+(AF79-AI79)^2)</f>
        <v>0</v>
      </c>
      <c r="AL79" s="7" t="s">
        <v>190</v>
      </c>
      <c r="AM79" s="7">
        <v>17670.345615483235</v>
      </c>
      <c r="AN79" s="7">
        <v>-595.4488881463294</v>
      </c>
      <c r="AO79" s="7">
        <v>1346.5992669933803</v>
      </c>
      <c r="AP79" s="7">
        <v>15289.862634204503</v>
      </c>
      <c r="AQ79" s="7">
        <v>-455.2441278731139</v>
      </c>
      <c r="AR79" s="7">
        <v>1020.0726879504844</v>
      </c>
      <c r="AS79" s="7">
        <v>2380.4829812787325</v>
      </c>
      <c r="AT79" s="7">
        <v>-140.20476027321544</v>
      </c>
      <c r="AU79" s="7">
        <v>326.52657904289595</v>
      </c>
    </row>
    <row r="80" spans="1:47" x14ac:dyDescent="0.25">
      <c r="A80" s="7" t="s">
        <v>340</v>
      </c>
      <c r="B80" s="7">
        <v>5</v>
      </c>
      <c r="C80" s="19">
        <v>120</v>
      </c>
      <c r="D80" s="7" t="s">
        <v>341</v>
      </c>
      <c r="E80" s="7" t="s">
        <v>613</v>
      </c>
      <c r="F80" s="20">
        <v>120</v>
      </c>
      <c r="G80" s="7" t="s">
        <v>194</v>
      </c>
      <c r="H80" s="21">
        <v>1.1</v>
      </c>
      <c r="I80" s="11">
        <f>MAX(('Geometry'!$G$13*COS(RADIANS(F80))+'Geometry'!$F$13*SIN(RADIANS(F80))),('Geometry'!$G$14*COS(RADIANS(F80))+'Geometry'!$F$14*SIN(RADIANS(F80))),('Geometry'!$G$15*COS(RADIANS(F80))+'Geometry'!$F$15*SIN(RADIANS(F80))),('Geometry'!$G$16*COS(RADIANS(F80))+'Geometry'!$F$16*SIN(RADIANS(F80))),('Geometry'!$G$17*COS(RADIANS(F80))+'Geometry'!$F$17*SIN(RADIANS(F80))),('Geometry'!$G$18*COS(RADIANS(F80))+'Geometry'!$F$18*SIN(RADIANS(F80))),('Geometry'!$G$19*COS(RADIANS(F80))+'Geometry'!$F$19*SIN(RADIANS(F80))),('Geometry'!$G$20*COS(RADIANS(F80))+'Geometry'!$F$20*SIN(RADIANS(F80))))</f>
        <v>849.5190528383289</v>
      </c>
      <c r="J80" s="11">
        <f>I80-H80*K80</f>
        <v>-1019.4228634059948</v>
      </c>
      <c r="K80" s="11">
        <f>I80-MIN(('Geometry'!$G$13*COS(RADIANS(F80))+'Geometry'!$F$13*SIN(RADIANS(F80))),('Geometry'!$G$14*COS(RADIANS(F80))+'Geometry'!$F$14*SIN(RADIANS(F80))),('Geometry'!$G$15*COS(RADIANS(F80))+'Geometry'!$F$15*SIN(RADIANS(F80))),('Geometry'!$G$16*COS(RADIANS(F80))+'Geometry'!$F$16*SIN(RADIANS(F80))),('Geometry'!$G$17*COS(RADIANS(F80))+'Geometry'!$F$17*SIN(RADIANS(F80))),('Geometry'!$G$18*COS(RADIANS(F80))+'Geometry'!$F$18*SIN(RADIANS(F80))),('Geometry'!$G$19*COS(RADIANS(F80))+'Geometry'!$F$19*SIN(RADIANS(F80))),('Geometry'!$G$20*COS(RADIANS(F80))+'Geometry'!$F$20*SIN(RADIANS(F80))))</f>
        <v>1699.0381056766578</v>
      </c>
      <c r="L80" s="16">
        <f>C_ecu</f>
        <v>0.0033</v>
      </c>
      <c r="M80" s="16">
        <f>0</f>
        <v>0</v>
      </c>
      <c r="N80" s="22">
        <f>IF(ABS(I80-J80)&lt;0.000000000001,0,(L80-M80)/(I80-J80))</f>
        <v>0.000001765704953865777</v>
      </c>
      <c r="O80" s="16">
        <f>L80-N80*I80</f>
        <v>0.0018000000000000002</v>
      </c>
      <c r="P80" s="22">
        <f>N80*COS(RADIANS(F80))</f>
        <v>-8.828524769328879e-7</v>
      </c>
      <c r="Q80" s="22">
        <f>N80*SIN(RADIANS(F80))</f>
        <v>0.000001529145345635793</v>
      </c>
      <c r="R80" s="11">
        <f>AP80</f>
        <v>15289.862634204503</v>
      </c>
      <c r="S80" s="11">
        <f>AQ80</f>
        <v>-569.0551598413924</v>
      </c>
      <c r="T80" s="11">
        <f>AR80</f>
        <v>1275.0908599381055</v>
      </c>
      <c r="U80" s="11">
        <f>AS80</f>
        <v>2380.4829812787325</v>
      </c>
      <c r="V80" s="11">
        <f>AT80</f>
        <v>-175.2559503415193</v>
      </c>
      <c r="W80" s="11">
        <f>AU80</f>
        <v>408.15822380362</v>
      </c>
      <c r="X80" s="11">
        <f>AM80</f>
        <v>17670.345615483235</v>
      </c>
      <c r="Y80" s="11">
        <f>AN80</f>
        <v>-744.3111101829118</v>
      </c>
      <c r="Z80" s="11">
        <f>AO80</f>
        <v>1683.2490837417256</v>
      </c>
      <c r="AA80" s="7">
        <v>1</v>
      </c>
      <c r="AB80" s="7">
        <v>1</v>
      </c>
      <c r="AC80" s="7">
        <v>1</v>
      </c>
      <c r="AD80" s="11">
        <f>X80*AA80</f>
        <v>17670.345615483235</v>
      </c>
      <c r="AE80" s="11">
        <f>Y80*AB80</f>
        <v>-744.3111101829118</v>
      </c>
      <c r="AF80" s="11">
        <f>Z80*AC80</f>
        <v>1683.2490837417256</v>
      </c>
      <c r="AG80" s="7">
        <v>17670.345615483235</v>
      </c>
      <c r="AH80" s="7">
        <v>-744.3111101829118</v>
      </c>
      <c r="AI80" s="7">
        <v>1683.2490837417256</v>
      </c>
      <c r="AJ80" s="16">
        <f>AD80-AG80</f>
        <v>0</v>
      </c>
      <c r="AK80" s="16">
        <f>SQRT((AE80-AH80)^2+(AF80-AI80)^2)</f>
        <v>0</v>
      </c>
      <c r="AL80" s="7" t="s">
        <v>190</v>
      </c>
      <c r="AM80" s="7">
        <v>17670.345615483235</v>
      </c>
      <c r="AN80" s="7">
        <v>-744.3111101829118</v>
      </c>
      <c r="AO80" s="7">
        <v>1683.2490837417256</v>
      </c>
      <c r="AP80" s="7">
        <v>15289.862634204503</v>
      </c>
      <c r="AQ80" s="7">
        <v>-569.0551598413924</v>
      </c>
      <c r="AR80" s="7">
        <v>1275.0908599381055</v>
      </c>
      <c r="AS80" s="7">
        <v>2380.4829812787325</v>
      </c>
      <c r="AT80" s="7">
        <v>-175.2559503415193</v>
      </c>
      <c r="AU80" s="7">
        <v>408.15822380362</v>
      </c>
    </row>
    <row r="81" spans="1:47" x14ac:dyDescent="0.25">
      <c r="A81" s="7" t="s">
        <v>342</v>
      </c>
      <c r="B81" s="7">
        <v>6</v>
      </c>
      <c r="C81" s="19">
        <v>120</v>
      </c>
      <c r="D81" s="7" t="s">
        <v>343</v>
      </c>
      <c r="E81" s="7" t="s">
        <v>614</v>
      </c>
      <c r="F81" s="20">
        <v>120</v>
      </c>
      <c r="G81" s="7" t="s">
        <v>194</v>
      </c>
      <c r="H81" s="21">
        <v>1</v>
      </c>
      <c r="I81" s="11">
        <f>MAX(('Geometry'!$G$13*COS(RADIANS(F81))+'Geometry'!$F$13*SIN(RADIANS(F81))),('Geometry'!$G$14*COS(RADIANS(F81))+'Geometry'!$F$14*SIN(RADIANS(F81))),('Geometry'!$G$15*COS(RADIANS(F81))+'Geometry'!$F$15*SIN(RADIANS(F81))),('Geometry'!$G$16*COS(RADIANS(F81))+'Geometry'!$F$16*SIN(RADIANS(F81))),('Geometry'!$G$17*COS(RADIANS(F81))+'Geometry'!$F$17*SIN(RADIANS(F81))),('Geometry'!$G$18*COS(RADIANS(F81))+'Geometry'!$F$18*SIN(RADIANS(F81))),('Geometry'!$G$19*COS(RADIANS(F81))+'Geometry'!$F$19*SIN(RADIANS(F81))),('Geometry'!$G$20*COS(RADIANS(F81))+'Geometry'!$F$20*SIN(RADIANS(F81))))</f>
        <v>849.5190528383289</v>
      </c>
      <c r="J81" s="11">
        <f>I81-H81*K81</f>
        <v>-849.5190528383289</v>
      </c>
      <c r="K81" s="11">
        <f>I81-MIN(('Geometry'!$G$13*COS(RADIANS(F81))+'Geometry'!$F$13*SIN(RADIANS(F81))),('Geometry'!$G$14*COS(RADIANS(F81))+'Geometry'!$F$14*SIN(RADIANS(F81))),('Geometry'!$G$15*COS(RADIANS(F81))+'Geometry'!$F$15*SIN(RADIANS(F81))),('Geometry'!$G$16*COS(RADIANS(F81))+'Geometry'!$F$16*SIN(RADIANS(F81))),('Geometry'!$G$17*COS(RADIANS(F81))+'Geometry'!$F$17*SIN(RADIANS(F81))),('Geometry'!$G$18*COS(RADIANS(F81))+'Geometry'!$F$18*SIN(RADIANS(F81))),('Geometry'!$G$19*COS(RADIANS(F81))+'Geometry'!$F$19*SIN(RADIANS(F81))),('Geometry'!$G$20*COS(RADIANS(F81))+'Geometry'!$F$20*SIN(RADIANS(F81))))</f>
        <v>1699.0381056766578</v>
      </c>
      <c r="L81" s="16">
        <f>C_ecu</f>
        <v>0.0033</v>
      </c>
      <c r="M81" s="16">
        <f>0</f>
        <v>0</v>
      </c>
      <c r="N81" s="22">
        <f>IF(ABS(I81-J81)&lt;0.000000000001,0,(L81-M81)/(I81-J81))</f>
        <v>0.0000019422754492523546</v>
      </c>
      <c r="O81" s="16">
        <f>L81-N81*I81</f>
        <v>0.00165</v>
      </c>
      <c r="P81" s="22">
        <f>N81*COS(RADIANS(F81))</f>
        <v>-9.711377246261769e-7</v>
      </c>
      <c r="Q81" s="22">
        <f>N81*SIN(RADIANS(F81))</f>
        <v>0.0000016820598801993726</v>
      </c>
      <c r="R81" s="11">
        <f>AP81</f>
        <v>15289.862634204503</v>
      </c>
      <c r="S81" s="11">
        <f>AQ81</f>
        <v>-682.8661918096707</v>
      </c>
      <c r="T81" s="11">
        <f>AR81</f>
        <v>1530.1090319257264</v>
      </c>
      <c r="U81" s="11">
        <f>AS81</f>
        <v>2380.4829812787325</v>
      </c>
      <c r="V81" s="11">
        <f>AT81</f>
        <v>-210.30714040982315</v>
      </c>
      <c r="W81" s="11">
        <f>AU81</f>
        <v>489.7898685643439</v>
      </c>
      <c r="X81" s="11">
        <f>AM81</f>
        <v>17670.345615483235</v>
      </c>
      <c r="Y81" s="11">
        <f>AN81</f>
        <v>-893.173332219494</v>
      </c>
      <c r="Z81" s="11">
        <f>AO81</f>
        <v>2019.8989004900707</v>
      </c>
      <c r="AA81" s="7">
        <v>1</v>
      </c>
      <c r="AB81" s="7">
        <v>1</v>
      </c>
      <c r="AC81" s="7">
        <v>1</v>
      </c>
      <c r="AD81" s="11">
        <f>X81*AA81</f>
        <v>17670.345615483235</v>
      </c>
      <c r="AE81" s="11">
        <f>Y81*AB81</f>
        <v>-893.173332219494</v>
      </c>
      <c r="AF81" s="11">
        <f>Z81*AC81</f>
        <v>2019.8989004900707</v>
      </c>
      <c r="AG81" s="7">
        <v>17670.345615483235</v>
      </c>
      <c r="AH81" s="7">
        <v>-893.173332219494</v>
      </c>
      <c r="AI81" s="7">
        <v>2019.8989004900707</v>
      </c>
      <c r="AJ81" s="16">
        <f>AD81-AG81</f>
        <v>0</v>
      </c>
      <c r="AK81" s="16">
        <f>SQRT((AE81-AH81)^2+(AF81-AI81)^2)</f>
        <v>0</v>
      </c>
      <c r="AL81" s="7" t="s">
        <v>190</v>
      </c>
      <c r="AM81" s="7">
        <v>17670.345615483235</v>
      </c>
      <c r="AN81" s="7">
        <v>-893.173332219494</v>
      </c>
      <c r="AO81" s="7">
        <v>2019.8989004900707</v>
      </c>
      <c r="AP81" s="7">
        <v>15289.862634204503</v>
      </c>
      <c r="AQ81" s="7">
        <v>-682.8661918096707</v>
      </c>
      <c r="AR81" s="7">
        <v>1530.1090319257264</v>
      </c>
      <c r="AS81" s="7">
        <v>2380.4829812787325</v>
      </c>
      <c r="AT81" s="7">
        <v>-210.30714040982315</v>
      </c>
      <c r="AU81" s="7">
        <v>489.7898685643439</v>
      </c>
    </row>
    <row r="82" spans="1:47" x14ac:dyDescent="0.25">
      <c r="A82" s="7" t="s">
        <v>344</v>
      </c>
      <c r="B82" s="7">
        <v>1</v>
      </c>
      <c r="C82" s="19">
        <v>130</v>
      </c>
      <c r="D82" s="7" t="s">
        <v>345</v>
      </c>
      <c r="E82" s="7" t="s">
        <v>609</v>
      </c>
      <c r="F82" s="20">
        <v>130</v>
      </c>
      <c r="G82" s="7" t="s">
        <v>194</v>
      </c>
      <c r="H82" s="21">
        <v>2.9999999999999996</v>
      </c>
      <c r="I82" s="11">
        <f>MAX(('Geometry'!$G$13*COS(RADIANS(F82))+'Geometry'!$F$13*SIN(RADIANS(F82))),('Geometry'!$G$14*COS(RADIANS(F82))+'Geometry'!$F$14*SIN(RADIANS(F82))),('Geometry'!$G$15*COS(RADIANS(F82))+'Geometry'!$F$15*SIN(RADIANS(F82))),('Geometry'!$G$16*COS(RADIANS(F82))+'Geometry'!$F$16*SIN(RADIANS(F82))),('Geometry'!$G$17*COS(RADIANS(F82))+'Geometry'!$F$17*SIN(RADIANS(F82))),('Geometry'!$G$18*COS(RADIANS(F82))+'Geometry'!$F$18*SIN(RADIANS(F82))),('Geometry'!$G$19*COS(RADIANS(F82))+'Geometry'!$F$19*SIN(RADIANS(F82))),('Geometry'!$G$20*COS(RADIANS(F82))+'Geometry'!$F$20*SIN(RADIANS(F82))))</f>
        <v>831.6483762138494</v>
      </c>
      <c r="J82" s="11">
        <f>I82-H82*K82</f>
        <v>-4158.241881069246</v>
      </c>
      <c r="K82" s="11">
        <f>I82-MIN(('Geometry'!$G$13*COS(RADIANS(F82))+'Geometry'!$F$13*SIN(RADIANS(F82))),('Geometry'!$G$14*COS(RADIANS(F82))+'Geometry'!$F$14*SIN(RADIANS(F82))),('Geometry'!$G$15*COS(RADIANS(F82))+'Geometry'!$F$15*SIN(RADIANS(F82))),('Geometry'!$G$16*COS(RADIANS(F82))+'Geometry'!$F$16*SIN(RADIANS(F82))),('Geometry'!$G$17*COS(RADIANS(F82))+'Geometry'!$F$17*SIN(RADIANS(F82))),('Geometry'!$G$18*COS(RADIANS(F82))+'Geometry'!$F$18*SIN(RADIANS(F82))),('Geometry'!$G$19*COS(RADIANS(F82))+'Geometry'!$F$19*SIN(RADIANS(F82))),('Geometry'!$G$20*COS(RADIANS(F82))+'Geometry'!$F$20*SIN(RADIANS(F82))))</f>
        <v>1663.2967524276987</v>
      </c>
      <c r="L82" s="16">
        <f>C_ecu</f>
        <v>0.0033</v>
      </c>
      <c r="M82" s="16">
        <f>0</f>
        <v>0</v>
      </c>
      <c r="N82" s="22">
        <f>IF(ABS(I82-J82)&lt;0.000000000001,0,(L82-M82)/(I82-J82))</f>
        <v>6.613371897675341e-7</v>
      </c>
      <c r="O82" s="16">
        <f>L82-N82*I82</f>
        <v>0.00275</v>
      </c>
      <c r="P82" s="22">
        <f>N82*COS(RADIANS(F82))</f>
        <v>-4.250993514074865e-7</v>
      </c>
      <c r="Q82" s="22">
        <f>N82*SIN(RADIANS(F82))</f>
        <v>5.066136792493406e-7</v>
      </c>
      <c r="R82" s="11">
        <f>AP82</f>
        <v>15287.747049920245</v>
      </c>
      <c r="S82" s="11">
        <f>AQ82</f>
        <v>-147.096123398559</v>
      </c>
      <c r="T82" s="11">
        <f>AR82</f>
        <v>232.8027432923725</v>
      </c>
      <c r="U82" s="11">
        <f>AS82</f>
        <v>2382.5985655629893</v>
      </c>
      <c r="V82" s="11">
        <f>AT82</f>
        <v>-46.6022376678112</v>
      </c>
      <c r="W82" s="11">
        <f>AU82</f>
        <v>73.95910651624482</v>
      </c>
      <c r="X82" s="11">
        <f>AM82</f>
        <v>17670.345615483235</v>
      </c>
      <c r="Y82" s="11">
        <f>AN82</f>
        <v>-193.6983610663702</v>
      </c>
      <c r="Z82" s="11">
        <f>AO82</f>
        <v>306.7618498086173</v>
      </c>
      <c r="AA82" s="7">
        <v>1</v>
      </c>
      <c r="AB82" s="7">
        <v>1</v>
      </c>
      <c r="AC82" s="7">
        <v>1</v>
      </c>
      <c r="AD82" s="11">
        <f>X82*AA82</f>
        <v>17670.345615483235</v>
      </c>
      <c r="AE82" s="11">
        <f>Y82*AB82</f>
        <v>-193.6983610663702</v>
      </c>
      <c r="AF82" s="11">
        <f>Z82*AC82</f>
        <v>306.7618498086173</v>
      </c>
      <c r="AG82" s="7">
        <v>17670.345615483235</v>
      </c>
      <c r="AH82" s="7">
        <v>-193.6983610663702</v>
      </c>
      <c r="AI82" s="7">
        <v>306.7618498086173</v>
      </c>
      <c r="AJ82" s="16">
        <f>AD82-AG82</f>
        <v>0</v>
      </c>
      <c r="AK82" s="16">
        <f>SQRT((AE82-AH82)^2+(AF82-AI82)^2)</f>
        <v>0</v>
      </c>
      <c r="AL82" s="7" t="s">
        <v>190</v>
      </c>
      <c r="AM82" s="7">
        <v>17670.345615483235</v>
      </c>
      <c r="AN82" s="7">
        <v>-193.6983610663702</v>
      </c>
      <c r="AO82" s="7">
        <v>306.7618498086173</v>
      </c>
      <c r="AP82" s="7">
        <v>15287.747049920245</v>
      </c>
      <c r="AQ82" s="7">
        <v>-147.096123398559</v>
      </c>
      <c r="AR82" s="7">
        <v>232.8027432923725</v>
      </c>
      <c r="AS82" s="7">
        <v>2382.5985655629893</v>
      </c>
      <c r="AT82" s="7">
        <v>-46.6022376678112</v>
      </c>
      <c r="AU82" s="7">
        <v>73.95910651624482</v>
      </c>
    </row>
    <row r="83" spans="1:47" x14ac:dyDescent="0.25">
      <c r="A83" s="7" t="s">
        <v>346</v>
      </c>
      <c r="B83" s="7">
        <v>2</v>
      </c>
      <c r="C83" s="19">
        <v>130</v>
      </c>
      <c r="D83" s="7" t="s">
        <v>347</v>
      </c>
      <c r="E83" s="7" t="s">
        <v>610</v>
      </c>
      <c r="F83" s="20">
        <v>130</v>
      </c>
      <c r="G83" s="7" t="s">
        <v>194</v>
      </c>
      <c r="H83" s="21">
        <v>2</v>
      </c>
      <c r="I83" s="11">
        <f>MAX(('Geometry'!$G$13*COS(RADIANS(F83))+'Geometry'!$F$13*SIN(RADIANS(F83))),('Geometry'!$G$14*COS(RADIANS(F83))+'Geometry'!$F$14*SIN(RADIANS(F83))),('Geometry'!$G$15*COS(RADIANS(F83))+'Geometry'!$F$15*SIN(RADIANS(F83))),('Geometry'!$G$16*COS(RADIANS(F83))+'Geometry'!$F$16*SIN(RADIANS(F83))),('Geometry'!$G$17*COS(RADIANS(F83))+'Geometry'!$F$17*SIN(RADIANS(F83))),('Geometry'!$G$18*COS(RADIANS(F83))+'Geometry'!$F$18*SIN(RADIANS(F83))),('Geometry'!$G$19*COS(RADIANS(F83))+'Geometry'!$F$19*SIN(RADIANS(F83))),('Geometry'!$G$20*COS(RADIANS(F83))+'Geometry'!$F$20*SIN(RADIANS(F83))))</f>
        <v>831.6483762138494</v>
      </c>
      <c r="J83" s="11">
        <f>I83-H83*K83</f>
        <v>-2494.945128641548</v>
      </c>
      <c r="K83" s="11">
        <f>I83-MIN(('Geometry'!$G$13*COS(RADIANS(F83))+'Geometry'!$F$13*SIN(RADIANS(F83))),('Geometry'!$G$14*COS(RADIANS(F83))+'Geometry'!$F$14*SIN(RADIANS(F83))),('Geometry'!$G$15*COS(RADIANS(F83))+'Geometry'!$F$15*SIN(RADIANS(F83))),('Geometry'!$G$16*COS(RADIANS(F83))+'Geometry'!$F$16*SIN(RADIANS(F83))),('Geometry'!$G$17*COS(RADIANS(F83))+'Geometry'!$F$17*SIN(RADIANS(F83))),('Geometry'!$G$18*COS(RADIANS(F83))+'Geometry'!$F$18*SIN(RADIANS(F83))),('Geometry'!$G$19*COS(RADIANS(F83))+'Geometry'!$F$19*SIN(RADIANS(F83))),('Geometry'!$G$20*COS(RADIANS(F83))+'Geometry'!$F$20*SIN(RADIANS(F83))))</f>
        <v>1663.2967524276987</v>
      </c>
      <c r="L83" s="16">
        <f>C_ecu</f>
        <v>0.0033</v>
      </c>
      <c r="M83" s="16">
        <f>0</f>
        <v>0</v>
      </c>
      <c r="N83" s="22">
        <f>IF(ABS(I83-J83)&lt;0.000000000001,0,(L83-M83)/(I83-J83))</f>
        <v>9.92005784651301e-7</v>
      </c>
      <c r="O83" s="16">
        <f>L83-N83*I83</f>
        <v>0.0024749999999999998</v>
      </c>
      <c r="P83" s="22">
        <f>N83*COS(RADIANS(F83))</f>
        <v>-6.376490271112297e-7</v>
      </c>
      <c r="Q83" s="22">
        <f>N83*SIN(RADIANS(F83))</f>
        <v>7.599205188740108e-7</v>
      </c>
      <c r="R83" s="11">
        <f>AP83</f>
        <v>15287.747049920245</v>
      </c>
      <c r="S83" s="11">
        <f>AQ83</f>
        <v>-294.192246797118</v>
      </c>
      <c r="T83" s="11">
        <f>AR83</f>
        <v>465.605486584745</v>
      </c>
      <c r="U83" s="11">
        <f>AS83</f>
        <v>2382.5985655629893</v>
      </c>
      <c r="V83" s="11">
        <f>AT83</f>
        <v>-93.2044753356224</v>
      </c>
      <c r="W83" s="11">
        <f>AU83</f>
        <v>147.91821303248963</v>
      </c>
      <c r="X83" s="11">
        <f>AM83</f>
        <v>17670.345615483235</v>
      </c>
      <c r="Y83" s="11">
        <f>AN83</f>
        <v>-387.3967221327404</v>
      </c>
      <c r="Z83" s="11">
        <f>AO83</f>
        <v>613.5236996172346</v>
      </c>
      <c r="AA83" s="7">
        <v>1</v>
      </c>
      <c r="AB83" s="7">
        <v>1</v>
      </c>
      <c r="AC83" s="7">
        <v>1</v>
      </c>
      <c r="AD83" s="11">
        <f>X83*AA83</f>
        <v>17670.345615483235</v>
      </c>
      <c r="AE83" s="11">
        <f>Y83*AB83</f>
        <v>-387.3967221327404</v>
      </c>
      <c r="AF83" s="11">
        <f>Z83*AC83</f>
        <v>613.5236996172346</v>
      </c>
      <c r="AG83" s="7">
        <v>17670.345615483235</v>
      </c>
      <c r="AH83" s="7">
        <v>-387.3967221327404</v>
      </c>
      <c r="AI83" s="7">
        <v>613.5236996172346</v>
      </c>
      <c r="AJ83" s="16">
        <f>AD83-AG83</f>
        <v>0</v>
      </c>
      <c r="AK83" s="16">
        <f>SQRT((AE83-AH83)^2+(AF83-AI83)^2)</f>
        <v>0</v>
      </c>
      <c r="AL83" s="7" t="s">
        <v>190</v>
      </c>
      <c r="AM83" s="7">
        <v>17670.345615483235</v>
      </c>
      <c r="AN83" s="7">
        <v>-387.3967221327404</v>
      </c>
      <c r="AO83" s="7">
        <v>613.5236996172346</v>
      </c>
      <c r="AP83" s="7">
        <v>15287.747049920245</v>
      </c>
      <c r="AQ83" s="7">
        <v>-294.192246797118</v>
      </c>
      <c r="AR83" s="7">
        <v>465.605486584745</v>
      </c>
      <c r="AS83" s="7">
        <v>2382.5985655629893</v>
      </c>
      <c r="AT83" s="7">
        <v>-93.2044753356224</v>
      </c>
      <c r="AU83" s="7">
        <v>147.91821303248963</v>
      </c>
    </row>
    <row r="84" spans="1:47" x14ac:dyDescent="0.25">
      <c r="A84" s="7" t="s">
        <v>348</v>
      </c>
      <c r="B84" s="7">
        <v>3</v>
      </c>
      <c r="C84" s="19">
        <v>130</v>
      </c>
      <c r="D84" s="7" t="s">
        <v>349</v>
      </c>
      <c r="E84" s="7" t="s">
        <v>611</v>
      </c>
      <c r="F84" s="20">
        <v>130</v>
      </c>
      <c r="G84" s="7" t="s">
        <v>194</v>
      </c>
      <c r="H84" s="21">
        <v>1.4999999999999998</v>
      </c>
      <c r="I84" s="11">
        <f>MAX(('Geometry'!$G$13*COS(RADIANS(F84))+'Geometry'!$F$13*SIN(RADIANS(F84))),('Geometry'!$G$14*COS(RADIANS(F84))+'Geometry'!$F$14*SIN(RADIANS(F84))),('Geometry'!$G$15*COS(RADIANS(F84))+'Geometry'!$F$15*SIN(RADIANS(F84))),('Geometry'!$G$16*COS(RADIANS(F84))+'Geometry'!$F$16*SIN(RADIANS(F84))),('Geometry'!$G$17*COS(RADIANS(F84))+'Geometry'!$F$17*SIN(RADIANS(F84))),('Geometry'!$G$18*COS(RADIANS(F84))+'Geometry'!$F$18*SIN(RADIANS(F84))),('Geometry'!$G$19*COS(RADIANS(F84))+'Geometry'!$F$19*SIN(RADIANS(F84))),('Geometry'!$G$20*COS(RADIANS(F84))+'Geometry'!$F$20*SIN(RADIANS(F84))))</f>
        <v>831.6483762138494</v>
      </c>
      <c r="J84" s="11">
        <f>I84-H84*K84</f>
        <v>-1663.2967524276983</v>
      </c>
      <c r="K84" s="11">
        <f>I84-MIN(('Geometry'!$G$13*COS(RADIANS(F84))+'Geometry'!$F$13*SIN(RADIANS(F84))),('Geometry'!$G$14*COS(RADIANS(F84))+'Geometry'!$F$14*SIN(RADIANS(F84))),('Geometry'!$G$15*COS(RADIANS(F84))+'Geometry'!$F$15*SIN(RADIANS(F84))),('Geometry'!$G$16*COS(RADIANS(F84))+'Geometry'!$F$16*SIN(RADIANS(F84))),('Geometry'!$G$17*COS(RADIANS(F84))+'Geometry'!$F$17*SIN(RADIANS(F84))),('Geometry'!$G$18*COS(RADIANS(F84))+'Geometry'!$F$18*SIN(RADIANS(F84))),('Geometry'!$G$19*COS(RADIANS(F84))+'Geometry'!$F$19*SIN(RADIANS(F84))),('Geometry'!$G$20*COS(RADIANS(F84))+'Geometry'!$F$20*SIN(RADIANS(F84))))</f>
        <v>1663.2967524276987</v>
      </c>
      <c r="L84" s="16">
        <f>C_ecu</f>
        <v>0.0033</v>
      </c>
      <c r="M84" s="16">
        <f>0</f>
        <v>0</v>
      </c>
      <c r="N84" s="22">
        <f>IF(ABS(I84-J84)&lt;0.000000000001,0,(L84-M84)/(I84-J84))</f>
        <v>0.0000013226743795350681</v>
      </c>
      <c r="O84" s="16">
        <f>L84-N84*I84</f>
        <v>0.0021999999999999997</v>
      </c>
      <c r="P84" s="22">
        <f>N84*COS(RADIANS(F84))</f>
        <v>-8.50198702814973e-7</v>
      </c>
      <c r="Q84" s="22">
        <f>N84*SIN(RADIANS(F84))</f>
        <v>0.0000010132273584986811</v>
      </c>
      <c r="R84" s="11">
        <f>AP84</f>
        <v>15287.747049920245</v>
      </c>
      <c r="S84" s="11">
        <f>AQ84</f>
        <v>-441.28837019567703</v>
      </c>
      <c r="T84" s="11">
        <f>AR84</f>
        <v>698.4082298771174</v>
      </c>
      <c r="U84" s="11">
        <f>AS84</f>
        <v>2382.5985655629893</v>
      </c>
      <c r="V84" s="11">
        <f>AT84</f>
        <v>-139.80671300343363</v>
      </c>
      <c r="W84" s="11">
        <f>AU84</f>
        <v>221.87731954873445</v>
      </c>
      <c r="X84" s="11">
        <f>AM84</f>
        <v>17670.345615483235</v>
      </c>
      <c r="Y84" s="11">
        <f>AN84</f>
        <v>-581.0950831991106</v>
      </c>
      <c r="Z84" s="11">
        <f>AO84</f>
        <v>920.285549425852</v>
      </c>
      <c r="AA84" s="7">
        <v>1</v>
      </c>
      <c r="AB84" s="7">
        <v>1</v>
      </c>
      <c r="AC84" s="7">
        <v>1</v>
      </c>
      <c r="AD84" s="11">
        <f>X84*AA84</f>
        <v>17670.345615483235</v>
      </c>
      <c r="AE84" s="11">
        <f>Y84*AB84</f>
        <v>-581.0950831991106</v>
      </c>
      <c r="AF84" s="11">
        <f>Z84*AC84</f>
        <v>920.285549425852</v>
      </c>
      <c r="AG84" s="7">
        <v>17670.345615483235</v>
      </c>
      <c r="AH84" s="7">
        <v>-581.0950831991106</v>
      </c>
      <c r="AI84" s="7">
        <v>920.285549425852</v>
      </c>
      <c r="AJ84" s="16">
        <f>AD84-AG84</f>
        <v>0</v>
      </c>
      <c r="AK84" s="16">
        <f>SQRT((AE84-AH84)^2+(AF84-AI84)^2)</f>
        <v>0</v>
      </c>
      <c r="AL84" s="7" t="s">
        <v>190</v>
      </c>
      <c r="AM84" s="7">
        <v>17670.345615483235</v>
      </c>
      <c r="AN84" s="7">
        <v>-581.0950831991106</v>
      </c>
      <c r="AO84" s="7">
        <v>920.285549425852</v>
      </c>
      <c r="AP84" s="7">
        <v>15287.747049920245</v>
      </c>
      <c r="AQ84" s="7">
        <v>-441.28837019567703</v>
      </c>
      <c r="AR84" s="7">
        <v>698.4082298771174</v>
      </c>
      <c r="AS84" s="7">
        <v>2382.5985655629893</v>
      </c>
      <c r="AT84" s="7">
        <v>-139.80671300343363</v>
      </c>
      <c r="AU84" s="7">
        <v>221.87731954873445</v>
      </c>
    </row>
    <row r="85" spans="1:47" x14ac:dyDescent="0.25">
      <c r="A85" s="7" t="s">
        <v>350</v>
      </c>
      <c r="B85" s="7">
        <v>4</v>
      </c>
      <c r="C85" s="19">
        <v>130</v>
      </c>
      <c r="D85" s="7" t="s">
        <v>351</v>
      </c>
      <c r="E85" s="7" t="s">
        <v>612</v>
      </c>
      <c r="F85" s="20">
        <v>130</v>
      </c>
      <c r="G85" s="7" t="s">
        <v>194</v>
      </c>
      <c r="H85" s="21">
        <v>1.2</v>
      </c>
      <c r="I85" s="11">
        <f>MAX(('Geometry'!$G$13*COS(RADIANS(F85))+'Geometry'!$F$13*SIN(RADIANS(F85))),('Geometry'!$G$14*COS(RADIANS(F85))+'Geometry'!$F$14*SIN(RADIANS(F85))),('Geometry'!$G$15*COS(RADIANS(F85))+'Geometry'!$F$15*SIN(RADIANS(F85))),('Geometry'!$G$16*COS(RADIANS(F85))+'Geometry'!$F$16*SIN(RADIANS(F85))),('Geometry'!$G$17*COS(RADIANS(F85))+'Geometry'!$F$17*SIN(RADIANS(F85))),('Geometry'!$G$18*COS(RADIANS(F85))+'Geometry'!$F$18*SIN(RADIANS(F85))),('Geometry'!$G$19*COS(RADIANS(F85))+'Geometry'!$F$19*SIN(RADIANS(F85))),('Geometry'!$G$20*COS(RADIANS(F85))+'Geometry'!$F$20*SIN(RADIANS(F85))))</f>
        <v>831.6483762138494</v>
      </c>
      <c r="J85" s="11">
        <f>I85-H85*K85</f>
        <v>-1164.307726699389</v>
      </c>
      <c r="K85" s="11">
        <f>I85-MIN(('Geometry'!$G$13*COS(RADIANS(F85))+'Geometry'!$F$13*SIN(RADIANS(F85))),('Geometry'!$G$14*COS(RADIANS(F85))+'Geometry'!$F$14*SIN(RADIANS(F85))),('Geometry'!$G$15*COS(RADIANS(F85))+'Geometry'!$F$15*SIN(RADIANS(F85))),('Geometry'!$G$16*COS(RADIANS(F85))+'Geometry'!$F$16*SIN(RADIANS(F85))),('Geometry'!$G$17*COS(RADIANS(F85))+'Geometry'!$F$17*SIN(RADIANS(F85))),('Geometry'!$G$18*COS(RADIANS(F85))+'Geometry'!$F$18*SIN(RADIANS(F85))),('Geometry'!$G$19*COS(RADIANS(F85))+'Geometry'!$F$19*SIN(RADIANS(F85))),('Geometry'!$G$20*COS(RADIANS(F85))+'Geometry'!$F$20*SIN(RADIANS(F85))))</f>
        <v>1663.2967524276987</v>
      </c>
      <c r="L85" s="16">
        <f>C_ecu</f>
        <v>0.0033</v>
      </c>
      <c r="M85" s="16">
        <f>0</f>
        <v>0</v>
      </c>
      <c r="N85" s="22">
        <f>IF(ABS(I85-J85)&lt;0.000000000001,0,(L85-M85)/(I85-J85))</f>
        <v>0.000001653342974418835</v>
      </c>
      <c r="O85" s="16">
        <f>L85-N85*I85</f>
        <v>0.0019249999999999998</v>
      </c>
      <c r="P85" s="22">
        <f>N85*COS(RADIANS(F85))</f>
        <v>-0.0000010627483785187162</v>
      </c>
      <c r="Q85" s="22">
        <f>N85*SIN(RADIANS(F85))</f>
        <v>0.0000012665341981233513</v>
      </c>
      <c r="R85" s="11">
        <f>AP85</f>
        <v>15287.747049920245</v>
      </c>
      <c r="S85" s="11">
        <f>AQ85</f>
        <v>-588.384493594236</v>
      </c>
      <c r="T85" s="11">
        <f>AR85</f>
        <v>931.21097316949</v>
      </c>
      <c r="U85" s="11">
        <f>AS85</f>
        <v>2382.5985655629893</v>
      </c>
      <c r="V85" s="11">
        <f>AT85</f>
        <v>-186.4089506712448</v>
      </c>
      <c r="W85" s="11">
        <f>AU85</f>
        <v>295.83642606497926</v>
      </c>
      <c r="X85" s="11">
        <f>AM85</f>
        <v>17670.345615483235</v>
      </c>
      <c r="Y85" s="11">
        <f>AN85</f>
        <v>-774.7934442654808</v>
      </c>
      <c r="Z85" s="11">
        <f>AO85</f>
        <v>1227.0473992344691</v>
      </c>
      <c r="AA85" s="7">
        <v>1</v>
      </c>
      <c r="AB85" s="7">
        <v>1</v>
      </c>
      <c r="AC85" s="7">
        <v>1</v>
      </c>
      <c r="AD85" s="11">
        <f>X85*AA85</f>
        <v>17670.345615483235</v>
      </c>
      <c r="AE85" s="11">
        <f>Y85*AB85</f>
        <v>-774.7934442654808</v>
      </c>
      <c r="AF85" s="11">
        <f>Z85*AC85</f>
        <v>1227.0473992344691</v>
      </c>
      <c r="AG85" s="7">
        <v>17670.345615483235</v>
      </c>
      <c r="AH85" s="7">
        <v>-774.7934442654808</v>
      </c>
      <c r="AI85" s="7">
        <v>1227.0473992344691</v>
      </c>
      <c r="AJ85" s="16">
        <f>AD85-AG85</f>
        <v>0</v>
      </c>
      <c r="AK85" s="16">
        <f>SQRT((AE85-AH85)^2+(AF85-AI85)^2)</f>
        <v>0</v>
      </c>
      <c r="AL85" s="7" t="s">
        <v>190</v>
      </c>
      <c r="AM85" s="7">
        <v>17670.345615483235</v>
      </c>
      <c r="AN85" s="7">
        <v>-774.7934442654808</v>
      </c>
      <c r="AO85" s="7">
        <v>1227.0473992344691</v>
      </c>
      <c r="AP85" s="7">
        <v>15287.747049920245</v>
      </c>
      <c r="AQ85" s="7">
        <v>-588.384493594236</v>
      </c>
      <c r="AR85" s="7">
        <v>931.21097316949</v>
      </c>
      <c r="AS85" s="7">
        <v>2382.5985655629893</v>
      </c>
      <c r="AT85" s="7">
        <v>-186.4089506712448</v>
      </c>
      <c r="AU85" s="7">
        <v>295.83642606497926</v>
      </c>
    </row>
    <row r="86" spans="1:47" x14ac:dyDescent="0.25">
      <c r="A86" s="7" t="s">
        <v>352</v>
      </c>
      <c r="B86" s="7">
        <v>5</v>
      </c>
      <c r="C86" s="19">
        <v>130</v>
      </c>
      <c r="D86" s="7" t="s">
        <v>353</v>
      </c>
      <c r="E86" s="7" t="s">
        <v>613</v>
      </c>
      <c r="F86" s="20">
        <v>130</v>
      </c>
      <c r="G86" s="7" t="s">
        <v>194</v>
      </c>
      <c r="H86" s="21">
        <v>1.1000000000000003</v>
      </c>
      <c r="I86" s="11">
        <f>MAX(('Geometry'!$G$13*COS(RADIANS(F86))+'Geometry'!$F$13*SIN(RADIANS(F86))),('Geometry'!$G$14*COS(RADIANS(F86))+'Geometry'!$F$14*SIN(RADIANS(F86))),('Geometry'!$G$15*COS(RADIANS(F86))+'Geometry'!$F$15*SIN(RADIANS(F86))),('Geometry'!$G$16*COS(RADIANS(F86))+'Geometry'!$F$16*SIN(RADIANS(F86))),('Geometry'!$G$17*COS(RADIANS(F86))+'Geometry'!$F$17*SIN(RADIANS(F86))),('Geometry'!$G$18*COS(RADIANS(F86))+'Geometry'!$F$18*SIN(RADIANS(F86))),('Geometry'!$G$19*COS(RADIANS(F86))+'Geometry'!$F$19*SIN(RADIANS(F86))),('Geometry'!$G$20*COS(RADIANS(F86))+'Geometry'!$F$20*SIN(RADIANS(F86))))</f>
        <v>831.6483762138494</v>
      </c>
      <c r="J86" s="11">
        <f>I86-H86*K86</f>
        <v>-997.9780514566196</v>
      </c>
      <c r="K86" s="11">
        <f>I86-MIN(('Geometry'!$G$13*COS(RADIANS(F86))+'Geometry'!$F$13*SIN(RADIANS(F86))),('Geometry'!$G$14*COS(RADIANS(F86))+'Geometry'!$F$14*SIN(RADIANS(F86))),('Geometry'!$G$15*COS(RADIANS(F86))+'Geometry'!$F$15*SIN(RADIANS(F86))),('Geometry'!$G$16*COS(RADIANS(F86))+'Geometry'!$F$16*SIN(RADIANS(F86))),('Geometry'!$G$17*COS(RADIANS(F86))+'Geometry'!$F$17*SIN(RADIANS(F86))),('Geometry'!$G$18*COS(RADIANS(F86))+'Geometry'!$F$18*SIN(RADIANS(F86))),('Geometry'!$G$19*COS(RADIANS(F86))+'Geometry'!$F$19*SIN(RADIANS(F86))),('Geometry'!$G$20*COS(RADIANS(F86))+'Geometry'!$F$20*SIN(RADIANS(F86))))</f>
        <v>1663.2967524276987</v>
      </c>
      <c r="L86" s="16">
        <f>C_ecu</f>
        <v>0.0033</v>
      </c>
      <c r="M86" s="16">
        <f>0</f>
        <v>0</v>
      </c>
      <c r="N86" s="22">
        <f>IF(ABS(I86-J86)&lt;0.000000000001,0,(L86-M86)/(I86-J86))</f>
        <v>0.0000018036468811841832</v>
      </c>
      <c r="O86" s="16">
        <f>L86-N86*I86</f>
        <v>0.0018000000000000002</v>
      </c>
      <c r="P86" s="22">
        <f>N86*COS(RADIANS(F86))</f>
        <v>-0.0000011593618674749628</v>
      </c>
      <c r="Q86" s="22">
        <f>N86*SIN(RADIANS(F86))</f>
        <v>0.0000013816736706800193</v>
      </c>
      <c r="R86" s="11">
        <f>AP86</f>
        <v>15287.747049920245</v>
      </c>
      <c r="S86" s="11">
        <f>AQ86</f>
        <v>-735.480616992795</v>
      </c>
      <c r="T86" s="11">
        <f>AR86</f>
        <v>1164.0137164618623</v>
      </c>
      <c r="U86" s="11">
        <f>AS86</f>
        <v>2382.5985655629893</v>
      </c>
      <c r="V86" s="11">
        <f>AT86</f>
        <v>-233.01118833905602</v>
      </c>
      <c r="W86" s="11">
        <f>AU86</f>
        <v>369.7955325812241</v>
      </c>
      <c r="X86" s="11">
        <f>AM86</f>
        <v>17670.345615483235</v>
      </c>
      <c r="Y86" s="11">
        <f>AN86</f>
        <v>-968.491805331851</v>
      </c>
      <c r="Z86" s="11">
        <f>AO86</f>
        <v>1533.8092490430865</v>
      </c>
      <c r="AA86" s="7">
        <v>1</v>
      </c>
      <c r="AB86" s="7">
        <v>1</v>
      </c>
      <c r="AC86" s="7">
        <v>1</v>
      </c>
      <c r="AD86" s="11">
        <f>X86*AA86</f>
        <v>17670.345615483235</v>
      </c>
      <c r="AE86" s="11">
        <f>Y86*AB86</f>
        <v>-968.491805331851</v>
      </c>
      <c r="AF86" s="11">
        <f>Z86*AC86</f>
        <v>1533.8092490430865</v>
      </c>
      <c r="AG86" s="7">
        <v>17670.345615483235</v>
      </c>
      <c r="AH86" s="7">
        <v>-968.491805331851</v>
      </c>
      <c r="AI86" s="7">
        <v>1533.8092490430865</v>
      </c>
      <c r="AJ86" s="16">
        <f>AD86-AG86</f>
        <v>0</v>
      </c>
      <c r="AK86" s="16">
        <f>SQRT((AE86-AH86)^2+(AF86-AI86)^2)</f>
        <v>0</v>
      </c>
      <c r="AL86" s="7" t="s">
        <v>190</v>
      </c>
      <c r="AM86" s="7">
        <v>17670.345615483235</v>
      </c>
      <c r="AN86" s="7">
        <v>-968.491805331851</v>
      </c>
      <c r="AO86" s="7">
        <v>1533.8092490430865</v>
      </c>
      <c r="AP86" s="7">
        <v>15287.747049920245</v>
      </c>
      <c r="AQ86" s="7">
        <v>-735.480616992795</v>
      </c>
      <c r="AR86" s="7">
        <v>1164.0137164618623</v>
      </c>
      <c r="AS86" s="7">
        <v>2382.5985655629893</v>
      </c>
      <c r="AT86" s="7">
        <v>-233.01118833905602</v>
      </c>
      <c r="AU86" s="7">
        <v>369.7955325812241</v>
      </c>
    </row>
    <row r="87" spans="1:47" x14ac:dyDescent="0.25">
      <c r="A87" s="7" t="s">
        <v>354</v>
      </c>
      <c r="B87" s="7">
        <v>6</v>
      </c>
      <c r="C87" s="19">
        <v>130</v>
      </c>
      <c r="D87" s="7" t="s">
        <v>355</v>
      </c>
      <c r="E87" s="7" t="s">
        <v>614</v>
      </c>
      <c r="F87" s="20">
        <v>130</v>
      </c>
      <c r="G87" s="7" t="s">
        <v>194</v>
      </c>
      <c r="H87" s="21">
        <v>1</v>
      </c>
      <c r="I87" s="11">
        <f>MAX(('Geometry'!$G$13*COS(RADIANS(F87))+'Geometry'!$F$13*SIN(RADIANS(F87))),('Geometry'!$G$14*COS(RADIANS(F87))+'Geometry'!$F$14*SIN(RADIANS(F87))),('Geometry'!$G$15*COS(RADIANS(F87))+'Geometry'!$F$15*SIN(RADIANS(F87))),('Geometry'!$G$16*COS(RADIANS(F87))+'Geometry'!$F$16*SIN(RADIANS(F87))),('Geometry'!$G$17*COS(RADIANS(F87))+'Geometry'!$F$17*SIN(RADIANS(F87))),('Geometry'!$G$18*COS(RADIANS(F87))+'Geometry'!$F$18*SIN(RADIANS(F87))),('Geometry'!$G$19*COS(RADIANS(F87))+'Geometry'!$F$19*SIN(RADIANS(F87))),('Geometry'!$G$20*COS(RADIANS(F87))+'Geometry'!$F$20*SIN(RADIANS(F87))))</f>
        <v>831.6483762138494</v>
      </c>
      <c r="J87" s="11">
        <f>I87-H87*K87</f>
        <v>-831.6483762138494</v>
      </c>
      <c r="K87" s="11">
        <f>I87-MIN(('Geometry'!$G$13*COS(RADIANS(F87))+'Geometry'!$F$13*SIN(RADIANS(F87))),('Geometry'!$G$14*COS(RADIANS(F87))+'Geometry'!$F$14*SIN(RADIANS(F87))),('Geometry'!$G$15*COS(RADIANS(F87))+'Geometry'!$F$15*SIN(RADIANS(F87))),('Geometry'!$G$16*COS(RADIANS(F87))+'Geometry'!$F$16*SIN(RADIANS(F87))),('Geometry'!$G$17*COS(RADIANS(F87))+'Geometry'!$F$17*SIN(RADIANS(F87))),('Geometry'!$G$18*COS(RADIANS(F87))+'Geometry'!$F$18*SIN(RADIANS(F87))),('Geometry'!$G$19*COS(RADIANS(F87))+'Geometry'!$F$19*SIN(RADIANS(F87))),('Geometry'!$G$20*COS(RADIANS(F87))+'Geometry'!$F$20*SIN(RADIANS(F87))))</f>
        <v>1663.2967524276987</v>
      </c>
      <c r="L87" s="16">
        <f>C_ecu</f>
        <v>0.0033</v>
      </c>
      <c r="M87" s="16">
        <f>0</f>
        <v>0</v>
      </c>
      <c r="N87" s="22">
        <f>IF(ABS(I87-J87)&lt;0.000000000001,0,(L87-M87)/(I87-J87))</f>
        <v>0.000001984011569302602</v>
      </c>
      <c r="O87" s="16">
        <f>L87-N87*I87</f>
        <v>0.00165</v>
      </c>
      <c r="P87" s="22">
        <f>N87*COS(RADIANS(F87))</f>
        <v>-0.0000012752980542224595</v>
      </c>
      <c r="Q87" s="22">
        <f>N87*SIN(RADIANS(F87))</f>
        <v>0.0000015198410377480215</v>
      </c>
      <c r="R87" s="11">
        <f>AP87</f>
        <v>15287.747049920245</v>
      </c>
      <c r="S87" s="11">
        <f>AQ87</f>
        <v>-882.5767403913541</v>
      </c>
      <c r="T87" s="11">
        <f>AR87</f>
        <v>1396.8164597542348</v>
      </c>
      <c r="U87" s="11">
        <f>AS87</f>
        <v>2382.5985655629893</v>
      </c>
      <c r="V87" s="11">
        <f>AT87</f>
        <v>-279.61342600686726</v>
      </c>
      <c r="W87" s="11">
        <f>AU87</f>
        <v>443.7546390974689</v>
      </c>
      <c r="X87" s="11">
        <f>AM87</f>
        <v>17670.345615483235</v>
      </c>
      <c r="Y87" s="11">
        <f>AN87</f>
        <v>-1162.1901663982212</v>
      </c>
      <c r="Z87" s="11">
        <f>AO87</f>
        <v>1840.571098851704</v>
      </c>
      <c r="AA87" s="7">
        <v>1</v>
      </c>
      <c r="AB87" s="7">
        <v>1</v>
      </c>
      <c r="AC87" s="7">
        <v>1</v>
      </c>
      <c r="AD87" s="11">
        <f>X87*AA87</f>
        <v>17670.345615483235</v>
      </c>
      <c r="AE87" s="11">
        <f>Y87*AB87</f>
        <v>-1162.1901663982212</v>
      </c>
      <c r="AF87" s="11">
        <f>Z87*AC87</f>
        <v>1840.571098851704</v>
      </c>
      <c r="AG87" s="7">
        <v>17670.345615483235</v>
      </c>
      <c r="AH87" s="7">
        <v>-1162.1901663982212</v>
      </c>
      <c r="AI87" s="7">
        <v>1840.571098851704</v>
      </c>
      <c r="AJ87" s="16">
        <f>AD87-AG87</f>
        <v>0</v>
      </c>
      <c r="AK87" s="16">
        <f>SQRT((AE87-AH87)^2+(AF87-AI87)^2)</f>
        <v>0</v>
      </c>
      <c r="AL87" s="7" t="s">
        <v>190</v>
      </c>
      <c r="AM87" s="7">
        <v>17670.345615483235</v>
      </c>
      <c r="AN87" s="7">
        <v>-1162.1901663982212</v>
      </c>
      <c r="AO87" s="7">
        <v>1840.571098851704</v>
      </c>
      <c r="AP87" s="7">
        <v>15287.747049920245</v>
      </c>
      <c r="AQ87" s="7">
        <v>-882.5767403913541</v>
      </c>
      <c r="AR87" s="7">
        <v>1396.8164597542348</v>
      </c>
      <c r="AS87" s="7">
        <v>2382.5985655629893</v>
      </c>
      <c r="AT87" s="7">
        <v>-279.61342600686726</v>
      </c>
      <c r="AU87" s="7">
        <v>443.7546390974689</v>
      </c>
    </row>
    <row r="88" spans="1:47" x14ac:dyDescent="0.25">
      <c r="A88" s="7" t="s">
        <v>356</v>
      </c>
      <c r="B88" s="7">
        <v>1</v>
      </c>
      <c r="C88" s="19">
        <v>140</v>
      </c>
      <c r="D88" s="7" t="s">
        <v>357</v>
      </c>
      <c r="E88" s="7" t="s">
        <v>609</v>
      </c>
      <c r="F88" s="20">
        <v>140</v>
      </c>
      <c r="G88" s="7" t="s">
        <v>194</v>
      </c>
      <c r="H88" s="21">
        <v>3.0000000000000004</v>
      </c>
      <c r="I88" s="11">
        <f>MAX(('Geometry'!$G$13*COS(RADIANS(F88))+'Geometry'!$F$13*SIN(RADIANS(F88))),('Geometry'!$G$14*COS(RADIANS(F88))+'Geometry'!$F$14*SIN(RADIANS(F88))),('Geometry'!$G$15*COS(RADIANS(F88))+'Geometry'!$F$15*SIN(RADIANS(F88))),('Geometry'!$G$16*COS(RADIANS(F88))+'Geometry'!$F$16*SIN(RADIANS(F88))),('Geometry'!$G$17*COS(RADIANS(F88))+'Geometry'!$F$17*SIN(RADIANS(F88))),('Geometry'!$G$18*COS(RADIANS(F88))+'Geometry'!$F$18*SIN(RADIANS(F88))),('Geometry'!$G$19*COS(RADIANS(F88))+'Geometry'!$F$19*SIN(RADIANS(F88))),('Geometry'!$G$20*COS(RADIANS(F88))+'Geometry'!$F$20*SIN(RADIANS(F88))))</f>
        <v>813.1598511989835</v>
      </c>
      <c r="J88" s="11">
        <f>I88-H88*K88</f>
        <v>-4065.7992559949175</v>
      </c>
      <c r="K88" s="11">
        <f>I88-MIN(('Geometry'!$G$13*COS(RADIANS(F88))+'Geometry'!$F$13*SIN(RADIANS(F88))),('Geometry'!$G$14*COS(RADIANS(F88))+'Geometry'!$F$14*SIN(RADIANS(F88))),('Geometry'!$G$15*COS(RADIANS(F88))+'Geometry'!$F$15*SIN(RADIANS(F88))),('Geometry'!$G$16*COS(RADIANS(F88))+'Geometry'!$F$16*SIN(RADIANS(F88))),('Geometry'!$G$17*COS(RADIANS(F88))+'Geometry'!$F$17*SIN(RADIANS(F88))),('Geometry'!$G$18*COS(RADIANS(F88))+'Geometry'!$F$18*SIN(RADIANS(F88))),('Geometry'!$G$19*COS(RADIANS(F88))+'Geometry'!$F$19*SIN(RADIANS(F88))),('Geometry'!$G$20*COS(RADIANS(F88))+'Geometry'!$F$20*SIN(RADIANS(F88))))</f>
        <v>1626.319702397967</v>
      </c>
      <c r="L88" s="16">
        <f>C_ecu</f>
        <v>0.0033</v>
      </c>
      <c r="M88" s="16">
        <f>0</f>
        <v>0</v>
      </c>
      <c r="N88" s="22">
        <f>IF(ABS(I88-J88)&lt;0.000000000001,0,(L88-M88)/(I88-J88))</f>
        <v>6.763737771719041e-7</v>
      </c>
      <c r="O88" s="16">
        <f>L88-N88*I88</f>
        <v>0.00275</v>
      </c>
      <c r="P88" s="22">
        <f>N88*COS(RADIANS(F88))</f>
        <v>-5.181323734739309e-7</v>
      </c>
      <c r="Q88" s="22">
        <f>N88*SIN(RADIANS(F88))</f>
        <v>4.3476468348298433e-7</v>
      </c>
      <c r="R88" s="11">
        <f>AP88</f>
        <v>15280.212108804444</v>
      </c>
      <c r="S88" s="11">
        <f>AQ88</f>
        <v>-177.15919883529398</v>
      </c>
      <c r="T88" s="11">
        <f>AR88</f>
        <v>203.5021061534567</v>
      </c>
      <c r="U88" s="11">
        <f>AS88</f>
        <v>2390.1335066787897</v>
      </c>
      <c r="V88" s="11">
        <f>AT88</f>
        <v>-56.58761953479529</v>
      </c>
      <c r="W88" s="11">
        <f>AU88</f>
        <v>65.06422036510743</v>
      </c>
      <c r="X88" s="11">
        <f>AM88</f>
        <v>17670.345615483235</v>
      </c>
      <c r="Y88" s="11">
        <f>AN88</f>
        <v>-233.74681837008927</v>
      </c>
      <c r="Z88" s="11">
        <f>AO88</f>
        <v>268.56632651856415</v>
      </c>
      <c r="AA88" s="7">
        <v>1</v>
      </c>
      <c r="AB88" s="7">
        <v>1</v>
      </c>
      <c r="AC88" s="7">
        <v>1</v>
      </c>
      <c r="AD88" s="11">
        <f>X88*AA88</f>
        <v>17670.345615483235</v>
      </c>
      <c r="AE88" s="11">
        <f>Y88*AB88</f>
        <v>-233.74681837008927</v>
      </c>
      <c r="AF88" s="11">
        <f>Z88*AC88</f>
        <v>268.56632651856415</v>
      </c>
      <c r="AG88" s="7">
        <v>17670.345615483235</v>
      </c>
      <c r="AH88" s="7">
        <v>-233.74681837008927</v>
      </c>
      <c r="AI88" s="7">
        <v>268.56632651856415</v>
      </c>
      <c r="AJ88" s="16">
        <f>AD88-AG88</f>
        <v>0</v>
      </c>
      <c r="AK88" s="16">
        <f>SQRT((AE88-AH88)^2+(AF88-AI88)^2)</f>
        <v>0</v>
      </c>
      <c r="AL88" s="7" t="s">
        <v>190</v>
      </c>
      <c r="AM88" s="7">
        <v>17670.345615483235</v>
      </c>
      <c r="AN88" s="7">
        <v>-233.74681837008927</v>
      </c>
      <c r="AO88" s="7">
        <v>268.56632651856415</v>
      </c>
      <c r="AP88" s="7">
        <v>15280.212108804444</v>
      </c>
      <c r="AQ88" s="7">
        <v>-177.15919883529398</v>
      </c>
      <c r="AR88" s="7">
        <v>203.5021061534567</v>
      </c>
      <c r="AS88" s="7">
        <v>2390.1335066787897</v>
      </c>
      <c r="AT88" s="7">
        <v>-56.58761953479529</v>
      </c>
      <c r="AU88" s="7">
        <v>65.06422036510743</v>
      </c>
    </row>
    <row r="89" spans="1:47" x14ac:dyDescent="0.25">
      <c r="A89" s="7" t="s">
        <v>358</v>
      </c>
      <c r="B89" s="7">
        <v>2</v>
      </c>
      <c r="C89" s="19">
        <v>140</v>
      </c>
      <c r="D89" s="7" t="s">
        <v>359</v>
      </c>
      <c r="E89" s="7" t="s">
        <v>610</v>
      </c>
      <c r="F89" s="20">
        <v>140</v>
      </c>
      <c r="G89" s="7" t="s">
        <v>194</v>
      </c>
      <c r="H89" s="21">
        <v>2</v>
      </c>
      <c r="I89" s="11">
        <f>MAX(('Geometry'!$G$13*COS(RADIANS(F89))+'Geometry'!$F$13*SIN(RADIANS(F89))),('Geometry'!$G$14*COS(RADIANS(F89))+'Geometry'!$F$14*SIN(RADIANS(F89))),('Geometry'!$G$15*COS(RADIANS(F89))+'Geometry'!$F$15*SIN(RADIANS(F89))),('Geometry'!$G$16*COS(RADIANS(F89))+'Geometry'!$F$16*SIN(RADIANS(F89))),('Geometry'!$G$17*COS(RADIANS(F89))+'Geometry'!$F$17*SIN(RADIANS(F89))),('Geometry'!$G$18*COS(RADIANS(F89))+'Geometry'!$F$18*SIN(RADIANS(F89))),('Geometry'!$G$19*COS(RADIANS(F89))+'Geometry'!$F$19*SIN(RADIANS(F89))),('Geometry'!$G$20*COS(RADIANS(F89))+'Geometry'!$F$20*SIN(RADIANS(F89))))</f>
        <v>813.1598511989835</v>
      </c>
      <c r="J89" s="11">
        <f>I89-H89*K89</f>
        <v>-2439.4795535969506</v>
      </c>
      <c r="K89" s="11">
        <f>I89-MIN(('Geometry'!$G$13*COS(RADIANS(F89))+'Geometry'!$F$13*SIN(RADIANS(F89))),('Geometry'!$G$14*COS(RADIANS(F89))+'Geometry'!$F$14*SIN(RADIANS(F89))),('Geometry'!$G$15*COS(RADIANS(F89))+'Geometry'!$F$15*SIN(RADIANS(F89))),('Geometry'!$G$16*COS(RADIANS(F89))+'Geometry'!$F$16*SIN(RADIANS(F89))),('Geometry'!$G$17*COS(RADIANS(F89))+'Geometry'!$F$17*SIN(RADIANS(F89))),('Geometry'!$G$18*COS(RADIANS(F89))+'Geometry'!$F$18*SIN(RADIANS(F89))),('Geometry'!$G$19*COS(RADIANS(F89))+'Geometry'!$F$19*SIN(RADIANS(F89))),('Geometry'!$G$20*COS(RADIANS(F89))+'Geometry'!$F$20*SIN(RADIANS(F89))))</f>
        <v>1626.319702397967</v>
      </c>
      <c r="L89" s="16">
        <f>C_ecu</f>
        <v>0.0033</v>
      </c>
      <c r="M89" s="16">
        <f>0</f>
        <v>0</v>
      </c>
      <c r="N89" s="22">
        <f>IF(ABS(I89-J89)&lt;0.000000000001,0,(L89-M89)/(I89-J89))</f>
        <v>0.0000010145606657578562</v>
      </c>
      <c r="O89" s="16">
        <f>L89-N89*I89</f>
        <v>0.002475</v>
      </c>
      <c r="P89" s="22">
        <f>N89*COS(RADIANS(F89))</f>
        <v>-7.771985602108964e-7</v>
      </c>
      <c r="Q89" s="22">
        <f>N89*SIN(RADIANS(F89))</f>
        <v>6.521470252244765e-7</v>
      </c>
      <c r="R89" s="11">
        <f>AP89</f>
        <v>15280.212108804444</v>
      </c>
      <c r="S89" s="11">
        <f>AQ89</f>
        <v>-354.31839767058796</v>
      </c>
      <c r="T89" s="11">
        <f>AR89</f>
        <v>407.0042123069134</v>
      </c>
      <c r="U89" s="11">
        <f>AS89</f>
        <v>2390.1335066787897</v>
      </c>
      <c r="V89" s="11">
        <f>AT89</f>
        <v>-113.17523906959057</v>
      </c>
      <c r="W89" s="11">
        <f>AU89</f>
        <v>130.12844073021486</v>
      </c>
      <c r="X89" s="11">
        <f>AM89</f>
        <v>17670.345615483235</v>
      </c>
      <c r="Y89" s="11">
        <f>AN89</f>
        <v>-467.49363674017854</v>
      </c>
      <c r="Z89" s="11">
        <f>AO89</f>
        <v>537.1326530371283</v>
      </c>
      <c r="AA89" s="7">
        <v>1</v>
      </c>
      <c r="AB89" s="7">
        <v>1</v>
      </c>
      <c r="AC89" s="7">
        <v>1</v>
      </c>
      <c r="AD89" s="11">
        <f>X89*AA89</f>
        <v>17670.345615483235</v>
      </c>
      <c r="AE89" s="11">
        <f>Y89*AB89</f>
        <v>-467.49363674017854</v>
      </c>
      <c r="AF89" s="11">
        <f>Z89*AC89</f>
        <v>537.1326530371283</v>
      </c>
      <c r="AG89" s="7">
        <v>17670.345615483235</v>
      </c>
      <c r="AH89" s="7">
        <v>-467.49363674017854</v>
      </c>
      <c r="AI89" s="7">
        <v>537.1326530371283</v>
      </c>
      <c r="AJ89" s="16">
        <f>AD89-AG89</f>
        <v>0</v>
      </c>
      <c r="AK89" s="16">
        <f>SQRT((AE89-AH89)^2+(AF89-AI89)^2)</f>
        <v>0</v>
      </c>
      <c r="AL89" s="7" t="s">
        <v>190</v>
      </c>
      <c r="AM89" s="7">
        <v>17670.345615483235</v>
      </c>
      <c r="AN89" s="7">
        <v>-467.49363674017854</v>
      </c>
      <c r="AO89" s="7">
        <v>537.1326530371283</v>
      </c>
      <c r="AP89" s="7">
        <v>15280.212108804444</v>
      </c>
      <c r="AQ89" s="7">
        <v>-354.31839767058796</v>
      </c>
      <c r="AR89" s="7">
        <v>407.0042123069134</v>
      </c>
      <c r="AS89" s="7">
        <v>2390.1335066787897</v>
      </c>
      <c r="AT89" s="7">
        <v>-113.17523906959057</v>
      </c>
      <c r="AU89" s="7">
        <v>130.12844073021486</v>
      </c>
    </row>
    <row r="90" spans="1:47" x14ac:dyDescent="0.25">
      <c r="A90" s="7" t="s">
        <v>360</v>
      </c>
      <c r="B90" s="7">
        <v>3</v>
      </c>
      <c r="C90" s="19">
        <v>140</v>
      </c>
      <c r="D90" s="7" t="s">
        <v>361</v>
      </c>
      <c r="E90" s="7" t="s">
        <v>611</v>
      </c>
      <c r="F90" s="20">
        <v>140</v>
      </c>
      <c r="G90" s="7" t="s">
        <v>194</v>
      </c>
      <c r="H90" s="21">
        <v>1.5000000000000002</v>
      </c>
      <c r="I90" s="11">
        <f>MAX(('Geometry'!$G$13*COS(RADIANS(F90))+'Geometry'!$F$13*SIN(RADIANS(F90))),('Geometry'!$G$14*COS(RADIANS(F90))+'Geometry'!$F$14*SIN(RADIANS(F90))),('Geometry'!$G$15*COS(RADIANS(F90))+'Geometry'!$F$15*SIN(RADIANS(F90))),('Geometry'!$G$16*COS(RADIANS(F90))+'Geometry'!$F$16*SIN(RADIANS(F90))),('Geometry'!$G$17*COS(RADIANS(F90))+'Geometry'!$F$17*SIN(RADIANS(F90))),('Geometry'!$G$18*COS(RADIANS(F90))+'Geometry'!$F$18*SIN(RADIANS(F90))),('Geometry'!$G$19*COS(RADIANS(F90))+'Geometry'!$F$19*SIN(RADIANS(F90))),('Geometry'!$G$20*COS(RADIANS(F90))+'Geometry'!$F$20*SIN(RADIANS(F90))))</f>
        <v>813.1598511989835</v>
      </c>
      <c r="J90" s="11">
        <f>I90-H90*K90</f>
        <v>-1626.3197023979671</v>
      </c>
      <c r="K90" s="11">
        <f>I90-MIN(('Geometry'!$G$13*COS(RADIANS(F90))+'Geometry'!$F$13*SIN(RADIANS(F90))),('Geometry'!$G$14*COS(RADIANS(F90))+'Geometry'!$F$14*SIN(RADIANS(F90))),('Geometry'!$G$15*COS(RADIANS(F90))+'Geometry'!$F$15*SIN(RADIANS(F90))),('Geometry'!$G$16*COS(RADIANS(F90))+'Geometry'!$F$16*SIN(RADIANS(F90))),('Geometry'!$G$17*COS(RADIANS(F90))+'Geometry'!$F$17*SIN(RADIANS(F90))),('Geometry'!$G$18*COS(RADIANS(F90))+'Geometry'!$F$18*SIN(RADIANS(F90))),('Geometry'!$G$19*COS(RADIANS(F90))+'Geometry'!$F$19*SIN(RADIANS(F90))),('Geometry'!$G$20*COS(RADIANS(F90))+'Geometry'!$F$20*SIN(RADIANS(F90))))</f>
        <v>1626.319702397967</v>
      </c>
      <c r="L90" s="16">
        <f>C_ecu</f>
        <v>0.0033</v>
      </c>
      <c r="M90" s="16">
        <f>0</f>
        <v>0</v>
      </c>
      <c r="N90" s="22">
        <f>IF(ABS(I90-J90)&lt;0.000000000001,0,(L90-M90)/(I90-J90))</f>
        <v>0.0000013527475543438082</v>
      </c>
      <c r="O90" s="16">
        <f>L90-N90*I90</f>
        <v>0.0022</v>
      </c>
      <c r="P90" s="22">
        <f>N90*COS(RADIANS(F90))</f>
        <v>-0.0000010362647469478618</v>
      </c>
      <c r="Q90" s="22">
        <f>N90*SIN(RADIANS(F90))</f>
        <v>8.695293669659687e-7</v>
      </c>
      <c r="R90" s="11">
        <f>AP90</f>
        <v>15280.212108804444</v>
      </c>
      <c r="S90" s="11">
        <f>AQ90</f>
        <v>-531.4775965058819</v>
      </c>
      <c r="T90" s="11">
        <f>AR90</f>
        <v>610.5063184603702</v>
      </c>
      <c r="U90" s="11">
        <f>AS90</f>
        <v>2390.1335066787897</v>
      </c>
      <c r="V90" s="11">
        <f>AT90</f>
        <v>-169.76285860438588</v>
      </c>
      <c r="W90" s="11">
        <f>AU90</f>
        <v>195.19266109532228</v>
      </c>
      <c r="X90" s="11">
        <f>AM90</f>
        <v>17670.345615483235</v>
      </c>
      <c r="Y90" s="11">
        <f>AN90</f>
        <v>-701.2404551102679</v>
      </c>
      <c r="Z90" s="11">
        <f>AO90</f>
        <v>805.6989795556925</v>
      </c>
      <c r="AA90" s="7">
        <v>1</v>
      </c>
      <c r="AB90" s="7">
        <v>1</v>
      </c>
      <c r="AC90" s="7">
        <v>1</v>
      </c>
      <c r="AD90" s="11">
        <f>X90*AA90</f>
        <v>17670.345615483235</v>
      </c>
      <c r="AE90" s="11">
        <f>Y90*AB90</f>
        <v>-701.2404551102679</v>
      </c>
      <c r="AF90" s="11">
        <f>Z90*AC90</f>
        <v>805.6989795556925</v>
      </c>
      <c r="AG90" s="7">
        <v>17670.345615483235</v>
      </c>
      <c r="AH90" s="7">
        <v>-701.2404551102679</v>
      </c>
      <c r="AI90" s="7">
        <v>805.6989795556925</v>
      </c>
      <c r="AJ90" s="16">
        <f>AD90-AG90</f>
        <v>0</v>
      </c>
      <c r="AK90" s="16">
        <f>SQRT((AE90-AH90)^2+(AF90-AI90)^2)</f>
        <v>0</v>
      </c>
      <c r="AL90" s="7" t="s">
        <v>190</v>
      </c>
      <c r="AM90" s="7">
        <v>17670.345615483235</v>
      </c>
      <c r="AN90" s="7">
        <v>-701.2404551102679</v>
      </c>
      <c r="AO90" s="7">
        <v>805.6989795556925</v>
      </c>
      <c r="AP90" s="7">
        <v>15280.212108804444</v>
      </c>
      <c r="AQ90" s="7">
        <v>-531.4775965058819</v>
      </c>
      <c r="AR90" s="7">
        <v>610.5063184603702</v>
      </c>
      <c r="AS90" s="7">
        <v>2390.1335066787897</v>
      </c>
      <c r="AT90" s="7">
        <v>-169.76285860438588</v>
      </c>
      <c r="AU90" s="7">
        <v>195.19266109532228</v>
      </c>
    </row>
    <row r="91" spans="1:47" x14ac:dyDescent="0.25">
      <c r="A91" s="7" t="s">
        <v>362</v>
      </c>
      <c r="B91" s="7">
        <v>4</v>
      </c>
      <c r="C91" s="19">
        <v>140</v>
      </c>
      <c r="D91" s="7" t="s">
        <v>363</v>
      </c>
      <c r="E91" s="7" t="s">
        <v>612</v>
      </c>
      <c r="F91" s="20">
        <v>140</v>
      </c>
      <c r="G91" s="7" t="s">
        <v>194</v>
      </c>
      <c r="H91" s="21">
        <v>1.2</v>
      </c>
      <c r="I91" s="11">
        <f>MAX(('Geometry'!$G$13*COS(RADIANS(F91))+'Geometry'!$F$13*SIN(RADIANS(F91))),('Geometry'!$G$14*COS(RADIANS(F91))+'Geometry'!$F$14*SIN(RADIANS(F91))),('Geometry'!$G$15*COS(RADIANS(F91))+'Geometry'!$F$15*SIN(RADIANS(F91))),('Geometry'!$G$16*COS(RADIANS(F91))+'Geometry'!$F$16*SIN(RADIANS(F91))),('Geometry'!$G$17*COS(RADIANS(F91))+'Geometry'!$F$17*SIN(RADIANS(F91))),('Geometry'!$G$18*COS(RADIANS(F91))+'Geometry'!$F$18*SIN(RADIANS(F91))),('Geometry'!$G$19*COS(RADIANS(F91))+'Geometry'!$F$19*SIN(RADIANS(F91))),('Geometry'!$G$20*COS(RADIANS(F91))+'Geometry'!$F$20*SIN(RADIANS(F91))))</f>
        <v>813.1598511989835</v>
      </c>
      <c r="J91" s="11">
        <f>I91-H91*K91</f>
        <v>-1138.4237916785767</v>
      </c>
      <c r="K91" s="11">
        <f>I91-MIN(('Geometry'!$G$13*COS(RADIANS(F91))+'Geometry'!$F$13*SIN(RADIANS(F91))),('Geometry'!$G$14*COS(RADIANS(F91))+'Geometry'!$F$14*SIN(RADIANS(F91))),('Geometry'!$G$15*COS(RADIANS(F91))+'Geometry'!$F$15*SIN(RADIANS(F91))),('Geometry'!$G$16*COS(RADIANS(F91))+'Geometry'!$F$16*SIN(RADIANS(F91))),('Geometry'!$G$17*COS(RADIANS(F91))+'Geometry'!$F$17*SIN(RADIANS(F91))),('Geometry'!$G$18*COS(RADIANS(F91))+'Geometry'!$F$18*SIN(RADIANS(F91))),('Geometry'!$G$19*COS(RADIANS(F91))+'Geometry'!$F$19*SIN(RADIANS(F91))),('Geometry'!$G$20*COS(RADIANS(F91))+'Geometry'!$F$20*SIN(RADIANS(F91))))</f>
        <v>1626.319702397967</v>
      </c>
      <c r="L91" s="16">
        <f>C_ecu</f>
        <v>0.0033</v>
      </c>
      <c r="M91" s="16">
        <f>0</f>
        <v>0</v>
      </c>
      <c r="N91" s="22">
        <f>IF(ABS(I91-J91)&lt;0.000000000001,0,(L91-M91)/(I91-J91))</f>
        <v>0.0000016909344429297605</v>
      </c>
      <c r="O91" s="16">
        <f>L91-N91*I91</f>
        <v>0.0019249999999999998</v>
      </c>
      <c r="P91" s="22">
        <f>N91*COS(RADIANS(F91))</f>
        <v>-0.0000012953309336848276</v>
      </c>
      <c r="Q91" s="22">
        <f>N91*SIN(RADIANS(F91))</f>
        <v>0.000001086911708707461</v>
      </c>
      <c r="R91" s="11">
        <f>AP91</f>
        <v>15280.212108804444</v>
      </c>
      <c r="S91" s="11">
        <f>AQ91</f>
        <v>-708.6367953411759</v>
      </c>
      <c r="T91" s="11">
        <f>AR91</f>
        <v>814.0084246138268</v>
      </c>
      <c r="U91" s="11">
        <f>AS91</f>
        <v>2390.1335066787897</v>
      </c>
      <c r="V91" s="11">
        <f>AT91</f>
        <v>-226.35047813918115</v>
      </c>
      <c r="W91" s="11">
        <f>AU91</f>
        <v>260.2568814604297</v>
      </c>
      <c r="X91" s="11">
        <f>AM91</f>
        <v>17670.345615483235</v>
      </c>
      <c r="Y91" s="11">
        <f>AN91</f>
        <v>-934.9872734803571</v>
      </c>
      <c r="Z91" s="11">
        <f>AO91</f>
        <v>1074.2653060742566</v>
      </c>
      <c r="AA91" s="7">
        <v>1</v>
      </c>
      <c r="AB91" s="7">
        <v>1</v>
      </c>
      <c r="AC91" s="7">
        <v>1</v>
      </c>
      <c r="AD91" s="11">
        <f>X91*AA91</f>
        <v>17670.345615483235</v>
      </c>
      <c r="AE91" s="11">
        <f>Y91*AB91</f>
        <v>-934.9872734803571</v>
      </c>
      <c r="AF91" s="11">
        <f>Z91*AC91</f>
        <v>1074.2653060742566</v>
      </c>
      <c r="AG91" s="7">
        <v>17670.345615483235</v>
      </c>
      <c r="AH91" s="7">
        <v>-934.9872734803571</v>
      </c>
      <c r="AI91" s="7">
        <v>1074.2653060742566</v>
      </c>
      <c r="AJ91" s="16">
        <f>AD91-AG91</f>
        <v>0</v>
      </c>
      <c r="AK91" s="16">
        <f>SQRT((AE91-AH91)^2+(AF91-AI91)^2)</f>
        <v>0</v>
      </c>
      <c r="AL91" s="7" t="s">
        <v>190</v>
      </c>
      <c r="AM91" s="7">
        <v>17670.345615483235</v>
      </c>
      <c r="AN91" s="7">
        <v>-934.9872734803571</v>
      </c>
      <c r="AO91" s="7">
        <v>1074.2653060742566</v>
      </c>
      <c r="AP91" s="7">
        <v>15280.212108804444</v>
      </c>
      <c r="AQ91" s="7">
        <v>-708.6367953411759</v>
      </c>
      <c r="AR91" s="7">
        <v>814.0084246138268</v>
      </c>
      <c r="AS91" s="7">
        <v>2390.1335066787897</v>
      </c>
      <c r="AT91" s="7">
        <v>-226.35047813918115</v>
      </c>
      <c r="AU91" s="7">
        <v>260.2568814604297</v>
      </c>
    </row>
    <row r="92" spans="1:47" x14ac:dyDescent="0.25">
      <c r="A92" s="7" t="s">
        <v>364</v>
      </c>
      <c r="B92" s="7">
        <v>5</v>
      </c>
      <c r="C92" s="19">
        <v>140</v>
      </c>
      <c r="D92" s="7" t="s">
        <v>365</v>
      </c>
      <c r="E92" s="7" t="s">
        <v>613</v>
      </c>
      <c r="F92" s="20">
        <v>140</v>
      </c>
      <c r="G92" s="7" t="s">
        <v>194</v>
      </c>
      <c r="H92" s="21">
        <v>1.1</v>
      </c>
      <c r="I92" s="11">
        <f>MAX(('Geometry'!$G$13*COS(RADIANS(F92))+'Geometry'!$F$13*SIN(RADIANS(F92))),('Geometry'!$G$14*COS(RADIANS(F92))+'Geometry'!$F$14*SIN(RADIANS(F92))),('Geometry'!$G$15*COS(RADIANS(F92))+'Geometry'!$F$15*SIN(RADIANS(F92))),('Geometry'!$G$16*COS(RADIANS(F92))+'Geometry'!$F$16*SIN(RADIANS(F92))),('Geometry'!$G$17*COS(RADIANS(F92))+'Geometry'!$F$17*SIN(RADIANS(F92))),('Geometry'!$G$18*COS(RADIANS(F92))+'Geometry'!$F$18*SIN(RADIANS(F92))),('Geometry'!$G$19*COS(RADIANS(F92))+'Geometry'!$F$19*SIN(RADIANS(F92))),('Geometry'!$G$20*COS(RADIANS(F92))+'Geometry'!$F$20*SIN(RADIANS(F92))))</f>
        <v>813.1598511989835</v>
      </c>
      <c r="J92" s="11">
        <f>I92-H92*K92</f>
        <v>-975.7918214387802</v>
      </c>
      <c r="K92" s="11">
        <f>I92-MIN(('Geometry'!$G$13*COS(RADIANS(F92))+'Geometry'!$F$13*SIN(RADIANS(F92))),('Geometry'!$G$14*COS(RADIANS(F92))+'Geometry'!$F$14*SIN(RADIANS(F92))),('Geometry'!$G$15*COS(RADIANS(F92))+'Geometry'!$F$15*SIN(RADIANS(F92))),('Geometry'!$G$16*COS(RADIANS(F92))+'Geometry'!$F$16*SIN(RADIANS(F92))),('Geometry'!$G$17*COS(RADIANS(F92))+'Geometry'!$F$17*SIN(RADIANS(F92))),('Geometry'!$G$18*COS(RADIANS(F92))+'Geometry'!$F$18*SIN(RADIANS(F92))),('Geometry'!$G$19*COS(RADIANS(F92))+'Geometry'!$F$19*SIN(RADIANS(F92))),('Geometry'!$G$20*COS(RADIANS(F92))+'Geometry'!$F$20*SIN(RADIANS(F92))))</f>
        <v>1626.319702397967</v>
      </c>
      <c r="L92" s="16">
        <f>C_ecu</f>
        <v>0.0033</v>
      </c>
      <c r="M92" s="16">
        <f>0</f>
        <v>0</v>
      </c>
      <c r="N92" s="22">
        <f>IF(ABS(I92-J92)&lt;0.000000000001,0,(L92-M92)/(I92-J92))</f>
        <v>0.000001844655755923375</v>
      </c>
      <c r="O92" s="16">
        <f>L92-N92*I92</f>
        <v>0.0018</v>
      </c>
      <c r="P92" s="22">
        <f>N92*COS(RADIANS(F92))</f>
        <v>-0.000001413088291292539</v>
      </c>
      <c r="Q92" s="22">
        <f>N92*SIN(RADIANS(F92))</f>
        <v>0.0000011857218640445027</v>
      </c>
      <c r="R92" s="11">
        <f>AP92</f>
        <v>15280.212108804444</v>
      </c>
      <c r="S92" s="11">
        <f>AQ92</f>
        <v>-885.7959941764699</v>
      </c>
      <c r="T92" s="11">
        <f>AR92</f>
        <v>1017.5105307672836</v>
      </c>
      <c r="U92" s="11">
        <f>AS92</f>
        <v>2390.1335066787897</v>
      </c>
      <c r="V92" s="11">
        <f>AT92</f>
        <v>-282.9380976739765</v>
      </c>
      <c r="W92" s="11">
        <f>AU92</f>
        <v>325.32110182553714</v>
      </c>
      <c r="X92" s="11">
        <f>AM92</f>
        <v>17670.345615483235</v>
      </c>
      <c r="Y92" s="11">
        <f>AN92</f>
        <v>-1168.7340918504465</v>
      </c>
      <c r="Z92" s="11">
        <f>AO92</f>
        <v>1342.8316325928208</v>
      </c>
      <c r="AA92" s="7">
        <v>1</v>
      </c>
      <c r="AB92" s="7">
        <v>1</v>
      </c>
      <c r="AC92" s="7">
        <v>1</v>
      </c>
      <c r="AD92" s="11">
        <f>X92*AA92</f>
        <v>17670.345615483235</v>
      </c>
      <c r="AE92" s="11">
        <f>Y92*AB92</f>
        <v>-1168.7340918504465</v>
      </c>
      <c r="AF92" s="11">
        <f>Z92*AC92</f>
        <v>1342.8316325928208</v>
      </c>
      <c r="AG92" s="7">
        <v>17670.345615483235</v>
      </c>
      <c r="AH92" s="7">
        <v>-1168.7340918504465</v>
      </c>
      <c r="AI92" s="7">
        <v>1342.8316325928208</v>
      </c>
      <c r="AJ92" s="16">
        <f>AD92-AG92</f>
        <v>0</v>
      </c>
      <c r="AK92" s="16">
        <f>SQRT((AE92-AH92)^2+(AF92-AI92)^2)</f>
        <v>0</v>
      </c>
      <c r="AL92" s="7" t="s">
        <v>190</v>
      </c>
      <c r="AM92" s="7">
        <v>17670.345615483235</v>
      </c>
      <c r="AN92" s="7">
        <v>-1168.7340918504465</v>
      </c>
      <c r="AO92" s="7">
        <v>1342.8316325928208</v>
      </c>
      <c r="AP92" s="7">
        <v>15280.212108804444</v>
      </c>
      <c r="AQ92" s="7">
        <v>-885.7959941764699</v>
      </c>
      <c r="AR92" s="7">
        <v>1017.5105307672836</v>
      </c>
      <c r="AS92" s="7">
        <v>2390.1335066787897</v>
      </c>
      <c r="AT92" s="7">
        <v>-282.9380976739765</v>
      </c>
      <c r="AU92" s="7">
        <v>325.32110182553714</v>
      </c>
    </row>
    <row r="93" spans="1:47" x14ac:dyDescent="0.25">
      <c r="A93" s="7" t="s">
        <v>366</v>
      </c>
      <c r="B93" s="7">
        <v>6</v>
      </c>
      <c r="C93" s="19">
        <v>140</v>
      </c>
      <c r="D93" s="7" t="s">
        <v>367</v>
      </c>
      <c r="E93" s="7" t="s">
        <v>614</v>
      </c>
      <c r="F93" s="20">
        <v>140</v>
      </c>
      <c r="G93" s="7" t="s">
        <v>194</v>
      </c>
      <c r="H93" s="21">
        <v>1.0000000000000002</v>
      </c>
      <c r="I93" s="11">
        <f>MAX(('Geometry'!$G$13*COS(RADIANS(F93))+'Geometry'!$F$13*SIN(RADIANS(F93))),('Geometry'!$G$14*COS(RADIANS(F93))+'Geometry'!$F$14*SIN(RADIANS(F93))),('Geometry'!$G$15*COS(RADIANS(F93))+'Geometry'!$F$15*SIN(RADIANS(F93))),('Geometry'!$G$16*COS(RADIANS(F93))+'Geometry'!$F$16*SIN(RADIANS(F93))),('Geometry'!$G$17*COS(RADIANS(F93))+'Geometry'!$F$17*SIN(RADIANS(F93))),('Geometry'!$G$18*COS(RADIANS(F93))+'Geometry'!$F$18*SIN(RADIANS(F93))),('Geometry'!$G$19*COS(RADIANS(F93))+'Geometry'!$F$19*SIN(RADIANS(F93))),('Geometry'!$G$20*COS(RADIANS(F93))+'Geometry'!$F$20*SIN(RADIANS(F93))))</f>
        <v>813.1598511989835</v>
      </c>
      <c r="J93" s="11">
        <f>I93-H93*K93</f>
        <v>-813.1598511989837</v>
      </c>
      <c r="K93" s="11">
        <f>I93-MIN(('Geometry'!$G$13*COS(RADIANS(F93))+'Geometry'!$F$13*SIN(RADIANS(F93))),('Geometry'!$G$14*COS(RADIANS(F93))+'Geometry'!$F$14*SIN(RADIANS(F93))),('Geometry'!$G$15*COS(RADIANS(F93))+'Geometry'!$F$15*SIN(RADIANS(F93))),('Geometry'!$G$16*COS(RADIANS(F93))+'Geometry'!$F$16*SIN(RADIANS(F93))),('Geometry'!$G$17*COS(RADIANS(F93))+'Geometry'!$F$17*SIN(RADIANS(F93))),('Geometry'!$G$18*COS(RADIANS(F93))+'Geometry'!$F$18*SIN(RADIANS(F93))),('Geometry'!$G$19*COS(RADIANS(F93))+'Geometry'!$F$19*SIN(RADIANS(F93))),('Geometry'!$G$20*COS(RADIANS(F93))+'Geometry'!$F$20*SIN(RADIANS(F93))))</f>
        <v>1626.319702397967</v>
      </c>
      <c r="L93" s="16">
        <f>C_ecu</f>
        <v>0.0033</v>
      </c>
      <c r="M93" s="16">
        <f>0</f>
        <v>0</v>
      </c>
      <c r="N93" s="22">
        <f>IF(ABS(I93-J93)&lt;0.000000000001,0,(L93-M93)/(I93-J93))</f>
        <v>0.0000020291213315157124</v>
      </c>
      <c r="O93" s="16">
        <f>L93-N93*I93</f>
        <v>0.0016500000000000002</v>
      </c>
      <c r="P93" s="22">
        <f>N93*COS(RADIANS(F93))</f>
        <v>-0.0000015543971204217928</v>
      </c>
      <c r="Q93" s="22">
        <f>N93*SIN(RADIANS(F93))</f>
        <v>0.000001304294050448953</v>
      </c>
      <c r="R93" s="11">
        <f>AP93</f>
        <v>15280.212108804444</v>
      </c>
      <c r="S93" s="11">
        <f>AQ93</f>
        <v>-1062.9551930117639</v>
      </c>
      <c r="T93" s="11">
        <f>AR93</f>
        <v>1221.0126369207403</v>
      </c>
      <c r="U93" s="11">
        <f>AS93</f>
        <v>2390.1335066787897</v>
      </c>
      <c r="V93" s="11">
        <f>AT93</f>
        <v>-339.52571720877177</v>
      </c>
      <c r="W93" s="11">
        <f>AU93</f>
        <v>390.38532219064456</v>
      </c>
      <c r="X93" s="11">
        <f>AM93</f>
        <v>17670.345615483235</v>
      </c>
      <c r="Y93" s="11">
        <f>AN93</f>
        <v>-1402.4809102205359</v>
      </c>
      <c r="Z93" s="11">
        <f>AO93</f>
        <v>1611.397959111385</v>
      </c>
      <c r="AA93" s="7">
        <v>1</v>
      </c>
      <c r="AB93" s="7">
        <v>1</v>
      </c>
      <c r="AC93" s="7">
        <v>1</v>
      </c>
      <c r="AD93" s="11">
        <f>X93*AA93</f>
        <v>17670.345615483235</v>
      </c>
      <c r="AE93" s="11">
        <f>Y93*AB93</f>
        <v>-1402.4809102205359</v>
      </c>
      <c r="AF93" s="11">
        <f>Z93*AC93</f>
        <v>1611.397959111385</v>
      </c>
      <c r="AG93" s="7">
        <v>17670.345615483235</v>
      </c>
      <c r="AH93" s="7">
        <v>-1402.4809102205359</v>
      </c>
      <c r="AI93" s="7">
        <v>1611.397959111385</v>
      </c>
      <c r="AJ93" s="16">
        <f>AD93-AG93</f>
        <v>0</v>
      </c>
      <c r="AK93" s="16">
        <f>SQRT((AE93-AH93)^2+(AF93-AI93)^2)</f>
        <v>0</v>
      </c>
      <c r="AL93" s="7" t="s">
        <v>190</v>
      </c>
      <c r="AM93" s="7">
        <v>17670.345615483235</v>
      </c>
      <c r="AN93" s="7">
        <v>-1402.4809102205359</v>
      </c>
      <c r="AO93" s="7">
        <v>1611.397959111385</v>
      </c>
      <c r="AP93" s="7">
        <v>15280.212108804444</v>
      </c>
      <c r="AQ93" s="7">
        <v>-1062.9551930117639</v>
      </c>
      <c r="AR93" s="7">
        <v>1221.0126369207403</v>
      </c>
      <c r="AS93" s="7">
        <v>2390.1335066787897</v>
      </c>
      <c r="AT93" s="7">
        <v>-339.52571720877177</v>
      </c>
      <c r="AU93" s="7">
        <v>390.38532219064456</v>
      </c>
    </row>
    <row r="94" spans="1:47" x14ac:dyDescent="0.25">
      <c r="A94" s="7" t="s">
        <v>368</v>
      </c>
      <c r="B94" s="7">
        <v>1</v>
      </c>
      <c r="C94" s="19">
        <v>150</v>
      </c>
      <c r="D94" s="7" t="s">
        <v>369</v>
      </c>
      <c r="E94" s="7" t="s">
        <v>609</v>
      </c>
      <c r="F94" s="20">
        <v>150</v>
      </c>
      <c r="G94" s="7" t="s">
        <v>194</v>
      </c>
      <c r="H94" s="21">
        <v>3</v>
      </c>
      <c r="I94" s="11">
        <f>MAX(('Geometry'!$G$13*COS(RADIANS(F94))+'Geometry'!$F$13*SIN(RADIANS(F94))),('Geometry'!$G$14*COS(RADIANS(F94))+'Geometry'!$F$14*SIN(RADIANS(F94))),('Geometry'!$G$15*COS(RADIANS(F94))+'Geometry'!$F$15*SIN(RADIANS(F94))),('Geometry'!$G$16*COS(RADIANS(F94))+'Geometry'!$F$16*SIN(RADIANS(F94))),('Geometry'!$G$17*COS(RADIANS(F94))+'Geometry'!$F$17*SIN(RADIANS(F94))),('Geometry'!$G$18*COS(RADIANS(F94))+'Geometry'!$F$18*SIN(RADIANS(F94))),('Geometry'!$G$19*COS(RADIANS(F94))+'Geometry'!$F$19*SIN(RADIANS(F94))),('Geometry'!$G$20*COS(RADIANS(F94))+'Geometry'!$F$20*SIN(RADIANS(F94))))</f>
        <v>794.6152422706632</v>
      </c>
      <c r="J94" s="11">
        <f>I94-H94*K94</f>
        <v>-3973.076211353316</v>
      </c>
      <c r="K94" s="11">
        <f>I94-MIN(('Geometry'!$G$13*COS(RADIANS(F94))+'Geometry'!$F$13*SIN(RADIANS(F94))),('Geometry'!$G$14*COS(RADIANS(F94))+'Geometry'!$F$14*SIN(RADIANS(F94))),('Geometry'!$G$15*COS(RADIANS(F94))+'Geometry'!$F$15*SIN(RADIANS(F94))),('Geometry'!$G$16*COS(RADIANS(F94))+'Geometry'!$F$16*SIN(RADIANS(F94))),('Geometry'!$G$17*COS(RADIANS(F94))+'Geometry'!$F$17*SIN(RADIANS(F94))),('Geometry'!$G$18*COS(RADIANS(F94))+'Geometry'!$F$18*SIN(RADIANS(F94))),('Geometry'!$G$19*COS(RADIANS(F94))+'Geometry'!$F$19*SIN(RADIANS(F94))),('Geometry'!$G$20*COS(RADIANS(F94))+'Geometry'!$F$20*SIN(RADIANS(F94))))</f>
        <v>1589.2304845413264</v>
      </c>
      <c r="L94" s="16">
        <f>C_ecu</f>
        <v>0.0033</v>
      </c>
      <c r="M94" s="16">
        <f>0</f>
        <v>0</v>
      </c>
      <c r="N94" s="22">
        <f>IF(ABS(I94-J94)&lt;0.000000000001,0,(L94-M94)/(I94-J94))</f>
        <v>6.921588848816193e-7</v>
      </c>
      <c r="O94" s="16">
        <f>L94-N94*I94</f>
        <v>0.00275</v>
      </c>
      <c r="P94" s="22">
        <f>N94*COS(RADIANS(F94))</f>
        <v>-5.99427177762591e-7</v>
      </c>
      <c r="Q94" s="22">
        <f>N94*SIN(RADIANS(F94))</f>
        <v>3.4607944244080984e-7</v>
      </c>
      <c r="R94" s="11">
        <f>AP94</f>
        <v>15282.090777345782</v>
      </c>
      <c r="S94" s="11">
        <f>AQ94</f>
        <v>-200.4839633304928</v>
      </c>
      <c r="T94" s="11">
        <f>AR94</f>
        <v>163.88364490211177</v>
      </c>
      <c r="U94" s="11">
        <f>AS94</f>
        <v>2388.254838137454</v>
      </c>
      <c r="V94" s="11">
        <f>AT94</f>
        <v>-64.45727792422426</v>
      </c>
      <c r="W94" s="11">
        <f>AU94</f>
        <v>52.543816320140394</v>
      </c>
      <c r="X94" s="11">
        <f>AM94</f>
        <v>17670.345615483235</v>
      </c>
      <c r="Y94" s="11">
        <f>AN94</f>
        <v>-264.94124125471706</v>
      </c>
      <c r="Z94" s="11">
        <f>AO94</f>
        <v>216.4274612222522</v>
      </c>
      <c r="AA94" s="7">
        <v>1</v>
      </c>
      <c r="AB94" s="7">
        <v>1</v>
      </c>
      <c r="AC94" s="7">
        <v>1</v>
      </c>
      <c r="AD94" s="11">
        <f>X94*AA94</f>
        <v>17670.345615483235</v>
      </c>
      <c r="AE94" s="11">
        <f>Y94*AB94</f>
        <v>-264.94124125471706</v>
      </c>
      <c r="AF94" s="11">
        <f>Z94*AC94</f>
        <v>216.4274612222522</v>
      </c>
      <c r="AG94" s="7">
        <v>17670.345615483235</v>
      </c>
      <c r="AH94" s="7">
        <v>-264.94124125471706</v>
      </c>
      <c r="AI94" s="7">
        <v>216.4274612222522</v>
      </c>
      <c r="AJ94" s="16">
        <f>AD94-AG94</f>
        <v>0</v>
      </c>
      <c r="AK94" s="16">
        <f>SQRT((AE94-AH94)^2+(AF94-AI94)^2)</f>
        <v>0</v>
      </c>
      <c r="AL94" s="7" t="s">
        <v>190</v>
      </c>
      <c r="AM94" s="7">
        <v>17670.345615483235</v>
      </c>
      <c r="AN94" s="7">
        <v>-264.94124125471706</v>
      </c>
      <c r="AO94" s="7">
        <v>216.4274612222522</v>
      </c>
      <c r="AP94" s="7">
        <v>15282.090777345782</v>
      </c>
      <c r="AQ94" s="7">
        <v>-200.4839633304928</v>
      </c>
      <c r="AR94" s="7">
        <v>163.88364490211177</v>
      </c>
      <c r="AS94" s="7">
        <v>2388.254838137454</v>
      </c>
      <c r="AT94" s="7">
        <v>-64.45727792422426</v>
      </c>
      <c r="AU94" s="7">
        <v>52.543816320140394</v>
      </c>
    </row>
    <row r="95" spans="1:47" x14ac:dyDescent="0.25">
      <c r="A95" s="7" t="s">
        <v>370</v>
      </c>
      <c r="B95" s="7">
        <v>2</v>
      </c>
      <c r="C95" s="19">
        <v>150</v>
      </c>
      <c r="D95" s="7" t="s">
        <v>371</v>
      </c>
      <c r="E95" s="7" t="s">
        <v>610</v>
      </c>
      <c r="F95" s="20">
        <v>150</v>
      </c>
      <c r="G95" s="7" t="s">
        <v>194</v>
      </c>
      <c r="H95" s="21">
        <v>2</v>
      </c>
      <c r="I95" s="11">
        <f>MAX(('Geometry'!$G$13*COS(RADIANS(F95))+'Geometry'!$F$13*SIN(RADIANS(F95))),('Geometry'!$G$14*COS(RADIANS(F95))+'Geometry'!$F$14*SIN(RADIANS(F95))),('Geometry'!$G$15*COS(RADIANS(F95))+'Geometry'!$F$15*SIN(RADIANS(F95))),('Geometry'!$G$16*COS(RADIANS(F95))+'Geometry'!$F$16*SIN(RADIANS(F95))),('Geometry'!$G$17*COS(RADIANS(F95))+'Geometry'!$F$17*SIN(RADIANS(F95))),('Geometry'!$G$18*COS(RADIANS(F95))+'Geometry'!$F$18*SIN(RADIANS(F95))),('Geometry'!$G$19*COS(RADIANS(F95))+'Geometry'!$F$19*SIN(RADIANS(F95))),('Geometry'!$G$20*COS(RADIANS(F95))+'Geometry'!$F$20*SIN(RADIANS(F95))))</f>
        <v>794.6152422706632</v>
      </c>
      <c r="J95" s="11">
        <f>I95-H95*K95</f>
        <v>-2383.8457268119896</v>
      </c>
      <c r="K95" s="11">
        <f>I95-MIN(('Geometry'!$G$13*COS(RADIANS(F95))+'Geometry'!$F$13*SIN(RADIANS(F95))),('Geometry'!$G$14*COS(RADIANS(F95))+'Geometry'!$F$14*SIN(RADIANS(F95))),('Geometry'!$G$15*COS(RADIANS(F95))+'Geometry'!$F$15*SIN(RADIANS(F95))),('Geometry'!$G$16*COS(RADIANS(F95))+'Geometry'!$F$16*SIN(RADIANS(F95))),('Geometry'!$G$17*COS(RADIANS(F95))+'Geometry'!$F$17*SIN(RADIANS(F95))),('Geometry'!$G$18*COS(RADIANS(F95))+'Geometry'!$F$18*SIN(RADIANS(F95))),('Geometry'!$G$19*COS(RADIANS(F95))+'Geometry'!$F$19*SIN(RADIANS(F95))),('Geometry'!$G$20*COS(RADIANS(F95))+'Geometry'!$F$20*SIN(RADIANS(F95))))</f>
        <v>1589.2304845413264</v>
      </c>
      <c r="L95" s="16">
        <f>C_ecu</f>
        <v>0.0033</v>
      </c>
      <c r="M95" s="16">
        <f>0</f>
        <v>0</v>
      </c>
      <c r="N95" s="22">
        <f>IF(ABS(I95-J95)&lt;0.000000000001,0,(L95-M95)/(I95-J95))</f>
        <v>0.0000010382383273224289</v>
      </c>
      <c r="O95" s="16">
        <f>L95-N95*I95</f>
        <v>0.0024749999999999998</v>
      </c>
      <c r="P95" s="22">
        <f>N95*COS(RADIANS(F95))</f>
        <v>-8.991407666438865e-7</v>
      </c>
      <c r="Q95" s="22">
        <f>N95*SIN(RADIANS(F95))</f>
        <v>5.191191636612148e-7</v>
      </c>
      <c r="R95" s="11">
        <f>AP95</f>
        <v>15282.090777345782</v>
      </c>
      <c r="S95" s="11">
        <f>AQ95</f>
        <v>-400.9679266609856</v>
      </c>
      <c r="T95" s="11">
        <f>AR95</f>
        <v>327.76728980422354</v>
      </c>
      <c r="U95" s="11">
        <f>AS95</f>
        <v>2388.254838137454</v>
      </c>
      <c r="V95" s="11">
        <f>AT95</f>
        <v>-128.91455584844852</v>
      </c>
      <c r="W95" s="11">
        <f>AU95</f>
        <v>105.08763264028079</v>
      </c>
      <c r="X95" s="11">
        <f>AM95</f>
        <v>17670.345615483235</v>
      </c>
      <c r="Y95" s="11">
        <f>AN95</f>
        <v>-529.8824825094341</v>
      </c>
      <c r="Z95" s="11">
        <f>AO95</f>
        <v>432.8549224445044</v>
      </c>
      <c r="AA95" s="7">
        <v>1</v>
      </c>
      <c r="AB95" s="7">
        <v>1</v>
      </c>
      <c r="AC95" s="7">
        <v>1</v>
      </c>
      <c r="AD95" s="11">
        <f>X95*AA95</f>
        <v>17670.345615483235</v>
      </c>
      <c r="AE95" s="11">
        <f>Y95*AB95</f>
        <v>-529.8824825094341</v>
      </c>
      <c r="AF95" s="11">
        <f>Z95*AC95</f>
        <v>432.8549224445044</v>
      </c>
      <c r="AG95" s="7">
        <v>17670.345615483235</v>
      </c>
      <c r="AH95" s="7">
        <v>-529.8824825094341</v>
      </c>
      <c r="AI95" s="7">
        <v>432.8549224445044</v>
      </c>
      <c r="AJ95" s="16">
        <f>AD95-AG95</f>
        <v>0</v>
      </c>
      <c r="AK95" s="16">
        <f>SQRT((AE95-AH95)^2+(AF95-AI95)^2)</f>
        <v>0</v>
      </c>
      <c r="AL95" s="7" t="s">
        <v>190</v>
      </c>
      <c r="AM95" s="7">
        <v>17670.345615483235</v>
      </c>
      <c r="AN95" s="7">
        <v>-529.8824825094341</v>
      </c>
      <c r="AO95" s="7">
        <v>432.8549224445044</v>
      </c>
      <c r="AP95" s="7">
        <v>15282.090777345782</v>
      </c>
      <c r="AQ95" s="7">
        <v>-400.9679266609856</v>
      </c>
      <c r="AR95" s="7">
        <v>327.76728980422354</v>
      </c>
      <c r="AS95" s="7">
        <v>2388.254838137454</v>
      </c>
      <c r="AT95" s="7">
        <v>-128.91455584844852</v>
      </c>
      <c r="AU95" s="7">
        <v>105.08763264028079</v>
      </c>
    </row>
    <row r="96" spans="1:47" x14ac:dyDescent="0.25">
      <c r="A96" s="7" t="s">
        <v>372</v>
      </c>
      <c r="B96" s="7">
        <v>3</v>
      </c>
      <c r="C96" s="19">
        <v>150</v>
      </c>
      <c r="D96" s="7" t="s">
        <v>373</v>
      </c>
      <c r="E96" s="7" t="s">
        <v>611</v>
      </c>
      <c r="F96" s="20">
        <v>150</v>
      </c>
      <c r="G96" s="7" t="s">
        <v>194</v>
      </c>
      <c r="H96" s="21">
        <v>1.5000000000000002</v>
      </c>
      <c r="I96" s="11">
        <f>MAX(('Geometry'!$G$13*COS(RADIANS(F96))+'Geometry'!$F$13*SIN(RADIANS(F96))),('Geometry'!$G$14*COS(RADIANS(F96))+'Geometry'!$F$14*SIN(RADIANS(F96))),('Geometry'!$G$15*COS(RADIANS(F96))+'Geometry'!$F$15*SIN(RADIANS(F96))),('Geometry'!$G$16*COS(RADIANS(F96))+'Geometry'!$F$16*SIN(RADIANS(F96))),('Geometry'!$G$17*COS(RADIANS(F96))+'Geometry'!$F$17*SIN(RADIANS(F96))),('Geometry'!$G$18*COS(RADIANS(F96))+'Geometry'!$F$18*SIN(RADIANS(F96))),('Geometry'!$G$19*COS(RADIANS(F96))+'Geometry'!$F$19*SIN(RADIANS(F96))),('Geometry'!$G$20*COS(RADIANS(F96))+'Geometry'!$F$20*SIN(RADIANS(F96))))</f>
        <v>794.6152422706632</v>
      </c>
      <c r="J96" s="11">
        <f>I96-H96*K96</f>
        <v>-1589.2304845413266</v>
      </c>
      <c r="K96" s="11">
        <f>I96-MIN(('Geometry'!$G$13*COS(RADIANS(F96))+'Geometry'!$F$13*SIN(RADIANS(F96))),('Geometry'!$G$14*COS(RADIANS(F96))+'Geometry'!$F$14*SIN(RADIANS(F96))),('Geometry'!$G$15*COS(RADIANS(F96))+'Geometry'!$F$15*SIN(RADIANS(F96))),('Geometry'!$G$16*COS(RADIANS(F96))+'Geometry'!$F$16*SIN(RADIANS(F96))),('Geometry'!$G$17*COS(RADIANS(F96))+'Geometry'!$F$17*SIN(RADIANS(F96))),('Geometry'!$G$18*COS(RADIANS(F96))+'Geometry'!$F$18*SIN(RADIANS(F96))),('Geometry'!$G$19*COS(RADIANS(F96))+'Geometry'!$F$19*SIN(RADIANS(F96))),('Geometry'!$G$20*COS(RADIANS(F96))+'Geometry'!$F$20*SIN(RADIANS(F96))))</f>
        <v>1589.2304845413264</v>
      </c>
      <c r="L96" s="16">
        <f>C_ecu</f>
        <v>0.0033</v>
      </c>
      <c r="M96" s="16">
        <f>0</f>
        <v>0</v>
      </c>
      <c r="N96" s="22">
        <f>IF(ABS(I96-J96)&lt;0.000000000001,0,(L96-M96)/(I96-J96))</f>
        <v>0.0000013843177697632385</v>
      </c>
      <c r="O96" s="16">
        <f>L96-N96*I96</f>
        <v>0.0022</v>
      </c>
      <c r="P96" s="22">
        <f>N96*COS(RADIANS(F96))</f>
        <v>-0.000001198854355525182</v>
      </c>
      <c r="Q96" s="22">
        <f>N96*SIN(RADIANS(F96))</f>
        <v>6.921588848816197e-7</v>
      </c>
      <c r="R96" s="11">
        <f>AP96</f>
        <v>15282.090777345782</v>
      </c>
      <c r="S96" s="11">
        <f>AQ96</f>
        <v>-601.4518899914783</v>
      </c>
      <c r="T96" s="11">
        <f>AR96</f>
        <v>491.65093470633525</v>
      </c>
      <c r="U96" s="11">
        <f>AS96</f>
        <v>2388.254838137454</v>
      </c>
      <c r="V96" s="11">
        <f>AT96</f>
        <v>-193.37183377267277</v>
      </c>
      <c r="W96" s="11">
        <f>AU96</f>
        <v>157.63144896042118</v>
      </c>
      <c r="X96" s="11">
        <f>AM96</f>
        <v>17670.345615483235</v>
      </c>
      <c r="Y96" s="11">
        <f>AN96</f>
        <v>-794.8237237641512</v>
      </c>
      <c r="Z96" s="11">
        <f>AO96</f>
        <v>649.2823836667565</v>
      </c>
      <c r="AA96" s="7">
        <v>1</v>
      </c>
      <c r="AB96" s="7">
        <v>1</v>
      </c>
      <c r="AC96" s="7">
        <v>1</v>
      </c>
      <c r="AD96" s="11">
        <f>X96*AA96</f>
        <v>17670.345615483235</v>
      </c>
      <c r="AE96" s="11">
        <f>Y96*AB96</f>
        <v>-794.8237237641512</v>
      </c>
      <c r="AF96" s="11">
        <f>Z96*AC96</f>
        <v>649.2823836667565</v>
      </c>
      <c r="AG96" s="7">
        <v>17670.345615483235</v>
      </c>
      <c r="AH96" s="7">
        <v>-794.8237237641512</v>
      </c>
      <c r="AI96" s="7">
        <v>649.2823836667565</v>
      </c>
      <c r="AJ96" s="16">
        <f>AD96-AG96</f>
        <v>0</v>
      </c>
      <c r="AK96" s="16">
        <f>SQRT((AE96-AH96)^2+(AF96-AI96)^2)</f>
        <v>0</v>
      </c>
      <c r="AL96" s="7" t="s">
        <v>190</v>
      </c>
      <c r="AM96" s="7">
        <v>17670.345615483235</v>
      </c>
      <c r="AN96" s="7">
        <v>-794.8237237641512</v>
      </c>
      <c r="AO96" s="7">
        <v>649.2823836667565</v>
      </c>
      <c r="AP96" s="7">
        <v>15282.090777345782</v>
      </c>
      <c r="AQ96" s="7">
        <v>-601.4518899914783</v>
      </c>
      <c r="AR96" s="7">
        <v>491.65093470633525</v>
      </c>
      <c r="AS96" s="7">
        <v>2388.254838137454</v>
      </c>
      <c r="AT96" s="7">
        <v>-193.37183377267277</v>
      </c>
      <c r="AU96" s="7">
        <v>157.63144896042118</v>
      </c>
    </row>
    <row r="97" spans="1:47" x14ac:dyDescent="0.25">
      <c r="A97" s="7" t="s">
        <v>374</v>
      </c>
      <c r="B97" s="7">
        <v>4</v>
      </c>
      <c r="C97" s="19">
        <v>150</v>
      </c>
      <c r="D97" s="7" t="s">
        <v>375</v>
      </c>
      <c r="E97" s="7" t="s">
        <v>612</v>
      </c>
      <c r="F97" s="20">
        <v>150</v>
      </c>
      <c r="G97" s="7" t="s">
        <v>194</v>
      </c>
      <c r="H97" s="21">
        <v>1.2000000000000002</v>
      </c>
      <c r="I97" s="11">
        <f>MAX(('Geometry'!$G$13*COS(RADIANS(F97))+'Geometry'!$F$13*SIN(RADIANS(F97))),('Geometry'!$G$14*COS(RADIANS(F97))+'Geometry'!$F$14*SIN(RADIANS(F97))),('Geometry'!$G$15*COS(RADIANS(F97))+'Geometry'!$F$15*SIN(RADIANS(F97))),('Geometry'!$G$16*COS(RADIANS(F97))+'Geometry'!$F$16*SIN(RADIANS(F97))),('Geometry'!$G$17*COS(RADIANS(F97))+'Geometry'!$F$17*SIN(RADIANS(F97))),('Geometry'!$G$18*COS(RADIANS(F97))+'Geometry'!$F$18*SIN(RADIANS(F97))),('Geometry'!$G$19*COS(RADIANS(F97))+'Geometry'!$F$19*SIN(RADIANS(F97))),('Geometry'!$G$20*COS(RADIANS(F97))+'Geometry'!$F$20*SIN(RADIANS(F97))))</f>
        <v>794.6152422706632</v>
      </c>
      <c r="J97" s="11">
        <f>I97-H97*K97</f>
        <v>-1112.4613391789287</v>
      </c>
      <c r="K97" s="11">
        <f>I97-MIN(('Geometry'!$G$13*COS(RADIANS(F97))+'Geometry'!$F$13*SIN(RADIANS(F97))),('Geometry'!$G$14*COS(RADIANS(F97))+'Geometry'!$F$14*SIN(RADIANS(F97))),('Geometry'!$G$15*COS(RADIANS(F97))+'Geometry'!$F$15*SIN(RADIANS(F97))),('Geometry'!$G$16*COS(RADIANS(F97))+'Geometry'!$F$16*SIN(RADIANS(F97))),('Geometry'!$G$17*COS(RADIANS(F97))+'Geometry'!$F$17*SIN(RADIANS(F97))),('Geometry'!$G$18*COS(RADIANS(F97))+'Geometry'!$F$18*SIN(RADIANS(F97))),('Geometry'!$G$19*COS(RADIANS(F97))+'Geometry'!$F$19*SIN(RADIANS(F97))),('Geometry'!$G$20*COS(RADIANS(F97))+'Geometry'!$F$20*SIN(RADIANS(F97))))</f>
        <v>1589.2304845413264</v>
      </c>
      <c r="L97" s="16">
        <f>C_ecu</f>
        <v>0.0033</v>
      </c>
      <c r="M97" s="16">
        <f>0</f>
        <v>0</v>
      </c>
      <c r="N97" s="22">
        <f>IF(ABS(I97-J97)&lt;0.000000000001,0,(L97-M97)/(I97-J97))</f>
        <v>0.000001730397212204048</v>
      </c>
      <c r="O97" s="16">
        <f>L97-N97*I97</f>
        <v>0.001925</v>
      </c>
      <c r="P97" s="22">
        <f>N97*COS(RADIANS(F97))</f>
        <v>-0.0000014985679444064775</v>
      </c>
      <c r="Q97" s="22">
        <f>N97*SIN(RADIANS(F97))</f>
        <v>8.651986061020246e-7</v>
      </c>
      <c r="R97" s="11">
        <f>AP97</f>
        <v>15282.090777345782</v>
      </c>
      <c r="S97" s="11">
        <f>AQ97</f>
        <v>-801.9358533219712</v>
      </c>
      <c r="T97" s="11">
        <f>AR97</f>
        <v>655.5345796084471</v>
      </c>
      <c r="U97" s="11">
        <f>AS97</f>
        <v>2388.254838137454</v>
      </c>
      <c r="V97" s="11">
        <f>AT97</f>
        <v>-257.82911169689703</v>
      </c>
      <c r="W97" s="11">
        <f>AU97</f>
        <v>210.17526528056158</v>
      </c>
      <c r="X97" s="11">
        <f>AM97</f>
        <v>17670.345615483235</v>
      </c>
      <c r="Y97" s="11">
        <f>AN97</f>
        <v>-1059.7649650188682</v>
      </c>
      <c r="Z97" s="11">
        <f>AO97</f>
        <v>865.7098448890088</v>
      </c>
      <c r="AA97" s="7">
        <v>1</v>
      </c>
      <c r="AB97" s="7">
        <v>1</v>
      </c>
      <c r="AC97" s="7">
        <v>1</v>
      </c>
      <c r="AD97" s="11">
        <f>X97*AA97</f>
        <v>17670.345615483235</v>
      </c>
      <c r="AE97" s="11">
        <f>Y97*AB97</f>
        <v>-1059.7649650188682</v>
      </c>
      <c r="AF97" s="11">
        <f>Z97*AC97</f>
        <v>865.7098448890088</v>
      </c>
      <c r="AG97" s="7">
        <v>17670.345615483235</v>
      </c>
      <c r="AH97" s="7">
        <v>-1059.7649650188682</v>
      </c>
      <c r="AI97" s="7">
        <v>865.7098448890088</v>
      </c>
      <c r="AJ97" s="16">
        <f>AD97-AG97</f>
        <v>0</v>
      </c>
      <c r="AK97" s="16">
        <f>SQRT((AE97-AH97)^2+(AF97-AI97)^2)</f>
        <v>0</v>
      </c>
      <c r="AL97" s="7" t="s">
        <v>190</v>
      </c>
      <c r="AM97" s="7">
        <v>17670.345615483235</v>
      </c>
      <c r="AN97" s="7">
        <v>-1059.7649650188682</v>
      </c>
      <c r="AO97" s="7">
        <v>865.7098448890088</v>
      </c>
      <c r="AP97" s="7">
        <v>15282.090777345782</v>
      </c>
      <c r="AQ97" s="7">
        <v>-801.9358533219712</v>
      </c>
      <c r="AR97" s="7">
        <v>655.5345796084471</v>
      </c>
      <c r="AS97" s="7">
        <v>2388.254838137454</v>
      </c>
      <c r="AT97" s="7">
        <v>-257.82911169689703</v>
      </c>
      <c r="AU97" s="7">
        <v>210.17526528056158</v>
      </c>
    </row>
    <row r="98" spans="1:47" x14ac:dyDescent="0.25">
      <c r="A98" s="7" t="s">
        <v>376</v>
      </c>
      <c r="B98" s="7">
        <v>5</v>
      </c>
      <c r="C98" s="19">
        <v>150</v>
      </c>
      <c r="D98" s="7" t="s">
        <v>377</v>
      </c>
      <c r="E98" s="7" t="s">
        <v>613</v>
      </c>
      <c r="F98" s="20">
        <v>150</v>
      </c>
      <c r="G98" s="7" t="s">
        <v>194</v>
      </c>
      <c r="H98" s="21">
        <v>1.1000000000000003</v>
      </c>
      <c r="I98" s="11">
        <f>MAX(('Geometry'!$G$13*COS(RADIANS(F98))+'Geometry'!$F$13*SIN(RADIANS(F98))),('Geometry'!$G$14*COS(RADIANS(F98))+'Geometry'!$F$14*SIN(RADIANS(F98))),('Geometry'!$G$15*COS(RADIANS(F98))+'Geometry'!$F$15*SIN(RADIANS(F98))),('Geometry'!$G$16*COS(RADIANS(F98))+'Geometry'!$F$16*SIN(RADIANS(F98))),('Geometry'!$G$17*COS(RADIANS(F98))+'Geometry'!$F$17*SIN(RADIANS(F98))),('Geometry'!$G$18*COS(RADIANS(F98))+'Geometry'!$F$18*SIN(RADIANS(F98))),('Geometry'!$G$19*COS(RADIANS(F98))+'Geometry'!$F$19*SIN(RADIANS(F98))),('Geometry'!$G$20*COS(RADIANS(F98))+'Geometry'!$F$20*SIN(RADIANS(F98))))</f>
        <v>794.6152422706632</v>
      </c>
      <c r="J98" s="11">
        <f>I98-H98*K98</f>
        <v>-953.5382907247962</v>
      </c>
      <c r="K98" s="11">
        <f>I98-MIN(('Geometry'!$G$13*COS(RADIANS(F98))+'Geometry'!$F$13*SIN(RADIANS(F98))),('Geometry'!$G$14*COS(RADIANS(F98))+'Geometry'!$F$14*SIN(RADIANS(F98))),('Geometry'!$G$15*COS(RADIANS(F98))+'Geometry'!$F$15*SIN(RADIANS(F98))),('Geometry'!$G$16*COS(RADIANS(F98))+'Geometry'!$F$16*SIN(RADIANS(F98))),('Geometry'!$G$17*COS(RADIANS(F98))+'Geometry'!$F$17*SIN(RADIANS(F98))),('Geometry'!$G$18*COS(RADIANS(F98))+'Geometry'!$F$18*SIN(RADIANS(F98))),('Geometry'!$G$19*COS(RADIANS(F98))+'Geometry'!$F$19*SIN(RADIANS(F98))),('Geometry'!$G$20*COS(RADIANS(F98))+'Geometry'!$F$20*SIN(RADIANS(F98))))</f>
        <v>1589.2304845413264</v>
      </c>
      <c r="L98" s="16">
        <f>C_ecu</f>
        <v>0.0033</v>
      </c>
      <c r="M98" s="16">
        <f>0</f>
        <v>0</v>
      </c>
      <c r="N98" s="22">
        <f>IF(ABS(I98-J98)&lt;0.000000000001,0,(L98-M98)/(I98-J98))</f>
        <v>0.000001887706049677143</v>
      </c>
      <c r="O98" s="16">
        <f>L98-N98*I98</f>
        <v>0.0018000000000000002</v>
      </c>
      <c r="P98" s="22">
        <f>N98*COS(RADIANS(F98))</f>
        <v>-0.0000016348013938979753</v>
      </c>
      <c r="Q98" s="22">
        <f>N98*SIN(RADIANS(F98))</f>
        <v>9.438530248385723e-7</v>
      </c>
      <c r="R98" s="11">
        <f>AP98</f>
        <v>15282.090777345782</v>
      </c>
      <c r="S98" s="11">
        <f>AQ98</f>
        <v>-1002.4198166524641</v>
      </c>
      <c r="T98" s="11">
        <f>AR98</f>
        <v>819.4182245105588</v>
      </c>
      <c r="U98" s="11">
        <f>AS98</f>
        <v>2388.254838137454</v>
      </c>
      <c r="V98" s="11">
        <f>AT98</f>
        <v>-322.28638962112126</v>
      </c>
      <c r="W98" s="11">
        <f>AU98</f>
        <v>262.719081600702</v>
      </c>
      <c r="X98" s="11">
        <f>AM98</f>
        <v>17670.345615483235</v>
      </c>
      <c r="Y98" s="11">
        <f>AN98</f>
        <v>-1324.7062062735854</v>
      </c>
      <c r="Z98" s="11">
        <f>AO98</f>
        <v>1082.1373061112608</v>
      </c>
      <c r="AA98" s="7">
        <v>1</v>
      </c>
      <c r="AB98" s="7">
        <v>1</v>
      </c>
      <c r="AC98" s="7">
        <v>1</v>
      </c>
      <c r="AD98" s="11">
        <f>X98*AA98</f>
        <v>17670.345615483235</v>
      </c>
      <c r="AE98" s="11">
        <f>Y98*AB98</f>
        <v>-1324.7062062735854</v>
      </c>
      <c r="AF98" s="11">
        <f>Z98*AC98</f>
        <v>1082.1373061112608</v>
      </c>
      <c r="AG98" s="7">
        <v>17670.345615483235</v>
      </c>
      <c r="AH98" s="7">
        <v>-1324.7062062735854</v>
      </c>
      <c r="AI98" s="7">
        <v>1082.1373061112608</v>
      </c>
      <c r="AJ98" s="16">
        <f>AD98-AG98</f>
        <v>0</v>
      </c>
      <c r="AK98" s="16">
        <f>SQRT((AE98-AH98)^2+(AF98-AI98)^2)</f>
        <v>0</v>
      </c>
      <c r="AL98" s="7" t="s">
        <v>190</v>
      </c>
      <c r="AM98" s="7">
        <v>17670.345615483235</v>
      </c>
      <c r="AN98" s="7">
        <v>-1324.7062062735854</v>
      </c>
      <c r="AO98" s="7">
        <v>1082.1373061112608</v>
      </c>
      <c r="AP98" s="7">
        <v>15282.090777345782</v>
      </c>
      <c r="AQ98" s="7">
        <v>-1002.4198166524641</v>
      </c>
      <c r="AR98" s="7">
        <v>819.4182245105588</v>
      </c>
      <c r="AS98" s="7">
        <v>2388.254838137454</v>
      </c>
      <c r="AT98" s="7">
        <v>-322.28638962112126</v>
      </c>
      <c r="AU98" s="7">
        <v>262.719081600702</v>
      </c>
    </row>
    <row r="99" spans="1:47" x14ac:dyDescent="0.25">
      <c r="A99" s="7" t="s">
        <v>378</v>
      </c>
      <c r="B99" s="7">
        <v>6</v>
      </c>
      <c r="C99" s="19">
        <v>150</v>
      </c>
      <c r="D99" s="7" t="s">
        <v>379</v>
      </c>
      <c r="E99" s="7" t="s">
        <v>614</v>
      </c>
      <c r="F99" s="20">
        <v>150</v>
      </c>
      <c r="G99" s="7" t="s">
        <v>194</v>
      </c>
      <c r="H99" s="21">
        <v>1</v>
      </c>
      <c r="I99" s="11">
        <f>MAX(('Geometry'!$G$13*COS(RADIANS(F99))+'Geometry'!$F$13*SIN(RADIANS(F99))),('Geometry'!$G$14*COS(RADIANS(F99))+'Geometry'!$F$14*SIN(RADIANS(F99))),('Geometry'!$G$15*COS(RADIANS(F99))+'Geometry'!$F$15*SIN(RADIANS(F99))),('Geometry'!$G$16*COS(RADIANS(F99))+'Geometry'!$F$16*SIN(RADIANS(F99))),('Geometry'!$G$17*COS(RADIANS(F99))+'Geometry'!$F$17*SIN(RADIANS(F99))),('Geometry'!$G$18*COS(RADIANS(F99))+'Geometry'!$F$18*SIN(RADIANS(F99))),('Geometry'!$G$19*COS(RADIANS(F99))+'Geometry'!$F$19*SIN(RADIANS(F99))),('Geometry'!$G$20*COS(RADIANS(F99))+'Geometry'!$F$20*SIN(RADIANS(F99))))</f>
        <v>794.6152422706632</v>
      </c>
      <c r="J99" s="11">
        <f>I99-H99*K99</f>
        <v>-794.6152422706632</v>
      </c>
      <c r="K99" s="11">
        <f>I99-MIN(('Geometry'!$G$13*COS(RADIANS(F99))+'Geometry'!$F$13*SIN(RADIANS(F99))),('Geometry'!$G$14*COS(RADIANS(F99))+'Geometry'!$F$14*SIN(RADIANS(F99))),('Geometry'!$G$15*COS(RADIANS(F99))+'Geometry'!$F$15*SIN(RADIANS(F99))),('Geometry'!$G$16*COS(RADIANS(F99))+'Geometry'!$F$16*SIN(RADIANS(F99))),('Geometry'!$G$17*COS(RADIANS(F99))+'Geometry'!$F$17*SIN(RADIANS(F99))),('Geometry'!$G$18*COS(RADIANS(F99))+'Geometry'!$F$18*SIN(RADIANS(F99))),('Geometry'!$G$19*COS(RADIANS(F99))+'Geometry'!$F$19*SIN(RADIANS(F99))),('Geometry'!$G$20*COS(RADIANS(F99))+'Geometry'!$F$20*SIN(RADIANS(F99))))</f>
        <v>1589.2304845413264</v>
      </c>
      <c r="L99" s="16">
        <f>C_ecu</f>
        <v>0.0033</v>
      </c>
      <c r="M99" s="16">
        <f>0</f>
        <v>0</v>
      </c>
      <c r="N99" s="22">
        <f>IF(ABS(I99-J99)&lt;0.000000000001,0,(L99-M99)/(I99-J99))</f>
        <v>0.0000020764766546448578</v>
      </c>
      <c r="O99" s="16">
        <f>L99-N99*I99</f>
        <v>0.00165</v>
      </c>
      <c r="P99" s="22">
        <f>N99*COS(RADIANS(F99))</f>
        <v>-0.000001798281533287773</v>
      </c>
      <c r="Q99" s="22">
        <f>N99*SIN(RADIANS(F99))</f>
        <v>0.0000010382383273224295</v>
      </c>
      <c r="R99" s="11">
        <f>AP99</f>
        <v>15282.090777345782</v>
      </c>
      <c r="S99" s="11">
        <f>AQ99</f>
        <v>-1202.9037799829566</v>
      </c>
      <c r="T99" s="11">
        <f>AR99</f>
        <v>983.3018694126705</v>
      </c>
      <c r="U99" s="11">
        <f>AS99</f>
        <v>2388.254838137454</v>
      </c>
      <c r="V99" s="11">
        <f>AT99</f>
        <v>-386.74366754534555</v>
      </c>
      <c r="W99" s="11">
        <f>AU99</f>
        <v>315.26289792084236</v>
      </c>
      <c r="X99" s="11">
        <f>AM99</f>
        <v>17670.345615483235</v>
      </c>
      <c r="Y99" s="11">
        <f>AN99</f>
        <v>-1589.6474475283023</v>
      </c>
      <c r="Z99" s="11">
        <f>AO99</f>
        <v>1298.564767333513</v>
      </c>
      <c r="AA99" s="7">
        <v>1</v>
      </c>
      <c r="AB99" s="7">
        <v>1</v>
      </c>
      <c r="AC99" s="7">
        <v>1</v>
      </c>
      <c r="AD99" s="11">
        <f>X99*AA99</f>
        <v>17670.345615483235</v>
      </c>
      <c r="AE99" s="11">
        <f>Y99*AB99</f>
        <v>-1589.6474475283023</v>
      </c>
      <c r="AF99" s="11">
        <f>Z99*AC99</f>
        <v>1298.564767333513</v>
      </c>
      <c r="AG99" s="7">
        <v>17670.345615483235</v>
      </c>
      <c r="AH99" s="7">
        <v>-1589.6474475283023</v>
      </c>
      <c r="AI99" s="7">
        <v>1298.564767333513</v>
      </c>
      <c r="AJ99" s="16">
        <f>AD99-AG99</f>
        <v>0</v>
      </c>
      <c r="AK99" s="16">
        <f>SQRT((AE99-AH99)^2+(AF99-AI99)^2)</f>
        <v>0</v>
      </c>
      <c r="AL99" s="7" t="s">
        <v>190</v>
      </c>
      <c r="AM99" s="7">
        <v>17670.345615483235</v>
      </c>
      <c r="AN99" s="7">
        <v>-1589.6474475283023</v>
      </c>
      <c r="AO99" s="7">
        <v>1298.564767333513</v>
      </c>
      <c r="AP99" s="7">
        <v>15282.090777345782</v>
      </c>
      <c r="AQ99" s="7">
        <v>-1202.9037799829566</v>
      </c>
      <c r="AR99" s="7">
        <v>983.3018694126705</v>
      </c>
      <c r="AS99" s="7">
        <v>2388.254838137454</v>
      </c>
      <c r="AT99" s="7">
        <v>-386.74366754534555</v>
      </c>
      <c r="AU99" s="7">
        <v>315.26289792084236</v>
      </c>
    </row>
    <row r="100" spans="1:47" x14ac:dyDescent="0.25">
      <c r="A100" s="7" t="s">
        <v>380</v>
      </c>
      <c r="B100" s="7">
        <v>1</v>
      </c>
      <c r="C100" s="19">
        <v>160</v>
      </c>
      <c r="D100" s="7" t="s">
        <v>381</v>
      </c>
      <c r="E100" s="7" t="s">
        <v>609</v>
      </c>
      <c r="F100" s="20">
        <v>160</v>
      </c>
      <c r="G100" s="7" t="s">
        <v>194</v>
      </c>
      <c r="H100" s="21">
        <v>2.9999999999999996</v>
      </c>
      <c r="I100" s="11">
        <f>MAX(('Geometry'!$G$13*COS(RADIANS(F100))+'Geometry'!$F$13*SIN(RADIANS(F100))),('Geometry'!$G$14*COS(RADIANS(F100))+'Geometry'!$F$14*SIN(RADIANS(F100))),('Geometry'!$G$15*COS(RADIANS(F100))+'Geometry'!$F$15*SIN(RADIANS(F100))),('Geometry'!$G$16*COS(RADIANS(F100))+'Geometry'!$F$16*SIN(RADIANS(F100))),('Geometry'!$G$17*COS(RADIANS(F100))+'Geometry'!$F$17*SIN(RADIANS(F100))),('Geometry'!$G$18*COS(RADIANS(F100))+'Geometry'!$F$18*SIN(RADIANS(F100))),('Geometry'!$G$19*COS(RADIANS(F100))+'Geometry'!$F$19*SIN(RADIANS(F100))),('Geometry'!$G$20*COS(RADIANS(F100))+'Geometry'!$F$20*SIN(RADIANS(F100))))</f>
        <v>751.9266513006629</v>
      </c>
      <c r="J100" s="11">
        <f>I100-H100*K100</f>
        <v>-3759.633256503314</v>
      </c>
      <c r="K100" s="11">
        <f>I100-MIN(('Geometry'!$G$13*COS(RADIANS(F100))+'Geometry'!$F$13*SIN(RADIANS(F100))),('Geometry'!$G$14*COS(RADIANS(F100))+'Geometry'!$F$14*SIN(RADIANS(F100))),('Geometry'!$G$15*COS(RADIANS(F100))+'Geometry'!$F$15*SIN(RADIANS(F100))),('Geometry'!$G$16*COS(RADIANS(F100))+'Geometry'!$F$16*SIN(RADIANS(F100))),('Geometry'!$G$17*COS(RADIANS(F100))+'Geometry'!$F$17*SIN(RADIANS(F100))),('Geometry'!$G$18*COS(RADIANS(F100))+'Geometry'!$F$18*SIN(RADIANS(F100))),('Geometry'!$G$19*COS(RADIANS(F100))+'Geometry'!$F$19*SIN(RADIANS(F100))),('Geometry'!$G$20*COS(RADIANS(F100))+'Geometry'!$F$20*SIN(RADIANS(F100))))</f>
        <v>1503.8533026013258</v>
      </c>
      <c r="L100" s="16">
        <f>C_ecu</f>
        <v>0.0033</v>
      </c>
      <c r="M100" s="16">
        <f>0</f>
        <v>0</v>
      </c>
      <c r="N100" s="22">
        <f>IF(ABS(I100-J100)&lt;0.000000000001,0,(L100-M100)/(I100-J100))</f>
        <v>7.314543234351709e-7</v>
      </c>
      <c r="O100" s="16">
        <f>L100-N100*I100</f>
        <v>0.00275</v>
      </c>
      <c r="P100" s="22">
        <f>N100*COS(RADIANS(F100))</f>
        <v>-6.873422301739791e-7</v>
      </c>
      <c r="Q100" s="22">
        <f>N100*SIN(RADIANS(F100))</f>
        <v>2.501721125374773e-7</v>
      </c>
      <c r="R100" s="11">
        <f>AP100</f>
        <v>15275.601201942744</v>
      </c>
      <c r="S100" s="11">
        <f>AQ100</f>
        <v>-223.93702598358118</v>
      </c>
      <c r="T100" s="11">
        <f>AR100</f>
        <v>120.07702821252906</v>
      </c>
      <c r="U100" s="11">
        <f>AS100</f>
        <v>2394.744413540491</v>
      </c>
      <c r="V100" s="11">
        <f>AT100</f>
        <v>-72.67198109778782</v>
      </c>
      <c r="W100" s="11">
        <f>AU100</f>
        <v>38.14037271162133</v>
      </c>
      <c r="X100" s="11">
        <f>AM100</f>
        <v>17670.345615483235</v>
      </c>
      <c r="Y100" s="11">
        <f>AN100</f>
        <v>-296.609007081369</v>
      </c>
      <c r="Z100" s="11">
        <f>AO100</f>
        <v>158.21740092415035</v>
      </c>
      <c r="AA100" s="7">
        <v>1</v>
      </c>
      <c r="AB100" s="7">
        <v>1</v>
      </c>
      <c r="AC100" s="7">
        <v>1</v>
      </c>
      <c r="AD100" s="11">
        <f>X100*AA100</f>
        <v>17670.345615483235</v>
      </c>
      <c r="AE100" s="11">
        <f>Y100*AB100</f>
        <v>-296.609007081369</v>
      </c>
      <c r="AF100" s="11">
        <f>Z100*AC100</f>
        <v>158.21740092415035</v>
      </c>
      <c r="AG100" s="7">
        <v>17670.345615483235</v>
      </c>
      <c r="AH100" s="7">
        <v>-296.609007081369</v>
      </c>
      <c r="AI100" s="7">
        <v>158.21740092415035</v>
      </c>
      <c r="AJ100" s="16">
        <f>AD100-AG100</f>
        <v>0</v>
      </c>
      <c r="AK100" s="16">
        <f>SQRT((AE100-AH100)^2+(AF100-AI100)^2)</f>
        <v>0</v>
      </c>
      <c r="AL100" s="7" t="s">
        <v>190</v>
      </c>
      <c r="AM100" s="7">
        <v>17670.345615483235</v>
      </c>
      <c r="AN100" s="7">
        <v>-296.609007081369</v>
      </c>
      <c r="AO100" s="7">
        <v>158.21740092415035</v>
      </c>
      <c r="AP100" s="7">
        <v>15275.601201942744</v>
      </c>
      <c r="AQ100" s="7">
        <v>-223.93702598358118</v>
      </c>
      <c r="AR100" s="7">
        <v>120.07702821252906</v>
      </c>
      <c r="AS100" s="7">
        <v>2394.744413540491</v>
      </c>
      <c r="AT100" s="7">
        <v>-72.67198109778782</v>
      </c>
      <c r="AU100" s="7">
        <v>38.14037271162133</v>
      </c>
    </row>
    <row r="101" spans="1:47" x14ac:dyDescent="0.25">
      <c r="A101" s="7" t="s">
        <v>382</v>
      </c>
      <c r="B101" s="7">
        <v>2</v>
      </c>
      <c r="C101" s="19">
        <v>160</v>
      </c>
      <c r="D101" s="7" t="s">
        <v>383</v>
      </c>
      <c r="E101" s="7" t="s">
        <v>610</v>
      </c>
      <c r="F101" s="20">
        <v>160</v>
      </c>
      <c r="G101" s="7" t="s">
        <v>194</v>
      </c>
      <c r="H101" s="21">
        <v>2</v>
      </c>
      <c r="I101" s="11">
        <f>MAX(('Geometry'!$G$13*COS(RADIANS(F101))+'Geometry'!$F$13*SIN(RADIANS(F101))),('Geometry'!$G$14*COS(RADIANS(F101))+'Geometry'!$F$14*SIN(RADIANS(F101))),('Geometry'!$G$15*COS(RADIANS(F101))+'Geometry'!$F$15*SIN(RADIANS(F101))),('Geometry'!$G$16*COS(RADIANS(F101))+'Geometry'!$F$16*SIN(RADIANS(F101))),('Geometry'!$G$17*COS(RADIANS(F101))+'Geometry'!$F$17*SIN(RADIANS(F101))),('Geometry'!$G$18*COS(RADIANS(F101))+'Geometry'!$F$18*SIN(RADIANS(F101))),('Geometry'!$G$19*COS(RADIANS(F101))+'Geometry'!$F$19*SIN(RADIANS(F101))),('Geometry'!$G$20*COS(RADIANS(F101))+'Geometry'!$F$20*SIN(RADIANS(F101))))</f>
        <v>751.9266513006629</v>
      </c>
      <c r="J101" s="11">
        <f>I101-H101*K101</f>
        <v>-2255.779953901989</v>
      </c>
      <c r="K101" s="11">
        <f>I101-MIN(('Geometry'!$G$13*COS(RADIANS(F101))+'Geometry'!$F$13*SIN(RADIANS(F101))),('Geometry'!$G$14*COS(RADIANS(F101))+'Geometry'!$F$14*SIN(RADIANS(F101))),('Geometry'!$G$15*COS(RADIANS(F101))+'Geometry'!$F$15*SIN(RADIANS(F101))),('Geometry'!$G$16*COS(RADIANS(F101))+'Geometry'!$F$16*SIN(RADIANS(F101))),('Geometry'!$G$17*COS(RADIANS(F101))+'Geometry'!$F$17*SIN(RADIANS(F101))),('Geometry'!$G$18*COS(RADIANS(F101))+'Geometry'!$F$18*SIN(RADIANS(F101))),('Geometry'!$G$19*COS(RADIANS(F101))+'Geometry'!$F$19*SIN(RADIANS(F101))),('Geometry'!$G$20*COS(RADIANS(F101))+'Geometry'!$F$20*SIN(RADIANS(F101))))</f>
        <v>1503.8533026013258</v>
      </c>
      <c r="L101" s="16">
        <f>C_ecu</f>
        <v>0.0033</v>
      </c>
      <c r="M101" s="16">
        <f>0</f>
        <v>0</v>
      </c>
      <c r="N101" s="22">
        <f>IF(ABS(I101-J101)&lt;0.000000000001,0,(L101-M101)/(I101-J101))</f>
        <v>0.0000010971814851527562</v>
      </c>
      <c r="O101" s="16">
        <f>L101-N101*I101</f>
        <v>0.0024749999999999998</v>
      </c>
      <c r="P101" s="22">
        <f>N101*COS(RADIANS(F101))</f>
        <v>-0.0000010310133452609685</v>
      </c>
      <c r="Q101" s="22">
        <f>N101*SIN(RADIANS(F101))</f>
        <v>3.752581688062159e-7</v>
      </c>
      <c r="R101" s="11">
        <f>AP101</f>
        <v>15275.601201942744</v>
      </c>
      <c r="S101" s="11">
        <f>AQ101</f>
        <v>-447.87405196716236</v>
      </c>
      <c r="T101" s="11">
        <f>AR101</f>
        <v>240.15405642505812</v>
      </c>
      <c r="U101" s="11">
        <f>AS101</f>
        <v>2394.744413540491</v>
      </c>
      <c r="V101" s="11">
        <f>AT101</f>
        <v>-145.34396219557564</v>
      </c>
      <c r="W101" s="11">
        <f>AU101</f>
        <v>76.28074542324266</v>
      </c>
      <c r="X101" s="11">
        <f>AM101</f>
        <v>17670.345615483235</v>
      </c>
      <c r="Y101" s="11">
        <f>AN101</f>
        <v>-593.218014162738</v>
      </c>
      <c r="Z101" s="11">
        <f>AO101</f>
        <v>316.4348018483007</v>
      </c>
      <c r="AA101" s="7">
        <v>1</v>
      </c>
      <c r="AB101" s="7">
        <v>1</v>
      </c>
      <c r="AC101" s="7">
        <v>1</v>
      </c>
      <c r="AD101" s="11">
        <f>X101*AA101</f>
        <v>17670.345615483235</v>
      </c>
      <c r="AE101" s="11">
        <f>Y101*AB101</f>
        <v>-593.218014162738</v>
      </c>
      <c r="AF101" s="11">
        <f>Z101*AC101</f>
        <v>316.4348018483007</v>
      </c>
      <c r="AG101" s="7">
        <v>17670.345615483235</v>
      </c>
      <c r="AH101" s="7">
        <v>-593.218014162738</v>
      </c>
      <c r="AI101" s="7">
        <v>316.4348018483007</v>
      </c>
      <c r="AJ101" s="16">
        <f>AD101-AG101</f>
        <v>0</v>
      </c>
      <c r="AK101" s="16">
        <f>SQRT((AE101-AH101)^2+(AF101-AI101)^2)</f>
        <v>0</v>
      </c>
      <c r="AL101" s="7" t="s">
        <v>190</v>
      </c>
      <c r="AM101" s="7">
        <v>17670.345615483235</v>
      </c>
      <c r="AN101" s="7">
        <v>-593.218014162738</v>
      </c>
      <c r="AO101" s="7">
        <v>316.4348018483007</v>
      </c>
      <c r="AP101" s="7">
        <v>15275.601201942744</v>
      </c>
      <c r="AQ101" s="7">
        <v>-447.87405196716236</v>
      </c>
      <c r="AR101" s="7">
        <v>240.15405642505812</v>
      </c>
      <c r="AS101" s="7">
        <v>2394.744413540491</v>
      </c>
      <c r="AT101" s="7">
        <v>-145.34396219557564</v>
      </c>
      <c r="AU101" s="7">
        <v>76.28074542324266</v>
      </c>
    </row>
    <row r="102" spans="1:47" x14ac:dyDescent="0.25">
      <c r="A102" s="7" t="s">
        <v>384</v>
      </c>
      <c r="B102" s="7">
        <v>3</v>
      </c>
      <c r="C102" s="19">
        <v>160</v>
      </c>
      <c r="D102" s="7" t="s">
        <v>385</v>
      </c>
      <c r="E102" s="7" t="s">
        <v>611</v>
      </c>
      <c r="F102" s="20">
        <v>160</v>
      </c>
      <c r="G102" s="7" t="s">
        <v>194</v>
      </c>
      <c r="H102" s="21">
        <v>1.4999999999999998</v>
      </c>
      <c r="I102" s="11">
        <f>MAX(('Geometry'!$G$13*COS(RADIANS(F102))+'Geometry'!$F$13*SIN(RADIANS(F102))),('Geometry'!$G$14*COS(RADIANS(F102))+'Geometry'!$F$14*SIN(RADIANS(F102))),('Geometry'!$G$15*COS(RADIANS(F102))+'Geometry'!$F$15*SIN(RADIANS(F102))),('Geometry'!$G$16*COS(RADIANS(F102))+'Geometry'!$F$16*SIN(RADIANS(F102))),('Geometry'!$G$17*COS(RADIANS(F102))+'Geometry'!$F$17*SIN(RADIANS(F102))),('Geometry'!$G$18*COS(RADIANS(F102))+'Geometry'!$F$18*SIN(RADIANS(F102))),('Geometry'!$G$19*COS(RADIANS(F102))+'Geometry'!$F$19*SIN(RADIANS(F102))),('Geometry'!$G$20*COS(RADIANS(F102))+'Geometry'!$F$20*SIN(RADIANS(F102))))</f>
        <v>751.9266513006629</v>
      </c>
      <c r="J102" s="11">
        <f>I102-H102*K102</f>
        <v>-1503.8533026013254</v>
      </c>
      <c r="K102" s="11">
        <f>I102-MIN(('Geometry'!$G$13*COS(RADIANS(F102))+'Geometry'!$F$13*SIN(RADIANS(F102))),('Geometry'!$G$14*COS(RADIANS(F102))+'Geometry'!$F$14*SIN(RADIANS(F102))),('Geometry'!$G$15*COS(RADIANS(F102))+'Geometry'!$F$15*SIN(RADIANS(F102))),('Geometry'!$G$16*COS(RADIANS(F102))+'Geometry'!$F$16*SIN(RADIANS(F102))),('Geometry'!$G$17*COS(RADIANS(F102))+'Geometry'!$F$17*SIN(RADIANS(F102))),('Geometry'!$G$18*COS(RADIANS(F102))+'Geometry'!$F$18*SIN(RADIANS(F102))),('Geometry'!$G$19*COS(RADIANS(F102))+'Geometry'!$F$19*SIN(RADIANS(F102))),('Geometry'!$G$20*COS(RADIANS(F102))+'Geometry'!$F$20*SIN(RADIANS(F102))))</f>
        <v>1503.8533026013258</v>
      </c>
      <c r="L102" s="16">
        <f>C_ecu</f>
        <v>0.0033</v>
      </c>
      <c r="M102" s="16">
        <f>0</f>
        <v>0</v>
      </c>
      <c r="N102" s="22">
        <f>IF(ABS(I102-J102)&lt;0.000000000001,0,(L102-M102)/(I102-J102))</f>
        <v>0.0000014629086468703418</v>
      </c>
      <c r="O102" s="16">
        <f>L102-N102*I102</f>
        <v>0.0021999999999999997</v>
      </c>
      <c r="P102" s="22">
        <f>N102*COS(RADIANS(F102))</f>
        <v>-0.0000013746844603479583</v>
      </c>
      <c r="Q102" s="22">
        <f>N102*SIN(RADIANS(F102))</f>
        <v>5.003442250749546e-7</v>
      </c>
      <c r="R102" s="11">
        <f>AP102</f>
        <v>15275.601201942744</v>
      </c>
      <c r="S102" s="11">
        <f>AQ102</f>
        <v>-671.8110779507434</v>
      </c>
      <c r="T102" s="11">
        <f>AR102</f>
        <v>360.2310846375871</v>
      </c>
      <c r="U102" s="11">
        <f>AS102</f>
        <v>2394.744413540491</v>
      </c>
      <c r="V102" s="11">
        <f>AT102</f>
        <v>-218.01594329336345</v>
      </c>
      <c r="W102" s="11">
        <f>AU102</f>
        <v>114.42111813486399</v>
      </c>
      <c r="X102" s="11">
        <f>AM102</f>
        <v>17670.345615483235</v>
      </c>
      <c r="Y102" s="11">
        <f>AN102</f>
        <v>-889.8270212441068</v>
      </c>
      <c r="Z102" s="11">
        <f>AO102</f>
        <v>474.65220277245106</v>
      </c>
      <c r="AA102" s="7">
        <v>1</v>
      </c>
      <c r="AB102" s="7">
        <v>1</v>
      </c>
      <c r="AC102" s="7">
        <v>1</v>
      </c>
      <c r="AD102" s="11">
        <f>X102*AA102</f>
        <v>17670.345615483235</v>
      </c>
      <c r="AE102" s="11">
        <f>Y102*AB102</f>
        <v>-889.8270212441068</v>
      </c>
      <c r="AF102" s="11">
        <f>Z102*AC102</f>
        <v>474.65220277245106</v>
      </c>
      <c r="AG102" s="7">
        <v>17670.345615483235</v>
      </c>
      <c r="AH102" s="7">
        <v>-889.8270212441068</v>
      </c>
      <c r="AI102" s="7">
        <v>474.65220277245106</v>
      </c>
      <c r="AJ102" s="16">
        <f>AD102-AG102</f>
        <v>0</v>
      </c>
      <c r="AK102" s="16">
        <f>SQRT((AE102-AH102)^2+(AF102-AI102)^2)</f>
        <v>0</v>
      </c>
      <c r="AL102" s="7" t="s">
        <v>190</v>
      </c>
      <c r="AM102" s="7">
        <v>17670.345615483235</v>
      </c>
      <c r="AN102" s="7">
        <v>-889.8270212441068</v>
      </c>
      <c r="AO102" s="7">
        <v>474.65220277245106</v>
      </c>
      <c r="AP102" s="7">
        <v>15275.601201942744</v>
      </c>
      <c r="AQ102" s="7">
        <v>-671.8110779507434</v>
      </c>
      <c r="AR102" s="7">
        <v>360.2310846375871</v>
      </c>
      <c r="AS102" s="7">
        <v>2394.744413540491</v>
      </c>
      <c r="AT102" s="7">
        <v>-218.01594329336345</v>
      </c>
      <c r="AU102" s="7">
        <v>114.42111813486399</v>
      </c>
    </row>
    <row r="103" spans="1:47" x14ac:dyDescent="0.25">
      <c r="A103" s="7" t="s">
        <v>386</v>
      </c>
      <c r="B103" s="7">
        <v>4</v>
      </c>
      <c r="C103" s="19">
        <v>160</v>
      </c>
      <c r="D103" s="7" t="s">
        <v>387</v>
      </c>
      <c r="E103" s="7" t="s">
        <v>612</v>
      </c>
      <c r="F103" s="20">
        <v>160</v>
      </c>
      <c r="G103" s="7" t="s">
        <v>194</v>
      </c>
      <c r="H103" s="21">
        <v>1.2</v>
      </c>
      <c r="I103" s="11">
        <f>MAX(('Geometry'!$G$13*COS(RADIANS(F103))+'Geometry'!$F$13*SIN(RADIANS(F103))),('Geometry'!$G$14*COS(RADIANS(F103))+'Geometry'!$F$14*SIN(RADIANS(F103))),('Geometry'!$G$15*COS(RADIANS(F103))+'Geometry'!$F$15*SIN(RADIANS(F103))),('Geometry'!$G$16*COS(RADIANS(F103))+'Geometry'!$F$16*SIN(RADIANS(F103))),('Geometry'!$G$17*COS(RADIANS(F103))+'Geometry'!$F$17*SIN(RADIANS(F103))),('Geometry'!$G$18*COS(RADIANS(F103))+'Geometry'!$F$18*SIN(RADIANS(F103))),('Geometry'!$G$19*COS(RADIANS(F103))+'Geometry'!$F$19*SIN(RADIANS(F103))),('Geometry'!$G$20*COS(RADIANS(F103))+'Geometry'!$F$20*SIN(RADIANS(F103))))</f>
        <v>751.9266513006629</v>
      </c>
      <c r="J103" s="11">
        <f>I103-H103*K103</f>
        <v>-1052.697311820928</v>
      </c>
      <c r="K103" s="11">
        <f>I103-MIN(('Geometry'!$G$13*COS(RADIANS(F103))+'Geometry'!$F$13*SIN(RADIANS(F103))),('Geometry'!$G$14*COS(RADIANS(F103))+'Geometry'!$F$14*SIN(RADIANS(F103))),('Geometry'!$G$15*COS(RADIANS(F103))+'Geometry'!$F$15*SIN(RADIANS(F103))),('Geometry'!$G$16*COS(RADIANS(F103))+'Geometry'!$F$16*SIN(RADIANS(F103))),('Geometry'!$G$17*COS(RADIANS(F103))+'Geometry'!$F$17*SIN(RADIANS(F103))),('Geometry'!$G$18*COS(RADIANS(F103))+'Geometry'!$F$18*SIN(RADIANS(F103))),('Geometry'!$G$19*COS(RADIANS(F103))+'Geometry'!$F$19*SIN(RADIANS(F103))),('Geometry'!$G$20*COS(RADIANS(F103))+'Geometry'!$F$20*SIN(RADIANS(F103))))</f>
        <v>1503.8533026013258</v>
      </c>
      <c r="L103" s="16">
        <f>C_ecu</f>
        <v>0.0033</v>
      </c>
      <c r="M103" s="16">
        <f>0</f>
        <v>0</v>
      </c>
      <c r="N103" s="22">
        <f>IF(ABS(I103-J103)&lt;0.000000000001,0,(L103-M103)/(I103-J103))</f>
        <v>0.000001828635808587927</v>
      </c>
      <c r="O103" s="16">
        <f>L103-N103*I103</f>
        <v>0.0019249999999999998</v>
      </c>
      <c r="P103" s="22">
        <f>N103*COS(RADIANS(F103))</f>
        <v>-0.000001718355575434948</v>
      </c>
      <c r="Q103" s="22">
        <f>N103*SIN(RADIANS(F103))</f>
        <v>6.254302813436933e-7</v>
      </c>
      <c r="R103" s="11">
        <f>AP103</f>
        <v>15275.601201942744</v>
      </c>
      <c r="S103" s="11">
        <f>AQ103</f>
        <v>-895.7481039343247</v>
      </c>
      <c r="T103" s="11">
        <f>AR103</f>
        <v>480.30811285011623</v>
      </c>
      <c r="U103" s="11">
        <f>AS103</f>
        <v>2394.744413540491</v>
      </c>
      <c r="V103" s="11">
        <f>AT103</f>
        <v>-290.6879243911513</v>
      </c>
      <c r="W103" s="11">
        <f>AU103</f>
        <v>152.56149084648533</v>
      </c>
      <c r="X103" s="11">
        <f>AM103</f>
        <v>17670.345615483235</v>
      </c>
      <c r="Y103" s="11">
        <f>AN103</f>
        <v>-1186.436028325476</v>
      </c>
      <c r="Z103" s="11">
        <f>AO103</f>
        <v>632.8696036966014</v>
      </c>
      <c r="AA103" s="7">
        <v>1</v>
      </c>
      <c r="AB103" s="7">
        <v>1</v>
      </c>
      <c r="AC103" s="7">
        <v>1</v>
      </c>
      <c r="AD103" s="11">
        <f>X103*AA103</f>
        <v>17670.345615483235</v>
      </c>
      <c r="AE103" s="11">
        <f>Y103*AB103</f>
        <v>-1186.436028325476</v>
      </c>
      <c r="AF103" s="11">
        <f>Z103*AC103</f>
        <v>632.8696036966014</v>
      </c>
      <c r="AG103" s="7">
        <v>17670.345615483235</v>
      </c>
      <c r="AH103" s="7">
        <v>-1186.436028325476</v>
      </c>
      <c r="AI103" s="7">
        <v>632.8696036966014</v>
      </c>
      <c r="AJ103" s="16">
        <f>AD103-AG103</f>
        <v>0</v>
      </c>
      <c r="AK103" s="16">
        <f>SQRT((AE103-AH103)^2+(AF103-AI103)^2)</f>
        <v>0</v>
      </c>
      <c r="AL103" s="7" t="s">
        <v>190</v>
      </c>
      <c r="AM103" s="7">
        <v>17670.345615483235</v>
      </c>
      <c r="AN103" s="7">
        <v>-1186.436028325476</v>
      </c>
      <c r="AO103" s="7">
        <v>632.8696036966014</v>
      </c>
      <c r="AP103" s="7">
        <v>15275.601201942744</v>
      </c>
      <c r="AQ103" s="7">
        <v>-895.7481039343247</v>
      </c>
      <c r="AR103" s="7">
        <v>480.30811285011623</v>
      </c>
      <c r="AS103" s="7">
        <v>2394.744413540491</v>
      </c>
      <c r="AT103" s="7">
        <v>-290.6879243911513</v>
      </c>
      <c r="AU103" s="7">
        <v>152.56149084648533</v>
      </c>
    </row>
    <row r="104" spans="1:47" x14ac:dyDescent="0.25">
      <c r="A104" s="7" t="s">
        <v>388</v>
      </c>
      <c r="B104" s="7">
        <v>5</v>
      </c>
      <c r="C104" s="19">
        <v>160</v>
      </c>
      <c r="D104" s="7" t="s">
        <v>389</v>
      </c>
      <c r="E104" s="7" t="s">
        <v>613</v>
      </c>
      <c r="F104" s="20">
        <v>160</v>
      </c>
      <c r="G104" s="7" t="s">
        <v>194</v>
      </c>
      <c r="H104" s="21">
        <v>1.1</v>
      </c>
      <c r="I104" s="11">
        <f>MAX(('Geometry'!$G$13*COS(RADIANS(F104))+'Geometry'!$F$13*SIN(RADIANS(F104))),('Geometry'!$G$14*COS(RADIANS(F104))+'Geometry'!$F$14*SIN(RADIANS(F104))),('Geometry'!$G$15*COS(RADIANS(F104))+'Geometry'!$F$15*SIN(RADIANS(F104))),('Geometry'!$G$16*COS(RADIANS(F104))+'Geometry'!$F$16*SIN(RADIANS(F104))),('Geometry'!$G$17*COS(RADIANS(F104))+'Geometry'!$F$17*SIN(RADIANS(F104))),('Geometry'!$G$18*COS(RADIANS(F104))+'Geometry'!$F$18*SIN(RADIANS(F104))),('Geometry'!$G$19*COS(RADIANS(F104))+'Geometry'!$F$19*SIN(RADIANS(F104))),('Geometry'!$G$20*COS(RADIANS(F104))+'Geometry'!$F$20*SIN(RADIANS(F104))))</f>
        <v>751.9266513006629</v>
      </c>
      <c r="J104" s="11">
        <f>I104-H104*K104</f>
        <v>-902.3119815607954</v>
      </c>
      <c r="K104" s="11">
        <f>I104-MIN(('Geometry'!$G$13*COS(RADIANS(F104))+'Geometry'!$F$13*SIN(RADIANS(F104))),('Geometry'!$G$14*COS(RADIANS(F104))+'Geometry'!$F$14*SIN(RADIANS(F104))),('Geometry'!$G$15*COS(RADIANS(F104))+'Geometry'!$F$15*SIN(RADIANS(F104))),('Geometry'!$G$16*COS(RADIANS(F104))+'Geometry'!$F$16*SIN(RADIANS(F104))),('Geometry'!$G$17*COS(RADIANS(F104))+'Geometry'!$F$17*SIN(RADIANS(F104))),('Geometry'!$G$18*COS(RADIANS(F104))+'Geometry'!$F$18*SIN(RADIANS(F104))),('Geometry'!$G$19*COS(RADIANS(F104))+'Geometry'!$F$19*SIN(RADIANS(F104))),('Geometry'!$G$20*COS(RADIANS(F104))+'Geometry'!$F$20*SIN(RADIANS(F104))))</f>
        <v>1503.8533026013258</v>
      </c>
      <c r="L104" s="16">
        <f>C_ecu</f>
        <v>0.0033</v>
      </c>
      <c r="M104" s="16">
        <f>0</f>
        <v>0</v>
      </c>
      <c r="N104" s="22">
        <f>IF(ABS(I104-J104)&lt;0.000000000001,0,(L104-M104)/(I104-J104))</f>
        <v>0.000001994875427550466</v>
      </c>
      <c r="O104" s="16">
        <f>L104-N104*I104</f>
        <v>0.0018</v>
      </c>
      <c r="P104" s="22">
        <f>N104*COS(RADIANS(F104))</f>
        <v>-0.0000018745697186563068</v>
      </c>
      <c r="Q104" s="22">
        <f>N104*SIN(RADIANS(F104))</f>
        <v>6.822875796476654e-7</v>
      </c>
      <c r="R104" s="11">
        <f>AP104</f>
        <v>15275.601201942744</v>
      </c>
      <c r="S104" s="11">
        <f>AQ104</f>
        <v>-1119.685129917906</v>
      </c>
      <c r="T104" s="11">
        <f>AR104</f>
        <v>600.3851410626453</v>
      </c>
      <c r="U104" s="11">
        <f>AS104</f>
        <v>2394.744413540491</v>
      </c>
      <c r="V104" s="11">
        <f>AT104</f>
        <v>-363.3599054889391</v>
      </c>
      <c r="W104" s="11">
        <f>AU104</f>
        <v>190.70186355810662</v>
      </c>
      <c r="X104" s="11">
        <f>AM104</f>
        <v>17670.345615483235</v>
      </c>
      <c r="Y104" s="11">
        <f>AN104</f>
        <v>-1483.0450354068448</v>
      </c>
      <c r="Z104" s="11">
        <f>AO104</f>
        <v>791.0870046207517</v>
      </c>
      <c r="AA104" s="7">
        <v>1</v>
      </c>
      <c r="AB104" s="7">
        <v>1</v>
      </c>
      <c r="AC104" s="7">
        <v>1</v>
      </c>
      <c r="AD104" s="11">
        <f>X104*AA104</f>
        <v>17670.345615483235</v>
      </c>
      <c r="AE104" s="11">
        <f>Y104*AB104</f>
        <v>-1483.0450354068448</v>
      </c>
      <c r="AF104" s="11">
        <f>Z104*AC104</f>
        <v>791.0870046207517</v>
      </c>
      <c r="AG104" s="7">
        <v>17670.345615483235</v>
      </c>
      <c r="AH104" s="7">
        <v>-1483.0450354068448</v>
      </c>
      <c r="AI104" s="7">
        <v>791.0870046207517</v>
      </c>
      <c r="AJ104" s="16">
        <f>AD104-AG104</f>
        <v>0</v>
      </c>
      <c r="AK104" s="16">
        <f>SQRT((AE104-AH104)^2+(AF104-AI104)^2)</f>
        <v>0</v>
      </c>
      <c r="AL104" s="7" t="s">
        <v>190</v>
      </c>
      <c r="AM104" s="7">
        <v>17670.345615483235</v>
      </c>
      <c r="AN104" s="7">
        <v>-1483.0450354068448</v>
      </c>
      <c r="AO104" s="7">
        <v>791.0870046207517</v>
      </c>
      <c r="AP104" s="7">
        <v>15275.601201942744</v>
      </c>
      <c r="AQ104" s="7">
        <v>-1119.685129917906</v>
      </c>
      <c r="AR104" s="7">
        <v>600.3851410626453</v>
      </c>
      <c r="AS104" s="7">
        <v>2394.744413540491</v>
      </c>
      <c r="AT104" s="7">
        <v>-363.3599054889391</v>
      </c>
      <c r="AU104" s="7">
        <v>190.70186355810662</v>
      </c>
    </row>
    <row r="105" spans="1:47" x14ac:dyDescent="0.25">
      <c r="A105" s="7" t="s">
        <v>390</v>
      </c>
      <c r="B105" s="7">
        <v>6</v>
      </c>
      <c r="C105" s="19">
        <v>160</v>
      </c>
      <c r="D105" s="7" t="s">
        <v>391</v>
      </c>
      <c r="E105" s="7" t="s">
        <v>614</v>
      </c>
      <c r="F105" s="20">
        <v>160</v>
      </c>
      <c r="G105" s="7" t="s">
        <v>194</v>
      </c>
      <c r="H105" s="21">
        <v>1</v>
      </c>
      <c r="I105" s="11">
        <f>MAX(('Geometry'!$G$13*COS(RADIANS(F105))+'Geometry'!$F$13*SIN(RADIANS(F105))),('Geometry'!$G$14*COS(RADIANS(F105))+'Geometry'!$F$14*SIN(RADIANS(F105))),('Geometry'!$G$15*COS(RADIANS(F105))+'Geometry'!$F$15*SIN(RADIANS(F105))),('Geometry'!$G$16*COS(RADIANS(F105))+'Geometry'!$F$16*SIN(RADIANS(F105))),('Geometry'!$G$17*COS(RADIANS(F105))+'Geometry'!$F$17*SIN(RADIANS(F105))),('Geometry'!$G$18*COS(RADIANS(F105))+'Geometry'!$F$18*SIN(RADIANS(F105))),('Geometry'!$G$19*COS(RADIANS(F105))+'Geometry'!$F$19*SIN(RADIANS(F105))),('Geometry'!$G$20*COS(RADIANS(F105))+'Geometry'!$F$20*SIN(RADIANS(F105))))</f>
        <v>751.9266513006629</v>
      </c>
      <c r="J105" s="11">
        <f>I105-H105*K105</f>
        <v>-751.9266513006629</v>
      </c>
      <c r="K105" s="11">
        <f>I105-MIN(('Geometry'!$G$13*COS(RADIANS(F105))+'Geometry'!$F$13*SIN(RADIANS(F105))),('Geometry'!$G$14*COS(RADIANS(F105))+'Geometry'!$F$14*SIN(RADIANS(F105))),('Geometry'!$G$15*COS(RADIANS(F105))+'Geometry'!$F$15*SIN(RADIANS(F105))),('Geometry'!$G$16*COS(RADIANS(F105))+'Geometry'!$F$16*SIN(RADIANS(F105))),('Geometry'!$G$17*COS(RADIANS(F105))+'Geometry'!$F$17*SIN(RADIANS(F105))),('Geometry'!$G$18*COS(RADIANS(F105))+'Geometry'!$F$18*SIN(RADIANS(F105))),('Geometry'!$G$19*COS(RADIANS(F105))+'Geometry'!$F$19*SIN(RADIANS(F105))),('Geometry'!$G$20*COS(RADIANS(F105))+'Geometry'!$F$20*SIN(RADIANS(F105))))</f>
        <v>1503.8533026013258</v>
      </c>
      <c r="L105" s="16">
        <f>C_ecu</f>
        <v>0.0033</v>
      </c>
      <c r="M105" s="16">
        <f>0</f>
        <v>0</v>
      </c>
      <c r="N105" s="22">
        <f>IF(ABS(I105-J105)&lt;0.000000000001,0,(L105-M105)/(I105-J105))</f>
        <v>0.0000021943629703055123</v>
      </c>
      <c r="O105" s="16">
        <f>L105-N105*I105</f>
        <v>0.00165</v>
      </c>
      <c r="P105" s="22">
        <f>N105*COS(RADIANS(F105))</f>
        <v>-0.000002062026690521937</v>
      </c>
      <c r="Q105" s="22">
        <f>N105*SIN(RADIANS(F105))</f>
        <v>7.505163376124318e-7</v>
      </c>
      <c r="R105" s="11">
        <f>AP105</f>
        <v>15275.601201942744</v>
      </c>
      <c r="S105" s="11">
        <f>AQ105</f>
        <v>-1343.6221559014868</v>
      </c>
      <c r="T105" s="11">
        <f>AR105</f>
        <v>720.4621692751742</v>
      </c>
      <c r="U105" s="11">
        <f>AS105</f>
        <v>2394.744413540491</v>
      </c>
      <c r="V105" s="11">
        <f>AT105</f>
        <v>-436.0318865867269</v>
      </c>
      <c r="W105" s="11">
        <f>AU105</f>
        <v>228.84223626972798</v>
      </c>
      <c r="X105" s="11">
        <f>AM105</f>
        <v>17670.345615483235</v>
      </c>
      <c r="Y105" s="11">
        <f>AN105</f>
        <v>-1779.6540424882137</v>
      </c>
      <c r="Z105" s="11">
        <f>AO105</f>
        <v>949.3044055449021</v>
      </c>
      <c r="AA105" s="7">
        <v>1</v>
      </c>
      <c r="AB105" s="7">
        <v>1</v>
      </c>
      <c r="AC105" s="7">
        <v>1</v>
      </c>
      <c r="AD105" s="11">
        <f>X105*AA105</f>
        <v>17670.345615483235</v>
      </c>
      <c r="AE105" s="11">
        <f>Y105*AB105</f>
        <v>-1779.6540424882137</v>
      </c>
      <c r="AF105" s="11">
        <f>Z105*AC105</f>
        <v>949.3044055449021</v>
      </c>
      <c r="AG105" s="7">
        <v>17670.345615483235</v>
      </c>
      <c r="AH105" s="7">
        <v>-1779.6540424882137</v>
      </c>
      <c r="AI105" s="7">
        <v>949.3044055449021</v>
      </c>
      <c r="AJ105" s="16">
        <f>AD105-AG105</f>
        <v>0</v>
      </c>
      <c r="AK105" s="16">
        <f>SQRT((AE105-AH105)^2+(AF105-AI105)^2)</f>
        <v>0</v>
      </c>
      <c r="AL105" s="7" t="s">
        <v>190</v>
      </c>
      <c r="AM105" s="7">
        <v>17670.345615483235</v>
      </c>
      <c r="AN105" s="7">
        <v>-1779.6540424882137</v>
      </c>
      <c r="AO105" s="7">
        <v>949.3044055449021</v>
      </c>
      <c r="AP105" s="7">
        <v>15275.601201942744</v>
      </c>
      <c r="AQ105" s="7">
        <v>-1343.6221559014868</v>
      </c>
      <c r="AR105" s="7">
        <v>720.4621692751742</v>
      </c>
      <c r="AS105" s="7">
        <v>2394.744413540491</v>
      </c>
      <c r="AT105" s="7">
        <v>-436.0318865867269</v>
      </c>
      <c r="AU105" s="7">
        <v>228.84223626972798</v>
      </c>
    </row>
    <row r="106" spans="1:47" x14ac:dyDescent="0.25">
      <c r="A106" s="7" t="s">
        <v>392</v>
      </c>
      <c r="B106" s="7">
        <v>1</v>
      </c>
      <c r="C106" s="19">
        <v>170</v>
      </c>
      <c r="D106" s="7" t="s">
        <v>393</v>
      </c>
      <c r="E106" s="7" t="s">
        <v>609</v>
      </c>
      <c r="F106" s="20">
        <v>170</v>
      </c>
      <c r="G106" s="7" t="s">
        <v>194</v>
      </c>
      <c r="H106" s="21">
        <v>3</v>
      </c>
      <c r="I106" s="11">
        <f>MAX(('Geometry'!$G$13*COS(RADIANS(F106))+'Geometry'!$F$13*SIN(RADIANS(F106))),('Geometry'!$G$14*COS(RADIANS(F106))+'Geometry'!$F$14*SIN(RADIANS(F106))),('Geometry'!$G$15*COS(RADIANS(F106))+'Geometry'!$F$15*SIN(RADIANS(F106))),('Geometry'!$G$16*COS(RADIANS(F106))+'Geometry'!$F$16*SIN(RADIANS(F106))),('Geometry'!$G$17*COS(RADIANS(F106))+'Geometry'!$F$17*SIN(RADIANS(F106))),('Geometry'!$G$18*COS(RADIANS(F106))+'Geometry'!$F$18*SIN(RADIANS(F106))),('Geometry'!$G$19*COS(RADIANS(F106))+'Geometry'!$F$19*SIN(RADIANS(F106))),('Geometry'!$G$20*COS(RADIANS(F106))+'Geometry'!$F$20*SIN(RADIANS(F106))))</f>
        <v>686.3911495241364</v>
      </c>
      <c r="J106" s="11">
        <f>I106-H106*K106</f>
        <v>-3431.9557476206824</v>
      </c>
      <c r="K106" s="11">
        <f>I106-MIN(('Geometry'!$G$13*COS(RADIANS(F106))+'Geometry'!$F$13*SIN(RADIANS(F106))),('Geometry'!$G$14*COS(RADIANS(F106))+'Geometry'!$F$14*SIN(RADIANS(F106))),('Geometry'!$G$15*COS(RADIANS(F106))+'Geometry'!$F$15*SIN(RADIANS(F106))),('Geometry'!$G$16*COS(RADIANS(F106))+'Geometry'!$F$16*SIN(RADIANS(F106))),('Geometry'!$G$17*COS(RADIANS(F106))+'Geometry'!$F$17*SIN(RADIANS(F106))),('Geometry'!$G$18*COS(RADIANS(F106))+'Geometry'!$F$18*SIN(RADIANS(F106))),('Geometry'!$G$19*COS(RADIANS(F106))+'Geometry'!$F$19*SIN(RADIANS(F106))),('Geometry'!$G$20*COS(RADIANS(F106))+'Geometry'!$F$20*SIN(RADIANS(F106))))</f>
        <v>1372.7822990482728</v>
      </c>
      <c r="L106" s="16">
        <f>C_ecu</f>
        <v>0.0033</v>
      </c>
      <c r="M106" s="16">
        <f>0</f>
        <v>0</v>
      </c>
      <c r="N106" s="22">
        <f>IF(ABS(I106-J106)&lt;0.000000000001,0,(L106-M106)/(I106-J106))</f>
        <v>8.012923831860388e-7</v>
      </c>
      <c r="O106" s="16">
        <f>L106-N106*I106</f>
        <v>0.00275</v>
      </c>
      <c r="P106" s="22">
        <f>N106*COS(RADIANS(F106))</f>
        <v>-7.891189513912401e-7</v>
      </c>
      <c r="Q106" s="22">
        <f>N106*SIN(RADIANS(F106))</f>
        <v>1.3914296211864725e-7</v>
      </c>
      <c r="R106" s="11">
        <f>AP106</f>
        <v>15258.270149570275</v>
      </c>
      <c r="S106" s="11">
        <f>AQ106</f>
        <v>-251.17852535473807</v>
      </c>
      <c r="T106" s="11">
        <f>AR106</f>
        <v>67.97002098712626</v>
      </c>
      <c r="U106" s="11">
        <f>AS106</f>
        <v>2412.075465912958</v>
      </c>
      <c r="V106" s="11">
        <f>AT106</f>
        <v>-82.358563293927</v>
      </c>
      <c r="W106" s="11">
        <f>AU106</f>
        <v>20.101445710100606</v>
      </c>
      <c r="X106" s="11">
        <f>AM106</f>
        <v>17670.345615483235</v>
      </c>
      <c r="Y106" s="11">
        <f>AN106</f>
        <v>-333.537088648665</v>
      </c>
      <c r="Z106" s="11">
        <f>AO106</f>
        <v>88.07146669722685</v>
      </c>
      <c r="AA106" s="7">
        <v>1</v>
      </c>
      <c r="AB106" s="7">
        <v>1</v>
      </c>
      <c r="AC106" s="7">
        <v>1</v>
      </c>
      <c r="AD106" s="11">
        <f>X106*AA106</f>
        <v>17670.345615483235</v>
      </c>
      <c r="AE106" s="11">
        <f>Y106*AB106</f>
        <v>-333.537088648665</v>
      </c>
      <c r="AF106" s="11">
        <f>Z106*AC106</f>
        <v>88.07146669722685</v>
      </c>
      <c r="AG106" s="7">
        <v>17670.345615483235</v>
      </c>
      <c r="AH106" s="7">
        <v>-333.537088648665</v>
      </c>
      <c r="AI106" s="7">
        <v>88.07146669722685</v>
      </c>
      <c r="AJ106" s="16">
        <f>AD106-AG106</f>
        <v>0</v>
      </c>
      <c r="AK106" s="16">
        <f>SQRT((AE106-AH106)^2+(AF106-AI106)^2)</f>
        <v>0</v>
      </c>
      <c r="AL106" s="7" t="s">
        <v>190</v>
      </c>
      <c r="AM106" s="7">
        <v>17670.345615483235</v>
      </c>
      <c r="AN106" s="7">
        <v>-333.537088648665</v>
      </c>
      <c r="AO106" s="7">
        <v>88.07146669722685</v>
      </c>
      <c r="AP106" s="7">
        <v>15258.270149570275</v>
      </c>
      <c r="AQ106" s="7">
        <v>-251.17852535473807</v>
      </c>
      <c r="AR106" s="7">
        <v>67.97002098712626</v>
      </c>
      <c r="AS106" s="7">
        <v>2412.075465912958</v>
      </c>
      <c r="AT106" s="7">
        <v>-82.358563293927</v>
      </c>
      <c r="AU106" s="7">
        <v>20.101445710100606</v>
      </c>
    </row>
    <row r="107" spans="1:47" x14ac:dyDescent="0.25">
      <c r="A107" s="7" t="s">
        <v>394</v>
      </c>
      <c r="B107" s="7">
        <v>2</v>
      </c>
      <c r="C107" s="19">
        <v>170</v>
      </c>
      <c r="D107" s="7" t="s">
        <v>395</v>
      </c>
      <c r="E107" s="7" t="s">
        <v>610</v>
      </c>
      <c r="F107" s="20">
        <v>170</v>
      </c>
      <c r="G107" s="7" t="s">
        <v>194</v>
      </c>
      <c r="H107" s="21">
        <v>2</v>
      </c>
      <c r="I107" s="11">
        <f>MAX(('Geometry'!$G$13*COS(RADIANS(F107))+'Geometry'!$F$13*SIN(RADIANS(F107))),('Geometry'!$G$14*COS(RADIANS(F107))+'Geometry'!$F$14*SIN(RADIANS(F107))),('Geometry'!$G$15*COS(RADIANS(F107))+'Geometry'!$F$15*SIN(RADIANS(F107))),('Geometry'!$G$16*COS(RADIANS(F107))+'Geometry'!$F$16*SIN(RADIANS(F107))),('Geometry'!$G$17*COS(RADIANS(F107))+'Geometry'!$F$17*SIN(RADIANS(F107))),('Geometry'!$G$18*COS(RADIANS(F107))+'Geometry'!$F$18*SIN(RADIANS(F107))),('Geometry'!$G$19*COS(RADIANS(F107))+'Geometry'!$F$19*SIN(RADIANS(F107))),('Geometry'!$G$20*COS(RADIANS(F107))+'Geometry'!$F$20*SIN(RADIANS(F107))))</f>
        <v>686.3911495241364</v>
      </c>
      <c r="J107" s="11">
        <f>I107-H107*K107</f>
        <v>-2059.173448572409</v>
      </c>
      <c r="K107" s="11">
        <f>I107-MIN(('Geometry'!$G$13*COS(RADIANS(F107))+'Geometry'!$F$13*SIN(RADIANS(F107))),('Geometry'!$G$14*COS(RADIANS(F107))+'Geometry'!$F$14*SIN(RADIANS(F107))),('Geometry'!$G$15*COS(RADIANS(F107))+'Geometry'!$F$15*SIN(RADIANS(F107))),('Geometry'!$G$16*COS(RADIANS(F107))+'Geometry'!$F$16*SIN(RADIANS(F107))),('Geometry'!$G$17*COS(RADIANS(F107))+'Geometry'!$F$17*SIN(RADIANS(F107))),('Geometry'!$G$18*COS(RADIANS(F107))+'Geometry'!$F$18*SIN(RADIANS(F107))),('Geometry'!$G$19*COS(RADIANS(F107))+'Geometry'!$F$19*SIN(RADIANS(F107))),('Geometry'!$G$20*COS(RADIANS(F107))+'Geometry'!$F$20*SIN(RADIANS(F107))))</f>
        <v>1372.7822990482728</v>
      </c>
      <c r="L107" s="16">
        <f>C_ecu</f>
        <v>0.0032999999999999995</v>
      </c>
      <c r="M107" s="16">
        <f>0</f>
        <v>0</v>
      </c>
      <c r="N107" s="22">
        <f>IF(ABS(I107-J107)&lt;0.000000000001,0,(L107-M107)/(I107-J107))</f>
        <v>0.0000012019385747790582</v>
      </c>
      <c r="O107" s="16">
        <f>L107-N107*I107</f>
        <v>0.0024749999999999998</v>
      </c>
      <c r="P107" s="22">
        <f>N107*COS(RADIANS(F107))</f>
        <v>-0.0000011836784270868602</v>
      </c>
      <c r="Q107" s="22">
        <f>N107*SIN(RADIANS(F107))</f>
        <v>2.087144431779709e-7</v>
      </c>
      <c r="R107" s="11">
        <f>AP107</f>
        <v>15258.270149570275</v>
      </c>
      <c r="S107" s="11">
        <f>AQ107</f>
        <v>-502.35705070947614</v>
      </c>
      <c r="T107" s="11">
        <f>AR107</f>
        <v>135.94004197425252</v>
      </c>
      <c r="U107" s="11">
        <f>AS107</f>
        <v>2412.075465912958</v>
      </c>
      <c r="V107" s="11">
        <f>AT107</f>
        <v>-164.717126587854</v>
      </c>
      <c r="W107" s="11">
        <f>AU107</f>
        <v>40.20289142020121</v>
      </c>
      <c r="X107" s="11">
        <f>AM107</f>
        <v>17670.345615483235</v>
      </c>
      <c r="Y107" s="11">
        <f>AN107</f>
        <v>-667.07417729733</v>
      </c>
      <c r="Z107" s="11">
        <f>AO107</f>
        <v>176.1429333944537</v>
      </c>
      <c r="AA107" s="7">
        <v>1</v>
      </c>
      <c r="AB107" s="7">
        <v>1</v>
      </c>
      <c r="AC107" s="7">
        <v>1</v>
      </c>
      <c r="AD107" s="11">
        <f>X107*AA107</f>
        <v>17670.345615483235</v>
      </c>
      <c r="AE107" s="11">
        <f>Y107*AB107</f>
        <v>-667.07417729733</v>
      </c>
      <c r="AF107" s="11">
        <f>Z107*AC107</f>
        <v>176.1429333944537</v>
      </c>
      <c r="AG107" s="7">
        <v>17670.345615483235</v>
      </c>
      <c r="AH107" s="7">
        <v>-667.07417729733</v>
      </c>
      <c r="AI107" s="7">
        <v>176.1429333944537</v>
      </c>
      <c r="AJ107" s="16">
        <f>AD107-AG107</f>
        <v>0</v>
      </c>
      <c r="AK107" s="16">
        <f>SQRT((AE107-AH107)^2+(AF107-AI107)^2)</f>
        <v>0</v>
      </c>
      <c r="AL107" s="7" t="s">
        <v>190</v>
      </c>
      <c r="AM107" s="7">
        <v>17670.345615483235</v>
      </c>
      <c r="AN107" s="7">
        <v>-667.07417729733</v>
      </c>
      <c r="AO107" s="7">
        <v>176.1429333944537</v>
      </c>
      <c r="AP107" s="7">
        <v>15258.270149570275</v>
      </c>
      <c r="AQ107" s="7">
        <v>-502.35705070947614</v>
      </c>
      <c r="AR107" s="7">
        <v>135.94004197425252</v>
      </c>
      <c r="AS107" s="7">
        <v>2412.075465912958</v>
      </c>
      <c r="AT107" s="7">
        <v>-164.717126587854</v>
      </c>
      <c r="AU107" s="7">
        <v>40.20289142020121</v>
      </c>
    </row>
    <row r="108" spans="1:47" x14ac:dyDescent="0.25">
      <c r="A108" s="7" t="s">
        <v>396</v>
      </c>
      <c r="B108" s="7">
        <v>3</v>
      </c>
      <c r="C108" s="19">
        <v>170</v>
      </c>
      <c r="D108" s="7" t="s">
        <v>397</v>
      </c>
      <c r="E108" s="7" t="s">
        <v>611</v>
      </c>
      <c r="F108" s="20">
        <v>170</v>
      </c>
      <c r="G108" s="7" t="s">
        <v>194</v>
      </c>
      <c r="H108" s="21">
        <v>1.5</v>
      </c>
      <c r="I108" s="11">
        <f>MAX(('Geometry'!$G$13*COS(RADIANS(F108))+'Geometry'!$F$13*SIN(RADIANS(F108))),('Geometry'!$G$14*COS(RADIANS(F108))+'Geometry'!$F$14*SIN(RADIANS(F108))),('Geometry'!$G$15*COS(RADIANS(F108))+'Geometry'!$F$15*SIN(RADIANS(F108))),('Geometry'!$G$16*COS(RADIANS(F108))+'Geometry'!$F$16*SIN(RADIANS(F108))),('Geometry'!$G$17*COS(RADIANS(F108))+'Geometry'!$F$17*SIN(RADIANS(F108))),('Geometry'!$G$18*COS(RADIANS(F108))+'Geometry'!$F$18*SIN(RADIANS(F108))),('Geometry'!$G$19*COS(RADIANS(F108))+'Geometry'!$F$19*SIN(RADIANS(F108))),('Geometry'!$G$20*COS(RADIANS(F108))+'Geometry'!$F$20*SIN(RADIANS(F108))))</f>
        <v>686.3911495241364</v>
      </c>
      <c r="J108" s="11">
        <f>I108-H108*K108</f>
        <v>-1372.7822990482728</v>
      </c>
      <c r="K108" s="11">
        <f>I108-MIN(('Geometry'!$G$13*COS(RADIANS(F108))+'Geometry'!$F$13*SIN(RADIANS(F108))),('Geometry'!$G$14*COS(RADIANS(F108))+'Geometry'!$F$14*SIN(RADIANS(F108))),('Geometry'!$G$15*COS(RADIANS(F108))+'Geometry'!$F$15*SIN(RADIANS(F108))),('Geometry'!$G$16*COS(RADIANS(F108))+'Geometry'!$F$16*SIN(RADIANS(F108))),('Geometry'!$G$17*COS(RADIANS(F108))+'Geometry'!$F$17*SIN(RADIANS(F108))),('Geometry'!$G$18*COS(RADIANS(F108))+'Geometry'!$F$18*SIN(RADIANS(F108))),('Geometry'!$G$19*COS(RADIANS(F108))+'Geometry'!$F$19*SIN(RADIANS(F108))),('Geometry'!$G$20*COS(RADIANS(F108))+'Geometry'!$F$20*SIN(RADIANS(F108))))</f>
        <v>1372.7822990482728</v>
      </c>
      <c r="L108" s="16">
        <f>C_ecu</f>
        <v>0.0032999999999999995</v>
      </c>
      <c r="M108" s="16">
        <f>0</f>
        <v>0</v>
      </c>
      <c r="N108" s="22">
        <f>IF(ABS(I108-J108)&lt;0.000000000001,0,(L108-M108)/(I108-J108))</f>
        <v>0.0000016025847663720776</v>
      </c>
      <c r="O108" s="16">
        <f>L108-N108*I108</f>
        <v>0.0021999999999999997</v>
      </c>
      <c r="P108" s="22">
        <f>N108*COS(RADIANS(F108))</f>
        <v>-0.0000015782379027824802</v>
      </c>
      <c r="Q108" s="22">
        <f>N108*SIN(RADIANS(F108))</f>
        <v>2.782859242372945e-7</v>
      </c>
      <c r="R108" s="11">
        <f>AP108</f>
        <v>15258.270149570275</v>
      </c>
      <c r="S108" s="11">
        <f>AQ108</f>
        <v>-753.5355760642142</v>
      </c>
      <c r="T108" s="11">
        <f>AR108</f>
        <v>203.91006296137877</v>
      </c>
      <c r="U108" s="11">
        <f>AS108</f>
        <v>2412.075465912958</v>
      </c>
      <c r="V108" s="11">
        <f>AT108</f>
        <v>-247.07568988178105</v>
      </c>
      <c r="W108" s="11">
        <f>AU108</f>
        <v>60.30433713030182</v>
      </c>
      <c r="X108" s="11">
        <f>AM108</f>
        <v>17670.345615483235</v>
      </c>
      <c r="Y108" s="11">
        <f>AN108</f>
        <v>-1000.6112659459951</v>
      </c>
      <c r="Z108" s="11">
        <f>AO108</f>
        <v>264.21440009168055</v>
      </c>
      <c r="AA108" s="7">
        <v>1</v>
      </c>
      <c r="AB108" s="7">
        <v>1</v>
      </c>
      <c r="AC108" s="7">
        <v>1</v>
      </c>
      <c r="AD108" s="11">
        <f>X108*AA108</f>
        <v>17670.345615483235</v>
      </c>
      <c r="AE108" s="11">
        <f>Y108*AB108</f>
        <v>-1000.6112659459951</v>
      </c>
      <c r="AF108" s="11">
        <f>Z108*AC108</f>
        <v>264.21440009168055</v>
      </c>
      <c r="AG108" s="7">
        <v>17670.345615483235</v>
      </c>
      <c r="AH108" s="7">
        <v>-1000.6112659459951</v>
      </c>
      <c r="AI108" s="7">
        <v>264.21440009168055</v>
      </c>
      <c r="AJ108" s="16">
        <f>AD108-AG108</f>
        <v>0</v>
      </c>
      <c r="AK108" s="16">
        <f>SQRT((AE108-AH108)^2+(AF108-AI108)^2)</f>
        <v>0</v>
      </c>
      <c r="AL108" s="7" t="s">
        <v>190</v>
      </c>
      <c r="AM108" s="7">
        <v>17670.345615483235</v>
      </c>
      <c r="AN108" s="7">
        <v>-1000.6112659459951</v>
      </c>
      <c r="AO108" s="7">
        <v>264.21440009168055</v>
      </c>
      <c r="AP108" s="7">
        <v>15258.270149570275</v>
      </c>
      <c r="AQ108" s="7">
        <v>-753.5355760642142</v>
      </c>
      <c r="AR108" s="7">
        <v>203.91006296137877</v>
      </c>
      <c r="AS108" s="7">
        <v>2412.075465912958</v>
      </c>
      <c r="AT108" s="7">
        <v>-247.07568988178105</v>
      </c>
      <c r="AU108" s="7">
        <v>60.30433713030182</v>
      </c>
    </row>
    <row r="109" spans="1:47" x14ac:dyDescent="0.25">
      <c r="A109" s="7" t="s">
        <v>398</v>
      </c>
      <c r="B109" s="7">
        <v>4</v>
      </c>
      <c r="C109" s="19">
        <v>170</v>
      </c>
      <c r="D109" s="7" t="s">
        <v>399</v>
      </c>
      <c r="E109" s="7" t="s">
        <v>612</v>
      </c>
      <c r="F109" s="20">
        <v>170</v>
      </c>
      <c r="G109" s="7" t="s">
        <v>194</v>
      </c>
      <c r="H109" s="21">
        <v>1.2000000000000002</v>
      </c>
      <c r="I109" s="11">
        <f>MAX(('Geometry'!$G$13*COS(RADIANS(F109))+'Geometry'!$F$13*SIN(RADIANS(F109))),('Geometry'!$G$14*COS(RADIANS(F109))+'Geometry'!$F$14*SIN(RADIANS(F109))),('Geometry'!$G$15*COS(RADIANS(F109))+'Geometry'!$F$15*SIN(RADIANS(F109))),('Geometry'!$G$16*COS(RADIANS(F109))+'Geometry'!$F$16*SIN(RADIANS(F109))),('Geometry'!$G$17*COS(RADIANS(F109))+'Geometry'!$F$17*SIN(RADIANS(F109))),('Geometry'!$G$18*COS(RADIANS(F109))+'Geometry'!$F$18*SIN(RADIANS(F109))),('Geometry'!$G$19*COS(RADIANS(F109))+'Geometry'!$F$19*SIN(RADIANS(F109))),('Geometry'!$G$20*COS(RADIANS(F109))+'Geometry'!$F$20*SIN(RADIANS(F109))))</f>
        <v>686.3911495241364</v>
      </c>
      <c r="J109" s="11">
        <f>I109-H109*K109</f>
        <v>-960.9476093337912</v>
      </c>
      <c r="K109" s="11">
        <f>I109-MIN(('Geometry'!$G$13*COS(RADIANS(F109))+'Geometry'!$F$13*SIN(RADIANS(F109))),('Geometry'!$G$14*COS(RADIANS(F109))+'Geometry'!$F$14*SIN(RADIANS(F109))),('Geometry'!$G$15*COS(RADIANS(F109))+'Geometry'!$F$15*SIN(RADIANS(F109))),('Geometry'!$G$16*COS(RADIANS(F109))+'Geometry'!$F$16*SIN(RADIANS(F109))),('Geometry'!$G$17*COS(RADIANS(F109))+'Geometry'!$F$17*SIN(RADIANS(F109))),('Geometry'!$G$18*COS(RADIANS(F109))+'Geometry'!$F$18*SIN(RADIANS(F109))),('Geometry'!$G$19*COS(RADIANS(F109))+'Geometry'!$F$19*SIN(RADIANS(F109))),('Geometry'!$G$20*COS(RADIANS(F109))+'Geometry'!$F$20*SIN(RADIANS(F109))))</f>
        <v>1372.7822990482728</v>
      </c>
      <c r="L109" s="16">
        <f>C_ecu</f>
        <v>0.0033</v>
      </c>
      <c r="M109" s="16">
        <f>0</f>
        <v>0</v>
      </c>
      <c r="N109" s="22">
        <f>IF(ABS(I109-J109)&lt;0.000000000001,0,(L109-M109)/(I109-J109))</f>
        <v>0.0000020032309579650967</v>
      </c>
      <c r="O109" s="16">
        <f>L109-N109*I109</f>
        <v>0.001925</v>
      </c>
      <c r="P109" s="22">
        <f>N109*COS(RADIANS(F109))</f>
        <v>-0.0000019727973784781</v>
      </c>
      <c r="Q109" s="22">
        <f>N109*SIN(RADIANS(F109))</f>
        <v>3.4785740529661813e-7</v>
      </c>
      <c r="R109" s="11">
        <f>AP109</f>
        <v>15258.270149570275</v>
      </c>
      <c r="S109" s="11">
        <f>AQ109</f>
        <v>-1004.7141014189523</v>
      </c>
      <c r="T109" s="11">
        <f>AR109</f>
        <v>271.88008394850505</v>
      </c>
      <c r="U109" s="11">
        <f>AS109</f>
        <v>2412.075465912958</v>
      </c>
      <c r="V109" s="11">
        <f>AT109</f>
        <v>-329.434253175708</v>
      </c>
      <c r="W109" s="11">
        <f>AU109</f>
        <v>80.40578284040242</v>
      </c>
      <c r="X109" s="11">
        <f>AM109</f>
        <v>17670.345615483235</v>
      </c>
      <c r="Y109" s="11">
        <f>AN109</f>
        <v>-1334.14835459466</v>
      </c>
      <c r="Z109" s="11">
        <f>AO109</f>
        <v>352.2858667889074</v>
      </c>
      <c r="AA109" s="7">
        <v>1</v>
      </c>
      <c r="AB109" s="7">
        <v>1</v>
      </c>
      <c r="AC109" s="7">
        <v>1</v>
      </c>
      <c r="AD109" s="11">
        <f>X109*AA109</f>
        <v>17670.345615483235</v>
      </c>
      <c r="AE109" s="11">
        <f>Y109*AB109</f>
        <v>-1334.14835459466</v>
      </c>
      <c r="AF109" s="11">
        <f>Z109*AC109</f>
        <v>352.2858667889074</v>
      </c>
      <c r="AG109" s="7">
        <v>17670.345615483235</v>
      </c>
      <c r="AH109" s="7">
        <v>-1334.14835459466</v>
      </c>
      <c r="AI109" s="7">
        <v>352.2858667889074</v>
      </c>
      <c r="AJ109" s="16">
        <f>AD109-AG109</f>
        <v>0</v>
      </c>
      <c r="AK109" s="16">
        <f>SQRT((AE109-AH109)^2+(AF109-AI109)^2)</f>
        <v>0</v>
      </c>
      <c r="AL109" s="7" t="s">
        <v>190</v>
      </c>
      <c r="AM109" s="7">
        <v>17670.345615483235</v>
      </c>
      <c r="AN109" s="7">
        <v>-1334.14835459466</v>
      </c>
      <c r="AO109" s="7">
        <v>352.2858667889074</v>
      </c>
      <c r="AP109" s="7">
        <v>15258.270149570275</v>
      </c>
      <c r="AQ109" s="7">
        <v>-1004.7141014189523</v>
      </c>
      <c r="AR109" s="7">
        <v>271.88008394850505</v>
      </c>
      <c r="AS109" s="7">
        <v>2412.075465912958</v>
      </c>
      <c r="AT109" s="7">
        <v>-329.434253175708</v>
      </c>
      <c r="AU109" s="7">
        <v>80.40578284040242</v>
      </c>
    </row>
    <row r="110" spans="1:47" x14ac:dyDescent="0.25">
      <c r="A110" s="7" t="s">
        <v>400</v>
      </c>
      <c r="B110" s="7">
        <v>5</v>
      </c>
      <c r="C110" s="19">
        <v>170</v>
      </c>
      <c r="D110" s="7" t="s">
        <v>401</v>
      </c>
      <c r="E110" s="7" t="s">
        <v>613</v>
      </c>
      <c r="F110" s="20">
        <v>170</v>
      </c>
      <c r="G110" s="7" t="s">
        <v>194</v>
      </c>
      <c r="H110" s="21">
        <v>1.1000000000000003</v>
      </c>
      <c r="I110" s="11">
        <f>MAX(('Geometry'!$G$13*COS(RADIANS(F110))+'Geometry'!$F$13*SIN(RADIANS(F110))),('Geometry'!$G$14*COS(RADIANS(F110))+'Geometry'!$F$14*SIN(RADIANS(F110))),('Geometry'!$G$15*COS(RADIANS(F110))+'Geometry'!$F$15*SIN(RADIANS(F110))),('Geometry'!$G$16*COS(RADIANS(F110))+'Geometry'!$F$16*SIN(RADIANS(F110))),('Geometry'!$G$17*COS(RADIANS(F110))+'Geometry'!$F$17*SIN(RADIANS(F110))),('Geometry'!$G$18*COS(RADIANS(F110))+'Geometry'!$F$18*SIN(RADIANS(F110))),('Geometry'!$G$19*COS(RADIANS(F110))+'Geometry'!$F$19*SIN(RADIANS(F110))),('Geometry'!$G$20*COS(RADIANS(F110))+'Geometry'!$F$20*SIN(RADIANS(F110))))</f>
        <v>686.3911495241364</v>
      </c>
      <c r="J110" s="11">
        <f>I110-H110*K110</f>
        <v>-823.669379428964</v>
      </c>
      <c r="K110" s="11">
        <f>I110-MIN(('Geometry'!$G$13*COS(RADIANS(F110))+'Geometry'!$F$13*SIN(RADIANS(F110))),('Geometry'!$G$14*COS(RADIANS(F110))+'Geometry'!$F$14*SIN(RADIANS(F110))),('Geometry'!$G$15*COS(RADIANS(F110))+'Geometry'!$F$15*SIN(RADIANS(F110))),('Geometry'!$G$16*COS(RADIANS(F110))+'Geometry'!$F$16*SIN(RADIANS(F110))),('Geometry'!$G$17*COS(RADIANS(F110))+'Geometry'!$F$17*SIN(RADIANS(F110))),('Geometry'!$G$18*COS(RADIANS(F110))+'Geometry'!$F$18*SIN(RADIANS(F110))),('Geometry'!$G$19*COS(RADIANS(F110))+'Geometry'!$F$19*SIN(RADIANS(F110))),('Geometry'!$G$20*COS(RADIANS(F110))+'Geometry'!$F$20*SIN(RADIANS(F110))))</f>
        <v>1372.7822990482728</v>
      </c>
      <c r="L110" s="16">
        <f>C_ecu</f>
        <v>0.0033</v>
      </c>
      <c r="M110" s="16">
        <f>0</f>
        <v>0</v>
      </c>
      <c r="N110" s="22">
        <f>IF(ABS(I110-J110)&lt;0.000000000001,0,(L110-M110)/(I110-J110))</f>
        <v>0.000002185342863234651</v>
      </c>
      <c r="O110" s="16">
        <f>L110-N110*I110</f>
        <v>0.0018000000000000002</v>
      </c>
      <c r="P110" s="22">
        <f>N110*COS(RADIANS(F110))</f>
        <v>-0.000002152142594703382</v>
      </c>
      <c r="Q110" s="22">
        <f>N110*SIN(RADIANS(F110))</f>
        <v>3.7948080577812884e-7</v>
      </c>
      <c r="R110" s="11">
        <f>AP110</f>
        <v>15258.270149570275</v>
      </c>
      <c r="S110" s="11">
        <f>AQ110</f>
        <v>-1255.8926267736904</v>
      </c>
      <c r="T110" s="11">
        <f>AR110</f>
        <v>339.8501049356313</v>
      </c>
      <c r="U110" s="11">
        <f>AS110</f>
        <v>2412.075465912958</v>
      </c>
      <c r="V110" s="11">
        <f>AT110</f>
        <v>-411.79281646963506</v>
      </c>
      <c r="W110" s="11">
        <f>AU110</f>
        <v>100.50722855050303</v>
      </c>
      <c r="X110" s="11">
        <f>AM110</f>
        <v>17670.345615483235</v>
      </c>
      <c r="Y110" s="11">
        <f>AN110</f>
        <v>-1667.6854432433252</v>
      </c>
      <c r="Z110" s="11">
        <f>AO110</f>
        <v>440.3573334861343</v>
      </c>
      <c r="AA110" s="7">
        <v>1</v>
      </c>
      <c r="AB110" s="7">
        <v>1</v>
      </c>
      <c r="AC110" s="7">
        <v>1</v>
      </c>
      <c r="AD110" s="11">
        <f>X110*AA110</f>
        <v>17670.345615483235</v>
      </c>
      <c r="AE110" s="11">
        <f>Y110*AB110</f>
        <v>-1667.6854432433252</v>
      </c>
      <c r="AF110" s="11">
        <f>Z110*AC110</f>
        <v>440.3573334861343</v>
      </c>
      <c r="AG110" s="7">
        <v>17670.345615483235</v>
      </c>
      <c r="AH110" s="7">
        <v>-1667.6854432433252</v>
      </c>
      <c r="AI110" s="7">
        <v>440.3573334861343</v>
      </c>
      <c r="AJ110" s="16">
        <f>AD110-AG110</f>
        <v>0</v>
      </c>
      <c r="AK110" s="16">
        <f>SQRT((AE110-AH110)^2+(AF110-AI110)^2)</f>
        <v>0</v>
      </c>
      <c r="AL110" s="7" t="s">
        <v>190</v>
      </c>
      <c r="AM110" s="7">
        <v>17670.345615483235</v>
      </c>
      <c r="AN110" s="7">
        <v>-1667.6854432433252</v>
      </c>
      <c r="AO110" s="7">
        <v>440.3573334861343</v>
      </c>
      <c r="AP110" s="7">
        <v>15258.270149570275</v>
      </c>
      <c r="AQ110" s="7">
        <v>-1255.8926267736904</v>
      </c>
      <c r="AR110" s="7">
        <v>339.8501049356313</v>
      </c>
      <c r="AS110" s="7">
        <v>2412.075465912958</v>
      </c>
      <c r="AT110" s="7">
        <v>-411.79281646963506</v>
      </c>
      <c r="AU110" s="7">
        <v>100.50722855050303</v>
      </c>
    </row>
    <row r="111" spans="1:47" x14ac:dyDescent="0.25">
      <c r="A111" s="7" t="s">
        <v>402</v>
      </c>
      <c r="B111" s="7">
        <v>1</v>
      </c>
      <c r="C111" s="19">
        <v>180</v>
      </c>
      <c r="D111" s="7" t="s">
        <v>403</v>
      </c>
      <c r="E111" s="7" t="s">
        <v>609</v>
      </c>
      <c r="F111" s="20">
        <v>180</v>
      </c>
      <c r="G111" s="7" t="s">
        <v>194</v>
      </c>
      <c r="H111" s="21">
        <v>3</v>
      </c>
      <c r="I111" s="11">
        <f>MAX(('Geometry'!$G$13*COS(RADIANS(F111))+'Geometry'!$F$13*SIN(RADIANS(F111))),('Geometry'!$G$14*COS(RADIANS(F111))+'Geometry'!$F$14*SIN(RADIANS(F111))),('Geometry'!$G$15*COS(RADIANS(F111))+'Geometry'!$F$15*SIN(RADIANS(F111))),('Geometry'!$G$16*COS(RADIANS(F111))+'Geometry'!$F$16*SIN(RADIANS(F111))),('Geometry'!$G$17*COS(RADIANS(F111))+'Geometry'!$F$17*SIN(RADIANS(F111))),('Geometry'!$G$18*COS(RADIANS(F111))+'Geometry'!$F$18*SIN(RADIANS(F111))),('Geometry'!$G$19*COS(RADIANS(F111))+'Geometry'!$F$19*SIN(RADIANS(F111))),('Geometry'!$G$20*COS(RADIANS(F111))+'Geometry'!$F$20*SIN(RADIANS(F111))))</f>
        <v>600.0000000000001</v>
      </c>
      <c r="J111" s="11">
        <f>I111-H111*K111</f>
        <v>-3000.0000000000005</v>
      </c>
      <c r="K111" s="11">
        <f>I111-MIN(('Geometry'!$G$13*COS(RADIANS(F111))+'Geometry'!$F$13*SIN(RADIANS(F111))),('Geometry'!$G$14*COS(RADIANS(F111))+'Geometry'!$F$14*SIN(RADIANS(F111))),('Geometry'!$G$15*COS(RADIANS(F111))+'Geometry'!$F$15*SIN(RADIANS(F111))),('Geometry'!$G$16*COS(RADIANS(F111))+'Geometry'!$F$16*SIN(RADIANS(F111))),('Geometry'!$G$17*COS(RADIANS(F111))+'Geometry'!$F$17*SIN(RADIANS(F111))),('Geometry'!$G$18*COS(RADIANS(F111))+'Geometry'!$F$18*SIN(RADIANS(F111))),('Geometry'!$G$19*COS(RADIANS(F111))+'Geometry'!$F$19*SIN(RADIANS(F111))),('Geometry'!$G$20*COS(RADIANS(F111))+'Geometry'!$F$20*SIN(RADIANS(F111))))</f>
        <v>1200.0000000000002</v>
      </c>
      <c r="L111" s="16">
        <f>C_ecu</f>
        <v>0.0033</v>
      </c>
      <c r="M111" s="16">
        <f>0</f>
        <v>0</v>
      </c>
      <c r="N111" s="22">
        <f>IF(ABS(I111-J111)&lt;0.000000000001,0,(L111-M111)/(I111-J111))</f>
        <v>9.166666666666664e-7</v>
      </c>
      <c r="O111" s="16">
        <f>L111-N111*I111</f>
        <v>0.00275</v>
      </c>
      <c r="P111" s="22">
        <f>N111*COS(RADIANS(F111))</f>
        <v>-9.166666666666664e-7</v>
      </c>
      <c r="Q111" s="22">
        <f>N111*SIN(RADIANS(F111))</f>
        <v>1.1225928992184068e-22</v>
      </c>
      <c r="R111" s="11">
        <f>AP111</f>
        <v>15240.060530616258</v>
      </c>
      <c r="S111" s="11">
        <f>AQ111</f>
        <v>-285.9474699323184</v>
      </c>
      <c r="T111" s="11">
        <f>AR111</f>
        <v>-0.0018100921237328626</v>
      </c>
      <c r="U111" s="11">
        <f>AS111</f>
        <v>2430.2850848669796</v>
      </c>
      <c r="V111" s="11">
        <f>AT111</f>
        <v>-93.44254178501635</v>
      </c>
      <c r="W111" s="11">
        <f>AU111</f>
        <v>2.2262399869322024e-14</v>
      </c>
      <c r="X111" s="11">
        <f>AM111</f>
        <v>17670.345615483235</v>
      </c>
      <c r="Y111" s="11">
        <f>AN111</f>
        <v>-379.39001171733474</v>
      </c>
      <c r="Z111" s="11">
        <f>AO111</f>
        <v>-0.0018100921237106003</v>
      </c>
      <c r="AA111" s="7">
        <v>1</v>
      </c>
      <c r="AB111" s="7">
        <v>1</v>
      </c>
      <c r="AC111" s="7">
        <v>1</v>
      </c>
      <c r="AD111" s="11">
        <f>X111*AA111</f>
        <v>17670.345615483235</v>
      </c>
      <c r="AE111" s="11">
        <f>Y111*AB111</f>
        <v>-379.39001171733474</v>
      </c>
      <c r="AF111" s="11">
        <f>Z111*AC111</f>
        <v>-0.0018100921237106003</v>
      </c>
      <c r="AG111" s="7">
        <v>17670.345615483235</v>
      </c>
      <c r="AH111" s="7">
        <v>-379.39001171733474</v>
      </c>
      <c r="AI111" s="7">
        <v>-0.0018100921237106003</v>
      </c>
      <c r="AJ111" s="16">
        <f>AD111-AG111</f>
        <v>0</v>
      </c>
      <c r="AK111" s="16">
        <f>SQRT((AE111-AH111)^2+(AF111-AI111)^2)</f>
        <v>0</v>
      </c>
      <c r="AL111" s="7" t="s">
        <v>190</v>
      </c>
      <c r="AM111" s="7">
        <v>17670.345615483235</v>
      </c>
      <c r="AN111" s="7">
        <v>-379.39001171733474</v>
      </c>
      <c r="AO111" s="7">
        <v>-0.0018100921237106003</v>
      </c>
      <c r="AP111" s="7">
        <v>15240.060530616258</v>
      </c>
      <c r="AQ111" s="7">
        <v>-285.9474699323184</v>
      </c>
      <c r="AR111" s="7">
        <v>-0.0018100921237328626</v>
      </c>
      <c r="AS111" s="7">
        <v>2430.2850848669796</v>
      </c>
      <c r="AT111" s="7">
        <v>-93.44254178501635</v>
      </c>
      <c r="AU111" s="7">
        <v>2.2262399869322024e-14</v>
      </c>
    </row>
    <row r="112" spans="1:47" x14ac:dyDescent="0.25">
      <c r="A112" s="7" t="s">
        <v>404</v>
      </c>
      <c r="B112" s="7">
        <v>2</v>
      </c>
      <c r="C112" s="19">
        <v>180</v>
      </c>
      <c r="D112" s="7" t="s">
        <v>405</v>
      </c>
      <c r="E112" s="7" t="s">
        <v>610</v>
      </c>
      <c r="F112" s="20">
        <v>180</v>
      </c>
      <c r="G112" s="7" t="s">
        <v>194</v>
      </c>
      <c r="H112" s="21">
        <v>2</v>
      </c>
      <c r="I112" s="11">
        <f>MAX(('Geometry'!$G$13*COS(RADIANS(F112))+'Geometry'!$F$13*SIN(RADIANS(F112))),('Geometry'!$G$14*COS(RADIANS(F112))+'Geometry'!$F$14*SIN(RADIANS(F112))),('Geometry'!$G$15*COS(RADIANS(F112))+'Geometry'!$F$15*SIN(RADIANS(F112))),('Geometry'!$G$16*COS(RADIANS(F112))+'Geometry'!$F$16*SIN(RADIANS(F112))),('Geometry'!$G$17*COS(RADIANS(F112))+'Geometry'!$F$17*SIN(RADIANS(F112))),('Geometry'!$G$18*COS(RADIANS(F112))+'Geometry'!$F$18*SIN(RADIANS(F112))),('Geometry'!$G$19*COS(RADIANS(F112))+'Geometry'!$F$19*SIN(RADIANS(F112))),('Geometry'!$G$20*COS(RADIANS(F112))+'Geometry'!$F$20*SIN(RADIANS(F112))))</f>
        <v>600.0000000000001</v>
      </c>
      <c r="J112" s="11">
        <f>I112-H112*K112</f>
        <v>-1800.0000000000002</v>
      </c>
      <c r="K112" s="11">
        <f>I112-MIN(('Geometry'!$G$13*COS(RADIANS(F112))+'Geometry'!$F$13*SIN(RADIANS(F112))),('Geometry'!$G$14*COS(RADIANS(F112))+'Geometry'!$F$14*SIN(RADIANS(F112))),('Geometry'!$G$15*COS(RADIANS(F112))+'Geometry'!$F$15*SIN(RADIANS(F112))),('Geometry'!$G$16*COS(RADIANS(F112))+'Geometry'!$F$16*SIN(RADIANS(F112))),('Geometry'!$G$17*COS(RADIANS(F112))+'Geometry'!$F$17*SIN(RADIANS(F112))),('Geometry'!$G$18*COS(RADIANS(F112))+'Geometry'!$F$18*SIN(RADIANS(F112))),('Geometry'!$G$19*COS(RADIANS(F112))+'Geometry'!$F$19*SIN(RADIANS(F112))),('Geometry'!$G$20*COS(RADIANS(F112))+'Geometry'!$F$20*SIN(RADIANS(F112))))</f>
        <v>1200.0000000000002</v>
      </c>
      <c r="L112" s="16">
        <f>C_ecu</f>
        <v>0.0033</v>
      </c>
      <c r="M112" s="16">
        <f>0</f>
        <v>0</v>
      </c>
      <c r="N112" s="22">
        <f>IF(ABS(I112-J112)&lt;0.000000000001,0,(L112-M112)/(I112-J112))</f>
        <v>0.0000013749999999999998</v>
      </c>
      <c r="O112" s="16">
        <f>L112-N112*I112</f>
        <v>0.0024749999999999998</v>
      </c>
      <c r="P112" s="22">
        <f>N112*COS(RADIANS(F112))</f>
        <v>-0.0000013749999999999998</v>
      </c>
      <c r="Q112" s="22">
        <f>N112*SIN(RADIANS(F112))</f>
        <v>1.6838893488276103e-22</v>
      </c>
      <c r="R112" s="11">
        <f>AP112</f>
        <v>15240.060530616258</v>
      </c>
      <c r="S112" s="11">
        <f>AQ112</f>
        <v>-571.8949398646369</v>
      </c>
      <c r="T112" s="11">
        <f>AR112</f>
        <v>-0.0036201842474657252</v>
      </c>
      <c r="U112" s="11">
        <f>AS112</f>
        <v>2430.2850848669796</v>
      </c>
      <c r="V112" s="11">
        <f>AT112</f>
        <v>-186.8850835700327</v>
      </c>
      <c r="W112" s="11">
        <f>AU112</f>
        <v>4.452479973864405e-14</v>
      </c>
      <c r="X112" s="11">
        <f>AM112</f>
        <v>17670.345615483235</v>
      </c>
      <c r="Y112" s="11">
        <f>AN112</f>
        <v>-758.7800234346695</v>
      </c>
      <c r="Z112" s="11">
        <f>AO112</f>
        <v>-0.0036201842474212005</v>
      </c>
      <c r="AA112" s="7">
        <v>1</v>
      </c>
      <c r="AB112" s="7">
        <v>1</v>
      </c>
      <c r="AC112" s="7">
        <v>1</v>
      </c>
      <c r="AD112" s="11">
        <f>X112*AA112</f>
        <v>17670.345615483235</v>
      </c>
      <c r="AE112" s="11">
        <f>Y112*AB112</f>
        <v>-758.7800234346695</v>
      </c>
      <c r="AF112" s="11">
        <f>Z112*AC112</f>
        <v>-0.0036201842474212005</v>
      </c>
      <c r="AG112" s="7">
        <v>17670.345615483235</v>
      </c>
      <c r="AH112" s="7">
        <v>-758.7800234346695</v>
      </c>
      <c r="AI112" s="7">
        <v>-0.0036201842474212005</v>
      </c>
      <c r="AJ112" s="16">
        <f>AD112-AG112</f>
        <v>0</v>
      </c>
      <c r="AK112" s="16">
        <f>SQRT((AE112-AH112)^2+(AF112-AI112)^2)</f>
        <v>0</v>
      </c>
      <c r="AL112" s="7" t="s">
        <v>190</v>
      </c>
      <c r="AM112" s="7">
        <v>17670.345615483235</v>
      </c>
      <c r="AN112" s="7">
        <v>-758.7800234346695</v>
      </c>
      <c r="AO112" s="7">
        <v>-0.0036201842474212005</v>
      </c>
      <c r="AP112" s="7">
        <v>15240.060530616258</v>
      </c>
      <c r="AQ112" s="7">
        <v>-571.8949398646369</v>
      </c>
      <c r="AR112" s="7">
        <v>-0.0036201842474657252</v>
      </c>
      <c r="AS112" s="7">
        <v>2430.2850848669796</v>
      </c>
      <c r="AT112" s="7">
        <v>-186.8850835700327</v>
      </c>
      <c r="AU112" s="7">
        <v>4.452479973864405e-14</v>
      </c>
    </row>
    <row r="113" spans="1:47" x14ac:dyDescent="0.25">
      <c r="A113" s="7" t="s">
        <v>406</v>
      </c>
      <c r="B113" s="7">
        <v>3</v>
      </c>
      <c r="C113" s="19">
        <v>180</v>
      </c>
      <c r="D113" s="7" t="s">
        <v>407</v>
      </c>
      <c r="E113" s="7" t="s">
        <v>611</v>
      </c>
      <c r="F113" s="20">
        <v>180</v>
      </c>
      <c r="G113" s="7" t="s">
        <v>194</v>
      </c>
      <c r="H113" s="21">
        <v>1.5</v>
      </c>
      <c r="I113" s="11">
        <f>MAX(('Geometry'!$G$13*COS(RADIANS(F113))+'Geometry'!$F$13*SIN(RADIANS(F113))),('Geometry'!$G$14*COS(RADIANS(F113))+'Geometry'!$F$14*SIN(RADIANS(F113))),('Geometry'!$G$15*COS(RADIANS(F113))+'Geometry'!$F$15*SIN(RADIANS(F113))),('Geometry'!$G$16*COS(RADIANS(F113))+'Geometry'!$F$16*SIN(RADIANS(F113))),('Geometry'!$G$17*COS(RADIANS(F113))+'Geometry'!$F$17*SIN(RADIANS(F113))),('Geometry'!$G$18*COS(RADIANS(F113))+'Geometry'!$F$18*SIN(RADIANS(F113))),('Geometry'!$G$19*COS(RADIANS(F113))+'Geometry'!$F$19*SIN(RADIANS(F113))),('Geometry'!$G$20*COS(RADIANS(F113))+'Geometry'!$F$20*SIN(RADIANS(F113))))</f>
        <v>600.0000000000001</v>
      </c>
      <c r="J113" s="11">
        <f>I113-H113*K113</f>
        <v>-1200.0000000000005</v>
      </c>
      <c r="K113" s="11">
        <f>I113-MIN(('Geometry'!$G$13*COS(RADIANS(F113))+'Geometry'!$F$13*SIN(RADIANS(F113))),('Geometry'!$G$14*COS(RADIANS(F113))+'Geometry'!$F$14*SIN(RADIANS(F113))),('Geometry'!$G$15*COS(RADIANS(F113))+'Geometry'!$F$15*SIN(RADIANS(F113))),('Geometry'!$G$16*COS(RADIANS(F113))+'Geometry'!$F$16*SIN(RADIANS(F113))),('Geometry'!$G$17*COS(RADIANS(F113))+'Geometry'!$F$17*SIN(RADIANS(F113))),('Geometry'!$G$18*COS(RADIANS(F113))+'Geometry'!$F$18*SIN(RADIANS(F113))),('Geometry'!$G$19*COS(RADIANS(F113))+'Geometry'!$F$19*SIN(RADIANS(F113))),('Geometry'!$G$20*COS(RADIANS(F113))+'Geometry'!$F$20*SIN(RADIANS(F113))))</f>
        <v>1200.0000000000002</v>
      </c>
      <c r="L113" s="16">
        <f>C_ecu</f>
        <v>0.0033</v>
      </c>
      <c r="M113" s="16">
        <f>0</f>
        <v>0</v>
      </c>
      <c r="N113" s="22">
        <f>IF(ABS(I113-J113)&lt;0.000000000001,0,(L113-M113)/(I113-J113))</f>
        <v>0.0000018333333333333329</v>
      </c>
      <c r="O113" s="16">
        <f>L113-N113*I113</f>
        <v>0.0022</v>
      </c>
      <c r="P113" s="22">
        <f>N113*COS(RADIANS(F113))</f>
        <v>-0.0000018333333333333329</v>
      </c>
      <c r="Q113" s="22">
        <f>N113*SIN(RADIANS(F113))</f>
        <v>2.2451857984368136e-22</v>
      </c>
      <c r="R113" s="11">
        <f>AP113</f>
        <v>15240.060530616258</v>
      </c>
      <c r="S113" s="11">
        <f>AQ113</f>
        <v>-857.8424097969553</v>
      </c>
      <c r="T113" s="11">
        <f>AR113</f>
        <v>-0.005430276371198588</v>
      </c>
      <c r="U113" s="11">
        <f>AS113</f>
        <v>2430.2850848669796</v>
      </c>
      <c r="V113" s="11">
        <f>AT113</f>
        <v>-280.327625355049</v>
      </c>
      <c r="W113" s="11">
        <f>AU113</f>
        <v>6.678719960796607e-14</v>
      </c>
      <c r="X113" s="11">
        <f>AM113</f>
        <v>17670.345615483235</v>
      </c>
      <c r="Y113" s="11">
        <f>AN113</f>
        <v>-1138.1700351520042</v>
      </c>
      <c r="Z113" s="11">
        <f>AO113</f>
        <v>-0.0054302763711318</v>
      </c>
      <c r="AA113" s="7">
        <v>1</v>
      </c>
      <c r="AB113" s="7">
        <v>1</v>
      </c>
      <c r="AC113" s="7">
        <v>1</v>
      </c>
      <c r="AD113" s="11">
        <f>X113*AA113</f>
        <v>17670.345615483235</v>
      </c>
      <c r="AE113" s="11">
        <f>Y113*AB113</f>
        <v>-1138.1700351520042</v>
      </c>
      <c r="AF113" s="11">
        <f>Z113*AC113</f>
        <v>-0.0054302763711318</v>
      </c>
      <c r="AG113" s="7">
        <v>17670.345615483235</v>
      </c>
      <c r="AH113" s="7">
        <v>-1138.1700351520042</v>
      </c>
      <c r="AI113" s="7">
        <v>-0.0054302763711318</v>
      </c>
      <c r="AJ113" s="16">
        <f>AD113-AG113</f>
        <v>0</v>
      </c>
      <c r="AK113" s="16">
        <f>SQRT((AE113-AH113)^2+(AF113-AI113)^2)</f>
        <v>0</v>
      </c>
      <c r="AL113" s="7" t="s">
        <v>190</v>
      </c>
      <c r="AM113" s="7">
        <v>17670.345615483235</v>
      </c>
      <c r="AN113" s="7">
        <v>-1138.1700351520042</v>
      </c>
      <c r="AO113" s="7">
        <v>-0.0054302763711318</v>
      </c>
      <c r="AP113" s="7">
        <v>15240.060530616258</v>
      </c>
      <c r="AQ113" s="7">
        <v>-857.8424097969553</v>
      </c>
      <c r="AR113" s="7">
        <v>-0.005430276371198588</v>
      </c>
      <c r="AS113" s="7">
        <v>2430.2850848669796</v>
      </c>
      <c r="AT113" s="7">
        <v>-280.327625355049</v>
      </c>
      <c r="AU113" s="7">
        <v>6.678719960796607e-14</v>
      </c>
    </row>
    <row r="114" spans="1:47" x14ac:dyDescent="0.25">
      <c r="A114" s="7" t="s">
        <v>408</v>
      </c>
      <c r="B114" s="7">
        <v>4</v>
      </c>
      <c r="C114" s="19">
        <v>180</v>
      </c>
      <c r="D114" s="7" t="s">
        <v>409</v>
      </c>
      <c r="E114" s="7" t="s">
        <v>612</v>
      </c>
      <c r="F114" s="20">
        <v>180</v>
      </c>
      <c r="G114" s="7" t="s">
        <v>194</v>
      </c>
      <c r="H114" s="21">
        <v>1.2000000000000002</v>
      </c>
      <c r="I114" s="11">
        <f>MAX(('Geometry'!$G$13*COS(RADIANS(F114))+'Geometry'!$F$13*SIN(RADIANS(F114))),('Geometry'!$G$14*COS(RADIANS(F114))+'Geometry'!$F$14*SIN(RADIANS(F114))),('Geometry'!$G$15*COS(RADIANS(F114))+'Geometry'!$F$15*SIN(RADIANS(F114))),('Geometry'!$G$16*COS(RADIANS(F114))+'Geometry'!$F$16*SIN(RADIANS(F114))),('Geometry'!$G$17*COS(RADIANS(F114))+'Geometry'!$F$17*SIN(RADIANS(F114))),('Geometry'!$G$18*COS(RADIANS(F114))+'Geometry'!$F$18*SIN(RADIANS(F114))),('Geometry'!$G$19*COS(RADIANS(F114))+'Geometry'!$F$19*SIN(RADIANS(F114))),('Geometry'!$G$20*COS(RADIANS(F114))+'Geometry'!$F$20*SIN(RADIANS(F114))))</f>
        <v>600.0000000000001</v>
      </c>
      <c r="J114" s="11">
        <f>I114-H114*K114</f>
        <v>-840.0000000000002</v>
      </c>
      <c r="K114" s="11">
        <f>I114-MIN(('Geometry'!$G$13*COS(RADIANS(F114))+'Geometry'!$F$13*SIN(RADIANS(F114))),('Geometry'!$G$14*COS(RADIANS(F114))+'Geometry'!$F$14*SIN(RADIANS(F114))),('Geometry'!$G$15*COS(RADIANS(F114))+'Geometry'!$F$15*SIN(RADIANS(F114))),('Geometry'!$G$16*COS(RADIANS(F114))+'Geometry'!$F$16*SIN(RADIANS(F114))),('Geometry'!$G$17*COS(RADIANS(F114))+'Geometry'!$F$17*SIN(RADIANS(F114))),('Geometry'!$G$18*COS(RADIANS(F114))+'Geometry'!$F$18*SIN(RADIANS(F114))),('Geometry'!$G$19*COS(RADIANS(F114))+'Geometry'!$F$19*SIN(RADIANS(F114))),('Geometry'!$G$20*COS(RADIANS(F114))+'Geometry'!$F$20*SIN(RADIANS(F114))))</f>
        <v>1200.0000000000002</v>
      </c>
      <c r="L114" s="16">
        <f>C_ecu</f>
        <v>0.0033</v>
      </c>
      <c r="M114" s="16">
        <f>0</f>
        <v>0</v>
      </c>
      <c r="N114" s="22">
        <f>IF(ABS(I114-J114)&lt;0.000000000001,0,(L114-M114)/(I114-J114))</f>
        <v>0.000002291666666666666</v>
      </c>
      <c r="O114" s="16">
        <f>L114-N114*I114</f>
        <v>0.001925</v>
      </c>
      <c r="P114" s="22">
        <f>N114*COS(RADIANS(F114))</f>
        <v>-0.000002291666666666666</v>
      </c>
      <c r="Q114" s="22">
        <f>N114*SIN(RADIANS(F114))</f>
        <v>2.806482248046017e-22</v>
      </c>
      <c r="R114" s="11">
        <f>AP114</f>
        <v>15240.060530616258</v>
      </c>
      <c r="S114" s="11">
        <f>AQ114</f>
        <v>-1143.7898797292737</v>
      </c>
      <c r="T114" s="11">
        <f>AR114</f>
        <v>-0.0072403684949314505</v>
      </c>
      <c r="U114" s="11">
        <f>AS114</f>
        <v>2430.2850848669796</v>
      </c>
      <c r="V114" s="11">
        <f>AT114</f>
        <v>-373.7701671400654</v>
      </c>
      <c r="W114" s="11">
        <f>AU114</f>
        <v>8.90495994772881e-14</v>
      </c>
      <c r="X114" s="11">
        <f>AM114</f>
        <v>17670.345615483235</v>
      </c>
      <c r="Y114" s="11">
        <f>AN114</f>
        <v>-1517.560046869339</v>
      </c>
      <c r="Z114" s="11">
        <f>AO114</f>
        <v>-0.007240368494842401</v>
      </c>
      <c r="AA114" s="7">
        <v>1</v>
      </c>
      <c r="AB114" s="7">
        <v>1</v>
      </c>
      <c r="AC114" s="7">
        <v>1</v>
      </c>
      <c r="AD114" s="11">
        <f>X114*AA114</f>
        <v>17670.345615483235</v>
      </c>
      <c r="AE114" s="11">
        <f>Y114*AB114</f>
        <v>-1517.560046869339</v>
      </c>
      <c r="AF114" s="11">
        <f>Z114*AC114</f>
        <v>-0.007240368494842401</v>
      </c>
      <c r="AG114" s="7">
        <v>17670.345615483235</v>
      </c>
      <c r="AH114" s="7">
        <v>-1517.560046869339</v>
      </c>
      <c r="AI114" s="7">
        <v>-0.007240368494842401</v>
      </c>
      <c r="AJ114" s="16">
        <f>AD114-AG114</f>
        <v>0</v>
      </c>
      <c r="AK114" s="16">
        <f>SQRT((AE114-AH114)^2+(AF114-AI114)^2)</f>
        <v>0</v>
      </c>
      <c r="AL114" s="7" t="s">
        <v>190</v>
      </c>
      <c r="AM114" s="7">
        <v>17670.345615483235</v>
      </c>
      <c r="AN114" s="7">
        <v>-1517.560046869339</v>
      </c>
      <c r="AO114" s="7">
        <v>-0.007240368494842401</v>
      </c>
      <c r="AP114" s="7">
        <v>15240.060530616258</v>
      </c>
      <c r="AQ114" s="7">
        <v>-1143.7898797292737</v>
      </c>
      <c r="AR114" s="7">
        <v>-0.0072403684949314505</v>
      </c>
      <c r="AS114" s="7">
        <v>2430.2850848669796</v>
      </c>
      <c r="AT114" s="7">
        <v>-373.7701671400654</v>
      </c>
      <c r="AU114" s="7">
        <v>8.90495994772881e-14</v>
      </c>
    </row>
    <row r="115" spans="1:47" x14ac:dyDescent="0.25">
      <c r="A115" s="7" t="s">
        <v>410</v>
      </c>
      <c r="B115" s="7">
        <v>5</v>
      </c>
      <c r="C115" s="19">
        <v>180</v>
      </c>
      <c r="D115" s="7" t="s">
        <v>411</v>
      </c>
      <c r="E115" s="7" t="s">
        <v>613</v>
      </c>
      <c r="F115" s="20">
        <v>180</v>
      </c>
      <c r="G115" s="7" t="s">
        <v>194</v>
      </c>
      <c r="H115" s="21">
        <v>1.1</v>
      </c>
      <c r="I115" s="11">
        <f>MAX(('Geometry'!$G$13*COS(RADIANS(F115))+'Geometry'!$F$13*SIN(RADIANS(F115))),('Geometry'!$G$14*COS(RADIANS(F115))+'Geometry'!$F$14*SIN(RADIANS(F115))),('Geometry'!$G$15*COS(RADIANS(F115))+'Geometry'!$F$15*SIN(RADIANS(F115))),('Geometry'!$G$16*COS(RADIANS(F115))+'Geometry'!$F$16*SIN(RADIANS(F115))),('Geometry'!$G$17*COS(RADIANS(F115))+'Geometry'!$F$17*SIN(RADIANS(F115))),('Geometry'!$G$18*COS(RADIANS(F115))+'Geometry'!$F$18*SIN(RADIANS(F115))),('Geometry'!$G$19*COS(RADIANS(F115))+'Geometry'!$F$19*SIN(RADIANS(F115))),('Geometry'!$G$20*COS(RADIANS(F115))+'Geometry'!$F$20*SIN(RADIANS(F115))))</f>
        <v>600.0000000000001</v>
      </c>
      <c r="J115" s="11">
        <f>I115-H115*K115</f>
        <v>-720.0000000000005</v>
      </c>
      <c r="K115" s="11">
        <f>I115-MIN(('Geometry'!$G$13*COS(RADIANS(F115))+'Geometry'!$F$13*SIN(RADIANS(F115))),('Geometry'!$G$14*COS(RADIANS(F115))+'Geometry'!$F$14*SIN(RADIANS(F115))),('Geometry'!$G$15*COS(RADIANS(F115))+'Geometry'!$F$15*SIN(RADIANS(F115))),('Geometry'!$G$16*COS(RADIANS(F115))+'Geometry'!$F$16*SIN(RADIANS(F115))),('Geometry'!$G$17*COS(RADIANS(F115))+'Geometry'!$F$17*SIN(RADIANS(F115))),('Geometry'!$G$18*COS(RADIANS(F115))+'Geometry'!$F$18*SIN(RADIANS(F115))),('Geometry'!$G$19*COS(RADIANS(F115))+'Geometry'!$F$19*SIN(RADIANS(F115))),('Geometry'!$G$20*COS(RADIANS(F115))+'Geometry'!$F$20*SIN(RADIANS(F115))))</f>
        <v>1200.0000000000002</v>
      </c>
      <c r="L115" s="16">
        <f>C_ecu</f>
        <v>0.0033</v>
      </c>
      <c r="M115" s="16">
        <f>0</f>
        <v>0</v>
      </c>
      <c r="N115" s="22">
        <f>IF(ABS(I115-J115)&lt;0.000000000001,0,(L115-M115)/(I115-J115))</f>
        <v>0.000002499999999999999</v>
      </c>
      <c r="O115" s="16">
        <f>L115-N115*I115</f>
        <v>0.0018000000000000004</v>
      </c>
      <c r="P115" s="22">
        <f>N115*COS(RADIANS(F115))</f>
        <v>-0.000002499999999999999</v>
      </c>
      <c r="Q115" s="22">
        <f>N115*SIN(RADIANS(F115))</f>
        <v>3.0616169978683817e-22</v>
      </c>
      <c r="R115" s="11">
        <f>AP115</f>
        <v>15240.060530616258</v>
      </c>
      <c r="S115" s="11">
        <f>AQ115</f>
        <v>-1429.7373496615921</v>
      </c>
      <c r="T115" s="11">
        <f>AR115</f>
        <v>-0.009050460618664312</v>
      </c>
      <c r="U115" s="11">
        <f>AS115</f>
        <v>2430.2850848669796</v>
      </c>
      <c r="V115" s="11">
        <f>AT115</f>
        <v>-467.21270892508176</v>
      </c>
      <c r="W115" s="11">
        <f>AU115</f>
        <v>1.1131199934661012e-13</v>
      </c>
      <c r="X115" s="11">
        <f>AM115</f>
        <v>17670.345615483235</v>
      </c>
      <c r="Y115" s="11">
        <f>AN115</f>
        <v>-1896.9500585866738</v>
      </c>
      <c r="Z115" s="11">
        <f>AO115</f>
        <v>-0.009050460618553</v>
      </c>
      <c r="AA115" s="7">
        <v>1</v>
      </c>
      <c r="AB115" s="7">
        <v>1</v>
      </c>
      <c r="AC115" s="7">
        <v>1</v>
      </c>
      <c r="AD115" s="11">
        <f>X115*AA115</f>
        <v>17670.345615483235</v>
      </c>
      <c r="AE115" s="11">
        <f>Y115*AB115</f>
        <v>-1896.9500585866738</v>
      </c>
      <c r="AF115" s="11">
        <f>Z115*AC115</f>
        <v>-0.009050460618553</v>
      </c>
      <c r="AG115" s="7">
        <v>17670.345615483235</v>
      </c>
      <c r="AH115" s="7">
        <v>-1896.9500585866738</v>
      </c>
      <c r="AI115" s="7">
        <v>-0.009050460618553</v>
      </c>
      <c r="AJ115" s="16">
        <f>AD115-AG115</f>
        <v>0</v>
      </c>
      <c r="AK115" s="16">
        <f>SQRT((AE115-AH115)^2+(AF115-AI115)^2)</f>
        <v>0</v>
      </c>
      <c r="AL115" s="7" t="s">
        <v>190</v>
      </c>
      <c r="AM115" s="7">
        <v>17670.345615483235</v>
      </c>
      <c r="AN115" s="7">
        <v>-1896.9500585866738</v>
      </c>
      <c r="AO115" s="7">
        <v>-0.009050460618553</v>
      </c>
      <c r="AP115" s="7">
        <v>15240.060530616258</v>
      </c>
      <c r="AQ115" s="7">
        <v>-1429.7373496615921</v>
      </c>
      <c r="AR115" s="7">
        <v>-0.009050460618664312</v>
      </c>
      <c r="AS115" s="7">
        <v>2430.2850848669796</v>
      </c>
      <c r="AT115" s="7">
        <v>-467.21270892508176</v>
      </c>
      <c r="AU115" s="7">
        <v>1.1131199934661012e-13</v>
      </c>
    </row>
    <row r="116" spans="1:47" x14ac:dyDescent="0.25">
      <c r="A116" s="7" t="s">
        <v>412</v>
      </c>
      <c r="B116" s="7">
        <v>1</v>
      </c>
      <c r="C116" s="19">
        <v>190</v>
      </c>
      <c r="D116" s="7" t="s">
        <v>413</v>
      </c>
      <c r="E116" s="7" t="s">
        <v>609</v>
      </c>
      <c r="F116" s="20">
        <v>190</v>
      </c>
      <c r="G116" s="7" t="s">
        <v>194</v>
      </c>
      <c r="H116" s="21">
        <v>2.9999999999999996</v>
      </c>
      <c r="I116" s="11">
        <f>MAX(('Geometry'!$G$13*COS(RADIANS(F116))+'Geometry'!$F$13*SIN(RADIANS(F116))),('Geometry'!$G$14*COS(RADIANS(F116))+'Geometry'!$F$14*SIN(RADIANS(F116))),('Geometry'!$G$15*COS(RADIANS(F116))+'Geometry'!$F$15*SIN(RADIANS(F116))),('Geometry'!$G$16*COS(RADIANS(F116))+'Geometry'!$F$16*SIN(RADIANS(F116))),('Geometry'!$G$17*COS(RADIANS(F116))+'Geometry'!$F$17*SIN(RADIANS(F116))),('Geometry'!$G$18*COS(RADIANS(F116))+'Geometry'!$F$18*SIN(RADIANS(F116))),('Geometry'!$G$19*COS(RADIANS(F116))+'Geometry'!$F$19*SIN(RADIANS(F116))),('Geometry'!$G$20*COS(RADIANS(F116))+'Geometry'!$F$20*SIN(RADIANS(F116))))</f>
        <v>686.3911495241365</v>
      </c>
      <c r="J116" s="11">
        <f>I116-H116*K116</f>
        <v>-3431.955747620682</v>
      </c>
      <c r="K116" s="11">
        <f>I116-MIN(('Geometry'!$G$13*COS(RADIANS(F116))+'Geometry'!$F$13*SIN(RADIANS(F116))),('Geometry'!$G$14*COS(RADIANS(F116))+'Geometry'!$F$14*SIN(RADIANS(F116))),('Geometry'!$G$15*COS(RADIANS(F116))+'Geometry'!$F$15*SIN(RADIANS(F116))),('Geometry'!$G$16*COS(RADIANS(F116))+'Geometry'!$F$16*SIN(RADIANS(F116))),('Geometry'!$G$17*COS(RADIANS(F116))+'Geometry'!$F$17*SIN(RADIANS(F116))),('Geometry'!$G$18*COS(RADIANS(F116))+'Geometry'!$F$18*SIN(RADIANS(F116))),('Geometry'!$G$19*COS(RADIANS(F116))+'Geometry'!$F$19*SIN(RADIANS(F116))),('Geometry'!$G$20*COS(RADIANS(F116))+'Geometry'!$F$20*SIN(RADIANS(F116))))</f>
        <v>1372.782299048273</v>
      </c>
      <c r="L116" s="16">
        <f>C_ecu</f>
        <v>0.0033</v>
      </c>
      <c r="M116" s="16">
        <f>0</f>
        <v>0</v>
      </c>
      <c r="N116" s="22">
        <f>IF(ABS(I116-J116)&lt;0.000000000001,0,(L116-M116)/(I116-J116))</f>
        <v>8.012923831860389e-7</v>
      </c>
      <c r="O116" s="16">
        <f>L116-N116*I116</f>
        <v>0.00275</v>
      </c>
      <c r="P116" s="22">
        <f>N116*COS(RADIANS(F116))</f>
        <v>-7.891189513912402e-7</v>
      </c>
      <c r="Q116" s="22">
        <f>N116*SIN(RADIANS(F116))</f>
        <v>-1.3914296211864707e-7</v>
      </c>
      <c r="R116" s="11">
        <f>AP116</f>
        <v>15258.27131801776</v>
      </c>
      <c r="S116" s="11">
        <f>AQ116</f>
        <v>-251.17936598849485</v>
      </c>
      <c r="T116" s="11">
        <f>AR116</f>
        <v>-67.96904479633149</v>
      </c>
      <c r="U116" s="11">
        <f>AS116</f>
        <v>2412.074297465473</v>
      </c>
      <c r="V116" s="11">
        <f>AT116</f>
        <v>-82.35856180427703</v>
      </c>
      <c r="W116" s="11">
        <f>AU116</f>
        <v>-20.10144369622339</v>
      </c>
      <c r="X116" s="11">
        <f>AM116</f>
        <v>17670.345615483235</v>
      </c>
      <c r="Y116" s="11">
        <f>AN116</f>
        <v>-333.5379277927719</v>
      </c>
      <c r="Z116" s="11">
        <f>AO116</f>
        <v>-88.0704884925549</v>
      </c>
      <c r="AA116" s="7">
        <v>1</v>
      </c>
      <c r="AB116" s="7">
        <v>1</v>
      </c>
      <c r="AC116" s="7">
        <v>1</v>
      </c>
      <c r="AD116" s="11">
        <f>X116*AA116</f>
        <v>17670.345615483235</v>
      </c>
      <c r="AE116" s="11">
        <f>Y116*AB116</f>
        <v>-333.5379277927719</v>
      </c>
      <c r="AF116" s="11">
        <f>Z116*AC116</f>
        <v>-88.0704884925549</v>
      </c>
      <c r="AG116" s="7">
        <v>17670.345615483235</v>
      </c>
      <c r="AH116" s="7">
        <v>-333.5379277927719</v>
      </c>
      <c r="AI116" s="7">
        <v>-88.0704884925549</v>
      </c>
      <c r="AJ116" s="16">
        <f>AD116-AG116</f>
        <v>0</v>
      </c>
      <c r="AK116" s="16">
        <f>SQRT((AE116-AH116)^2+(AF116-AI116)^2)</f>
        <v>0</v>
      </c>
      <c r="AL116" s="7" t="s">
        <v>190</v>
      </c>
      <c r="AM116" s="7">
        <v>17670.345615483235</v>
      </c>
      <c r="AN116" s="7">
        <v>-333.5379277927719</v>
      </c>
      <c r="AO116" s="7">
        <v>-88.0704884925549</v>
      </c>
      <c r="AP116" s="7">
        <v>15258.27131801776</v>
      </c>
      <c r="AQ116" s="7">
        <v>-251.17936598849485</v>
      </c>
      <c r="AR116" s="7">
        <v>-67.96904479633149</v>
      </c>
      <c r="AS116" s="7">
        <v>2412.074297465473</v>
      </c>
      <c r="AT116" s="7">
        <v>-82.35856180427703</v>
      </c>
      <c r="AU116" s="7">
        <v>-20.10144369622339</v>
      </c>
    </row>
    <row r="117" spans="1:47" x14ac:dyDescent="0.25">
      <c r="A117" s="7" t="s">
        <v>414</v>
      </c>
      <c r="B117" s="7">
        <v>2</v>
      </c>
      <c r="C117" s="19">
        <v>190</v>
      </c>
      <c r="D117" s="7" t="s">
        <v>415</v>
      </c>
      <c r="E117" s="7" t="s">
        <v>610</v>
      </c>
      <c r="F117" s="20">
        <v>189.99999999999997</v>
      </c>
      <c r="G117" s="7" t="s">
        <v>194</v>
      </c>
      <c r="H117" s="21">
        <v>2</v>
      </c>
      <c r="I117" s="11">
        <f>MAX(('Geometry'!$G$13*COS(RADIANS(F117))+'Geometry'!$F$13*SIN(RADIANS(F117))),('Geometry'!$G$14*COS(RADIANS(F117))+'Geometry'!$F$14*SIN(RADIANS(F117))),('Geometry'!$G$15*COS(RADIANS(F117))+'Geometry'!$F$15*SIN(RADIANS(F117))),('Geometry'!$G$16*COS(RADIANS(F117))+'Geometry'!$F$16*SIN(RADIANS(F117))),('Geometry'!$G$17*COS(RADIANS(F117))+'Geometry'!$F$17*SIN(RADIANS(F117))),('Geometry'!$G$18*COS(RADIANS(F117))+'Geometry'!$F$18*SIN(RADIANS(F117))),('Geometry'!$G$19*COS(RADIANS(F117))+'Geometry'!$F$19*SIN(RADIANS(F117))),('Geometry'!$G$20*COS(RADIANS(F117))+'Geometry'!$F$20*SIN(RADIANS(F117))))</f>
        <v>686.3911495241363</v>
      </c>
      <c r="J117" s="11">
        <f>I117-H117*K117</f>
        <v>-2059.1734485724087</v>
      </c>
      <c r="K117" s="11">
        <f>I117-MIN(('Geometry'!$G$13*COS(RADIANS(F117))+'Geometry'!$F$13*SIN(RADIANS(F117))),('Geometry'!$G$14*COS(RADIANS(F117))+'Geometry'!$F$14*SIN(RADIANS(F117))),('Geometry'!$G$15*COS(RADIANS(F117))+'Geometry'!$F$15*SIN(RADIANS(F117))),('Geometry'!$G$16*COS(RADIANS(F117))+'Geometry'!$F$16*SIN(RADIANS(F117))),('Geometry'!$G$17*COS(RADIANS(F117))+'Geometry'!$F$17*SIN(RADIANS(F117))),('Geometry'!$G$18*COS(RADIANS(F117))+'Geometry'!$F$18*SIN(RADIANS(F117))),('Geometry'!$G$19*COS(RADIANS(F117))+'Geometry'!$F$19*SIN(RADIANS(F117))),('Geometry'!$G$20*COS(RADIANS(F117))+'Geometry'!$F$20*SIN(RADIANS(F117))))</f>
        <v>1372.7822990482725</v>
      </c>
      <c r="L117" s="16">
        <f>C_ecu</f>
        <v>0.0032999999999999995</v>
      </c>
      <c r="M117" s="16">
        <f>0</f>
        <v>0</v>
      </c>
      <c r="N117" s="22">
        <f>IF(ABS(I117-J117)&lt;0.000000000001,0,(L117-M117)/(I117-J117))</f>
        <v>0.0000012019385747790584</v>
      </c>
      <c r="O117" s="16">
        <f>L117-N117*I117</f>
        <v>0.0024749999999999998</v>
      </c>
      <c r="P117" s="22">
        <f>N117*COS(RADIANS(F117))</f>
        <v>-0.0000011836784270868605</v>
      </c>
      <c r="Q117" s="22">
        <f>N117*SIN(RADIANS(F117))</f>
        <v>-2.0871444317797059e-7</v>
      </c>
      <c r="R117" s="11">
        <f>AP117</f>
        <v>15258.27131801776</v>
      </c>
      <c r="S117" s="11">
        <f>AQ117</f>
        <v>-502.3587319769897</v>
      </c>
      <c r="T117" s="11">
        <f>AR117</f>
        <v>-135.93808959266298</v>
      </c>
      <c r="U117" s="11">
        <f>AS117</f>
        <v>2412.074297465473</v>
      </c>
      <c r="V117" s="11">
        <f>AT117</f>
        <v>-164.71712360855406</v>
      </c>
      <c r="W117" s="11">
        <f>AU117</f>
        <v>-40.20288739244678</v>
      </c>
      <c r="X117" s="11">
        <f>AM117</f>
        <v>17670.345615483235</v>
      </c>
      <c r="Y117" s="11">
        <f>AN117</f>
        <v>-667.0758555855438</v>
      </c>
      <c r="Z117" s="11">
        <f>AO117</f>
        <v>-176.1409769851098</v>
      </c>
      <c r="AA117" s="7">
        <v>1</v>
      </c>
      <c r="AB117" s="7">
        <v>1</v>
      </c>
      <c r="AC117" s="7">
        <v>1</v>
      </c>
      <c r="AD117" s="11">
        <f>X117*AA117</f>
        <v>17670.345615483235</v>
      </c>
      <c r="AE117" s="11">
        <f>Y117*AB117</f>
        <v>-667.0758555855438</v>
      </c>
      <c r="AF117" s="11">
        <f>Z117*AC117</f>
        <v>-176.1409769851098</v>
      </c>
      <c r="AG117" s="7">
        <v>17670.345615483235</v>
      </c>
      <c r="AH117" s="7">
        <v>-667.0758555855438</v>
      </c>
      <c r="AI117" s="7">
        <v>-176.1409769851098</v>
      </c>
      <c r="AJ117" s="16">
        <f>AD117-AG117</f>
        <v>0</v>
      </c>
      <c r="AK117" s="16">
        <f>SQRT((AE117-AH117)^2+(AF117-AI117)^2)</f>
        <v>0</v>
      </c>
      <c r="AL117" s="7" t="s">
        <v>190</v>
      </c>
      <c r="AM117" s="7">
        <v>17670.345615483235</v>
      </c>
      <c r="AN117" s="7">
        <v>-667.0758555855438</v>
      </c>
      <c r="AO117" s="7">
        <v>-176.1409769851098</v>
      </c>
      <c r="AP117" s="7">
        <v>15258.27131801776</v>
      </c>
      <c r="AQ117" s="7">
        <v>-502.3587319769897</v>
      </c>
      <c r="AR117" s="7">
        <v>-135.93808959266298</v>
      </c>
      <c r="AS117" s="7">
        <v>2412.074297465473</v>
      </c>
      <c r="AT117" s="7">
        <v>-164.71712360855406</v>
      </c>
      <c r="AU117" s="7">
        <v>-40.20288739244678</v>
      </c>
    </row>
    <row r="118" spans="1:47" x14ac:dyDescent="0.25">
      <c r="A118" s="7" t="s">
        <v>416</v>
      </c>
      <c r="B118" s="7">
        <v>3</v>
      </c>
      <c r="C118" s="19">
        <v>190</v>
      </c>
      <c r="D118" s="7" t="s">
        <v>417</v>
      </c>
      <c r="E118" s="7" t="s">
        <v>611</v>
      </c>
      <c r="F118" s="20">
        <v>190</v>
      </c>
      <c r="G118" s="7" t="s">
        <v>194</v>
      </c>
      <c r="H118" s="21">
        <v>1.4999999999999998</v>
      </c>
      <c r="I118" s="11">
        <f>MAX(('Geometry'!$G$13*COS(RADIANS(F118))+'Geometry'!$F$13*SIN(RADIANS(F118))),('Geometry'!$G$14*COS(RADIANS(F118))+'Geometry'!$F$14*SIN(RADIANS(F118))),('Geometry'!$G$15*COS(RADIANS(F118))+'Geometry'!$F$15*SIN(RADIANS(F118))),('Geometry'!$G$16*COS(RADIANS(F118))+'Geometry'!$F$16*SIN(RADIANS(F118))),('Geometry'!$G$17*COS(RADIANS(F118))+'Geometry'!$F$17*SIN(RADIANS(F118))),('Geometry'!$G$18*COS(RADIANS(F118))+'Geometry'!$F$18*SIN(RADIANS(F118))),('Geometry'!$G$19*COS(RADIANS(F118))+'Geometry'!$F$19*SIN(RADIANS(F118))),('Geometry'!$G$20*COS(RADIANS(F118))+'Geometry'!$F$20*SIN(RADIANS(F118))))</f>
        <v>686.3911495241365</v>
      </c>
      <c r="J118" s="11">
        <f>I118-H118*K118</f>
        <v>-1372.7822990482725</v>
      </c>
      <c r="K118" s="11">
        <f>I118-MIN(('Geometry'!$G$13*COS(RADIANS(F118))+'Geometry'!$F$13*SIN(RADIANS(F118))),('Geometry'!$G$14*COS(RADIANS(F118))+'Geometry'!$F$14*SIN(RADIANS(F118))),('Geometry'!$G$15*COS(RADIANS(F118))+'Geometry'!$F$15*SIN(RADIANS(F118))),('Geometry'!$G$16*COS(RADIANS(F118))+'Geometry'!$F$16*SIN(RADIANS(F118))),('Geometry'!$G$17*COS(RADIANS(F118))+'Geometry'!$F$17*SIN(RADIANS(F118))),('Geometry'!$G$18*COS(RADIANS(F118))+'Geometry'!$F$18*SIN(RADIANS(F118))),('Geometry'!$G$19*COS(RADIANS(F118))+'Geometry'!$F$19*SIN(RADIANS(F118))),('Geometry'!$G$20*COS(RADIANS(F118))+'Geometry'!$F$20*SIN(RADIANS(F118))))</f>
        <v>1372.782299048273</v>
      </c>
      <c r="L118" s="16">
        <f>C_ecu</f>
        <v>0.0033</v>
      </c>
      <c r="M118" s="16">
        <f>0</f>
        <v>0</v>
      </c>
      <c r="N118" s="22">
        <f>IF(ABS(I118-J118)&lt;0.000000000001,0,(L118-M118)/(I118-J118))</f>
        <v>0.0000016025847663720778</v>
      </c>
      <c r="O118" s="16">
        <f>L118-N118*I118</f>
        <v>0.0021999999999999997</v>
      </c>
      <c r="P118" s="22">
        <f>N118*COS(RADIANS(F118))</f>
        <v>-0.0000015782379027824804</v>
      </c>
      <c r="Q118" s="22">
        <f>N118*SIN(RADIANS(F118))</f>
        <v>-2.7828592423729413e-7</v>
      </c>
      <c r="R118" s="11">
        <f>AP118</f>
        <v>15258.27131801776</v>
      </c>
      <c r="S118" s="11">
        <f>AQ118</f>
        <v>-753.5380979654846</v>
      </c>
      <c r="T118" s="11">
        <f>AR118</f>
        <v>-203.90713438899448</v>
      </c>
      <c r="U118" s="11">
        <f>AS118</f>
        <v>2412.074297465473</v>
      </c>
      <c r="V118" s="11">
        <f>AT118</f>
        <v>-247.07568541283106</v>
      </c>
      <c r="W118" s="11">
        <f>AU118</f>
        <v>-60.30433108867018</v>
      </c>
      <c r="X118" s="11">
        <f>AM118</f>
        <v>17670.345615483235</v>
      </c>
      <c r="Y118" s="11">
        <f>AN118</f>
        <v>-1000.6137833783156</v>
      </c>
      <c r="Z118" s="11">
        <f>AO118</f>
        <v>-264.2114654776647</v>
      </c>
      <c r="AA118" s="7">
        <v>1</v>
      </c>
      <c r="AB118" s="7">
        <v>1</v>
      </c>
      <c r="AC118" s="7">
        <v>1</v>
      </c>
      <c r="AD118" s="11">
        <f>X118*AA118</f>
        <v>17670.345615483235</v>
      </c>
      <c r="AE118" s="11">
        <f>Y118*AB118</f>
        <v>-1000.6137833783156</v>
      </c>
      <c r="AF118" s="11">
        <f>Z118*AC118</f>
        <v>-264.2114654776647</v>
      </c>
      <c r="AG118" s="7">
        <v>17670.345615483235</v>
      </c>
      <c r="AH118" s="7">
        <v>-1000.6137833783156</v>
      </c>
      <c r="AI118" s="7">
        <v>-264.2114654776647</v>
      </c>
      <c r="AJ118" s="16">
        <f>AD118-AG118</f>
        <v>0</v>
      </c>
      <c r="AK118" s="16">
        <f>SQRT((AE118-AH118)^2+(AF118-AI118)^2)</f>
        <v>0</v>
      </c>
      <c r="AL118" s="7" t="s">
        <v>190</v>
      </c>
      <c r="AM118" s="7">
        <v>17670.345615483235</v>
      </c>
      <c r="AN118" s="7">
        <v>-1000.6137833783156</v>
      </c>
      <c r="AO118" s="7">
        <v>-264.2114654776647</v>
      </c>
      <c r="AP118" s="7">
        <v>15258.27131801776</v>
      </c>
      <c r="AQ118" s="7">
        <v>-753.5380979654846</v>
      </c>
      <c r="AR118" s="7">
        <v>-203.90713438899448</v>
      </c>
      <c r="AS118" s="7">
        <v>2412.074297465473</v>
      </c>
      <c r="AT118" s="7">
        <v>-247.07568541283106</v>
      </c>
      <c r="AU118" s="7">
        <v>-60.30433108867018</v>
      </c>
    </row>
    <row r="119" spans="1:47" x14ac:dyDescent="0.25">
      <c r="A119" s="7" t="s">
        <v>418</v>
      </c>
      <c r="B119" s="7">
        <v>4</v>
      </c>
      <c r="C119" s="19">
        <v>190</v>
      </c>
      <c r="D119" s="7" t="s">
        <v>419</v>
      </c>
      <c r="E119" s="7" t="s">
        <v>612</v>
      </c>
      <c r="F119" s="20">
        <v>190</v>
      </c>
      <c r="G119" s="7" t="s">
        <v>194</v>
      </c>
      <c r="H119" s="21">
        <v>1.2</v>
      </c>
      <c r="I119" s="11">
        <f>MAX(('Geometry'!$G$13*COS(RADIANS(F119))+'Geometry'!$F$13*SIN(RADIANS(F119))),('Geometry'!$G$14*COS(RADIANS(F119))+'Geometry'!$F$14*SIN(RADIANS(F119))),('Geometry'!$G$15*COS(RADIANS(F119))+'Geometry'!$F$15*SIN(RADIANS(F119))),('Geometry'!$G$16*COS(RADIANS(F119))+'Geometry'!$F$16*SIN(RADIANS(F119))),('Geometry'!$G$17*COS(RADIANS(F119))+'Geometry'!$F$17*SIN(RADIANS(F119))),('Geometry'!$G$18*COS(RADIANS(F119))+'Geometry'!$F$18*SIN(RADIANS(F119))),('Geometry'!$G$19*COS(RADIANS(F119))+'Geometry'!$F$19*SIN(RADIANS(F119))),('Geometry'!$G$20*COS(RADIANS(F119))+'Geometry'!$F$20*SIN(RADIANS(F119))))</f>
        <v>686.3911495241365</v>
      </c>
      <c r="J119" s="11">
        <f>I119-H119*K119</f>
        <v>-960.947609333791</v>
      </c>
      <c r="K119" s="11">
        <f>I119-MIN(('Geometry'!$G$13*COS(RADIANS(F119))+'Geometry'!$F$13*SIN(RADIANS(F119))),('Geometry'!$G$14*COS(RADIANS(F119))+'Geometry'!$F$14*SIN(RADIANS(F119))),('Geometry'!$G$15*COS(RADIANS(F119))+'Geometry'!$F$15*SIN(RADIANS(F119))),('Geometry'!$G$16*COS(RADIANS(F119))+'Geometry'!$F$16*SIN(RADIANS(F119))),('Geometry'!$G$17*COS(RADIANS(F119))+'Geometry'!$F$17*SIN(RADIANS(F119))),('Geometry'!$G$18*COS(RADIANS(F119))+'Geometry'!$F$18*SIN(RADIANS(F119))),('Geometry'!$G$19*COS(RADIANS(F119))+'Geometry'!$F$19*SIN(RADIANS(F119))),('Geometry'!$G$20*COS(RADIANS(F119))+'Geometry'!$F$20*SIN(RADIANS(F119))))</f>
        <v>1372.782299048273</v>
      </c>
      <c r="L119" s="16">
        <f>C_ecu</f>
        <v>0.0033</v>
      </c>
      <c r="M119" s="16">
        <f>0</f>
        <v>0</v>
      </c>
      <c r="N119" s="22">
        <f>IF(ABS(I119-J119)&lt;0.000000000001,0,(L119-M119)/(I119-J119))</f>
        <v>0.000002003230957965097</v>
      </c>
      <c r="O119" s="16">
        <f>L119-N119*I119</f>
        <v>0.001925</v>
      </c>
      <c r="P119" s="22">
        <f>N119*COS(RADIANS(F119))</f>
        <v>-0.0000019727973784781005</v>
      </c>
      <c r="Q119" s="22">
        <f>N119*SIN(RADIANS(F119))</f>
        <v>-3.4785740529661765e-7</v>
      </c>
      <c r="R119" s="11">
        <f>AP119</f>
        <v>15258.27131801776</v>
      </c>
      <c r="S119" s="11">
        <f>AQ119</f>
        <v>-1004.7174639539794</v>
      </c>
      <c r="T119" s="11">
        <f>AR119</f>
        <v>-271.87617918532595</v>
      </c>
      <c r="U119" s="11">
        <f>AS119</f>
        <v>2412.074297465473</v>
      </c>
      <c r="V119" s="11">
        <f>AT119</f>
        <v>-329.4342472171081</v>
      </c>
      <c r="W119" s="11">
        <f>AU119</f>
        <v>-80.40577478489357</v>
      </c>
      <c r="X119" s="11">
        <f>AM119</f>
        <v>17670.345615483235</v>
      </c>
      <c r="Y119" s="11">
        <f>AN119</f>
        <v>-1334.1517111710875</v>
      </c>
      <c r="Z119" s="11">
        <f>AO119</f>
        <v>-352.2819539702196</v>
      </c>
      <c r="AA119" s="7">
        <v>1</v>
      </c>
      <c r="AB119" s="7">
        <v>1</v>
      </c>
      <c r="AC119" s="7">
        <v>1</v>
      </c>
      <c r="AD119" s="11">
        <f>X119*AA119</f>
        <v>17670.345615483235</v>
      </c>
      <c r="AE119" s="11">
        <f>Y119*AB119</f>
        <v>-1334.1517111710875</v>
      </c>
      <c r="AF119" s="11">
        <f>Z119*AC119</f>
        <v>-352.2819539702196</v>
      </c>
      <c r="AG119" s="7">
        <v>17670.345615483235</v>
      </c>
      <c r="AH119" s="7">
        <v>-1334.1517111710875</v>
      </c>
      <c r="AI119" s="7">
        <v>-352.2819539702196</v>
      </c>
      <c r="AJ119" s="16">
        <f>AD119-AG119</f>
        <v>0</v>
      </c>
      <c r="AK119" s="16">
        <f>SQRT((AE119-AH119)^2+(AF119-AI119)^2)</f>
        <v>0</v>
      </c>
      <c r="AL119" s="7" t="s">
        <v>190</v>
      </c>
      <c r="AM119" s="7">
        <v>17670.345615483235</v>
      </c>
      <c r="AN119" s="7">
        <v>-1334.1517111710875</v>
      </c>
      <c r="AO119" s="7">
        <v>-352.2819539702196</v>
      </c>
      <c r="AP119" s="7">
        <v>15258.27131801776</v>
      </c>
      <c r="AQ119" s="7">
        <v>-1004.7174639539794</v>
      </c>
      <c r="AR119" s="7">
        <v>-271.87617918532595</v>
      </c>
      <c r="AS119" s="7">
        <v>2412.074297465473</v>
      </c>
      <c r="AT119" s="7">
        <v>-329.4342472171081</v>
      </c>
      <c r="AU119" s="7">
        <v>-80.40577478489357</v>
      </c>
    </row>
    <row r="120" spans="1:47" x14ac:dyDescent="0.25">
      <c r="A120" s="7" t="s">
        <v>420</v>
      </c>
      <c r="B120" s="7">
        <v>5</v>
      </c>
      <c r="C120" s="19">
        <v>190</v>
      </c>
      <c r="D120" s="7" t="s">
        <v>421</v>
      </c>
      <c r="E120" s="7" t="s">
        <v>613</v>
      </c>
      <c r="F120" s="20">
        <v>189.99999999999997</v>
      </c>
      <c r="G120" s="7" t="s">
        <v>194</v>
      </c>
      <c r="H120" s="21">
        <v>1.1</v>
      </c>
      <c r="I120" s="11">
        <f>MAX(('Geometry'!$G$13*COS(RADIANS(F120))+'Geometry'!$F$13*SIN(RADIANS(F120))),('Geometry'!$G$14*COS(RADIANS(F120))+'Geometry'!$F$14*SIN(RADIANS(F120))),('Geometry'!$G$15*COS(RADIANS(F120))+'Geometry'!$F$15*SIN(RADIANS(F120))),('Geometry'!$G$16*COS(RADIANS(F120))+'Geometry'!$F$16*SIN(RADIANS(F120))),('Geometry'!$G$17*COS(RADIANS(F120))+'Geometry'!$F$17*SIN(RADIANS(F120))),('Geometry'!$G$18*COS(RADIANS(F120))+'Geometry'!$F$18*SIN(RADIANS(F120))),('Geometry'!$G$19*COS(RADIANS(F120))+'Geometry'!$F$19*SIN(RADIANS(F120))),('Geometry'!$G$20*COS(RADIANS(F120))+'Geometry'!$F$20*SIN(RADIANS(F120))))</f>
        <v>686.3911495241363</v>
      </c>
      <c r="J120" s="11">
        <f>I120-H120*K120</f>
        <v>-823.6693794289638</v>
      </c>
      <c r="K120" s="11">
        <f>I120-MIN(('Geometry'!$G$13*COS(RADIANS(F120))+'Geometry'!$F$13*SIN(RADIANS(F120))),('Geometry'!$G$14*COS(RADIANS(F120))+'Geometry'!$F$14*SIN(RADIANS(F120))),('Geometry'!$G$15*COS(RADIANS(F120))+'Geometry'!$F$15*SIN(RADIANS(F120))),('Geometry'!$G$16*COS(RADIANS(F120))+'Geometry'!$F$16*SIN(RADIANS(F120))),('Geometry'!$G$17*COS(RADIANS(F120))+'Geometry'!$F$17*SIN(RADIANS(F120))),('Geometry'!$G$18*COS(RADIANS(F120))+'Geometry'!$F$18*SIN(RADIANS(F120))),('Geometry'!$G$19*COS(RADIANS(F120))+'Geometry'!$F$19*SIN(RADIANS(F120))),('Geometry'!$G$20*COS(RADIANS(F120))+'Geometry'!$F$20*SIN(RADIANS(F120))))</f>
        <v>1372.7822990482725</v>
      </c>
      <c r="L120" s="16">
        <f>C_ecu</f>
        <v>0.0033</v>
      </c>
      <c r="M120" s="16">
        <f>0</f>
        <v>0</v>
      </c>
      <c r="N120" s="22">
        <f>IF(ABS(I120-J120)&lt;0.000000000001,0,(L120-M120)/(I120-J120))</f>
        <v>0.0000021853428632346512</v>
      </c>
      <c r="O120" s="16">
        <f>L120-N120*I120</f>
        <v>0.0018000000000000002</v>
      </c>
      <c r="P120" s="22">
        <f>N120*COS(RADIANS(F120))</f>
        <v>-0.0000021521425947033823</v>
      </c>
      <c r="Q120" s="22">
        <f>N120*SIN(RADIANS(F120))</f>
        <v>-3.7948080577812826e-7</v>
      </c>
      <c r="R120" s="11">
        <f>AP120</f>
        <v>15258.27131801776</v>
      </c>
      <c r="S120" s="11">
        <f>AQ120</f>
        <v>-1255.8968299424741</v>
      </c>
      <c r="T120" s="11">
        <f>AR120</f>
        <v>-339.84522398165745</v>
      </c>
      <c r="U120" s="11">
        <f>AS120</f>
        <v>2412.074297465473</v>
      </c>
      <c r="V120" s="11">
        <f>AT120</f>
        <v>-411.79280902138515</v>
      </c>
      <c r="W120" s="11">
        <f>AU120</f>
        <v>-100.50721848111696</v>
      </c>
      <c r="X120" s="11">
        <f>AM120</f>
        <v>17670.345615483235</v>
      </c>
      <c r="Y120" s="11">
        <f>AN120</f>
        <v>-1667.6896389638591</v>
      </c>
      <c r="Z120" s="11">
        <f>AO120</f>
        <v>-440.35244246277443</v>
      </c>
      <c r="AA120" s="7">
        <v>1</v>
      </c>
      <c r="AB120" s="7">
        <v>1</v>
      </c>
      <c r="AC120" s="7">
        <v>1</v>
      </c>
      <c r="AD120" s="11">
        <f>X120*AA120</f>
        <v>17670.345615483235</v>
      </c>
      <c r="AE120" s="11">
        <f>Y120*AB120</f>
        <v>-1667.6896389638591</v>
      </c>
      <c r="AF120" s="11">
        <f>Z120*AC120</f>
        <v>-440.35244246277443</v>
      </c>
      <c r="AG120" s="7">
        <v>17670.345615483235</v>
      </c>
      <c r="AH120" s="7">
        <v>-1667.6896389638591</v>
      </c>
      <c r="AI120" s="7">
        <v>-440.35244246277443</v>
      </c>
      <c r="AJ120" s="16">
        <f>AD120-AG120</f>
        <v>0</v>
      </c>
      <c r="AK120" s="16">
        <f>SQRT((AE120-AH120)^2+(AF120-AI120)^2)</f>
        <v>0</v>
      </c>
      <c r="AL120" s="7" t="s">
        <v>190</v>
      </c>
      <c r="AM120" s="7">
        <v>17670.345615483235</v>
      </c>
      <c r="AN120" s="7">
        <v>-1667.6896389638591</v>
      </c>
      <c r="AO120" s="7">
        <v>-440.35244246277443</v>
      </c>
      <c r="AP120" s="7">
        <v>15258.27131801776</v>
      </c>
      <c r="AQ120" s="7">
        <v>-1255.8968299424741</v>
      </c>
      <c r="AR120" s="7">
        <v>-339.84522398165745</v>
      </c>
      <c r="AS120" s="7">
        <v>2412.074297465473</v>
      </c>
      <c r="AT120" s="7">
        <v>-411.79280902138515</v>
      </c>
      <c r="AU120" s="7">
        <v>-100.50721848111696</v>
      </c>
    </row>
    <row r="121" spans="1:47" x14ac:dyDescent="0.25">
      <c r="A121" s="7" t="s">
        <v>422</v>
      </c>
      <c r="B121" s="7">
        <v>1</v>
      </c>
      <c r="C121" s="19">
        <v>200</v>
      </c>
      <c r="D121" s="7" t="s">
        <v>423</v>
      </c>
      <c r="E121" s="7" t="s">
        <v>609</v>
      </c>
      <c r="F121" s="20">
        <v>199.99999999999997</v>
      </c>
      <c r="G121" s="7" t="s">
        <v>194</v>
      </c>
      <c r="H121" s="21">
        <v>3.0000000000000004</v>
      </c>
      <c r="I121" s="11">
        <f>MAX(('Geometry'!$G$13*COS(RADIANS(F121))+'Geometry'!$F$13*SIN(RADIANS(F121))),('Geometry'!$G$14*COS(RADIANS(F121))+'Geometry'!$F$14*SIN(RADIANS(F121))),('Geometry'!$G$15*COS(RADIANS(F121))+'Geometry'!$F$15*SIN(RADIANS(F121))),('Geometry'!$G$16*COS(RADIANS(F121))+'Geometry'!$F$16*SIN(RADIANS(F121))),('Geometry'!$G$17*COS(RADIANS(F121))+'Geometry'!$F$17*SIN(RADIANS(F121))),('Geometry'!$G$18*COS(RADIANS(F121))+'Geometry'!$F$18*SIN(RADIANS(F121))),('Geometry'!$G$19*COS(RADIANS(F121))+'Geometry'!$F$19*SIN(RADIANS(F121))),('Geometry'!$G$20*COS(RADIANS(F121))+'Geometry'!$F$20*SIN(RADIANS(F121))))</f>
        <v>751.9266513006627</v>
      </c>
      <c r="J121" s="11">
        <f>I121-H121*K121</f>
        <v>-3759.6332565033144</v>
      </c>
      <c r="K121" s="11">
        <f>I121-MIN(('Geometry'!$G$13*COS(RADIANS(F121))+'Geometry'!$F$13*SIN(RADIANS(F121))),('Geometry'!$G$14*COS(RADIANS(F121))+'Geometry'!$F$14*SIN(RADIANS(F121))),('Geometry'!$G$15*COS(RADIANS(F121))+'Geometry'!$F$15*SIN(RADIANS(F121))),('Geometry'!$G$16*COS(RADIANS(F121))+'Geometry'!$F$16*SIN(RADIANS(F121))),('Geometry'!$G$17*COS(RADIANS(F121))+'Geometry'!$F$17*SIN(RADIANS(F121))),('Geometry'!$G$18*COS(RADIANS(F121))+'Geometry'!$F$18*SIN(RADIANS(F121))),('Geometry'!$G$19*COS(RADIANS(F121))+'Geometry'!$F$19*SIN(RADIANS(F121))),('Geometry'!$G$20*COS(RADIANS(F121))+'Geometry'!$F$20*SIN(RADIANS(F121))))</f>
        <v>1503.8533026013254</v>
      </c>
      <c r="L121" s="16">
        <f>C_ecu</f>
        <v>0.0032999999999999995</v>
      </c>
      <c r="M121" s="16">
        <f>0</f>
        <v>0</v>
      </c>
      <c r="N121" s="22">
        <f>IF(ABS(I121-J121)&lt;0.000000000001,0,(L121-M121)/(I121-J121))</f>
        <v>7.314543234351708e-7</v>
      </c>
      <c r="O121" s="16">
        <f>L121-N121*I121</f>
        <v>0.00275</v>
      </c>
      <c r="P121" s="22">
        <f>N121*COS(RADIANS(F121))</f>
        <v>-6.873422301739792e-7</v>
      </c>
      <c r="Q121" s="22">
        <f>N121*SIN(RADIANS(F121))</f>
        <v>-2.5017211253747714e-7</v>
      </c>
      <c r="R121" s="11">
        <f>AP121</f>
        <v>15275.584597894342</v>
      </c>
      <c r="S121" s="11">
        <f>AQ121</f>
        <v>-223.94208493376868</v>
      </c>
      <c r="T121" s="11">
        <f>AR121</f>
        <v>-120.08205318535789</v>
      </c>
      <c r="U121" s="11">
        <f>AS121</f>
        <v>2394.7610175888967</v>
      </c>
      <c r="V121" s="11">
        <f>AT121</f>
        <v>-72.67206570933926</v>
      </c>
      <c r="W121" s="11">
        <f>AU121</f>
        <v>-38.140453246302684</v>
      </c>
      <c r="X121" s="11">
        <f>AM121</f>
        <v>17670.345615483235</v>
      </c>
      <c r="Y121" s="11">
        <f>AN121</f>
        <v>-296.614150643108</v>
      </c>
      <c r="Z121" s="11">
        <f>AO121</f>
        <v>-158.2225064316606</v>
      </c>
      <c r="AA121" s="7">
        <v>1</v>
      </c>
      <c r="AB121" s="7">
        <v>1</v>
      </c>
      <c r="AC121" s="7">
        <v>1</v>
      </c>
      <c r="AD121" s="11">
        <f>X121*AA121</f>
        <v>17670.345615483235</v>
      </c>
      <c r="AE121" s="11">
        <f>Y121*AB121</f>
        <v>-296.614150643108</v>
      </c>
      <c r="AF121" s="11">
        <f>Z121*AC121</f>
        <v>-158.2225064316606</v>
      </c>
      <c r="AG121" s="7">
        <v>17670.345615483235</v>
      </c>
      <c r="AH121" s="7">
        <v>-296.614150643108</v>
      </c>
      <c r="AI121" s="7">
        <v>-158.2225064316606</v>
      </c>
      <c r="AJ121" s="16">
        <f>AD121-AG121</f>
        <v>0</v>
      </c>
      <c r="AK121" s="16">
        <f>SQRT((AE121-AH121)^2+(AF121-AI121)^2)</f>
        <v>0</v>
      </c>
      <c r="AL121" s="7" t="s">
        <v>190</v>
      </c>
      <c r="AM121" s="7">
        <v>17670.345615483235</v>
      </c>
      <c r="AN121" s="7">
        <v>-296.614150643108</v>
      </c>
      <c r="AO121" s="7">
        <v>-158.2225064316606</v>
      </c>
      <c r="AP121" s="7">
        <v>15275.584597894342</v>
      </c>
      <c r="AQ121" s="7">
        <v>-223.94208493376868</v>
      </c>
      <c r="AR121" s="7">
        <v>-120.08205318535789</v>
      </c>
      <c r="AS121" s="7">
        <v>2394.7610175888967</v>
      </c>
      <c r="AT121" s="7">
        <v>-72.67206570933926</v>
      </c>
      <c r="AU121" s="7">
        <v>-38.140453246302684</v>
      </c>
    </row>
    <row r="122" spans="1:47" x14ac:dyDescent="0.25">
      <c r="A122" s="7" t="s">
        <v>424</v>
      </c>
      <c r="B122" s="7">
        <v>2</v>
      </c>
      <c r="C122" s="19">
        <v>200</v>
      </c>
      <c r="D122" s="7" t="s">
        <v>425</v>
      </c>
      <c r="E122" s="7" t="s">
        <v>610</v>
      </c>
      <c r="F122" s="20">
        <v>199.99999999999997</v>
      </c>
      <c r="G122" s="7" t="s">
        <v>194</v>
      </c>
      <c r="H122" s="21">
        <v>2.0000000000000004</v>
      </c>
      <c r="I122" s="11">
        <f>MAX(('Geometry'!$G$13*COS(RADIANS(F122))+'Geometry'!$F$13*SIN(RADIANS(F122))),('Geometry'!$G$14*COS(RADIANS(F122))+'Geometry'!$F$14*SIN(RADIANS(F122))),('Geometry'!$G$15*COS(RADIANS(F122))+'Geometry'!$F$15*SIN(RADIANS(F122))),('Geometry'!$G$16*COS(RADIANS(F122))+'Geometry'!$F$16*SIN(RADIANS(F122))),('Geometry'!$G$17*COS(RADIANS(F122))+'Geometry'!$F$17*SIN(RADIANS(F122))),('Geometry'!$G$18*COS(RADIANS(F122))+'Geometry'!$F$18*SIN(RADIANS(F122))),('Geometry'!$G$19*COS(RADIANS(F122))+'Geometry'!$F$19*SIN(RADIANS(F122))),('Geometry'!$G$20*COS(RADIANS(F122))+'Geometry'!$F$20*SIN(RADIANS(F122))))</f>
        <v>751.9266513006627</v>
      </c>
      <c r="J122" s="11">
        <f>I122-H122*K122</f>
        <v>-2255.7799539019884</v>
      </c>
      <c r="K122" s="11">
        <f>I122-MIN(('Geometry'!$G$13*COS(RADIANS(F122))+'Geometry'!$F$13*SIN(RADIANS(F122))),('Geometry'!$G$14*COS(RADIANS(F122))+'Geometry'!$F$14*SIN(RADIANS(F122))),('Geometry'!$G$15*COS(RADIANS(F122))+'Geometry'!$F$15*SIN(RADIANS(F122))),('Geometry'!$G$16*COS(RADIANS(F122))+'Geometry'!$F$16*SIN(RADIANS(F122))),('Geometry'!$G$17*COS(RADIANS(F122))+'Geometry'!$F$17*SIN(RADIANS(F122))),('Geometry'!$G$18*COS(RADIANS(F122))+'Geometry'!$F$18*SIN(RADIANS(F122))),('Geometry'!$G$19*COS(RADIANS(F122))+'Geometry'!$F$19*SIN(RADIANS(F122))),('Geometry'!$G$20*COS(RADIANS(F122))+'Geometry'!$F$20*SIN(RADIANS(F122))))</f>
        <v>1503.8533026013254</v>
      </c>
      <c r="L122" s="16">
        <f>C_ecu</f>
        <v>0.0032999999999999995</v>
      </c>
      <c r="M122" s="16">
        <f>0</f>
        <v>0</v>
      </c>
      <c r="N122" s="22">
        <f>IF(ABS(I122-J122)&lt;0.000000000001,0,(L122-M122)/(I122-J122))</f>
        <v>0.0000010971814851527564</v>
      </c>
      <c r="O122" s="16">
        <f>L122-N122*I122</f>
        <v>0.0024749999999999998</v>
      </c>
      <c r="P122" s="22">
        <f>N122*COS(RADIANS(F122))</f>
        <v>-0.000001031013345260969</v>
      </c>
      <c r="Q122" s="22">
        <f>N122*SIN(RADIANS(F122))</f>
        <v>-3.752581688062157e-7</v>
      </c>
      <c r="R122" s="11">
        <f>AP122</f>
        <v>15275.584597894342</v>
      </c>
      <c r="S122" s="11">
        <f>AQ122</f>
        <v>-447.88416986753737</v>
      </c>
      <c r="T122" s="11">
        <f>AR122</f>
        <v>-240.16410637071579</v>
      </c>
      <c r="U122" s="11">
        <f>AS122</f>
        <v>2394.7610175888967</v>
      </c>
      <c r="V122" s="11">
        <f>AT122</f>
        <v>-145.34413141867853</v>
      </c>
      <c r="W122" s="11">
        <f>AU122</f>
        <v>-76.28090649260537</v>
      </c>
      <c r="X122" s="11">
        <f>AM122</f>
        <v>17670.345615483235</v>
      </c>
      <c r="Y122" s="11">
        <f>AN122</f>
        <v>-593.228301286216</v>
      </c>
      <c r="Z122" s="11">
        <f>AO122</f>
        <v>-316.4450128633212</v>
      </c>
      <c r="AA122" s="7">
        <v>1</v>
      </c>
      <c r="AB122" s="7">
        <v>1</v>
      </c>
      <c r="AC122" s="7">
        <v>1</v>
      </c>
      <c r="AD122" s="11">
        <f>X122*AA122</f>
        <v>17670.345615483235</v>
      </c>
      <c r="AE122" s="11">
        <f>Y122*AB122</f>
        <v>-593.228301286216</v>
      </c>
      <c r="AF122" s="11">
        <f>Z122*AC122</f>
        <v>-316.4450128633212</v>
      </c>
      <c r="AG122" s="7">
        <v>17670.345615483235</v>
      </c>
      <c r="AH122" s="7">
        <v>-593.228301286216</v>
      </c>
      <c r="AI122" s="7">
        <v>-316.4450128633212</v>
      </c>
      <c r="AJ122" s="16">
        <f>AD122-AG122</f>
        <v>0</v>
      </c>
      <c r="AK122" s="16">
        <f>SQRT((AE122-AH122)^2+(AF122-AI122)^2)</f>
        <v>0</v>
      </c>
      <c r="AL122" s="7" t="s">
        <v>190</v>
      </c>
      <c r="AM122" s="7">
        <v>17670.345615483235</v>
      </c>
      <c r="AN122" s="7">
        <v>-593.228301286216</v>
      </c>
      <c r="AO122" s="7">
        <v>-316.4450128633212</v>
      </c>
      <c r="AP122" s="7">
        <v>15275.584597894342</v>
      </c>
      <c r="AQ122" s="7">
        <v>-447.88416986753737</v>
      </c>
      <c r="AR122" s="7">
        <v>-240.16410637071579</v>
      </c>
      <c r="AS122" s="7">
        <v>2394.7610175888967</v>
      </c>
      <c r="AT122" s="7">
        <v>-145.34413141867853</v>
      </c>
      <c r="AU122" s="7">
        <v>-76.28090649260537</v>
      </c>
    </row>
    <row r="123" spans="1:47" x14ac:dyDescent="0.25">
      <c r="A123" s="7" t="s">
        <v>426</v>
      </c>
      <c r="B123" s="7">
        <v>3</v>
      </c>
      <c r="C123" s="19">
        <v>200</v>
      </c>
      <c r="D123" s="7" t="s">
        <v>427</v>
      </c>
      <c r="E123" s="7" t="s">
        <v>611</v>
      </c>
      <c r="F123" s="20">
        <v>199.99999999999997</v>
      </c>
      <c r="G123" s="7" t="s">
        <v>194</v>
      </c>
      <c r="H123" s="21">
        <v>1.5000000000000002</v>
      </c>
      <c r="I123" s="11">
        <f>MAX(('Geometry'!$G$13*COS(RADIANS(F123))+'Geometry'!$F$13*SIN(RADIANS(F123))),('Geometry'!$G$14*COS(RADIANS(F123))+'Geometry'!$F$14*SIN(RADIANS(F123))),('Geometry'!$G$15*COS(RADIANS(F123))+'Geometry'!$F$15*SIN(RADIANS(F123))),('Geometry'!$G$16*COS(RADIANS(F123))+'Geometry'!$F$16*SIN(RADIANS(F123))),('Geometry'!$G$17*COS(RADIANS(F123))+'Geometry'!$F$17*SIN(RADIANS(F123))),('Geometry'!$G$18*COS(RADIANS(F123))+'Geometry'!$F$18*SIN(RADIANS(F123))),('Geometry'!$G$19*COS(RADIANS(F123))+'Geometry'!$F$19*SIN(RADIANS(F123))),('Geometry'!$G$20*COS(RADIANS(F123))+'Geometry'!$F$20*SIN(RADIANS(F123))))</f>
        <v>751.9266513006627</v>
      </c>
      <c r="J123" s="11">
        <f>I123-H123*K123</f>
        <v>-1503.8533026013256</v>
      </c>
      <c r="K123" s="11">
        <f>I123-MIN(('Geometry'!$G$13*COS(RADIANS(F123))+'Geometry'!$F$13*SIN(RADIANS(F123))),('Geometry'!$G$14*COS(RADIANS(F123))+'Geometry'!$F$14*SIN(RADIANS(F123))),('Geometry'!$G$15*COS(RADIANS(F123))+'Geometry'!$F$15*SIN(RADIANS(F123))),('Geometry'!$G$16*COS(RADIANS(F123))+'Geometry'!$F$16*SIN(RADIANS(F123))),('Geometry'!$G$17*COS(RADIANS(F123))+'Geometry'!$F$17*SIN(RADIANS(F123))),('Geometry'!$G$18*COS(RADIANS(F123))+'Geometry'!$F$18*SIN(RADIANS(F123))),('Geometry'!$G$19*COS(RADIANS(F123))+'Geometry'!$F$19*SIN(RADIANS(F123))),('Geometry'!$G$20*COS(RADIANS(F123))+'Geometry'!$F$20*SIN(RADIANS(F123))))</f>
        <v>1503.8533026013254</v>
      </c>
      <c r="L123" s="16">
        <f>C_ecu</f>
        <v>0.003299999999999999</v>
      </c>
      <c r="M123" s="16">
        <f>0</f>
        <v>0</v>
      </c>
      <c r="N123" s="22">
        <f>IF(ABS(I123-J123)&lt;0.000000000001,0,(L123-M123)/(I123-J123))</f>
        <v>0.0000014629086468703416</v>
      </c>
      <c r="O123" s="16">
        <f>L123-N123*I123</f>
        <v>0.0021999999999999997</v>
      </c>
      <c r="P123" s="22">
        <f>N123*COS(RADIANS(F123))</f>
        <v>-0.0000013746844603479585</v>
      </c>
      <c r="Q123" s="22">
        <f>N123*SIN(RADIANS(F123))</f>
        <v>-5.003442250749543e-7</v>
      </c>
      <c r="R123" s="11">
        <f>AP123</f>
        <v>15275.584597894342</v>
      </c>
      <c r="S123" s="11">
        <f>AQ123</f>
        <v>-671.826254801306</v>
      </c>
      <c r="T123" s="11">
        <f>AR123</f>
        <v>-360.2461595560737</v>
      </c>
      <c r="U123" s="11">
        <f>AS123</f>
        <v>2394.7610175888967</v>
      </c>
      <c r="V123" s="11">
        <f>AT123</f>
        <v>-218.01619712801778</v>
      </c>
      <c r="W123" s="11">
        <f>AU123</f>
        <v>-114.42135973890804</v>
      </c>
      <c r="X123" s="11">
        <f>AM123</f>
        <v>17670.345615483235</v>
      </c>
      <c r="Y123" s="11">
        <f>AN123</f>
        <v>-889.8424519293239</v>
      </c>
      <c r="Z123" s="11">
        <f>AO123</f>
        <v>-474.6675192949818</v>
      </c>
      <c r="AA123" s="7">
        <v>1</v>
      </c>
      <c r="AB123" s="7">
        <v>1</v>
      </c>
      <c r="AC123" s="7">
        <v>1</v>
      </c>
      <c r="AD123" s="11">
        <f>X123*AA123</f>
        <v>17670.345615483235</v>
      </c>
      <c r="AE123" s="11">
        <f>Y123*AB123</f>
        <v>-889.8424519293239</v>
      </c>
      <c r="AF123" s="11">
        <f>Z123*AC123</f>
        <v>-474.6675192949818</v>
      </c>
      <c r="AG123" s="7">
        <v>17670.345615483235</v>
      </c>
      <c r="AH123" s="7">
        <v>-889.8424519293239</v>
      </c>
      <c r="AI123" s="7">
        <v>-474.6675192949818</v>
      </c>
      <c r="AJ123" s="16">
        <f>AD123-AG123</f>
        <v>0</v>
      </c>
      <c r="AK123" s="16">
        <f>SQRT((AE123-AH123)^2+(AF123-AI123)^2)</f>
        <v>0</v>
      </c>
      <c r="AL123" s="7" t="s">
        <v>190</v>
      </c>
      <c r="AM123" s="7">
        <v>17670.345615483235</v>
      </c>
      <c r="AN123" s="7">
        <v>-889.8424519293239</v>
      </c>
      <c r="AO123" s="7">
        <v>-474.6675192949818</v>
      </c>
      <c r="AP123" s="7">
        <v>15275.584597894342</v>
      </c>
      <c r="AQ123" s="7">
        <v>-671.826254801306</v>
      </c>
      <c r="AR123" s="7">
        <v>-360.2461595560737</v>
      </c>
      <c r="AS123" s="7">
        <v>2394.7610175888967</v>
      </c>
      <c r="AT123" s="7">
        <v>-218.01619712801778</v>
      </c>
      <c r="AU123" s="7">
        <v>-114.42135973890804</v>
      </c>
    </row>
    <row r="124" spans="1:47" x14ac:dyDescent="0.25">
      <c r="A124" s="7" t="s">
        <v>428</v>
      </c>
      <c r="B124" s="7">
        <v>4</v>
      </c>
      <c r="C124" s="19">
        <v>200</v>
      </c>
      <c r="D124" s="7" t="s">
        <v>429</v>
      </c>
      <c r="E124" s="7" t="s">
        <v>612</v>
      </c>
      <c r="F124" s="20">
        <v>199.99999999999997</v>
      </c>
      <c r="G124" s="7" t="s">
        <v>194</v>
      </c>
      <c r="H124" s="21">
        <v>1.2</v>
      </c>
      <c r="I124" s="11">
        <f>MAX(('Geometry'!$G$13*COS(RADIANS(F124))+'Geometry'!$F$13*SIN(RADIANS(F124))),('Geometry'!$G$14*COS(RADIANS(F124))+'Geometry'!$F$14*SIN(RADIANS(F124))),('Geometry'!$G$15*COS(RADIANS(F124))+'Geometry'!$F$15*SIN(RADIANS(F124))),('Geometry'!$G$16*COS(RADIANS(F124))+'Geometry'!$F$16*SIN(RADIANS(F124))),('Geometry'!$G$17*COS(RADIANS(F124))+'Geometry'!$F$17*SIN(RADIANS(F124))),('Geometry'!$G$18*COS(RADIANS(F124))+'Geometry'!$F$18*SIN(RADIANS(F124))),('Geometry'!$G$19*COS(RADIANS(F124))+'Geometry'!$F$19*SIN(RADIANS(F124))),('Geometry'!$G$20*COS(RADIANS(F124))+'Geometry'!$F$20*SIN(RADIANS(F124))))</f>
        <v>751.9266513006627</v>
      </c>
      <c r="J124" s="11">
        <f>I124-H124*K124</f>
        <v>-1052.6973118209278</v>
      </c>
      <c r="K124" s="11">
        <f>I124-MIN(('Geometry'!$G$13*COS(RADIANS(F124))+'Geometry'!$F$13*SIN(RADIANS(F124))),('Geometry'!$G$14*COS(RADIANS(F124))+'Geometry'!$F$14*SIN(RADIANS(F124))),('Geometry'!$G$15*COS(RADIANS(F124))+'Geometry'!$F$15*SIN(RADIANS(F124))),('Geometry'!$G$16*COS(RADIANS(F124))+'Geometry'!$F$16*SIN(RADIANS(F124))),('Geometry'!$G$17*COS(RADIANS(F124))+'Geometry'!$F$17*SIN(RADIANS(F124))),('Geometry'!$G$18*COS(RADIANS(F124))+'Geometry'!$F$18*SIN(RADIANS(F124))),('Geometry'!$G$19*COS(RADIANS(F124))+'Geometry'!$F$19*SIN(RADIANS(F124))),('Geometry'!$G$20*COS(RADIANS(F124))+'Geometry'!$F$20*SIN(RADIANS(F124))))</f>
        <v>1503.8533026013254</v>
      </c>
      <c r="L124" s="16">
        <f>C_ecu</f>
        <v>0.0033</v>
      </c>
      <c r="M124" s="16">
        <f>0</f>
        <v>0</v>
      </c>
      <c r="N124" s="22">
        <f>IF(ABS(I124-J124)&lt;0.000000000001,0,(L124-M124)/(I124-J124))</f>
        <v>0.0000018286358085879275</v>
      </c>
      <c r="O124" s="16">
        <f>L124-N124*I124</f>
        <v>0.0019249999999999998</v>
      </c>
      <c r="P124" s="22">
        <f>N124*COS(RADIANS(F124))</f>
        <v>-0.0000017183555754349485</v>
      </c>
      <c r="Q124" s="22">
        <f>N124*SIN(RADIANS(F124))</f>
        <v>-6.25430281343693e-7</v>
      </c>
      <c r="R124" s="11">
        <f>AP124</f>
        <v>15275.584597894342</v>
      </c>
      <c r="S124" s="11">
        <f>AQ124</f>
        <v>-895.7683397350747</v>
      </c>
      <c r="T124" s="11">
        <f>AR124</f>
        <v>-480.32821274143157</v>
      </c>
      <c r="U124" s="11">
        <f>AS124</f>
        <v>2394.7610175888967</v>
      </c>
      <c r="V124" s="11">
        <f>AT124</f>
        <v>-290.68826283735706</v>
      </c>
      <c r="W124" s="11">
        <f>AU124</f>
        <v>-152.56181298521074</v>
      </c>
      <c r="X124" s="11">
        <f>AM124</f>
        <v>17670.345615483235</v>
      </c>
      <c r="Y124" s="11">
        <f>AN124</f>
        <v>-1186.456602572432</v>
      </c>
      <c r="Z124" s="11">
        <f>AO124</f>
        <v>-632.8900257266424</v>
      </c>
      <c r="AA124" s="7">
        <v>1</v>
      </c>
      <c r="AB124" s="7">
        <v>1</v>
      </c>
      <c r="AC124" s="7">
        <v>1</v>
      </c>
      <c r="AD124" s="11">
        <f>X124*AA124</f>
        <v>17670.345615483235</v>
      </c>
      <c r="AE124" s="11">
        <f>Y124*AB124</f>
        <v>-1186.456602572432</v>
      </c>
      <c r="AF124" s="11">
        <f>Z124*AC124</f>
        <v>-632.8900257266424</v>
      </c>
      <c r="AG124" s="7">
        <v>17670.345615483235</v>
      </c>
      <c r="AH124" s="7">
        <v>-1186.456602572432</v>
      </c>
      <c r="AI124" s="7">
        <v>-632.8900257266424</v>
      </c>
      <c r="AJ124" s="16">
        <f>AD124-AG124</f>
        <v>0</v>
      </c>
      <c r="AK124" s="16">
        <f>SQRT((AE124-AH124)^2+(AF124-AI124)^2)</f>
        <v>0</v>
      </c>
      <c r="AL124" s="7" t="s">
        <v>190</v>
      </c>
      <c r="AM124" s="7">
        <v>17670.345615483235</v>
      </c>
      <c r="AN124" s="7">
        <v>-1186.456602572432</v>
      </c>
      <c r="AO124" s="7">
        <v>-632.8900257266424</v>
      </c>
      <c r="AP124" s="7">
        <v>15275.584597894342</v>
      </c>
      <c r="AQ124" s="7">
        <v>-895.7683397350747</v>
      </c>
      <c r="AR124" s="7">
        <v>-480.32821274143157</v>
      </c>
      <c r="AS124" s="7">
        <v>2394.7610175888967</v>
      </c>
      <c r="AT124" s="7">
        <v>-290.68826283735706</v>
      </c>
      <c r="AU124" s="7">
        <v>-152.56181298521074</v>
      </c>
    </row>
    <row r="125" spans="1:47" x14ac:dyDescent="0.25">
      <c r="A125" s="7" t="s">
        <v>430</v>
      </c>
      <c r="B125" s="7">
        <v>5</v>
      </c>
      <c r="C125" s="19">
        <v>200</v>
      </c>
      <c r="D125" s="7" t="s">
        <v>431</v>
      </c>
      <c r="E125" s="7" t="s">
        <v>613</v>
      </c>
      <c r="F125" s="20">
        <v>199.99999999999997</v>
      </c>
      <c r="G125" s="7" t="s">
        <v>194</v>
      </c>
      <c r="H125" s="21">
        <v>1.1</v>
      </c>
      <c r="I125" s="11">
        <f>MAX(('Geometry'!$G$13*COS(RADIANS(F125))+'Geometry'!$F$13*SIN(RADIANS(F125))),('Geometry'!$G$14*COS(RADIANS(F125))+'Geometry'!$F$14*SIN(RADIANS(F125))),('Geometry'!$G$15*COS(RADIANS(F125))+'Geometry'!$F$15*SIN(RADIANS(F125))),('Geometry'!$G$16*COS(RADIANS(F125))+'Geometry'!$F$16*SIN(RADIANS(F125))),('Geometry'!$G$17*COS(RADIANS(F125))+'Geometry'!$F$17*SIN(RADIANS(F125))),('Geometry'!$G$18*COS(RADIANS(F125))+'Geometry'!$F$18*SIN(RADIANS(F125))),('Geometry'!$G$19*COS(RADIANS(F125))+'Geometry'!$F$19*SIN(RADIANS(F125))),('Geometry'!$G$20*COS(RADIANS(F125))+'Geometry'!$F$20*SIN(RADIANS(F125))))</f>
        <v>751.9266513006627</v>
      </c>
      <c r="J125" s="11">
        <f>I125-H125*K125</f>
        <v>-902.3119815607955</v>
      </c>
      <c r="K125" s="11">
        <f>I125-MIN(('Geometry'!$G$13*COS(RADIANS(F125))+'Geometry'!$F$13*SIN(RADIANS(F125))),('Geometry'!$G$14*COS(RADIANS(F125))+'Geometry'!$F$14*SIN(RADIANS(F125))),('Geometry'!$G$15*COS(RADIANS(F125))+'Geometry'!$F$15*SIN(RADIANS(F125))),('Geometry'!$G$16*COS(RADIANS(F125))+'Geometry'!$F$16*SIN(RADIANS(F125))),('Geometry'!$G$17*COS(RADIANS(F125))+'Geometry'!$F$17*SIN(RADIANS(F125))),('Geometry'!$G$18*COS(RADIANS(F125))+'Geometry'!$F$18*SIN(RADIANS(F125))),('Geometry'!$G$19*COS(RADIANS(F125))+'Geometry'!$F$19*SIN(RADIANS(F125))),('Geometry'!$G$20*COS(RADIANS(F125))+'Geometry'!$F$20*SIN(RADIANS(F125))))</f>
        <v>1503.8533026013254</v>
      </c>
      <c r="L125" s="16">
        <f>C_ecu</f>
        <v>0.0033</v>
      </c>
      <c r="M125" s="16">
        <f>0</f>
        <v>0</v>
      </c>
      <c r="N125" s="22">
        <f>IF(ABS(I125-J125)&lt;0.000000000001,0,(L125-M125)/(I125-J125))</f>
        <v>0.000001994875427550466</v>
      </c>
      <c r="O125" s="16">
        <f>L125-N125*I125</f>
        <v>0.0018000000000000002</v>
      </c>
      <c r="P125" s="22">
        <f>N125*COS(RADIANS(F125))</f>
        <v>-0.000001874569718656307</v>
      </c>
      <c r="Q125" s="22">
        <f>N125*SIN(RADIANS(F125))</f>
        <v>-6.82287579647665e-7</v>
      </c>
      <c r="R125" s="11">
        <f>AP125</f>
        <v>15275.584597894342</v>
      </c>
      <c r="S125" s="11">
        <f>AQ125</f>
        <v>-1119.7104246688432</v>
      </c>
      <c r="T125" s="11">
        <f>AR125</f>
        <v>-600.4102659267894</v>
      </c>
      <c r="U125" s="11">
        <f>AS125</f>
        <v>2394.7610175888967</v>
      </c>
      <c r="V125" s="11">
        <f>AT125</f>
        <v>-363.3603285466962</v>
      </c>
      <c r="W125" s="11">
        <f>AU125</f>
        <v>-190.70226623151342</v>
      </c>
      <c r="X125" s="11">
        <f>AM125</f>
        <v>17670.345615483235</v>
      </c>
      <c r="Y125" s="11">
        <f>AN125</f>
        <v>-1483.07075321554</v>
      </c>
      <c r="Z125" s="11">
        <f>AO125</f>
        <v>-791.1125321583029</v>
      </c>
      <c r="AA125" s="7">
        <v>1</v>
      </c>
      <c r="AB125" s="7">
        <v>1</v>
      </c>
      <c r="AC125" s="7">
        <v>1</v>
      </c>
      <c r="AD125" s="11">
        <f>X125*AA125</f>
        <v>17670.345615483235</v>
      </c>
      <c r="AE125" s="11">
        <f>Y125*AB125</f>
        <v>-1483.07075321554</v>
      </c>
      <c r="AF125" s="11">
        <f>Z125*AC125</f>
        <v>-791.1125321583029</v>
      </c>
      <c r="AG125" s="7">
        <v>17670.345615483235</v>
      </c>
      <c r="AH125" s="7">
        <v>-1483.07075321554</v>
      </c>
      <c r="AI125" s="7">
        <v>-791.1125321583029</v>
      </c>
      <c r="AJ125" s="16">
        <f>AD125-AG125</f>
        <v>0</v>
      </c>
      <c r="AK125" s="16">
        <f>SQRT((AE125-AH125)^2+(AF125-AI125)^2)</f>
        <v>0</v>
      </c>
      <c r="AL125" s="7" t="s">
        <v>190</v>
      </c>
      <c r="AM125" s="7">
        <v>17670.345615483235</v>
      </c>
      <c r="AN125" s="7">
        <v>-1483.07075321554</v>
      </c>
      <c r="AO125" s="7">
        <v>-791.1125321583029</v>
      </c>
      <c r="AP125" s="7">
        <v>15275.584597894342</v>
      </c>
      <c r="AQ125" s="7">
        <v>-1119.7104246688432</v>
      </c>
      <c r="AR125" s="7">
        <v>-600.4102659267894</v>
      </c>
      <c r="AS125" s="7">
        <v>2394.7610175888967</v>
      </c>
      <c r="AT125" s="7">
        <v>-363.3603285466962</v>
      </c>
      <c r="AU125" s="7">
        <v>-190.70226623151342</v>
      </c>
    </row>
    <row r="126" spans="1:47" x14ac:dyDescent="0.25">
      <c r="A126" s="7" t="s">
        <v>432</v>
      </c>
      <c r="B126" s="7">
        <v>6</v>
      </c>
      <c r="C126" s="19">
        <v>200</v>
      </c>
      <c r="D126" s="7" t="s">
        <v>433</v>
      </c>
      <c r="E126" s="7" t="s">
        <v>614</v>
      </c>
      <c r="F126" s="20">
        <v>199.99999999999997</v>
      </c>
      <c r="G126" s="7" t="s">
        <v>194</v>
      </c>
      <c r="H126" s="21">
        <v>1.0000000000000002</v>
      </c>
      <c r="I126" s="11">
        <f>MAX(('Geometry'!$G$13*COS(RADIANS(F126))+'Geometry'!$F$13*SIN(RADIANS(F126))),('Geometry'!$G$14*COS(RADIANS(F126))+'Geometry'!$F$14*SIN(RADIANS(F126))),('Geometry'!$G$15*COS(RADIANS(F126))+'Geometry'!$F$15*SIN(RADIANS(F126))),('Geometry'!$G$16*COS(RADIANS(F126))+'Geometry'!$F$16*SIN(RADIANS(F126))),('Geometry'!$G$17*COS(RADIANS(F126))+'Geometry'!$F$17*SIN(RADIANS(F126))),('Geometry'!$G$18*COS(RADIANS(F126))+'Geometry'!$F$18*SIN(RADIANS(F126))),('Geometry'!$G$19*COS(RADIANS(F126))+'Geometry'!$F$19*SIN(RADIANS(F126))),('Geometry'!$G$20*COS(RADIANS(F126))+'Geometry'!$F$20*SIN(RADIANS(F126))))</f>
        <v>751.9266513006627</v>
      </c>
      <c r="J126" s="11">
        <f>I126-H126*K126</f>
        <v>-751.9266513006628</v>
      </c>
      <c r="K126" s="11">
        <f>I126-MIN(('Geometry'!$G$13*COS(RADIANS(F126))+'Geometry'!$F$13*SIN(RADIANS(F126))),('Geometry'!$G$14*COS(RADIANS(F126))+'Geometry'!$F$14*SIN(RADIANS(F126))),('Geometry'!$G$15*COS(RADIANS(F126))+'Geometry'!$F$15*SIN(RADIANS(F126))),('Geometry'!$G$16*COS(RADIANS(F126))+'Geometry'!$F$16*SIN(RADIANS(F126))),('Geometry'!$G$17*COS(RADIANS(F126))+'Geometry'!$F$17*SIN(RADIANS(F126))),('Geometry'!$G$18*COS(RADIANS(F126))+'Geometry'!$F$18*SIN(RADIANS(F126))),('Geometry'!$G$19*COS(RADIANS(F126))+'Geometry'!$F$19*SIN(RADIANS(F126))),('Geometry'!$G$20*COS(RADIANS(F126))+'Geometry'!$F$20*SIN(RADIANS(F126))))</f>
        <v>1503.8533026013254</v>
      </c>
      <c r="L126" s="16">
        <f>C_ecu</f>
        <v>0.0033</v>
      </c>
      <c r="M126" s="16">
        <f>0</f>
        <v>0</v>
      </c>
      <c r="N126" s="22">
        <f>IF(ABS(I126-J126)&lt;0.000000000001,0,(L126-M126)/(I126-J126))</f>
        <v>0.0000021943629703055128</v>
      </c>
      <c r="O126" s="16">
        <f>L126-N126*I126</f>
        <v>0.00165</v>
      </c>
      <c r="P126" s="22">
        <f>N126*COS(RADIANS(F126))</f>
        <v>-0.000002062026690521938</v>
      </c>
      <c r="Q126" s="22">
        <f>N126*SIN(RADIANS(F126))</f>
        <v>-7.505163376124314e-7</v>
      </c>
      <c r="R126" s="11">
        <f>AP126</f>
        <v>15275.584597894342</v>
      </c>
      <c r="S126" s="11">
        <f>AQ126</f>
        <v>-1343.652509602612</v>
      </c>
      <c r="T126" s="11">
        <f>AR126</f>
        <v>-720.4923191121474</v>
      </c>
      <c r="U126" s="11">
        <f>AS126</f>
        <v>2394.7610175888967</v>
      </c>
      <c r="V126" s="11">
        <f>AT126</f>
        <v>-436.03239425603556</v>
      </c>
      <c r="W126" s="11">
        <f>AU126</f>
        <v>-228.84271947781608</v>
      </c>
      <c r="X126" s="11">
        <f>AM126</f>
        <v>17670.345615483235</v>
      </c>
      <c r="Y126" s="11">
        <f>AN126</f>
        <v>-1779.6849038586479</v>
      </c>
      <c r="Z126" s="11">
        <f>AO126</f>
        <v>-949.3350385899636</v>
      </c>
      <c r="AA126" s="7">
        <v>1</v>
      </c>
      <c r="AB126" s="7">
        <v>1</v>
      </c>
      <c r="AC126" s="7">
        <v>1</v>
      </c>
      <c r="AD126" s="11">
        <f>X126*AA126</f>
        <v>17670.345615483235</v>
      </c>
      <c r="AE126" s="11">
        <f>Y126*AB126</f>
        <v>-1779.6849038586479</v>
      </c>
      <c r="AF126" s="11">
        <f>Z126*AC126</f>
        <v>-949.3350385899636</v>
      </c>
      <c r="AG126" s="7">
        <v>17670.345615483235</v>
      </c>
      <c r="AH126" s="7">
        <v>-1779.6849038586479</v>
      </c>
      <c r="AI126" s="7">
        <v>-949.3350385899636</v>
      </c>
      <c r="AJ126" s="16">
        <f>AD126-AG126</f>
        <v>0</v>
      </c>
      <c r="AK126" s="16">
        <f>SQRT((AE126-AH126)^2+(AF126-AI126)^2)</f>
        <v>0</v>
      </c>
      <c r="AL126" s="7" t="s">
        <v>190</v>
      </c>
      <c r="AM126" s="7">
        <v>17670.345615483235</v>
      </c>
      <c r="AN126" s="7">
        <v>-1779.6849038586479</v>
      </c>
      <c r="AO126" s="7">
        <v>-949.3350385899636</v>
      </c>
      <c r="AP126" s="7">
        <v>15275.584597894342</v>
      </c>
      <c r="AQ126" s="7">
        <v>-1343.652509602612</v>
      </c>
      <c r="AR126" s="7">
        <v>-720.4923191121474</v>
      </c>
      <c r="AS126" s="7">
        <v>2394.7610175888967</v>
      </c>
      <c r="AT126" s="7">
        <v>-436.03239425603556</v>
      </c>
      <c r="AU126" s="7">
        <v>-228.84271947781608</v>
      </c>
    </row>
    <row r="127" spans="1:47" x14ac:dyDescent="0.25">
      <c r="A127" s="7" t="s">
        <v>434</v>
      </c>
      <c r="B127" s="7">
        <v>1</v>
      </c>
      <c r="C127" s="19">
        <v>210</v>
      </c>
      <c r="D127" s="7" t="s">
        <v>435</v>
      </c>
      <c r="E127" s="7" t="s">
        <v>609</v>
      </c>
      <c r="F127" s="20">
        <v>209.99999999999997</v>
      </c>
      <c r="G127" s="7" t="s">
        <v>194</v>
      </c>
      <c r="H127" s="21">
        <v>3</v>
      </c>
      <c r="I127" s="11">
        <f>MAX(('Geometry'!$G$13*COS(RADIANS(F127))+'Geometry'!$F$13*SIN(RADIANS(F127))),('Geometry'!$G$14*COS(RADIANS(F127))+'Geometry'!$F$14*SIN(RADIANS(F127))),('Geometry'!$G$15*COS(RADIANS(F127))+'Geometry'!$F$15*SIN(RADIANS(F127))),('Geometry'!$G$16*COS(RADIANS(F127))+'Geometry'!$F$16*SIN(RADIANS(F127))),('Geometry'!$G$17*COS(RADIANS(F127))+'Geometry'!$F$17*SIN(RADIANS(F127))),('Geometry'!$G$18*COS(RADIANS(F127))+'Geometry'!$F$18*SIN(RADIANS(F127))),('Geometry'!$G$19*COS(RADIANS(F127))+'Geometry'!$F$19*SIN(RADIANS(F127))),('Geometry'!$G$20*COS(RADIANS(F127))+'Geometry'!$F$20*SIN(RADIANS(F127))))</f>
        <v>794.6152422706631</v>
      </c>
      <c r="J127" s="11">
        <f>I127-H127*K127</f>
        <v>-3973.0762113533156</v>
      </c>
      <c r="K127" s="11">
        <f>I127-MIN(('Geometry'!$G$13*COS(RADIANS(F127))+'Geometry'!$F$13*SIN(RADIANS(F127))),('Geometry'!$G$14*COS(RADIANS(F127))+'Geometry'!$F$14*SIN(RADIANS(F127))),('Geometry'!$G$15*COS(RADIANS(F127))+'Geometry'!$F$15*SIN(RADIANS(F127))),('Geometry'!$G$16*COS(RADIANS(F127))+'Geometry'!$F$16*SIN(RADIANS(F127))),('Geometry'!$G$17*COS(RADIANS(F127))+'Geometry'!$F$17*SIN(RADIANS(F127))),('Geometry'!$G$18*COS(RADIANS(F127))+'Geometry'!$F$18*SIN(RADIANS(F127))),('Geometry'!$G$19*COS(RADIANS(F127))+'Geometry'!$F$19*SIN(RADIANS(F127))),('Geometry'!$G$20*COS(RADIANS(F127))+'Geometry'!$F$20*SIN(RADIANS(F127))))</f>
        <v>1589.2304845413262</v>
      </c>
      <c r="L127" s="16">
        <f>C_ecu</f>
        <v>0.0033</v>
      </c>
      <c r="M127" s="16">
        <f>0</f>
        <v>0</v>
      </c>
      <c r="N127" s="22">
        <f>IF(ABS(I127-J127)&lt;0.000000000001,0,(L127-M127)/(I127-J127))</f>
        <v>6.921588848816194e-7</v>
      </c>
      <c r="O127" s="16">
        <f>L127-N127*I127</f>
        <v>0.00275</v>
      </c>
      <c r="P127" s="22">
        <f>N127*COS(RADIANS(F127))</f>
        <v>-5.994271777625911e-7</v>
      </c>
      <c r="Q127" s="22">
        <f>N127*SIN(RADIANS(F127))</f>
        <v>-3.460794424408097e-7</v>
      </c>
      <c r="R127" s="11">
        <f>AP127</f>
        <v>15282.054175314723</v>
      </c>
      <c r="S127" s="11">
        <f>AQ127</f>
        <v>-200.48941047684545</v>
      </c>
      <c r="T127" s="11">
        <f>AR127</f>
        <v>-163.91284853268996</v>
      </c>
      <c r="U127" s="11">
        <f>AS127</f>
        <v>2388.2914401685143</v>
      </c>
      <c r="V127" s="11">
        <f>AT127</f>
        <v>-64.45718011141277</v>
      </c>
      <c r="W127" s="11">
        <f>AU127</f>
        <v>-52.54386237535152</v>
      </c>
      <c r="X127" s="11">
        <f>AM127</f>
        <v>17670.345615483235</v>
      </c>
      <c r="Y127" s="11">
        <f>AN127</f>
        <v>-264.9465905882582</v>
      </c>
      <c r="Z127" s="11">
        <f>AO127</f>
        <v>-216.4567109080415</v>
      </c>
      <c r="AA127" s="7">
        <v>1</v>
      </c>
      <c r="AB127" s="7">
        <v>1</v>
      </c>
      <c r="AC127" s="7">
        <v>1</v>
      </c>
      <c r="AD127" s="11">
        <f>X127*AA127</f>
        <v>17670.345615483235</v>
      </c>
      <c r="AE127" s="11">
        <f>Y127*AB127</f>
        <v>-264.9465905882582</v>
      </c>
      <c r="AF127" s="11">
        <f>Z127*AC127</f>
        <v>-216.4567109080415</v>
      </c>
      <c r="AG127" s="7">
        <v>17670.345615483235</v>
      </c>
      <c r="AH127" s="7">
        <v>-264.9465905882582</v>
      </c>
      <c r="AI127" s="7">
        <v>-216.4567109080415</v>
      </c>
      <c r="AJ127" s="16">
        <f>AD127-AG127</f>
        <v>0</v>
      </c>
      <c r="AK127" s="16">
        <f>SQRT((AE127-AH127)^2+(AF127-AI127)^2)</f>
        <v>0</v>
      </c>
      <c r="AL127" s="7" t="s">
        <v>190</v>
      </c>
      <c r="AM127" s="7">
        <v>17670.345615483235</v>
      </c>
      <c r="AN127" s="7">
        <v>-264.9465905882582</v>
      </c>
      <c r="AO127" s="7">
        <v>-216.4567109080415</v>
      </c>
      <c r="AP127" s="7">
        <v>15282.054175314723</v>
      </c>
      <c r="AQ127" s="7">
        <v>-200.48941047684545</v>
      </c>
      <c r="AR127" s="7">
        <v>-163.91284853268996</v>
      </c>
      <c r="AS127" s="7">
        <v>2388.2914401685143</v>
      </c>
      <c r="AT127" s="7">
        <v>-64.45718011141277</v>
      </c>
      <c r="AU127" s="7">
        <v>-52.54386237535152</v>
      </c>
    </row>
    <row r="128" spans="1:47" x14ac:dyDescent="0.25">
      <c r="A128" s="7" t="s">
        <v>436</v>
      </c>
      <c r="B128" s="7">
        <v>2</v>
      </c>
      <c r="C128" s="19">
        <v>210</v>
      </c>
      <c r="D128" s="7" t="s">
        <v>437</v>
      </c>
      <c r="E128" s="7" t="s">
        <v>610</v>
      </c>
      <c r="F128" s="20">
        <v>210.00000000000003</v>
      </c>
      <c r="G128" s="7" t="s">
        <v>194</v>
      </c>
      <c r="H128" s="21">
        <v>2</v>
      </c>
      <c r="I128" s="11">
        <f>MAX(('Geometry'!$G$13*COS(RADIANS(F128))+'Geometry'!$F$13*SIN(RADIANS(F128))),('Geometry'!$G$14*COS(RADIANS(F128))+'Geometry'!$F$14*SIN(RADIANS(F128))),('Geometry'!$G$15*COS(RADIANS(F128))+'Geometry'!$F$15*SIN(RADIANS(F128))),('Geometry'!$G$16*COS(RADIANS(F128))+'Geometry'!$F$16*SIN(RADIANS(F128))),('Geometry'!$G$17*COS(RADIANS(F128))+'Geometry'!$F$17*SIN(RADIANS(F128))),('Geometry'!$G$18*COS(RADIANS(F128))+'Geometry'!$F$18*SIN(RADIANS(F128))),('Geometry'!$G$19*COS(RADIANS(F128))+'Geometry'!$F$19*SIN(RADIANS(F128))),('Geometry'!$G$20*COS(RADIANS(F128))+'Geometry'!$F$20*SIN(RADIANS(F128))))</f>
        <v>794.6152422706632</v>
      </c>
      <c r="J128" s="11">
        <f>I128-H128*K128</f>
        <v>-2383.8457268119896</v>
      </c>
      <c r="K128" s="11">
        <f>I128-MIN(('Geometry'!$G$13*COS(RADIANS(F128))+'Geometry'!$F$13*SIN(RADIANS(F128))),('Geometry'!$G$14*COS(RADIANS(F128))+'Geometry'!$F$14*SIN(RADIANS(F128))),('Geometry'!$G$15*COS(RADIANS(F128))+'Geometry'!$F$15*SIN(RADIANS(F128))),('Geometry'!$G$16*COS(RADIANS(F128))+'Geometry'!$F$16*SIN(RADIANS(F128))),('Geometry'!$G$17*COS(RADIANS(F128))+'Geometry'!$F$17*SIN(RADIANS(F128))),('Geometry'!$G$18*COS(RADIANS(F128))+'Geometry'!$F$18*SIN(RADIANS(F128))),('Geometry'!$G$19*COS(RADIANS(F128))+'Geometry'!$F$19*SIN(RADIANS(F128))),('Geometry'!$G$20*COS(RADIANS(F128))+'Geometry'!$F$20*SIN(RADIANS(F128))))</f>
        <v>1589.2304845413264</v>
      </c>
      <c r="L128" s="16">
        <f>C_ecu</f>
        <v>0.0033</v>
      </c>
      <c r="M128" s="16">
        <f>0</f>
        <v>0</v>
      </c>
      <c r="N128" s="22">
        <f>IF(ABS(I128-J128)&lt;0.000000000001,0,(L128-M128)/(I128-J128))</f>
        <v>0.0000010382383273224289</v>
      </c>
      <c r="O128" s="16">
        <f>L128-N128*I128</f>
        <v>0.0024749999999999998</v>
      </c>
      <c r="P128" s="22">
        <f>N128*COS(RADIANS(F128))</f>
        <v>-8.991407666438866e-7</v>
      </c>
      <c r="Q128" s="22">
        <f>N128*SIN(RADIANS(F128))</f>
        <v>-5.191191636612146e-7</v>
      </c>
      <c r="R128" s="11">
        <f>AP128</f>
        <v>15282.054175314723</v>
      </c>
      <c r="S128" s="11">
        <f>AQ128</f>
        <v>-400.9788209536909</v>
      </c>
      <c r="T128" s="11">
        <f>AR128</f>
        <v>-327.8256970653799</v>
      </c>
      <c r="U128" s="11">
        <f>AS128</f>
        <v>2388.2914401685143</v>
      </c>
      <c r="V128" s="11">
        <f>AT128</f>
        <v>-128.91436022282554</v>
      </c>
      <c r="W128" s="11">
        <f>AU128</f>
        <v>-105.08772475070305</v>
      </c>
      <c r="X128" s="11">
        <f>AM128</f>
        <v>17670.345615483235</v>
      </c>
      <c r="Y128" s="11">
        <f>AN128</f>
        <v>-529.8931811765164</v>
      </c>
      <c r="Z128" s="11">
        <f>AO128</f>
        <v>-432.913421816083</v>
      </c>
      <c r="AA128" s="7">
        <v>1</v>
      </c>
      <c r="AB128" s="7">
        <v>1</v>
      </c>
      <c r="AC128" s="7">
        <v>1</v>
      </c>
      <c r="AD128" s="11">
        <f>X128*AA128</f>
        <v>17670.345615483235</v>
      </c>
      <c r="AE128" s="11">
        <f>Y128*AB128</f>
        <v>-529.8931811765164</v>
      </c>
      <c r="AF128" s="11">
        <f>Z128*AC128</f>
        <v>-432.913421816083</v>
      </c>
      <c r="AG128" s="7">
        <v>17670.345615483235</v>
      </c>
      <c r="AH128" s="7">
        <v>-529.8931811765164</v>
      </c>
      <c r="AI128" s="7">
        <v>-432.913421816083</v>
      </c>
      <c r="AJ128" s="16">
        <f>AD128-AG128</f>
        <v>0</v>
      </c>
      <c r="AK128" s="16">
        <f>SQRT((AE128-AH128)^2+(AF128-AI128)^2)</f>
        <v>0</v>
      </c>
      <c r="AL128" s="7" t="s">
        <v>190</v>
      </c>
      <c r="AM128" s="7">
        <v>17670.345615483235</v>
      </c>
      <c r="AN128" s="7">
        <v>-529.8931811765164</v>
      </c>
      <c r="AO128" s="7">
        <v>-432.913421816083</v>
      </c>
      <c r="AP128" s="7">
        <v>15282.054175314723</v>
      </c>
      <c r="AQ128" s="7">
        <v>-400.9788209536909</v>
      </c>
      <c r="AR128" s="7">
        <v>-327.8256970653799</v>
      </c>
      <c r="AS128" s="7">
        <v>2388.2914401685143</v>
      </c>
      <c r="AT128" s="7">
        <v>-128.91436022282554</v>
      </c>
      <c r="AU128" s="7">
        <v>-105.08772475070305</v>
      </c>
    </row>
    <row r="129" spans="1:47" x14ac:dyDescent="0.25">
      <c r="A129" s="7" t="s">
        <v>438</v>
      </c>
      <c r="B129" s="7">
        <v>3</v>
      </c>
      <c r="C129" s="19">
        <v>210</v>
      </c>
      <c r="D129" s="7" t="s">
        <v>439</v>
      </c>
      <c r="E129" s="7" t="s">
        <v>611</v>
      </c>
      <c r="F129" s="20">
        <v>209.99999999999997</v>
      </c>
      <c r="G129" s="7" t="s">
        <v>194</v>
      </c>
      <c r="H129" s="21">
        <v>1.5000000000000002</v>
      </c>
      <c r="I129" s="11">
        <f>MAX(('Geometry'!$G$13*COS(RADIANS(F129))+'Geometry'!$F$13*SIN(RADIANS(F129))),('Geometry'!$G$14*COS(RADIANS(F129))+'Geometry'!$F$14*SIN(RADIANS(F129))),('Geometry'!$G$15*COS(RADIANS(F129))+'Geometry'!$F$15*SIN(RADIANS(F129))),('Geometry'!$G$16*COS(RADIANS(F129))+'Geometry'!$F$16*SIN(RADIANS(F129))),('Geometry'!$G$17*COS(RADIANS(F129))+'Geometry'!$F$17*SIN(RADIANS(F129))),('Geometry'!$G$18*COS(RADIANS(F129))+'Geometry'!$F$18*SIN(RADIANS(F129))),('Geometry'!$G$19*COS(RADIANS(F129))+'Geometry'!$F$19*SIN(RADIANS(F129))),('Geometry'!$G$20*COS(RADIANS(F129))+'Geometry'!$F$20*SIN(RADIANS(F129))))</f>
        <v>794.6152422706631</v>
      </c>
      <c r="J129" s="11">
        <f>I129-H129*K129</f>
        <v>-1589.2304845413264</v>
      </c>
      <c r="K129" s="11">
        <f>I129-MIN(('Geometry'!$G$13*COS(RADIANS(F129))+'Geometry'!$F$13*SIN(RADIANS(F129))),('Geometry'!$G$14*COS(RADIANS(F129))+'Geometry'!$F$14*SIN(RADIANS(F129))),('Geometry'!$G$15*COS(RADIANS(F129))+'Geometry'!$F$15*SIN(RADIANS(F129))),('Geometry'!$G$16*COS(RADIANS(F129))+'Geometry'!$F$16*SIN(RADIANS(F129))),('Geometry'!$G$17*COS(RADIANS(F129))+'Geometry'!$F$17*SIN(RADIANS(F129))),('Geometry'!$G$18*COS(RADIANS(F129))+'Geometry'!$F$18*SIN(RADIANS(F129))),('Geometry'!$G$19*COS(RADIANS(F129))+'Geometry'!$F$19*SIN(RADIANS(F129))),('Geometry'!$G$20*COS(RADIANS(F129))+'Geometry'!$F$20*SIN(RADIANS(F129))))</f>
        <v>1589.2304845413262</v>
      </c>
      <c r="L129" s="16">
        <f>C_ecu</f>
        <v>0.0033</v>
      </c>
      <c r="M129" s="16">
        <f>0</f>
        <v>0</v>
      </c>
      <c r="N129" s="22">
        <f>IF(ABS(I129-J129)&lt;0.000000000001,0,(L129-M129)/(I129-J129))</f>
        <v>0.0000013843177697632387</v>
      </c>
      <c r="O129" s="16">
        <f>L129-N129*I129</f>
        <v>0.0022</v>
      </c>
      <c r="P129" s="22">
        <f>N129*COS(RADIANS(F129))</f>
        <v>-0.0000011988543555251822</v>
      </c>
      <c r="Q129" s="22">
        <f>N129*SIN(RADIANS(F129))</f>
        <v>-6.921588848816194e-7</v>
      </c>
      <c r="R129" s="11">
        <f>AP129</f>
        <v>15282.054175314723</v>
      </c>
      <c r="S129" s="11">
        <f>AQ129</f>
        <v>-601.4682314305363</v>
      </c>
      <c r="T129" s="11">
        <f>AR129</f>
        <v>-491.7385455980698</v>
      </c>
      <c r="U129" s="11">
        <f>AS129</f>
        <v>2388.2914401685143</v>
      </c>
      <c r="V129" s="11">
        <f>AT129</f>
        <v>-193.37154033423826</v>
      </c>
      <c r="W129" s="11">
        <f>AU129</f>
        <v>-157.63158712605457</v>
      </c>
      <c r="X129" s="11">
        <f>AM129</f>
        <v>17670.345615483235</v>
      </c>
      <c r="Y129" s="11">
        <f>AN129</f>
        <v>-794.8397717647745</v>
      </c>
      <c r="Z129" s="11">
        <f>AO129</f>
        <v>-649.3701327241245</v>
      </c>
      <c r="AA129" s="7">
        <v>1</v>
      </c>
      <c r="AB129" s="7">
        <v>1</v>
      </c>
      <c r="AC129" s="7">
        <v>1</v>
      </c>
      <c r="AD129" s="11">
        <f>X129*AA129</f>
        <v>17670.345615483235</v>
      </c>
      <c r="AE129" s="11">
        <f>Y129*AB129</f>
        <v>-794.8397717647745</v>
      </c>
      <c r="AF129" s="11">
        <f>Z129*AC129</f>
        <v>-649.3701327241245</v>
      </c>
      <c r="AG129" s="7">
        <v>17670.345615483235</v>
      </c>
      <c r="AH129" s="7">
        <v>-794.8397717647745</v>
      </c>
      <c r="AI129" s="7">
        <v>-649.3701327241245</v>
      </c>
      <c r="AJ129" s="16">
        <f>AD129-AG129</f>
        <v>0</v>
      </c>
      <c r="AK129" s="16">
        <f>SQRT((AE129-AH129)^2+(AF129-AI129)^2)</f>
        <v>0</v>
      </c>
      <c r="AL129" s="7" t="s">
        <v>190</v>
      </c>
      <c r="AM129" s="7">
        <v>17670.345615483235</v>
      </c>
      <c r="AN129" s="7">
        <v>-794.8397717647745</v>
      </c>
      <c r="AO129" s="7">
        <v>-649.3701327241245</v>
      </c>
      <c r="AP129" s="7">
        <v>15282.054175314723</v>
      </c>
      <c r="AQ129" s="7">
        <v>-601.4682314305363</v>
      </c>
      <c r="AR129" s="7">
        <v>-491.7385455980698</v>
      </c>
      <c r="AS129" s="7">
        <v>2388.2914401685143</v>
      </c>
      <c r="AT129" s="7">
        <v>-193.37154033423826</v>
      </c>
      <c r="AU129" s="7">
        <v>-157.63158712605457</v>
      </c>
    </row>
    <row r="130" spans="1:47" x14ac:dyDescent="0.25">
      <c r="A130" s="7" t="s">
        <v>440</v>
      </c>
      <c r="B130" s="7">
        <v>4</v>
      </c>
      <c r="C130" s="19">
        <v>210</v>
      </c>
      <c r="D130" s="7" t="s">
        <v>441</v>
      </c>
      <c r="E130" s="7" t="s">
        <v>612</v>
      </c>
      <c r="F130" s="20">
        <v>210.00000000000003</v>
      </c>
      <c r="G130" s="7" t="s">
        <v>194</v>
      </c>
      <c r="H130" s="21">
        <v>1.2</v>
      </c>
      <c r="I130" s="11">
        <f>MAX(('Geometry'!$G$13*COS(RADIANS(F130))+'Geometry'!$F$13*SIN(RADIANS(F130))),('Geometry'!$G$14*COS(RADIANS(F130))+'Geometry'!$F$14*SIN(RADIANS(F130))),('Geometry'!$G$15*COS(RADIANS(F130))+'Geometry'!$F$15*SIN(RADIANS(F130))),('Geometry'!$G$16*COS(RADIANS(F130))+'Geometry'!$F$16*SIN(RADIANS(F130))),('Geometry'!$G$17*COS(RADIANS(F130))+'Geometry'!$F$17*SIN(RADIANS(F130))),('Geometry'!$G$18*COS(RADIANS(F130))+'Geometry'!$F$18*SIN(RADIANS(F130))),('Geometry'!$G$19*COS(RADIANS(F130))+'Geometry'!$F$19*SIN(RADIANS(F130))),('Geometry'!$G$20*COS(RADIANS(F130))+'Geometry'!$F$20*SIN(RADIANS(F130))))</f>
        <v>794.6152422706632</v>
      </c>
      <c r="J130" s="11">
        <f>I130-H130*K130</f>
        <v>-1112.4613391789285</v>
      </c>
      <c r="K130" s="11">
        <f>I130-MIN(('Geometry'!$G$13*COS(RADIANS(F130))+'Geometry'!$F$13*SIN(RADIANS(F130))),('Geometry'!$G$14*COS(RADIANS(F130))+'Geometry'!$F$14*SIN(RADIANS(F130))),('Geometry'!$G$15*COS(RADIANS(F130))+'Geometry'!$F$15*SIN(RADIANS(F130))),('Geometry'!$G$16*COS(RADIANS(F130))+'Geometry'!$F$16*SIN(RADIANS(F130))),('Geometry'!$G$17*COS(RADIANS(F130))+'Geometry'!$F$17*SIN(RADIANS(F130))),('Geometry'!$G$18*COS(RADIANS(F130))+'Geometry'!$F$18*SIN(RADIANS(F130))),('Geometry'!$G$19*COS(RADIANS(F130))+'Geometry'!$F$19*SIN(RADIANS(F130))),('Geometry'!$G$20*COS(RADIANS(F130))+'Geometry'!$F$20*SIN(RADIANS(F130))))</f>
        <v>1589.2304845413264</v>
      </c>
      <c r="L130" s="16">
        <f>C_ecu</f>
        <v>0.0033</v>
      </c>
      <c r="M130" s="16">
        <f>0</f>
        <v>0</v>
      </c>
      <c r="N130" s="22">
        <f>IF(ABS(I130-J130)&lt;0.000000000001,0,(L130-M130)/(I130-J130))</f>
        <v>0.0000017303972122040484</v>
      </c>
      <c r="O130" s="16">
        <f>L130-N130*I130</f>
        <v>0.001925</v>
      </c>
      <c r="P130" s="22">
        <f>N130*COS(RADIANS(F130))</f>
        <v>-0.0000014985679444064777</v>
      </c>
      <c r="Q130" s="22">
        <f>N130*SIN(RADIANS(F130))</f>
        <v>-8.651986061020243e-7</v>
      </c>
      <c r="R130" s="11">
        <f>AP130</f>
        <v>15282.054175314723</v>
      </c>
      <c r="S130" s="11">
        <f>AQ130</f>
        <v>-801.9576419073818</v>
      </c>
      <c r="T130" s="11">
        <f>AR130</f>
        <v>-655.6513941307599</v>
      </c>
      <c r="U130" s="11">
        <f>AS130</f>
        <v>2388.2914401685143</v>
      </c>
      <c r="V130" s="11">
        <f>AT130</f>
        <v>-257.8287204456511</v>
      </c>
      <c r="W130" s="11">
        <f>AU130</f>
        <v>-210.1754495014061</v>
      </c>
      <c r="X130" s="11">
        <f>AM130</f>
        <v>17670.345615483235</v>
      </c>
      <c r="Y130" s="11">
        <f>AN130</f>
        <v>-1059.7863623530327</v>
      </c>
      <c r="Z130" s="11">
        <f>AO130</f>
        <v>-865.826843632166</v>
      </c>
      <c r="AA130" s="7">
        <v>1</v>
      </c>
      <c r="AB130" s="7">
        <v>1</v>
      </c>
      <c r="AC130" s="7">
        <v>1</v>
      </c>
      <c r="AD130" s="11">
        <f>X130*AA130</f>
        <v>17670.345615483235</v>
      </c>
      <c r="AE130" s="11">
        <f>Y130*AB130</f>
        <v>-1059.7863623530327</v>
      </c>
      <c r="AF130" s="11">
        <f>Z130*AC130</f>
        <v>-865.826843632166</v>
      </c>
      <c r="AG130" s="7">
        <v>17670.345615483235</v>
      </c>
      <c r="AH130" s="7">
        <v>-1059.7863623530327</v>
      </c>
      <c r="AI130" s="7">
        <v>-865.826843632166</v>
      </c>
      <c r="AJ130" s="16">
        <f>AD130-AG130</f>
        <v>0</v>
      </c>
      <c r="AK130" s="16">
        <f>SQRT((AE130-AH130)^2+(AF130-AI130)^2)</f>
        <v>0</v>
      </c>
      <c r="AL130" s="7" t="s">
        <v>190</v>
      </c>
      <c r="AM130" s="7">
        <v>17670.345615483235</v>
      </c>
      <c r="AN130" s="7">
        <v>-1059.7863623530327</v>
      </c>
      <c r="AO130" s="7">
        <v>-865.826843632166</v>
      </c>
      <c r="AP130" s="7">
        <v>15282.054175314723</v>
      </c>
      <c r="AQ130" s="7">
        <v>-801.9576419073818</v>
      </c>
      <c r="AR130" s="7">
        <v>-655.6513941307599</v>
      </c>
      <c r="AS130" s="7">
        <v>2388.2914401685143</v>
      </c>
      <c r="AT130" s="7">
        <v>-257.8287204456511</v>
      </c>
      <c r="AU130" s="7">
        <v>-210.1754495014061</v>
      </c>
    </row>
    <row r="131" spans="1:47" x14ac:dyDescent="0.25">
      <c r="A131" s="7" t="s">
        <v>442</v>
      </c>
      <c r="B131" s="7">
        <v>5</v>
      </c>
      <c r="C131" s="19">
        <v>210</v>
      </c>
      <c r="D131" s="7" t="s">
        <v>443</v>
      </c>
      <c r="E131" s="7" t="s">
        <v>613</v>
      </c>
      <c r="F131" s="20">
        <v>210.00000000000003</v>
      </c>
      <c r="G131" s="7" t="s">
        <v>194</v>
      </c>
      <c r="H131" s="21">
        <v>1.1</v>
      </c>
      <c r="I131" s="11">
        <f>MAX(('Geometry'!$G$13*COS(RADIANS(F131))+'Geometry'!$F$13*SIN(RADIANS(F131))),('Geometry'!$G$14*COS(RADIANS(F131))+'Geometry'!$F$14*SIN(RADIANS(F131))),('Geometry'!$G$15*COS(RADIANS(F131))+'Geometry'!$F$15*SIN(RADIANS(F131))),('Geometry'!$G$16*COS(RADIANS(F131))+'Geometry'!$F$16*SIN(RADIANS(F131))),('Geometry'!$G$17*COS(RADIANS(F131))+'Geometry'!$F$17*SIN(RADIANS(F131))),('Geometry'!$G$18*COS(RADIANS(F131))+'Geometry'!$F$18*SIN(RADIANS(F131))),('Geometry'!$G$19*COS(RADIANS(F131))+'Geometry'!$F$19*SIN(RADIANS(F131))),('Geometry'!$G$20*COS(RADIANS(F131))+'Geometry'!$F$20*SIN(RADIANS(F131))))</f>
        <v>794.6152422706632</v>
      </c>
      <c r="J131" s="11">
        <f>I131-H131*K131</f>
        <v>-953.5382907247961</v>
      </c>
      <c r="K131" s="11">
        <f>I131-MIN(('Geometry'!$G$13*COS(RADIANS(F131))+'Geometry'!$F$13*SIN(RADIANS(F131))),('Geometry'!$G$14*COS(RADIANS(F131))+'Geometry'!$F$14*SIN(RADIANS(F131))),('Geometry'!$G$15*COS(RADIANS(F131))+'Geometry'!$F$15*SIN(RADIANS(F131))),('Geometry'!$G$16*COS(RADIANS(F131))+'Geometry'!$F$16*SIN(RADIANS(F131))),('Geometry'!$G$17*COS(RADIANS(F131))+'Geometry'!$F$17*SIN(RADIANS(F131))),('Geometry'!$G$18*COS(RADIANS(F131))+'Geometry'!$F$18*SIN(RADIANS(F131))),('Geometry'!$G$19*COS(RADIANS(F131))+'Geometry'!$F$19*SIN(RADIANS(F131))),('Geometry'!$G$20*COS(RADIANS(F131))+'Geometry'!$F$20*SIN(RADIANS(F131))))</f>
        <v>1589.2304845413264</v>
      </c>
      <c r="L131" s="16">
        <f>C_ecu</f>
        <v>0.0033</v>
      </c>
      <c r="M131" s="16">
        <f>0</f>
        <v>0</v>
      </c>
      <c r="N131" s="22">
        <f>IF(ABS(I131-J131)&lt;0.000000000001,0,(L131-M131)/(I131-J131))</f>
        <v>0.0000018877060496771433</v>
      </c>
      <c r="O131" s="16">
        <f>L131-N131*I131</f>
        <v>0.0018000000000000002</v>
      </c>
      <c r="P131" s="22">
        <f>N131*COS(RADIANS(F131))</f>
        <v>-0.0000016348013938979755</v>
      </c>
      <c r="Q131" s="22">
        <f>N131*SIN(RADIANS(F131))</f>
        <v>-9.438530248385719e-7</v>
      </c>
      <c r="R131" s="11">
        <f>AP131</f>
        <v>15282.054175314723</v>
      </c>
      <c r="S131" s="11">
        <f>AQ131</f>
        <v>-1002.4470523842272</v>
      </c>
      <c r="T131" s="11">
        <f>AR131</f>
        <v>-819.5642426634496</v>
      </c>
      <c r="U131" s="11">
        <f>AS131</f>
        <v>2388.2914401685143</v>
      </c>
      <c r="V131" s="11">
        <f>AT131</f>
        <v>-322.28590055706377</v>
      </c>
      <c r="W131" s="11">
        <f>AU131</f>
        <v>-262.7193118767576</v>
      </c>
      <c r="X131" s="11">
        <f>AM131</f>
        <v>17670.345615483235</v>
      </c>
      <c r="Y131" s="11">
        <f>AN131</f>
        <v>-1324.7329529412907</v>
      </c>
      <c r="Z131" s="11">
        <f>AO131</f>
        <v>-1082.2835545402074</v>
      </c>
      <c r="AA131" s="7">
        <v>1</v>
      </c>
      <c r="AB131" s="7">
        <v>1</v>
      </c>
      <c r="AC131" s="7">
        <v>1</v>
      </c>
      <c r="AD131" s="11">
        <f>X131*AA131</f>
        <v>17670.345615483235</v>
      </c>
      <c r="AE131" s="11">
        <f>Y131*AB131</f>
        <v>-1324.7329529412907</v>
      </c>
      <c r="AF131" s="11">
        <f>Z131*AC131</f>
        <v>-1082.2835545402074</v>
      </c>
      <c r="AG131" s="7">
        <v>17670.345615483235</v>
      </c>
      <c r="AH131" s="7">
        <v>-1324.7329529412907</v>
      </c>
      <c r="AI131" s="7">
        <v>-1082.2835545402074</v>
      </c>
      <c r="AJ131" s="16">
        <f>AD131-AG131</f>
        <v>0</v>
      </c>
      <c r="AK131" s="16">
        <f>SQRT((AE131-AH131)^2+(AF131-AI131)^2)</f>
        <v>0</v>
      </c>
      <c r="AL131" s="7" t="s">
        <v>190</v>
      </c>
      <c r="AM131" s="7">
        <v>17670.345615483235</v>
      </c>
      <c r="AN131" s="7">
        <v>-1324.7329529412907</v>
      </c>
      <c r="AO131" s="7">
        <v>-1082.2835545402074</v>
      </c>
      <c r="AP131" s="7">
        <v>15282.054175314723</v>
      </c>
      <c r="AQ131" s="7">
        <v>-1002.4470523842272</v>
      </c>
      <c r="AR131" s="7">
        <v>-819.5642426634496</v>
      </c>
      <c r="AS131" s="7">
        <v>2388.2914401685143</v>
      </c>
      <c r="AT131" s="7">
        <v>-322.28590055706377</v>
      </c>
      <c r="AU131" s="7">
        <v>-262.7193118767576</v>
      </c>
    </row>
    <row r="132" spans="1:47" x14ac:dyDescent="0.25">
      <c r="A132" s="7" t="s">
        <v>444</v>
      </c>
      <c r="B132" s="7">
        <v>6</v>
      </c>
      <c r="C132" s="19">
        <v>210</v>
      </c>
      <c r="D132" s="7" t="s">
        <v>445</v>
      </c>
      <c r="E132" s="7" t="s">
        <v>614</v>
      </c>
      <c r="F132" s="20">
        <v>210.00000000000003</v>
      </c>
      <c r="G132" s="7" t="s">
        <v>194</v>
      </c>
      <c r="H132" s="21">
        <v>1</v>
      </c>
      <c r="I132" s="11">
        <f>MAX(('Geometry'!$G$13*COS(RADIANS(F132))+'Geometry'!$F$13*SIN(RADIANS(F132))),('Geometry'!$G$14*COS(RADIANS(F132))+'Geometry'!$F$14*SIN(RADIANS(F132))),('Geometry'!$G$15*COS(RADIANS(F132))+'Geometry'!$F$15*SIN(RADIANS(F132))),('Geometry'!$G$16*COS(RADIANS(F132))+'Geometry'!$F$16*SIN(RADIANS(F132))),('Geometry'!$G$17*COS(RADIANS(F132))+'Geometry'!$F$17*SIN(RADIANS(F132))),('Geometry'!$G$18*COS(RADIANS(F132))+'Geometry'!$F$18*SIN(RADIANS(F132))),('Geometry'!$G$19*COS(RADIANS(F132))+'Geometry'!$F$19*SIN(RADIANS(F132))),('Geometry'!$G$20*COS(RADIANS(F132))+'Geometry'!$F$20*SIN(RADIANS(F132))))</f>
        <v>794.6152422706632</v>
      </c>
      <c r="J132" s="11">
        <f>I132-H132*K132</f>
        <v>-794.6152422706632</v>
      </c>
      <c r="K132" s="11">
        <f>I132-MIN(('Geometry'!$G$13*COS(RADIANS(F132))+'Geometry'!$F$13*SIN(RADIANS(F132))),('Geometry'!$G$14*COS(RADIANS(F132))+'Geometry'!$F$14*SIN(RADIANS(F132))),('Geometry'!$G$15*COS(RADIANS(F132))+'Geometry'!$F$15*SIN(RADIANS(F132))),('Geometry'!$G$16*COS(RADIANS(F132))+'Geometry'!$F$16*SIN(RADIANS(F132))),('Geometry'!$G$17*COS(RADIANS(F132))+'Geometry'!$F$17*SIN(RADIANS(F132))),('Geometry'!$G$18*COS(RADIANS(F132))+'Geometry'!$F$18*SIN(RADIANS(F132))),('Geometry'!$G$19*COS(RADIANS(F132))+'Geometry'!$F$19*SIN(RADIANS(F132))),('Geometry'!$G$20*COS(RADIANS(F132))+'Geometry'!$F$20*SIN(RADIANS(F132))))</f>
        <v>1589.2304845413264</v>
      </c>
      <c r="L132" s="16">
        <f>C_ecu</f>
        <v>0.0033</v>
      </c>
      <c r="M132" s="16">
        <f>0</f>
        <v>0</v>
      </c>
      <c r="N132" s="22">
        <f>IF(ABS(I132-J132)&lt;0.000000000001,0,(L132-M132)/(I132-J132))</f>
        <v>0.0000020764766546448578</v>
      </c>
      <c r="O132" s="16">
        <f>L132-N132*I132</f>
        <v>0.00165</v>
      </c>
      <c r="P132" s="22">
        <f>N132*COS(RADIANS(F132))</f>
        <v>-0.0000017982815332877731</v>
      </c>
      <c r="Q132" s="22">
        <f>N132*SIN(RADIANS(F132))</f>
        <v>-0.000001038238327322429</v>
      </c>
      <c r="R132" s="11">
        <f>AP132</f>
        <v>15282.054175314723</v>
      </c>
      <c r="S132" s="11">
        <f>AQ132</f>
        <v>-1202.9364628610726</v>
      </c>
      <c r="T132" s="11">
        <f>AR132</f>
        <v>-983.4770911961396</v>
      </c>
      <c r="U132" s="11">
        <f>AS132</f>
        <v>2388.2914401685143</v>
      </c>
      <c r="V132" s="11">
        <f>AT132</f>
        <v>-386.7430806684765</v>
      </c>
      <c r="W132" s="11">
        <f>AU132</f>
        <v>-315.26317425210914</v>
      </c>
      <c r="X132" s="11">
        <f>AM132</f>
        <v>17670.345615483235</v>
      </c>
      <c r="Y132" s="11">
        <f>AN132</f>
        <v>-1589.679543529549</v>
      </c>
      <c r="Z132" s="11">
        <f>AO132</f>
        <v>-1298.740265448249</v>
      </c>
      <c r="AA132" s="7">
        <v>1</v>
      </c>
      <c r="AB132" s="7">
        <v>1</v>
      </c>
      <c r="AC132" s="7">
        <v>1</v>
      </c>
      <c r="AD132" s="11">
        <f>X132*AA132</f>
        <v>17670.345615483235</v>
      </c>
      <c r="AE132" s="11">
        <f>Y132*AB132</f>
        <v>-1589.679543529549</v>
      </c>
      <c r="AF132" s="11">
        <f>Z132*AC132</f>
        <v>-1298.740265448249</v>
      </c>
      <c r="AG132" s="7">
        <v>17670.345615483235</v>
      </c>
      <c r="AH132" s="7">
        <v>-1589.679543529549</v>
      </c>
      <c r="AI132" s="7">
        <v>-1298.740265448249</v>
      </c>
      <c r="AJ132" s="16">
        <f>AD132-AG132</f>
        <v>0</v>
      </c>
      <c r="AK132" s="16">
        <f>SQRT((AE132-AH132)^2+(AF132-AI132)^2)</f>
        <v>0</v>
      </c>
      <c r="AL132" s="7" t="s">
        <v>190</v>
      </c>
      <c r="AM132" s="7">
        <v>17670.345615483235</v>
      </c>
      <c r="AN132" s="7">
        <v>-1589.679543529549</v>
      </c>
      <c r="AO132" s="7">
        <v>-1298.740265448249</v>
      </c>
      <c r="AP132" s="7">
        <v>15282.054175314723</v>
      </c>
      <c r="AQ132" s="7">
        <v>-1202.9364628610726</v>
      </c>
      <c r="AR132" s="7">
        <v>-983.4770911961396</v>
      </c>
      <c r="AS132" s="7">
        <v>2388.2914401685143</v>
      </c>
      <c r="AT132" s="7">
        <v>-386.7430806684765</v>
      </c>
      <c r="AU132" s="7">
        <v>-315.26317425210914</v>
      </c>
    </row>
    <row r="133" spans="1:47" x14ac:dyDescent="0.25">
      <c r="A133" s="7" t="s">
        <v>446</v>
      </c>
      <c r="B133" s="7">
        <v>1</v>
      </c>
      <c r="C133" s="19">
        <v>220</v>
      </c>
      <c r="D133" s="7" t="s">
        <v>447</v>
      </c>
      <c r="E133" s="7" t="s">
        <v>609</v>
      </c>
      <c r="F133" s="20">
        <v>219.99999999999994</v>
      </c>
      <c r="G133" s="7" t="s">
        <v>194</v>
      </c>
      <c r="H133" s="21">
        <v>3.000000000000001</v>
      </c>
      <c r="I133" s="11">
        <f>MAX(('Geometry'!$G$13*COS(RADIANS(F133))+'Geometry'!$F$13*SIN(RADIANS(F133))),('Geometry'!$G$14*COS(RADIANS(F133))+'Geometry'!$F$14*SIN(RADIANS(F133))),('Geometry'!$G$15*COS(RADIANS(F133))+'Geometry'!$F$15*SIN(RADIANS(F133))),('Geometry'!$G$16*COS(RADIANS(F133))+'Geometry'!$F$16*SIN(RADIANS(F133))),('Geometry'!$G$17*COS(RADIANS(F133))+'Geometry'!$F$17*SIN(RADIANS(F133))),('Geometry'!$G$18*COS(RADIANS(F133))+'Geometry'!$F$18*SIN(RADIANS(F133))),('Geometry'!$G$19*COS(RADIANS(F133))+'Geometry'!$F$19*SIN(RADIANS(F133))),('Geometry'!$G$20*COS(RADIANS(F133))+'Geometry'!$F$20*SIN(RADIANS(F133))))</f>
        <v>813.1598511989833</v>
      </c>
      <c r="J133" s="11">
        <f>I133-H133*K133</f>
        <v>-4065.7992559949175</v>
      </c>
      <c r="K133" s="11">
        <f>I133-MIN(('Geometry'!$G$13*COS(RADIANS(F133))+'Geometry'!$F$13*SIN(RADIANS(F133))),('Geometry'!$G$14*COS(RADIANS(F133))+'Geometry'!$F$14*SIN(RADIANS(F133))),('Geometry'!$G$15*COS(RADIANS(F133))+'Geometry'!$F$15*SIN(RADIANS(F133))),('Geometry'!$G$16*COS(RADIANS(F133))+'Geometry'!$F$16*SIN(RADIANS(F133))),('Geometry'!$G$17*COS(RADIANS(F133))+'Geometry'!$F$17*SIN(RADIANS(F133))),('Geometry'!$G$18*COS(RADIANS(F133))+'Geometry'!$F$18*SIN(RADIANS(F133))),('Geometry'!$G$19*COS(RADIANS(F133))+'Geometry'!$F$19*SIN(RADIANS(F133))),('Geometry'!$G$20*COS(RADIANS(F133))+'Geometry'!$F$20*SIN(RADIANS(F133))))</f>
        <v>1626.3197023979667</v>
      </c>
      <c r="L133" s="16">
        <f>C_ecu</f>
        <v>0.0033</v>
      </c>
      <c r="M133" s="16">
        <f>0</f>
        <v>0</v>
      </c>
      <c r="N133" s="22">
        <f>IF(ABS(I133-J133)&lt;0.000000000001,0,(L133-M133)/(I133-J133))</f>
        <v>6.763737771719041e-7</v>
      </c>
      <c r="O133" s="16">
        <f>L133-N133*I133</f>
        <v>0.00275</v>
      </c>
      <c r="P133" s="22">
        <f>N133*COS(RADIANS(F133))</f>
        <v>-5.181323734739312e-7</v>
      </c>
      <c r="Q133" s="22">
        <f>N133*SIN(RADIANS(F133))</f>
        <v>-4.3476468348298396e-7</v>
      </c>
      <c r="R133" s="11">
        <f>AP133</f>
        <v>15280.23649877504</v>
      </c>
      <c r="S133" s="11">
        <f>AQ133</f>
        <v>-177.1664342608735</v>
      </c>
      <c r="T133" s="11">
        <f>AR133</f>
        <v>-203.47258915346438</v>
      </c>
      <c r="U133" s="11">
        <f>AS133</f>
        <v>2390.1091167081927</v>
      </c>
      <c r="V133" s="11">
        <f>AT133</f>
        <v>-56.5876527158537</v>
      </c>
      <c r="W133" s="11">
        <f>AU133</f>
        <v>-65.06431870924268</v>
      </c>
      <c r="X133" s="11">
        <f>AM133</f>
        <v>17670.345615483235</v>
      </c>
      <c r="Y133" s="11">
        <f>AN133</f>
        <v>-233.7540869767272</v>
      </c>
      <c r="Z133" s="11">
        <f>AO133</f>
        <v>-268.53690786270704</v>
      </c>
      <c r="AA133" s="7">
        <v>1</v>
      </c>
      <c r="AB133" s="7">
        <v>1</v>
      </c>
      <c r="AC133" s="7">
        <v>1</v>
      </c>
      <c r="AD133" s="11">
        <f>X133*AA133</f>
        <v>17670.345615483235</v>
      </c>
      <c r="AE133" s="11">
        <f>Y133*AB133</f>
        <v>-233.7540869767272</v>
      </c>
      <c r="AF133" s="11">
        <f>Z133*AC133</f>
        <v>-268.53690786270704</v>
      </c>
      <c r="AG133" s="7">
        <v>17670.345615483235</v>
      </c>
      <c r="AH133" s="7">
        <v>-233.7540869767272</v>
      </c>
      <c r="AI133" s="7">
        <v>-268.53690786270704</v>
      </c>
      <c r="AJ133" s="16">
        <f>AD133-AG133</f>
        <v>0</v>
      </c>
      <c r="AK133" s="16">
        <f>SQRT((AE133-AH133)^2+(AF133-AI133)^2)</f>
        <v>0</v>
      </c>
      <c r="AL133" s="7" t="s">
        <v>190</v>
      </c>
      <c r="AM133" s="7">
        <v>17670.345615483235</v>
      </c>
      <c r="AN133" s="7">
        <v>-233.7540869767272</v>
      </c>
      <c r="AO133" s="7">
        <v>-268.53690786270704</v>
      </c>
      <c r="AP133" s="7">
        <v>15280.23649877504</v>
      </c>
      <c r="AQ133" s="7">
        <v>-177.1664342608735</v>
      </c>
      <c r="AR133" s="7">
        <v>-203.47258915346438</v>
      </c>
      <c r="AS133" s="7">
        <v>2390.1091167081927</v>
      </c>
      <c r="AT133" s="7">
        <v>-56.5876527158537</v>
      </c>
      <c r="AU133" s="7">
        <v>-65.06431870924268</v>
      </c>
    </row>
    <row r="134" spans="1:47" x14ac:dyDescent="0.25">
      <c r="A134" s="7" t="s">
        <v>448</v>
      </c>
      <c r="B134" s="7">
        <v>2</v>
      </c>
      <c r="C134" s="19">
        <v>220</v>
      </c>
      <c r="D134" s="7" t="s">
        <v>449</v>
      </c>
      <c r="E134" s="7" t="s">
        <v>610</v>
      </c>
      <c r="F134" s="20">
        <v>219.99999999999994</v>
      </c>
      <c r="G134" s="7" t="s">
        <v>194</v>
      </c>
      <c r="H134" s="21">
        <v>2.0000000000000004</v>
      </c>
      <c r="I134" s="11">
        <f>MAX(('Geometry'!$G$13*COS(RADIANS(F134))+'Geometry'!$F$13*SIN(RADIANS(F134))),('Geometry'!$G$14*COS(RADIANS(F134))+'Geometry'!$F$14*SIN(RADIANS(F134))),('Geometry'!$G$15*COS(RADIANS(F134))+'Geometry'!$F$15*SIN(RADIANS(F134))),('Geometry'!$G$16*COS(RADIANS(F134))+'Geometry'!$F$16*SIN(RADIANS(F134))),('Geometry'!$G$17*COS(RADIANS(F134))+'Geometry'!$F$17*SIN(RADIANS(F134))),('Geometry'!$G$18*COS(RADIANS(F134))+'Geometry'!$F$18*SIN(RADIANS(F134))),('Geometry'!$G$19*COS(RADIANS(F134))+'Geometry'!$F$19*SIN(RADIANS(F134))),('Geometry'!$G$20*COS(RADIANS(F134))+'Geometry'!$F$20*SIN(RADIANS(F134))))</f>
        <v>813.1598511989833</v>
      </c>
      <c r="J134" s="11">
        <f>I134-H134*K134</f>
        <v>-2439.4795535969506</v>
      </c>
      <c r="K134" s="11">
        <f>I134-MIN(('Geometry'!$G$13*COS(RADIANS(F134))+'Geometry'!$F$13*SIN(RADIANS(F134))),('Geometry'!$G$14*COS(RADIANS(F134))+'Geometry'!$F$14*SIN(RADIANS(F134))),('Geometry'!$G$15*COS(RADIANS(F134))+'Geometry'!$F$15*SIN(RADIANS(F134))),('Geometry'!$G$16*COS(RADIANS(F134))+'Geometry'!$F$16*SIN(RADIANS(F134))),('Geometry'!$G$17*COS(RADIANS(F134))+'Geometry'!$F$17*SIN(RADIANS(F134))),('Geometry'!$G$18*COS(RADIANS(F134))+'Geometry'!$F$18*SIN(RADIANS(F134))),('Geometry'!$G$19*COS(RADIANS(F134))+'Geometry'!$F$19*SIN(RADIANS(F134))),('Geometry'!$G$20*COS(RADIANS(F134))+'Geometry'!$F$20*SIN(RADIANS(F134))))</f>
        <v>1626.3197023979667</v>
      </c>
      <c r="L134" s="16">
        <f>C_ecu</f>
        <v>0.0033</v>
      </c>
      <c r="M134" s="16">
        <f>0</f>
        <v>0</v>
      </c>
      <c r="N134" s="22">
        <f>IF(ABS(I134-J134)&lt;0.000000000001,0,(L134-M134)/(I134-J134))</f>
        <v>0.0000010145606657578562</v>
      </c>
      <c r="O134" s="16">
        <f>L134-N134*I134</f>
        <v>0.002475</v>
      </c>
      <c r="P134" s="22">
        <f>N134*COS(RADIANS(F134))</f>
        <v>-7.771985602108968e-7</v>
      </c>
      <c r="Q134" s="22">
        <f>N134*SIN(RADIANS(F134))</f>
        <v>-6.521470252244759e-7</v>
      </c>
      <c r="R134" s="11">
        <f>AP134</f>
        <v>15280.23649877504</v>
      </c>
      <c r="S134" s="11">
        <f>AQ134</f>
        <v>-354.332868521747</v>
      </c>
      <c r="T134" s="11">
        <f>AR134</f>
        <v>-406.94517830692877</v>
      </c>
      <c r="U134" s="11">
        <f>AS134</f>
        <v>2390.1091167081927</v>
      </c>
      <c r="V134" s="11">
        <f>AT134</f>
        <v>-113.1753054317074</v>
      </c>
      <c r="W134" s="11">
        <f>AU134</f>
        <v>-130.12863741848537</v>
      </c>
      <c r="X134" s="11">
        <f>AM134</f>
        <v>17670.345615483235</v>
      </c>
      <c r="Y134" s="11">
        <f>AN134</f>
        <v>-467.5081739534544</v>
      </c>
      <c r="Z134" s="11">
        <f>AO134</f>
        <v>-537.0738157254141</v>
      </c>
      <c r="AA134" s="7">
        <v>1</v>
      </c>
      <c r="AB134" s="7">
        <v>1</v>
      </c>
      <c r="AC134" s="7">
        <v>1</v>
      </c>
      <c r="AD134" s="11">
        <f>X134*AA134</f>
        <v>17670.345615483235</v>
      </c>
      <c r="AE134" s="11">
        <f>Y134*AB134</f>
        <v>-467.5081739534544</v>
      </c>
      <c r="AF134" s="11">
        <f>Z134*AC134</f>
        <v>-537.0738157254141</v>
      </c>
      <c r="AG134" s="7">
        <v>17670.345615483235</v>
      </c>
      <c r="AH134" s="7">
        <v>-467.5081739534544</v>
      </c>
      <c r="AI134" s="7">
        <v>-537.0738157254141</v>
      </c>
      <c r="AJ134" s="16">
        <f>AD134-AG134</f>
        <v>0</v>
      </c>
      <c r="AK134" s="16">
        <f>SQRT((AE134-AH134)^2+(AF134-AI134)^2)</f>
        <v>0</v>
      </c>
      <c r="AL134" s="7" t="s">
        <v>190</v>
      </c>
      <c r="AM134" s="7">
        <v>17670.345615483235</v>
      </c>
      <c r="AN134" s="7">
        <v>-467.5081739534544</v>
      </c>
      <c r="AO134" s="7">
        <v>-537.0738157254141</v>
      </c>
      <c r="AP134" s="7">
        <v>15280.23649877504</v>
      </c>
      <c r="AQ134" s="7">
        <v>-354.332868521747</v>
      </c>
      <c r="AR134" s="7">
        <v>-406.94517830692877</v>
      </c>
      <c r="AS134" s="7">
        <v>2390.1091167081927</v>
      </c>
      <c r="AT134" s="7">
        <v>-113.1753054317074</v>
      </c>
      <c r="AU134" s="7">
        <v>-130.12863741848537</v>
      </c>
    </row>
    <row r="135" spans="1:47" x14ac:dyDescent="0.25">
      <c r="A135" s="7" t="s">
        <v>450</v>
      </c>
      <c r="B135" s="7">
        <v>3</v>
      </c>
      <c r="C135" s="19">
        <v>220</v>
      </c>
      <c r="D135" s="7" t="s">
        <v>451</v>
      </c>
      <c r="E135" s="7" t="s">
        <v>611</v>
      </c>
      <c r="F135" s="20">
        <v>219.99999999999994</v>
      </c>
      <c r="G135" s="7" t="s">
        <v>194</v>
      </c>
      <c r="H135" s="21">
        <v>1.5000000000000004</v>
      </c>
      <c r="I135" s="11">
        <f>MAX(('Geometry'!$G$13*COS(RADIANS(F135))+'Geometry'!$F$13*SIN(RADIANS(F135))),('Geometry'!$G$14*COS(RADIANS(F135))+'Geometry'!$F$14*SIN(RADIANS(F135))),('Geometry'!$G$15*COS(RADIANS(F135))+'Geometry'!$F$15*SIN(RADIANS(F135))),('Geometry'!$G$16*COS(RADIANS(F135))+'Geometry'!$F$16*SIN(RADIANS(F135))),('Geometry'!$G$17*COS(RADIANS(F135))+'Geometry'!$F$17*SIN(RADIANS(F135))),('Geometry'!$G$18*COS(RADIANS(F135))+'Geometry'!$F$18*SIN(RADIANS(F135))),('Geometry'!$G$19*COS(RADIANS(F135))+'Geometry'!$F$19*SIN(RADIANS(F135))),('Geometry'!$G$20*COS(RADIANS(F135))+'Geometry'!$F$20*SIN(RADIANS(F135))))</f>
        <v>813.1598511989833</v>
      </c>
      <c r="J135" s="11">
        <f>I135-H135*K135</f>
        <v>-1626.3197023979671</v>
      </c>
      <c r="K135" s="11">
        <f>I135-MIN(('Geometry'!$G$13*COS(RADIANS(F135))+'Geometry'!$F$13*SIN(RADIANS(F135))),('Geometry'!$G$14*COS(RADIANS(F135))+'Geometry'!$F$14*SIN(RADIANS(F135))),('Geometry'!$G$15*COS(RADIANS(F135))+'Geometry'!$F$15*SIN(RADIANS(F135))),('Geometry'!$G$16*COS(RADIANS(F135))+'Geometry'!$F$16*SIN(RADIANS(F135))),('Geometry'!$G$17*COS(RADIANS(F135))+'Geometry'!$F$17*SIN(RADIANS(F135))),('Geometry'!$G$18*COS(RADIANS(F135))+'Geometry'!$F$18*SIN(RADIANS(F135))),('Geometry'!$G$19*COS(RADIANS(F135))+'Geometry'!$F$19*SIN(RADIANS(F135))),('Geometry'!$G$20*COS(RADIANS(F135))+'Geometry'!$F$20*SIN(RADIANS(F135))))</f>
        <v>1626.3197023979667</v>
      </c>
      <c r="L135" s="16">
        <f>C_ecu</f>
        <v>0.0033</v>
      </c>
      <c r="M135" s="16">
        <f>0</f>
        <v>0</v>
      </c>
      <c r="N135" s="22">
        <f>IF(ABS(I135-J135)&lt;0.000000000001,0,(L135-M135)/(I135-J135))</f>
        <v>0.0000013527475543438082</v>
      </c>
      <c r="O135" s="16">
        <f>L135-N135*I135</f>
        <v>0.0022</v>
      </c>
      <c r="P135" s="22">
        <f>N135*COS(RADIANS(F135))</f>
        <v>-0.0000010362647469478624</v>
      </c>
      <c r="Q135" s="22">
        <f>N135*SIN(RADIANS(F135))</f>
        <v>-8.695293669659679e-7</v>
      </c>
      <c r="R135" s="11">
        <f>AP135</f>
        <v>15280.23649877504</v>
      </c>
      <c r="S135" s="11">
        <f>AQ135</f>
        <v>-531.4993027826205</v>
      </c>
      <c r="T135" s="11">
        <f>AR135</f>
        <v>-610.4177674603932</v>
      </c>
      <c r="U135" s="11">
        <f>AS135</f>
        <v>2390.1091167081927</v>
      </c>
      <c r="V135" s="11">
        <f>AT135</f>
        <v>-169.76295814756108</v>
      </c>
      <c r="W135" s="11">
        <f>AU135</f>
        <v>-195.19295612772802</v>
      </c>
      <c r="X135" s="11">
        <f>AM135</f>
        <v>17670.345615483235</v>
      </c>
      <c r="Y135" s="11">
        <f>AN135</f>
        <v>-701.2622609301815</v>
      </c>
      <c r="Z135" s="11">
        <f>AO135</f>
        <v>-805.610723588121</v>
      </c>
      <c r="AA135" s="7">
        <v>1</v>
      </c>
      <c r="AB135" s="7">
        <v>1</v>
      </c>
      <c r="AC135" s="7">
        <v>1</v>
      </c>
      <c r="AD135" s="11">
        <f>X135*AA135</f>
        <v>17670.345615483235</v>
      </c>
      <c r="AE135" s="11">
        <f>Y135*AB135</f>
        <v>-701.2622609301815</v>
      </c>
      <c r="AF135" s="11">
        <f>Z135*AC135</f>
        <v>-805.610723588121</v>
      </c>
      <c r="AG135" s="7">
        <v>17670.345615483235</v>
      </c>
      <c r="AH135" s="7">
        <v>-701.2622609301815</v>
      </c>
      <c r="AI135" s="7">
        <v>-805.610723588121</v>
      </c>
      <c r="AJ135" s="16">
        <f>AD135-AG135</f>
        <v>0</v>
      </c>
      <c r="AK135" s="16">
        <f>SQRT((AE135-AH135)^2+(AF135-AI135)^2)</f>
        <v>0</v>
      </c>
      <c r="AL135" s="7" t="s">
        <v>190</v>
      </c>
      <c r="AM135" s="7">
        <v>17670.345615483235</v>
      </c>
      <c r="AN135" s="7">
        <v>-701.2622609301815</v>
      </c>
      <c r="AO135" s="7">
        <v>-805.610723588121</v>
      </c>
      <c r="AP135" s="7">
        <v>15280.23649877504</v>
      </c>
      <c r="AQ135" s="7">
        <v>-531.4993027826205</v>
      </c>
      <c r="AR135" s="7">
        <v>-610.4177674603932</v>
      </c>
      <c r="AS135" s="7">
        <v>2390.1091167081927</v>
      </c>
      <c r="AT135" s="7">
        <v>-169.76295814756108</v>
      </c>
      <c r="AU135" s="7">
        <v>-195.19295612772802</v>
      </c>
    </row>
    <row r="136" spans="1:47" x14ac:dyDescent="0.25">
      <c r="A136" s="7" t="s">
        <v>452</v>
      </c>
      <c r="B136" s="7">
        <v>4</v>
      </c>
      <c r="C136" s="19">
        <v>220</v>
      </c>
      <c r="D136" s="7" t="s">
        <v>453</v>
      </c>
      <c r="E136" s="7" t="s">
        <v>612</v>
      </c>
      <c r="F136" s="20">
        <v>219.99999999999994</v>
      </c>
      <c r="G136" s="7" t="s">
        <v>194</v>
      </c>
      <c r="H136" s="21">
        <v>1.2</v>
      </c>
      <c r="I136" s="11">
        <f>MAX(('Geometry'!$G$13*COS(RADIANS(F136))+'Geometry'!$F$13*SIN(RADIANS(F136))),('Geometry'!$G$14*COS(RADIANS(F136))+'Geometry'!$F$14*SIN(RADIANS(F136))),('Geometry'!$G$15*COS(RADIANS(F136))+'Geometry'!$F$15*SIN(RADIANS(F136))),('Geometry'!$G$16*COS(RADIANS(F136))+'Geometry'!$F$16*SIN(RADIANS(F136))),('Geometry'!$G$17*COS(RADIANS(F136))+'Geometry'!$F$17*SIN(RADIANS(F136))),('Geometry'!$G$18*COS(RADIANS(F136))+'Geometry'!$F$18*SIN(RADIANS(F136))),('Geometry'!$G$19*COS(RADIANS(F136))+'Geometry'!$F$19*SIN(RADIANS(F136))),('Geometry'!$G$20*COS(RADIANS(F136))+'Geometry'!$F$20*SIN(RADIANS(F136))))</f>
        <v>813.1598511989833</v>
      </c>
      <c r="J136" s="11">
        <f>I136-H136*K136</f>
        <v>-1138.4237916785767</v>
      </c>
      <c r="K136" s="11">
        <f>I136-MIN(('Geometry'!$G$13*COS(RADIANS(F136))+'Geometry'!$F$13*SIN(RADIANS(F136))),('Geometry'!$G$14*COS(RADIANS(F136))+'Geometry'!$F$14*SIN(RADIANS(F136))),('Geometry'!$G$15*COS(RADIANS(F136))+'Geometry'!$F$15*SIN(RADIANS(F136))),('Geometry'!$G$16*COS(RADIANS(F136))+'Geometry'!$F$16*SIN(RADIANS(F136))),('Geometry'!$G$17*COS(RADIANS(F136))+'Geometry'!$F$17*SIN(RADIANS(F136))),('Geometry'!$G$18*COS(RADIANS(F136))+'Geometry'!$F$18*SIN(RADIANS(F136))),('Geometry'!$G$19*COS(RADIANS(F136))+'Geometry'!$F$19*SIN(RADIANS(F136))),('Geometry'!$G$20*COS(RADIANS(F136))+'Geometry'!$F$20*SIN(RADIANS(F136))))</f>
        <v>1626.3197023979667</v>
      </c>
      <c r="L136" s="16">
        <f>C_ecu</f>
        <v>0.0033</v>
      </c>
      <c r="M136" s="16">
        <f>0</f>
        <v>0</v>
      </c>
      <c r="N136" s="22">
        <f>IF(ABS(I136-J136)&lt;0.000000000001,0,(L136-M136)/(I136-J136))</f>
        <v>0.0000016909344429297605</v>
      </c>
      <c r="O136" s="16">
        <f>L136-N136*I136</f>
        <v>0.0019249999999999998</v>
      </c>
      <c r="P136" s="22">
        <f>N136*COS(RADIANS(F136))</f>
        <v>-0.0000012953309336848282</v>
      </c>
      <c r="Q136" s="22">
        <f>N136*SIN(RADIANS(F136))</f>
        <v>-0.00000108691170870746</v>
      </c>
      <c r="R136" s="11">
        <f>AP136</f>
        <v>15280.23649877504</v>
      </c>
      <c r="S136" s="11">
        <f>AQ136</f>
        <v>-708.665737043494</v>
      </c>
      <c r="T136" s="11">
        <f>AR136</f>
        <v>-813.8903566138575</v>
      </c>
      <c r="U136" s="11">
        <f>AS136</f>
        <v>2390.1091167081927</v>
      </c>
      <c r="V136" s="11">
        <f>AT136</f>
        <v>-226.3506108634148</v>
      </c>
      <c r="W136" s="11">
        <f>AU136</f>
        <v>-260.25727483697074</v>
      </c>
      <c r="X136" s="11">
        <f>AM136</f>
        <v>17670.345615483235</v>
      </c>
      <c r="Y136" s="11">
        <f>AN136</f>
        <v>-935.0163479069088</v>
      </c>
      <c r="Z136" s="11">
        <f>AO136</f>
        <v>-1074.1476314508282</v>
      </c>
      <c r="AA136" s="7">
        <v>1</v>
      </c>
      <c r="AB136" s="7">
        <v>1</v>
      </c>
      <c r="AC136" s="7">
        <v>1</v>
      </c>
      <c r="AD136" s="11">
        <f>X136*AA136</f>
        <v>17670.345615483235</v>
      </c>
      <c r="AE136" s="11">
        <f>Y136*AB136</f>
        <v>-935.0163479069088</v>
      </c>
      <c r="AF136" s="11">
        <f>Z136*AC136</f>
        <v>-1074.1476314508282</v>
      </c>
      <c r="AG136" s="7">
        <v>17670.345615483235</v>
      </c>
      <c r="AH136" s="7">
        <v>-935.0163479069088</v>
      </c>
      <c r="AI136" s="7">
        <v>-1074.1476314508282</v>
      </c>
      <c r="AJ136" s="16">
        <f>AD136-AG136</f>
        <v>0</v>
      </c>
      <c r="AK136" s="16">
        <f>SQRT((AE136-AH136)^2+(AF136-AI136)^2)</f>
        <v>0</v>
      </c>
      <c r="AL136" s="7" t="s">
        <v>190</v>
      </c>
      <c r="AM136" s="7">
        <v>17670.345615483235</v>
      </c>
      <c r="AN136" s="7">
        <v>-935.0163479069088</v>
      </c>
      <c r="AO136" s="7">
        <v>-1074.1476314508282</v>
      </c>
      <c r="AP136" s="7">
        <v>15280.23649877504</v>
      </c>
      <c r="AQ136" s="7">
        <v>-708.665737043494</v>
      </c>
      <c r="AR136" s="7">
        <v>-813.8903566138575</v>
      </c>
      <c r="AS136" s="7">
        <v>2390.1091167081927</v>
      </c>
      <c r="AT136" s="7">
        <v>-226.3506108634148</v>
      </c>
      <c r="AU136" s="7">
        <v>-260.25727483697074</v>
      </c>
    </row>
    <row r="137" spans="1:47" x14ac:dyDescent="0.25">
      <c r="A137" s="7" t="s">
        <v>454</v>
      </c>
      <c r="B137" s="7">
        <v>5</v>
      </c>
      <c r="C137" s="19">
        <v>220</v>
      </c>
      <c r="D137" s="7" t="s">
        <v>455</v>
      </c>
      <c r="E137" s="7" t="s">
        <v>613</v>
      </c>
      <c r="F137" s="20">
        <v>219.99999999999994</v>
      </c>
      <c r="G137" s="7" t="s">
        <v>194</v>
      </c>
      <c r="H137" s="21">
        <v>1.1000000000000003</v>
      </c>
      <c r="I137" s="11">
        <f>MAX(('Geometry'!$G$13*COS(RADIANS(F137))+'Geometry'!$F$13*SIN(RADIANS(F137))),('Geometry'!$G$14*COS(RADIANS(F137))+'Geometry'!$F$14*SIN(RADIANS(F137))),('Geometry'!$G$15*COS(RADIANS(F137))+'Geometry'!$F$15*SIN(RADIANS(F137))),('Geometry'!$G$16*COS(RADIANS(F137))+'Geometry'!$F$16*SIN(RADIANS(F137))),('Geometry'!$G$17*COS(RADIANS(F137))+'Geometry'!$F$17*SIN(RADIANS(F137))),('Geometry'!$G$18*COS(RADIANS(F137))+'Geometry'!$F$18*SIN(RADIANS(F137))),('Geometry'!$G$19*COS(RADIANS(F137))+'Geometry'!$F$19*SIN(RADIANS(F137))),('Geometry'!$G$20*COS(RADIANS(F137))+'Geometry'!$F$20*SIN(RADIANS(F137))))</f>
        <v>813.1598511989833</v>
      </c>
      <c r="J137" s="11">
        <f>I137-H137*K137</f>
        <v>-975.7918214387803</v>
      </c>
      <c r="K137" s="11">
        <f>I137-MIN(('Geometry'!$G$13*COS(RADIANS(F137))+'Geometry'!$F$13*SIN(RADIANS(F137))),('Geometry'!$G$14*COS(RADIANS(F137))+'Geometry'!$F$14*SIN(RADIANS(F137))),('Geometry'!$G$15*COS(RADIANS(F137))+'Geometry'!$F$15*SIN(RADIANS(F137))),('Geometry'!$G$16*COS(RADIANS(F137))+'Geometry'!$F$16*SIN(RADIANS(F137))),('Geometry'!$G$17*COS(RADIANS(F137))+'Geometry'!$F$17*SIN(RADIANS(F137))),('Geometry'!$G$18*COS(RADIANS(F137))+'Geometry'!$F$18*SIN(RADIANS(F137))),('Geometry'!$G$19*COS(RADIANS(F137))+'Geometry'!$F$19*SIN(RADIANS(F137))),('Geometry'!$G$20*COS(RADIANS(F137))+'Geometry'!$F$20*SIN(RADIANS(F137))))</f>
        <v>1626.3197023979667</v>
      </c>
      <c r="L137" s="16">
        <f>C_ecu</f>
        <v>0.0032999999999999995</v>
      </c>
      <c r="M137" s="16">
        <f>0</f>
        <v>0</v>
      </c>
      <c r="N137" s="22">
        <f>IF(ABS(I137-J137)&lt;0.000000000001,0,(L137-M137)/(I137-J137))</f>
        <v>0.0000018446557559233748</v>
      </c>
      <c r="O137" s="16">
        <f>L137-N137*I137</f>
        <v>0.0018</v>
      </c>
      <c r="P137" s="22">
        <f>N137*COS(RADIANS(F137))</f>
        <v>-0.0000014130882912925398</v>
      </c>
      <c r="Q137" s="22">
        <f>N137*SIN(RADIANS(F137))</f>
        <v>-0.0000011857218640445017</v>
      </c>
      <c r="R137" s="11">
        <f>AP137</f>
        <v>15280.23649877504</v>
      </c>
      <c r="S137" s="11">
        <f>AQ137</f>
        <v>-885.8321713043674</v>
      </c>
      <c r="T137" s="11">
        <f>AR137</f>
        <v>-1017.3629457673218</v>
      </c>
      <c r="U137" s="11">
        <f>AS137</f>
        <v>2390.1091167081927</v>
      </c>
      <c r="V137" s="11">
        <f>AT137</f>
        <v>-282.93826357926844</v>
      </c>
      <c r="W137" s="11">
        <f>AU137</f>
        <v>-325.3215935462133</v>
      </c>
      <c r="X137" s="11">
        <f>AM137</f>
        <v>17670.345615483235</v>
      </c>
      <c r="Y137" s="11">
        <f>AN137</f>
        <v>-1168.770434883636</v>
      </c>
      <c r="Z137" s="11">
        <f>AO137</f>
        <v>-1342.684539313535</v>
      </c>
      <c r="AA137" s="7">
        <v>1</v>
      </c>
      <c r="AB137" s="7">
        <v>1</v>
      </c>
      <c r="AC137" s="7">
        <v>1</v>
      </c>
      <c r="AD137" s="11">
        <f>X137*AA137</f>
        <v>17670.345615483235</v>
      </c>
      <c r="AE137" s="11">
        <f>Y137*AB137</f>
        <v>-1168.770434883636</v>
      </c>
      <c r="AF137" s="11">
        <f>Z137*AC137</f>
        <v>-1342.684539313535</v>
      </c>
      <c r="AG137" s="7">
        <v>17670.345615483235</v>
      </c>
      <c r="AH137" s="7">
        <v>-1168.770434883636</v>
      </c>
      <c r="AI137" s="7">
        <v>-1342.684539313535</v>
      </c>
      <c r="AJ137" s="16">
        <f>AD137-AG137</f>
        <v>0</v>
      </c>
      <c r="AK137" s="16">
        <f>SQRT((AE137-AH137)^2+(AF137-AI137)^2)</f>
        <v>0</v>
      </c>
      <c r="AL137" s="7" t="s">
        <v>190</v>
      </c>
      <c r="AM137" s="7">
        <v>17670.345615483235</v>
      </c>
      <c r="AN137" s="7">
        <v>-1168.770434883636</v>
      </c>
      <c r="AO137" s="7">
        <v>-1342.684539313535</v>
      </c>
      <c r="AP137" s="7">
        <v>15280.23649877504</v>
      </c>
      <c r="AQ137" s="7">
        <v>-885.8321713043674</v>
      </c>
      <c r="AR137" s="7">
        <v>-1017.3629457673218</v>
      </c>
      <c r="AS137" s="7">
        <v>2390.1091167081927</v>
      </c>
      <c r="AT137" s="7">
        <v>-282.93826357926844</v>
      </c>
      <c r="AU137" s="7">
        <v>-325.3215935462133</v>
      </c>
    </row>
    <row r="138" spans="1:47" x14ac:dyDescent="0.25">
      <c r="A138" s="7" t="s">
        <v>456</v>
      </c>
      <c r="B138" s="7">
        <v>6</v>
      </c>
      <c r="C138" s="19">
        <v>220</v>
      </c>
      <c r="D138" s="7" t="s">
        <v>457</v>
      </c>
      <c r="E138" s="7" t="s">
        <v>614</v>
      </c>
      <c r="F138" s="20">
        <v>219.99999999999994</v>
      </c>
      <c r="G138" s="7" t="s">
        <v>194</v>
      </c>
      <c r="H138" s="21">
        <v>1.0000000000000002</v>
      </c>
      <c r="I138" s="11">
        <f>MAX(('Geometry'!$G$13*COS(RADIANS(F138))+'Geometry'!$F$13*SIN(RADIANS(F138))),('Geometry'!$G$14*COS(RADIANS(F138))+'Geometry'!$F$14*SIN(RADIANS(F138))),('Geometry'!$G$15*COS(RADIANS(F138))+'Geometry'!$F$15*SIN(RADIANS(F138))),('Geometry'!$G$16*COS(RADIANS(F138))+'Geometry'!$F$16*SIN(RADIANS(F138))),('Geometry'!$G$17*COS(RADIANS(F138))+'Geometry'!$F$17*SIN(RADIANS(F138))),('Geometry'!$G$18*COS(RADIANS(F138))+'Geometry'!$F$18*SIN(RADIANS(F138))),('Geometry'!$G$19*COS(RADIANS(F138))+'Geometry'!$F$19*SIN(RADIANS(F138))),('Geometry'!$G$20*COS(RADIANS(F138))+'Geometry'!$F$20*SIN(RADIANS(F138))))</f>
        <v>813.1598511989833</v>
      </c>
      <c r="J138" s="11">
        <f>I138-H138*K138</f>
        <v>-813.1598511989837</v>
      </c>
      <c r="K138" s="11">
        <f>I138-MIN(('Geometry'!$G$13*COS(RADIANS(F138))+'Geometry'!$F$13*SIN(RADIANS(F138))),('Geometry'!$G$14*COS(RADIANS(F138))+'Geometry'!$F$14*SIN(RADIANS(F138))),('Geometry'!$G$15*COS(RADIANS(F138))+'Geometry'!$F$15*SIN(RADIANS(F138))),('Geometry'!$G$16*COS(RADIANS(F138))+'Geometry'!$F$16*SIN(RADIANS(F138))),('Geometry'!$G$17*COS(RADIANS(F138))+'Geometry'!$F$17*SIN(RADIANS(F138))),('Geometry'!$G$18*COS(RADIANS(F138))+'Geometry'!$F$18*SIN(RADIANS(F138))),('Geometry'!$G$19*COS(RADIANS(F138))+'Geometry'!$F$19*SIN(RADIANS(F138))),('Geometry'!$G$20*COS(RADIANS(F138))+'Geometry'!$F$20*SIN(RADIANS(F138))))</f>
        <v>1626.3197023979667</v>
      </c>
      <c r="L138" s="16">
        <f>C_ecu</f>
        <v>0.0033</v>
      </c>
      <c r="M138" s="16">
        <f>0</f>
        <v>0</v>
      </c>
      <c r="N138" s="22">
        <f>IF(ABS(I138-J138)&lt;0.000000000001,0,(L138-M138)/(I138-J138))</f>
        <v>0.0000020291213315157124</v>
      </c>
      <c r="O138" s="16">
        <f>L138-N138*I138</f>
        <v>0.0016500000000000002</v>
      </c>
      <c r="P138" s="22">
        <f>N138*COS(RADIANS(F138))</f>
        <v>-0.0000015543971204217936</v>
      </c>
      <c r="Q138" s="22">
        <f>N138*SIN(RADIANS(F138))</f>
        <v>-0.0000013042940504489518</v>
      </c>
      <c r="R138" s="11">
        <f>AP138</f>
        <v>15280.23649877504</v>
      </c>
      <c r="S138" s="11">
        <f>AQ138</f>
        <v>-1062.998605565241</v>
      </c>
      <c r="T138" s="11">
        <f>AR138</f>
        <v>-1220.8355349207864</v>
      </c>
      <c r="U138" s="11">
        <f>AS138</f>
        <v>2390.1091167081927</v>
      </c>
      <c r="V138" s="11">
        <f>AT138</f>
        <v>-339.52591629512216</v>
      </c>
      <c r="W138" s="11">
        <f>AU138</f>
        <v>-390.38591225545605</v>
      </c>
      <c r="X138" s="11">
        <f>AM138</f>
        <v>17670.345615483235</v>
      </c>
      <c r="Y138" s="11">
        <f>AN138</f>
        <v>-1402.524521860363</v>
      </c>
      <c r="Z138" s="11">
        <f>AO138</f>
        <v>-1611.221447176242</v>
      </c>
      <c r="AA138" s="7">
        <v>1</v>
      </c>
      <c r="AB138" s="7">
        <v>1</v>
      </c>
      <c r="AC138" s="7">
        <v>1</v>
      </c>
      <c r="AD138" s="11">
        <f>X138*AA138</f>
        <v>17670.345615483235</v>
      </c>
      <c r="AE138" s="11">
        <f>Y138*AB138</f>
        <v>-1402.524521860363</v>
      </c>
      <c r="AF138" s="11">
        <f>Z138*AC138</f>
        <v>-1611.221447176242</v>
      </c>
      <c r="AG138" s="7">
        <v>17670.345615483235</v>
      </c>
      <c r="AH138" s="7">
        <v>-1402.524521860363</v>
      </c>
      <c r="AI138" s="7">
        <v>-1611.221447176242</v>
      </c>
      <c r="AJ138" s="16">
        <f>AD138-AG138</f>
        <v>0</v>
      </c>
      <c r="AK138" s="16">
        <f>SQRT((AE138-AH138)^2+(AF138-AI138)^2)</f>
        <v>0</v>
      </c>
      <c r="AL138" s="7" t="s">
        <v>190</v>
      </c>
      <c r="AM138" s="7">
        <v>17670.345615483235</v>
      </c>
      <c r="AN138" s="7">
        <v>-1402.524521860363</v>
      </c>
      <c r="AO138" s="7">
        <v>-1611.221447176242</v>
      </c>
      <c r="AP138" s="7">
        <v>15280.23649877504</v>
      </c>
      <c r="AQ138" s="7">
        <v>-1062.998605565241</v>
      </c>
      <c r="AR138" s="7">
        <v>-1220.8355349207864</v>
      </c>
      <c r="AS138" s="7">
        <v>2390.1091167081927</v>
      </c>
      <c r="AT138" s="7">
        <v>-339.52591629512216</v>
      </c>
      <c r="AU138" s="7">
        <v>-390.38591225545605</v>
      </c>
    </row>
    <row r="139" spans="1:47" x14ac:dyDescent="0.25">
      <c r="A139" s="7" t="s">
        <v>458</v>
      </c>
      <c r="B139" s="7">
        <v>1</v>
      </c>
      <c r="C139" s="19">
        <v>230</v>
      </c>
      <c r="D139" s="7" t="s">
        <v>459</v>
      </c>
      <c r="E139" s="7" t="s">
        <v>609</v>
      </c>
      <c r="F139" s="20">
        <v>230</v>
      </c>
      <c r="G139" s="7" t="s">
        <v>194</v>
      </c>
      <c r="H139" s="21">
        <v>2.9999999999999996</v>
      </c>
      <c r="I139" s="11">
        <f>MAX(('Geometry'!$G$13*COS(RADIANS(F139))+'Geometry'!$F$13*SIN(RADIANS(F139))),('Geometry'!$G$14*COS(RADIANS(F139))+'Geometry'!$F$14*SIN(RADIANS(F139))),('Geometry'!$G$15*COS(RADIANS(F139))+'Geometry'!$F$15*SIN(RADIANS(F139))),('Geometry'!$G$16*COS(RADIANS(F139))+'Geometry'!$F$16*SIN(RADIANS(F139))),('Geometry'!$G$17*COS(RADIANS(F139))+'Geometry'!$F$17*SIN(RADIANS(F139))),('Geometry'!$G$18*COS(RADIANS(F139))+'Geometry'!$F$18*SIN(RADIANS(F139))),('Geometry'!$G$19*COS(RADIANS(F139))+'Geometry'!$F$19*SIN(RADIANS(F139))),('Geometry'!$G$20*COS(RADIANS(F139))+'Geometry'!$F$20*SIN(RADIANS(F139))))</f>
        <v>831.6483762138491</v>
      </c>
      <c r="J139" s="11">
        <f>I139-H139*K139</f>
        <v>-4158.241881069244</v>
      </c>
      <c r="K139" s="11">
        <f>I139-MIN(('Geometry'!$G$13*COS(RADIANS(F139))+'Geometry'!$F$13*SIN(RADIANS(F139))),('Geometry'!$G$14*COS(RADIANS(F139))+'Geometry'!$F$14*SIN(RADIANS(F139))),('Geometry'!$G$15*COS(RADIANS(F139))+'Geometry'!$F$15*SIN(RADIANS(F139))),('Geometry'!$G$16*COS(RADIANS(F139))+'Geometry'!$F$16*SIN(RADIANS(F139))),('Geometry'!$G$17*COS(RADIANS(F139))+'Geometry'!$F$17*SIN(RADIANS(F139))),('Geometry'!$G$18*COS(RADIANS(F139))+'Geometry'!$F$18*SIN(RADIANS(F139))),('Geometry'!$G$19*COS(RADIANS(F139))+'Geometry'!$F$19*SIN(RADIANS(F139))),('Geometry'!$G$20*COS(RADIANS(F139))+'Geometry'!$F$20*SIN(RADIANS(F139))))</f>
        <v>1663.2967524276983</v>
      </c>
      <c r="L139" s="16">
        <f>C_ecu</f>
        <v>0.0033</v>
      </c>
      <c r="M139" s="16">
        <f>0</f>
        <v>0</v>
      </c>
      <c r="N139" s="22">
        <f>IF(ABS(I139-J139)&lt;0.000000000001,0,(L139-M139)/(I139-J139))</f>
        <v>6.613371897675343e-7</v>
      </c>
      <c r="O139" s="16">
        <f>L139-N139*I139</f>
        <v>0.00275</v>
      </c>
      <c r="P139" s="22">
        <f>N139*COS(RADIANS(F139))</f>
        <v>-4.2509935140748674e-7</v>
      </c>
      <c r="Q139" s="22">
        <f>N139*SIN(RADIANS(F139))</f>
        <v>-5.066136792493406e-7</v>
      </c>
      <c r="R139" s="11">
        <f>AP139</f>
        <v>15287.791794906805</v>
      </c>
      <c r="S139" s="11">
        <f>AQ139</f>
        <v>-147.10070667336393</v>
      </c>
      <c r="T139" s="11">
        <f>AR139</f>
        <v>-232.7686044443746</v>
      </c>
      <c r="U139" s="11">
        <f>AS139</f>
        <v>2382.5538205764324</v>
      </c>
      <c r="V139" s="11">
        <f>AT139</f>
        <v>-46.60182976368627</v>
      </c>
      <c r="W139" s="11">
        <f>AU139</f>
        <v>-73.95867245689048</v>
      </c>
      <c r="X139" s="11">
        <f>AM139</f>
        <v>17670.345615483235</v>
      </c>
      <c r="Y139" s="11">
        <f>AN139</f>
        <v>-193.70253643705018</v>
      </c>
      <c r="Z139" s="11">
        <f>AO139</f>
        <v>-306.72727690126504</v>
      </c>
      <c r="AA139" s="7">
        <v>1</v>
      </c>
      <c r="AB139" s="7">
        <v>1</v>
      </c>
      <c r="AC139" s="7">
        <v>1</v>
      </c>
      <c r="AD139" s="11">
        <f>X139*AA139</f>
        <v>17670.345615483235</v>
      </c>
      <c r="AE139" s="11">
        <f>Y139*AB139</f>
        <v>-193.70253643705018</v>
      </c>
      <c r="AF139" s="11">
        <f>Z139*AC139</f>
        <v>-306.72727690126504</v>
      </c>
      <c r="AG139" s="7">
        <v>17670.345615483235</v>
      </c>
      <c r="AH139" s="7">
        <v>-193.70253643705018</v>
      </c>
      <c r="AI139" s="7">
        <v>-306.72727690126504</v>
      </c>
      <c r="AJ139" s="16">
        <f>AD139-AG139</f>
        <v>0</v>
      </c>
      <c r="AK139" s="16">
        <f>SQRT((AE139-AH139)^2+(AF139-AI139)^2)</f>
        <v>0</v>
      </c>
      <c r="AL139" s="7" t="s">
        <v>190</v>
      </c>
      <c r="AM139" s="7">
        <v>17670.345615483235</v>
      </c>
      <c r="AN139" s="7">
        <v>-193.70253643705018</v>
      </c>
      <c r="AO139" s="7">
        <v>-306.72727690126504</v>
      </c>
      <c r="AP139" s="7">
        <v>15287.791794906805</v>
      </c>
      <c r="AQ139" s="7">
        <v>-147.10070667336393</v>
      </c>
      <c r="AR139" s="7">
        <v>-232.7686044443746</v>
      </c>
      <c r="AS139" s="7">
        <v>2382.5538205764324</v>
      </c>
      <c r="AT139" s="7">
        <v>-46.60182976368627</v>
      </c>
      <c r="AU139" s="7">
        <v>-73.95867245689048</v>
      </c>
    </row>
    <row r="140" spans="1:47" x14ac:dyDescent="0.25">
      <c r="A140" s="7" t="s">
        <v>460</v>
      </c>
      <c r="B140" s="7">
        <v>2</v>
      </c>
      <c r="C140" s="19">
        <v>230</v>
      </c>
      <c r="D140" s="7" t="s">
        <v>461</v>
      </c>
      <c r="E140" s="7" t="s">
        <v>610</v>
      </c>
      <c r="F140" s="20">
        <v>230</v>
      </c>
      <c r="G140" s="7" t="s">
        <v>194</v>
      </c>
      <c r="H140" s="21">
        <v>2</v>
      </c>
      <c r="I140" s="11">
        <f>MAX(('Geometry'!$G$13*COS(RADIANS(F140))+'Geometry'!$F$13*SIN(RADIANS(F140))),('Geometry'!$G$14*COS(RADIANS(F140))+'Geometry'!$F$14*SIN(RADIANS(F140))),('Geometry'!$G$15*COS(RADIANS(F140))+'Geometry'!$F$15*SIN(RADIANS(F140))),('Geometry'!$G$16*COS(RADIANS(F140))+'Geometry'!$F$16*SIN(RADIANS(F140))),('Geometry'!$G$17*COS(RADIANS(F140))+'Geometry'!$F$17*SIN(RADIANS(F140))),('Geometry'!$G$18*COS(RADIANS(F140))+'Geometry'!$F$18*SIN(RADIANS(F140))),('Geometry'!$G$19*COS(RADIANS(F140))+'Geometry'!$F$19*SIN(RADIANS(F140))),('Geometry'!$G$20*COS(RADIANS(F140))+'Geometry'!$F$20*SIN(RADIANS(F140))))</f>
        <v>831.6483762138491</v>
      </c>
      <c r="J140" s="11">
        <f>I140-H140*K140</f>
        <v>-2494.9451286415474</v>
      </c>
      <c r="K140" s="11">
        <f>I140-MIN(('Geometry'!$G$13*COS(RADIANS(F140))+'Geometry'!$F$13*SIN(RADIANS(F140))),('Geometry'!$G$14*COS(RADIANS(F140))+'Geometry'!$F$14*SIN(RADIANS(F140))),('Geometry'!$G$15*COS(RADIANS(F140))+'Geometry'!$F$15*SIN(RADIANS(F140))),('Geometry'!$G$16*COS(RADIANS(F140))+'Geometry'!$F$16*SIN(RADIANS(F140))),('Geometry'!$G$17*COS(RADIANS(F140))+'Geometry'!$F$17*SIN(RADIANS(F140))),('Geometry'!$G$18*COS(RADIANS(F140))+'Geometry'!$F$18*SIN(RADIANS(F140))),('Geometry'!$G$19*COS(RADIANS(F140))+'Geometry'!$F$19*SIN(RADIANS(F140))),('Geometry'!$G$20*COS(RADIANS(F140))+'Geometry'!$F$20*SIN(RADIANS(F140))))</f>
        <v>1663.2967524276983</v>
      </c>
      <c r="L140" s="16">
        <f>C_ecu</f>
        <v>0.0033</v>
      </c>
      <c r="M140" s="16">
        <f>0</f>
        <v>0</v>
      </c>
      <c r="N140" s="22">
        <f>IF(ABS(I140-J140)&lt;0.000000000001,0,(L140-M140)/(I140-J140))</f>
        <v>9.920057846513012e-7</v>
      </c>
      <c r="O140" s="16">
        <f>L140-N140*I140</f>
        <v>0.0024749999999999998</v>
      </c>
      <c r="P140" s="22">
        <f>N140*COS(RADIANS(F140))</f>
        <v>-6.376490271112299e-7</v>
      </c>
      <c r="Q140" s="22">
        <f>N140*SIN(RADIANS(F140))</f>
        <v>-7.599205188740108e-7</v>
      </c>
      <c r="R140" s="11">
        <f>AP140</f>
        <v>15287.791794906805</v>
      </c>
      <c r="S140" s="11">
        <f>AQ140</f>
        <v>-294.20141334672786</v>
      </c>
      <c r="T140" s="11">
        <f>AR140</f>
        <v>-465.5372088887492</v>
      </c>
      <c r="U140" s="11">
        <f>AS140</f>
        <v>2382.5538205764324</v>
      </c>
      <c r="V140" s="11">
        <f>AT140</f>
        <v>-93.20365952737254</v>
      </c>
      <c r="W140" s="11">
        <f>AU140</f>
        <v>-147.91734491378097</v>
      </c>
      <c r="X140" s="11">
        <f>AM140</f>
        <v>17670.345615483235</v>
      </c>
      <c r="Y140" s="11">
        <f>AN140</f>
        <v>-387.40507287410037</v>
      </c>
      <c r="Z140" s="11">
        <f>AO140</f>
        <v>-613.4545538025301</v>
      </c>
      <c r="AA140" s="7">
        <v>1</v>
      </c>
      <c r="AB140" s="7">
        <v>1</v>
      </c>
      <c r="AC140" s="7">
        <v>1</v>
      </c>
      <c r="AD140" s="11">
        <f>X140*AA140</f>
        <v>17670.345615483235</v>
      </c>
      <c r="AE140" s="11">
        <f>Y140*AB140</f>
        <v>-387.40507287410037</v>
      </c>
      <c r="AF140" s="11">
        <f>Z140*AC140</f>
        <v>-613.4545538025301</v>
      </c>
      <c r="AG140" s="7">
        <v>17670.345615483235</v>
      </c>
      <c r="AH140" s="7">
        <v>-387.40507287410037</v>
      </c>
      <c r="AI140" s="7">
        <v>-613.4545538025301</v>
      </c>
      <c r="AJ140" s="16">
        <f>AD140-AG140</f>
        <v>0</v>
      </c>
      <c r="AK140" s="16">
        <f>SQRT((AE140-AH140)^2+(AF140-AI140)^2)</f>
        <v>0</v>
      </c>
      <c r="AL140" s="7" t="s">
        <v>190</v>
      </c>
      <c r="AM140" s="7">
        <v>17670.345615483235</v>
      </c>
      <c r="AN140" s="7">
        <v>-387.40507287410037</v>
      </c>
      <c r="AO140" s="7">
        <v>-613.4545538025301</v>
      </c>
      <c r="AP140" s="7">
        <v>15287.791794906805</v>
      </c>
      <c r="AQ140" s="7">
        <v>-294.20141334672786</v>
      </c>
      <c r="AR140" s="7">
        <v>-465.5372088887492</v>
      </c>
      <c r="AS140" s="7">
        <v>2382.5538205764324</v>
      </c>
      <c r="AT140" s="7">
        <v>-93.20365952737254</v>
      </c>
      <c r="AU140" s="7">
        <v>-147.91734491378097</v>
      </c>
    </row>
    <row r="141" spans="1:47" x14ac:dyDescent="0.25">
      <c r="A141" s="7" t="s">
        <v>462</v>
      </c>
      <c r="B141" s="7">
        <v>3</v>
      </c>
      <c r="C141" s="19">
        <v>230</v>
      </c>
      <c r="D141" s="7" t="s">
        <v>463</v>
      </c>
      <c r="E141" s="7" t="s">
        <v>611</v>
      </c>
      <c r="F141" s="20">
        <v>230</v>
      </c>
      <c r="G141" s="7" t="s">
        <v>194</v>
      </c>
      <c r="H141" s="21">
        <v>1.4999999999999998</v>
      </c>
      <c r="I141" s="11">
        <f>MAX(('Geometry'!$G$13*COS(RADIANS(F141))+'Geometry'!$F$13*SIN(RADIANS(F141))),('Geometry'!$G$14*COS(RADIANS(F141))+'Geometry'!$F$14*SIN(RADIANS(F141))),('Geometry'!$G$15*COS(RADIANS(F141))+'Geometry'!$F$15*SIN(RADIANS(F141))),('Geometry'!$G$16*COS(RADIANS(F141))+'Geometry'!$F$16*SIN(RADIANS(F141))),('Geometry'!$G$17*COS(RADIANS(F141))+'Geometry'!$F$17*SIN(RADIANS(F141))),('Geometry'!$G$18*COS(RADIANS(F141))+'Geometry'!$F$18*SIN(RADIANS(F141))),('Geometry'!$G$19*COS(RADIANS(F141))+'Geometry'!$F$19*SIN(RADIANS(F141))),('Geometry'!$G$20*COS(RADIANS(F141))+'Geometry'!$F$20*SIN(RADIANS(F141))))</f>
        <v>831.6483762138491</v>
      </c>
      <c r="J141" s="11">
        <f>I141-H141*K141</f>
        <v>-1663.296752427698</v>
      </c>
      <c r="K141" s="11">
        <f>I141-MIN(('Geometry'!$G$13*COS(RADIANS(F141))+'Geometry'!$F$13*SIN(RADIANS(F141))),('Geometry'!$G$14*COS(RADIANS(F141))+'Geometry'!$F$14*SIN(RADIANS(F141))),('Geometry'!$G$15*COS(RADIANS(F141))+'Geometry'!$F$15*SIN(RADIANS(F141))),('Geometry'!$G$16*COS(RADIANS(F141))+'Geometry'!$F$16*SIN(RADIANS(F141))),('Geometry'!$G$17*COS(RADIANS(F141))+'Geometry'!$F$17*SIN(RADIANS(F141))),('Geometry'!$G$18*COS(RADIANS(F141))+'Geometry'!$F$18*SIN(RADIANS(F141))),('Geometry'!$G$19*COS(RADIANS(F141))+'Geometry'!$F$19*SIN(RADIANS(F141))),('Geometry'!$G$20*COS(RADIANS(F141))+'Geometry'!$F$20*SIN(RADIANS(F141))))</f>
        <v>1663.2967524276983</v>
      </c>
      <c r="L141" s="16">
        <f>C_ecu</f>
        <v>0.0033</v>
      </c>
      <c r="M141" s="16">
        <f>0</f>
        <v>0</v>
      </c>
      <c r="N141" s="22">
        <f>IF(ABS(I141-J141)&lt;0.000000000001,0,(L141-M141)/(I141-J141))</f>
        <v>0.0000013226743795350684</v>
      </c>
      <c r="O141" s="16">
        <f>L141-N141*I141</f>
        <v>0.0021999999999999997</v>
      </c>
      <c r="P141" s="22">
        <f>N141*COS(RADIANS(F141))</f>
        <v>-8.501987028149733e-7</v>
      </c>
      <c r="Q141" s="22">
        <f>N141*SIN(RADIANS(F141))</f>
        <v>-0.0000010132273584986811</v>
      </c>
      <c r="R141" s="11">
        <f>AP141</f>
        <v>15287.791794906805</v>
      </c>
      <c r="S141" s="11">
        <f>AQ141</f>
        <v>-441.3021200200917</v>
      </c>
      <c r="T141" s="11">
        <f>AR141</f>
        <v>-698.3058133331238</v>
      </c>
      <c r="U141" s="11">
        <f>AS141</f>
        <v>2382.5538205764324</v>
      </c>
      <c r="V141" s="11">
        <f>AT141</f>
        <v>-139.80548929105882</v>
      </c>
      <c r="W141" s="11">
        <f>AU141</f>
        <v>-221.87601737067143</v>
      </c>
      <c r="X141" s="11">
        <f>AM141</f>
        <v>17670.345615483235</v>
      </c>
      <c r="Y141" s="11">
        <f>AN141</f>
        <v>-581.1076093111506</v>
      </c>
      <c r="Z141" s="11">
        <f>AO141</f>
        <v>-920.1818307037951</v>
      </c>
      <c r="AA141" s="7">
        <v>1</v>
      </c>
      <c r="AB141" s="7">
        <v>1</v>
      </c>
      <c r="AC141" s="7">
        <v>1</v>
      </c>
      <c r="AD141" s="11">
        <f>X141*AA141</f>
        <v>17670.345615483235</v>
      </c>
      <c r="AE141" s="11">
        <f>Y141*AB141</f>
        <v>-581.1076093111506</v>
      </c>
      <c r="AF141" s="11">
        <f>Z141*AC141</f>
        <v>-920.1818307037951</v>
      </c>
      <c r="AG141" s="7">
        <v>17670.345615483235</v>
      </c>
      <c r="AH141" s="7">
        <v>-581.1076093111506</v>
      </c>
      <c r="AI141" s="7">
        <v>-920.1818307037951</v>
      </c>
      <c r="AJ141" s="16">
        <f>AD141-AG141</f>
        <v>0</v>
      </c>
      <c r="AK141" s="16">
        <f>SQRT((AE141-AH141)^2+(AF141-AI141)^2)</f>
        <v>0</v>
      </c>
      <c r="AL141" s="7" t="s">
        <v>190</v>
      </c>
      <c r="AM141" s="7">
        <v>17670.345615483235</v>
      </c>
      <c r="AN141" s="7">
        <v>-581.1076093111506</v>
      </c>
      <c r="AO141" s="7">
        <v>-920.1818307037951</v>
      </c>
      <c r="AP141" s="7">
        <v>15287.791794906805</v>
      </c>
      <c r="AQ141" s="7">
        <v>-441.3021200200917</v>
      </c>
      <c r="AR141" s="7">
        <v>-698.3058133331238</v>
      </c>
      <c r="AS141" s="7">
        <v>2382.5538205764324</v>
      </c>
      <c r="AT141" s="7">
        <v>-139.80548929105882</v>
      </c>
      <c r="AU141" s="7">
        <v>-221.87601737067143</v>
      </c>
    </row>
    <row r="142" spans="1:47" x14ac:dyDescent="0.25">
      <c r="A142" s="7" t="s">
        <v>464</v>
      </c>
      <c r="B142" s="7">
        <v>4</v>
      </c>
      <c r="C142" s="19">
        <v>230</v>
      </c>
      <c r="D142" s="7" t="s">
        <v>465</v>
      </c>
      <c r="E142" s="7" t="s">
        <v>612</v>
      </c>
      <c r="F142" s="20">
        <v>230</v>
      </c>
      <c r="G142" s="7" t="s">
        <v>194</v>
      </c>
      <c r="H142" s="21">
        <v>1.2</v>
      </c>
      <c r="I142" s="11">
        <f>MAX(('Geometry'!$G$13*COS(RADIANS(F142))+'Geometry'!$F$13*SIN(RADIANS(F142))),('Geometry'!$G$14*COS(RADIANS(F142))+'Geometry'!$F$14*SIN(RADIANS(F142))),('Geometry'!$G$15*COS(RADIANS(F142))+'Geometry'!$F$15*SIN(RADIANS(F142))),('Geometry'!$G$16*COS(RADIANS(F142))+'Geometry'!$F$16*SIN(RADIANS(F142))),('Geometry'!$G$17*COS(RADIANS(F142))+'Geometry'!$F$17*SIN(RADIANS(F142))),('Geometry'!$G$18*COS(RADIANS(F142))+'Geometry'!$F$18*SIN(RADIANS(F142))),('Geometry'!$G$19*COS(RADIANS(F142))+'Geometry'!$F$19*SIN(RADIANS(F142))),('Geometry'!$G$20*COS(RADIANS(F142))+'Geometry'!$F$20*SIN(RADIANS(F142))))</f>
        <v>831.6483762138491</v>
      </c>
      <c r="J142" s="11">
        <f>I142-H142*K142</f>
        <v>-1164.3077266993887</v>
      </c>
      <c r="K142" s="11">
        <f>I142-MIN(('Geometry'!$G$13*COS(RADIANS(F142))+'Geometry'!$F$13*SIN(RADIANS(F142))),('Geometry'!$G$14*COS(RADIANS(F142))+'Geometry'!$F$14*SIN(RADIANS(F142))),('Geometry'!$G$15*COS(RADIANS(F142))+'Geometry'!$F$15*SIN(RADIANS(F142))),('Geometry'!$G$16*COS(RADIANS(F142))+'Geometry'!$F$16*SIN(RADIANS(F142))),('Geometry'!$G$17*COS(RADIANS(F142))+'Geometry'!$F$17*SIN(RADIANS(F142))),('Geometry'!$G$18*COS(RADIANS(F142))+'Geometry'!$F$18*SIN(RADIANS(F142))),('Geometry'!$G$19*COS(RADIANS(F142))+'Geometry'!$F$19*SIN(RADIANS(F142))),('Geometry'!$G$20*COS(RADIANS(F142))+'Geometry'!$F$20*SIN(RADIANS(F142))))</f>
        <v>1663.2967524276983</v>
      </c>
      <c r="L142" s="16">
        <f>C_ecu</f>
        <v>0.0033</v>
      </c>
      <c r="M142" s="16">
        <f>0</f>
        <v>0</v>
      </c>
      <c r="N142" s="22">
        <f>IF(ABS(I142-J142)&lt;0.000000000001,0,(L142-M142)/(I142-J142))</f>
        <v>0.0000016533429744188353</v>
      </c>
      <c r="O142" s="16">
        <f>L142-N142*I142</f>
        <v>0.0019249999999999998</v>
      </c>
      <c r="P142" s="22">
        <f>N142*COS(RADIANS(F142))</f>
        <v>-0.0000010627483785187166</v>
      </c>
      <c r="Q142" s="22">
        <f>N142*SIN(RADIANS(F142))</f>
        <v>-0.0000012665341981233513</v>
      </c>
      <c r="R142" s="11">
        <f>AP142</f>
        <v>15287.791794906805</v>
      </c>
      <c r="S142" s="11">
        <f>AQ142</f>
        <v>-588.4028266934557</v>
      </c>
      <c r="T142" s="11">
        <f>AR142</f>
        <v>-931.0744177774984</v>
      </c>
      <c r="U142" s="11">
        <f>AS142</f>
        <v>2382.5538205764324</v>
      </c>
      <c r="V142" s="11">
        <f>AT142</f>
        <v>-186.40731905474507</v>
      </c>
      <c r="W142" s="11">
        <f>AU142</f>
        <v>-295.83468982756193</v>
      </c>
      <c r="X142" s="11">
        <f>AM142</f>
        <v>17670.345615483235</v>
      </c>
      <c r="Y142" s="11">
        <f>AN142</f>
        <v>-774.8101457482007</v>
      </c>
      <c r="Z142" s="11">
        <f>AO142</f>
        <v>-1226.9091076050602</v>
      </c>
      <c r="AA142" s="7">
        <v>1</v>
      </c>
      <c r="AB142" s="7">
        <v>1</v>
      </c>
      <c r="AC142" s="7">
        <v>1</v>
      </c>
      <c r="AD142" s="11">
        <f>X142*AA142</f>
        <v>17670.345615483235</v>
      </c>
      <c r="AE142" s="11">
        <f>Y142*AB142</f>
        <v>-774.8101457482007</v>
      </c>
      <c r="AF142" s="11">
        <f>Z142*AC142</f>
        <v>-1226.9091076050602</v>
      </c>
      <c r="AG142" s="7">
        <v>17670.345615483235</v>
      </c>
      <c r="AH142" s="7">
        <v>-774.8101457482007</v>
      </c>
      <c r="AI142" s="7">
        <v>-1226.9091076050602</v>
      </c>
      <c r="AJ142" s="16">
        <f>AD142-AG142</f>
        <v>0</v>
      </c>
      <c r="AK142" s="16">
        <f>SQRT((AE142-AH142)^2+(AF142-AI142)^2)</f>
        <v>0</v>
      </c>
      <c r="AL142" s="7" t="s">
        <v>190</v>
      </c>
      <c r="AM142" s="7">
        <v>17670.345615483235</v>
      </c>
      <c r="AN142" s="7">
        <v>-774.8101457482007</v>
      </c>
      <c r="AO142" s="7">
        <v>-1226.9091076050602</v>
      </c>
      <c r="AP142" s="7">
        <v>15287.791794906805</v>
      </c>
      <c r="AQ142" s="7">
        <v>-588.4028266934557</v>
      </c>
      <c r="AR142" s="7">
        <v>-931.0744177774984</v>
      </c>
      <c r="AS142" s="7">
        <v>2382.5538205764324</v>
      </c>
      <c r="AT142" s="7">
        <v>-186.40731905474507</v>
      </c>
      <c r="AU142" s="7">
        <v>-295.83468982756193</v>
      </c>
    </row>
    <row r="143" spans="1:47" x14ac:dyDescent="0.25">
      <c r="A143" s="7" t="s">
        <v>466</v>
      </c>
      <c r="B143" s="7">
        <v>5</v>
      </c>
      <c r="C143" s="19">
        <v>230</v>
      </c>
      <c r="D143" s="7" t="s">
        <v>467</v>
      </c>
      <c r="E143" s="7" t="s">
        <v>614</v>
      </c>
      <c r="F143" s="20">
        <v>230</v>
      </c>
      <c r="G143" s="7" t="s">
        <v>194</v>
      </c>
      <c r="H143" s="21">
        <v>1</v>
      </c>
      <c r="I143" s="11">
        <f>MAX(('Geometry'!$G$13*COS(RADIANS(F143))+'Geometry'!$F$13*SIN(RADIANS(F143))),('Geometry'!$G$14*COS(RADIANS(F143))+'Geometry'!$F$14*SIN(RADIANS(F143))),('Geometry'!$G$15*COS(RADIANS(F143))+'Geometry'!$F$15*SIN(RADIANS(F143))),('Geometry'!$G$16*COS(RADIANS(F143))+'Geometry'!$F$16*SIN(RADIANS(F143))),('Geometry'!$G$17*COS(RADIANS(F143))+'Geometry'!$F$17*SIN(RADIANS(F143))),('Geometry'!$G$18*COS(RADIANS(F143))+'Geometry'!$F$18*SIN(RADIANS(F143))),('Geometry'!$G$19*COS(RADIANS(F143))+'Geometry'!$F$19*SIN(RADIANS(F143))),('Geometry'!$G$20*COS(RADIANS(F143))+'Geometry'!$F$20*SIN(RADIANS(F143))))</f>
        <v>831.6483762138491</v>
      </c>
      <c r="J143" s="11">
        <f>I143-H143*K143</f>
        <v>-831.6483762138491</v>
      </c>
      <c r="K143" s="11">
        <f>I143-MIN(('Geometry'!$G$13*COS(RADIANS(F143))+'Geometry'!$F$13*SIN(RADIANS(F143))),('Geometry'!$G$14*COS(RADIANS(F143))+'Geometry'!$F$14*SIN(RADIANS(F143))),('Geometry'!$G$15*COS(RADIANS(F143))+'Geometry'!$F$15*SIN(RADIANS(F143))),('Geometry'!$G$16*COS(RADIANS(F143))+'Geometry'!$F$16*SIN(RADIANS(F143))),('Geometry'!$G$17*COS(RADIANS(F143))+'Geometry'!$F$17*SIN(RADIANS(F143))),('Geometry'!$G$18*COS(RADIANS(F143))+'Geometry'!$F$18*SIN(RADIANS(F143))),('Geometry'!$G$19*COS(RADIANS(F143))+'Geometry'!$F$19*SIN(RADIANS(F143))),('Geometry'!$G$20*COS(RADIANS(F143))+'Geometry'!$F$20*SIN(RADIANS(F143))))</f>
        <v>1663.2967524276983</v>
      </c>
      <c r="L143" s="16">
        <f>C_ecu</f>
        <v>0.0033</v>
      </c>
      <c r="M143" s="16">
        <f>0</f>
        <v>0</v>
      </c>
      <c r="N143" s="22">
        <f>IF(ABS(I143-J143)&lt;0.000000000001,0,(L143-M143)/(I143-J143))</f>
        <v>0.0000019840115693026024</v>
      </c>
      <c r="O143" s="16">
        <f>L143-N143*I143</f>
        <v>0.00165</v>
      </c>
      <c r="P143" s="22">
        <f>N143*COS(RADIANS(F143))</f>
        <v>-0.0000012752980542224599</v>
      </c>
      <c r="Q143" s="22">
        <f>N143*SIN(RADIANS(F143))</f>
        <v>-0.0000015198410377480215</v>
      </c>
      <c r="R143" s="11">
        <f>AP143</f>
        <v>15287.791794906805</v>
      </c>
      <c r="S143" s="11">
        <f>AQ143</f>
        <v>-882.6042400401834</v>
      </c>
      <c r="T143" s="11">
        <f>AR143</f>
        <v>-1396.6116266662475</v>
      </c>
      <c r="U143" s="11">
        <f>AS143</f>
        <v>2382.5538205764324</v>
      </c>
      <c r="V143" s="11">
        <f>AT143</f>
        <v>-279.61097858211764</v>
      </c>
      <c r="W143" s="11">
        <f>AU143</f>
        <v>-443.75203474134287</v>
      </c>
      <c r="X143" s="11">
        <f>AM143</f>
        <v>17670.345615483235</v>
      </c>
      <c r="Y143" s="11">
        <f>AN143</f>
        <v>-1162.215218622301</v>
      </c>
      <c r="Z143" s="11">
        <f>AO143</f>
        <v>-1840.3636614075901</v>
      </c>
      <c r="AA143" s="7">
        <v>1</v>
      </c>
      <c r="AB143" s="7">
        <v>1</v>
      </c>
      <c r="AC143" s="7">
        <v>1</v>
      </c>
      <c r="AD143" s="11">
        <f>X143*AA143</f>
        <v>17670.345615483235</v>
      </c>
      <c r="AE143" s="11">
        <f>Y143*AB143</f>
        <v>-1162.215218622301</v>
      </c>
      <c r="AF143" s="11">
        <f>Z143*AC143</f>
        <v>-1840.3636614075901</v>
      </c>
      <c r="AG143" s="7">
        <v>17670.345615483235</v>
      </c>
      <c r="AH143" s="7">
        <v>-1162.215218622301</v>
      </c>
      <c r="AI143" s="7">
        <v>-1840.3636614075901</v>
      </c>
      <c r="AJ143" s="16">
        <f>AD143-AG143</f>
        <v>0</v>
      </c>
      <c r="AK143" s="16">
        <f>SQRT((AE143-AH143)^2+(AF143-AI143)^2)</f>
        <v>0</v>
      </c>
      <c r="AL143" s="7" t="s">
        <v>190</v>
      </c>
      <c r="AM143" s="7">
        <v>17670.345615483235</v>
      </c>
      <c r="AN143" s="7">
        <v>-1162.215218622301</v>
      </c>
      <c r="AO143" s="7">
        <v>-1840.3636614075901</v>
      </c>
      <c r="AP143" s="7">
        <v>15287.791794906805</v>
      </c>
      <c r="AQ143" s="7">
        <v>-882.6042400401834</v>
      </c>
      <c r="AR143" s="7">
        <v>-1396.6116266662475</v>
      </c>
      <c r="AS143" s="7">
        <v>2382.5538205764324</v>
      </c>
      <c r="AT143" s="7">
        <v>-279.61097858211764</v>
      </c>
      <c r="AU143" s="7">
        <v>-443.75203474134287</v>
      </c>
    </row>
    <row r="144" spans="1:47" x14ac:dyDescent="0.25">
      <c r="A144" s="7" t="s">
        <v>468</v>
      </c>
      <c r="B144" s="7">
        <v>6</v>
      </c>
      <c r="C144" s="19">
        <v>230</v>
      </c>
      <c r="D144" s="7" t="s">
        <v>469</v>
      </c>
      <c r="E144" s="7" t="s">
        <v>613</v>
      </c>
      <c r="F144" s="20">
        <v>230</v>
      </c>
      <c r="G144" s="7" t="s">
        <v>194</v>
      </c>
      <c r="H144" s="21">
        <v>1.1</v>
      </c>
      <c r="I144" s="11">
        <f>MAX(('Geometry'!$G$13*COS(RADIANS(F144))+'Geometry'!$F$13*SIN(RADIANS(F144))),('Geometry'!$G$14*COS(RADIANS(F144))+'Geometry'!$F$14*SIN(RADIANS(F144))),('Geometry'!$G$15*COS(RADIANS(F144))+'Geometry'!$F$15*SIN(RADIANS(F144))),('Geometry'!$G$16*COS(RADIANS(F144))+'Geometry'!$F$16*SIN(RADIANS(F144))),('Geometry'!$G$17*COS(RADIANS(F144))+'Geometry'!$F$17*SIN(RADIANS(F144))),('Geometry'!$G$18*COS(RADIANS(F144))+'Geometry'!$F$18*SIN(RADIANS(F144))),('Geometry'!$G$19*COS(RADIANS(F144))+'Geometry'!$F$19*SIN(RADIANS(F144))),('Geometry'!$G$20*COS(RADIANS(F144))+'Geometry'!$F$20*SIN(RADIANS(F144))))</f>
        <v>831.6483762138491</v>
      </c>
      <c r="J144" s="11">
        <f>I144-H144*K144</f>
        <v>-997.9780514566191</v>
      </c>
      <c r="K144" s="11">
        <f>I144-MIN(('Geometry'!$G$13*COS(RADIANS(F144))+'Geometry'!$F$13*SIN(RADIANS(F144))),('Geometry'!$G$14*COS(RADIANS(F144))+'Geometry'!$F$14*SIN(RADIANS(F144))),('Geometry'!$G$15*COS(RADIANS(F144))+'Geometry'!$F$15*SIN(RADIANS(F144))),('Geometry'!$G$16*COS(RADIANS(F144))+'Geometry'!$F$16*SIN(RADIANS(F144))),('Geometry'!$G$17*COS(RADIANS(F144))+'Geometry'!$F$17*SIN(RADIANS(F144))),('Geometry'!$G$18*COS(RADIANS(F144))+'Geometry'!$F$18*SIN(RADIANS(F144))),('Geometry'!$G$19*COS(RADIANS(F144))+'Geometry'!$F$19*SIN(RADIANS(F144))),('Geometry'!$G$20*COS(RADIANS(F144))+'Geometry'!$F$20*SIN(RADIANS(F144))))</f>
        <v>1663.2967524276983</v>
      </c>
      <c r="L144" s="16">
        <f>C_ecu</f>
        <v>0.0033</v>
      </c>
      <c r="M144" s="16">
        <f>0</f>
        <v>0</v>
      </c>
      <c r="N144" s="22">
        <f>IF(ABS(I144-J144)&lt;0.000000000001,0,(L144-M144)/(I144-J144))</f>
        <v>0.0000018036468811841838</v>
      </c>
      <c r="O144" s="16">
        <f>L144-N144*I144</f>
        <v>0.0018</v>
      </c>
      <c r="P144" s="22">
        <f>N144*COS(RADIANS(F144))</f>
        <v>-0.0000011593618674749635</v>
      </c>
      <c r="Q144" s="22">
        <f>N144*SIN(RADIANS(F144))</f>
        <v>-0.0000013816736706800195</v>
      </c>
      <c r="R144" s="11">
        <f>AP144</f>
        <v>15287.791794906805</v>
      </c>
      <c r="S144" s="11">
        <f>AQ144</f>
        <v>-735.5035333668195</v>
      </c>
      <c r="T144" s="11">
        <f>AR144</f>
        <v>-1163.8430222218728</v>
      </c>
      <c r="U144" s="11">
        <f>AS144</f>
        <v>2382.5538205764324</v>
      </c>
      <c r="V144" s="11">
        <f>AT144</f>
        <v>-233.00914881843136</v>
      </c>
      <c r="W144" s="11">
        <f>AU144</f>
        <v>-369.79336228445237</v>
      </c>
      <c r="X144" s="11">
        <f>AM144</f>
        <v>17670.345615483235</v>
      </c>
      <c r="Y144" s="11">
        <f>AN144</f>
        <v>-968.5126821852509</v>
      </c>
      <c r="Z144" s="11">
        <f>AO144</f>
        <v>-1533.6363845063252</v>
      </c>
      <c r="AA144" s="7">
        <v>1</v>
      </c>
      <c r="AB144" s="7">
        <v>1</v>
      </c>
      <c r="AC144" s="7">
        <v>1</v>
      </c>
      <c r="AD144" s="11">
        <f>X144*AA144</f>
        <v>17670.345615483235</v>
      </c>
      <c r="AE144" s="11">
        <f>Y144*AB144</f>
        <v>-968.5126821852509</v>
      </c>
      <c r="AF144" s="11">
        <f>Z144*AC144</f>
        <v>-1533.6363845063252</v>
      </c>
      <c r="AG144" s="7">
        <v>17670.345615483235</v>
      </c>
      <c r="AH144" s="7">
        <v>-968.5126821852509</v>
      </c>
      <c r="AI144" s="7">
        <v>-1533.6363845063252</v>
      </c>
      <c r="AJ144" s="16">
        <f>AD144-AG144</f>
        <v>0</v>
      </c>
      <c r="AK144" s="16">
        <f>SQRT((AE144-AH144)^2+(AF144-AI144)^2)</f>
        <v>0</v>
      </c>
      <c r="AL144" s="7" t="s">
        <v>190</v>
      </c>
      <c r="AM144" s="7">
        <v>17670.345615483235</v>
      </c>
      <c r="AN144" s="7">
        <v>-968.5126821852509</v>
      </c>
      <c r="AO144" s="7">
        <v>-1533.6363845063252</v>
      </c>
      <c r="AP144" s="7">
        <v>15287.791794906805</v>
      </c>
      <c r="AQ144" s="7">
        <v>-735.5035333668195</v>
      </c>
      <c r="AR144" s="7">
        <v>-1163.8430222218728</v>
      </c>
      <c r="AS144" s="7">
        <v>2382.5538205764324</v>
      </c>
      <c r="AT144" s="7">
        <v>-233.00914881843136</v>
      </c>
      <c r="AU144" s="7">
        <v>-369.79336228445237</v>
      </c>
    </row>
    <row r="145" spans="1:47" x14ac:dyDescent="0.25">
      <c r="A145" s="7" t="s">
        <v>470</v>
      </c>
      <c r="B145" s="7">
        <v>1</v>
      </c>
      <c r="C145" s="19">
        <v>240</v>
      </c>
      <c r="D145" s="7" t="s">
        <v>471</v>
      </c>
      <c r="E145" s="7" t="s">
        <v>611</v>
      </c>
      <c r="F145" s="20">
        <v>240</v>
      </c>
      <c r="G145" s="7" t="s">
        <v>194</v>
      </c>
      <c r="H145" s="21">
        <v>1.5</v>
      </c>
      <c r="I145" s="11">
        <f>MAX(('Geometry'!$G$13*COS(RADIANS(F145))+'Geometry'!$F$13*SIN(RADIANS(F145))),('Geometry'!$G$14*COS(RADIANS(F145))+'Geometry'!$F$14*SIN(RADIANS(F145))),('Geometry'!$G$15*COS(RADIANS(F145))+'Geometry'!$F$15*SIN(RADIANS(F145))),('Geometry'!$G$16*COS(RADIANS(F145))+'Geometry'!$F$16*SIN(RADIANS(F145))),('Geometry'!$G$17*COS(RADIANS(F145))+'Geometry'!$F$17*SIN(RADIANS(F145))),('Geometry'!$G$18*COS(RADIANS(F145))+'Geometry'!$F$18*SIN(RADIANS(F145))),('Geometry'!$G$19*COS(RADIANS(F145))+'Geometry'!$F$19*SIN(RADIANS(F145))),('Geometry'!$G$20*COS(RADIANS(F145))+'Geometry'!$F$20*SIN(RADIANS(F145))))</f>
        <v>849.5190528383291</v>
      </c>
      <c r="J145" s="11">
        <f>I145-H145*K145</f>
        <v>-1699.038105676658</v>
      </c>
      <c r="K145" s="11">
        <f>I145-MIN(('Geometry'!$G$13*COS(RADIANS(F145))+'Geometry'!$F$13*SIN(RADIANS(F145))),('Geometry'!$G$14*COS(RADIANS(F145))+'Geometry'!$F$14*SIN(RADIANS(F145))),('Geometry'!$G$15*COS(RADIANS(F145))+'Geometry'!$F$15*SIN(RADIANS(F145))),('Geometry'!$G$16*COS(RADIANS(F145))+'Geometry'!$F$16*SIN(RADIANS(F145))),('Geometry'!$G$17*COS(RADIANS(F145))+'Geometry'!$F$17*SIN(RADIANS(F145))),('Geometry'!$G$18*COS(RADIANS(F145))+'Geometry'!$F$18*SIN(RADIANS(F145))),('Geometry'!$G$19*COS(RADIANS(F145))+'Geometry'!$F$19*SIN(RADIANS(F145))),('Geometry'!$G$20*COS(RADIANS(F145))+'Geometry'!$F$20*SIN(RADIANS(F145))))</f>
        <v>1699.0381056766582</v>
      </c>
      <c r="L145" s="16">
        <f>C_ecu</f>
        <v>0.0033</v>
      </c>
      <c r="M145" s="16">
        <f>0</f>
        <v>0</v>
      </c>
      <c r="N145" s="22">
        <f>IF(ABS(I145-J145)&lt;0.000000000001,0,(L145-M145)/(I145-J145))</f>
        <v>0.0000012948502995015694</v>
      </c>
      <c r="O145" s="16">
        <f>L145-N145*I145</f>
        <v>0.0021999999999999997</v>
      </c>
      <c r="P145" s="22">
        <f>N145*COS(RADIANS(F145))</f>
        <v>-6.474251497507852e-7</v>
      </c>
      <c r="Q145" s="22">
        <f>N145*SIN(RADIANS(F145))</f>
        <v>-0.0000011213732534662478</v>
      </c>
      <c r="R145" s="11">
        <f>AP145</f>
        <v>15289.900765931869</v>
      </c>
      <c r="S145" s="11">
        <f>AQ145</f>
        <v>-341.39464731742794</v>
      </c>
      <c r="T145" s="11">
        <f>AR145</f>
        <v>-764.9806756412997</v>
      </c>
      <c r="U145" s="11">
        <f>AS145</f>
        <v>2380.444849551365</v>
      </c>
      <c r="V145" s="11">
        <f>AT145</f>
        <v>-105.15277472304324</v>
      </c>
      <c r="W145" s="11">
        <f>AU145</f>
        <v>-244.89268533361798</v>
      </c>
      <c r="X145" s="11">
        <f>AM145</f>
        <v>17670.345615483235</v>
      </c>
      <c r="Y145" s="11">
        <f>AN145</f>
        <v>-446.54742204047113</v>
      </c>
      <c r="Z145" s="11">
        <f>AO145</f>
        <v>-1009.8733609749177</v>
      </c>
      <c r="AA145" s="7">
        <v>1</v>
      </c>
      <c r="AB145" s="7">
        <v>1</v>
      </c>
      <c r="AC145" s="7">
        <v>1</v>
      </c>
      <c r="AD145" s="11">
        <f>X145*AA145</f>
        <v>17670.345615483235</v>
      </c>
      <c r="AE145" s="11">
        <f>Y145*AB145</f>
        <v>-446.54742204047113</v>
      </c>
      <c r="AF145" s="11">
        <f>Z145*AC145</f>
        <v>-1009.8733609749177</v>
      </c>
      <c r="AG145" s="7">
        <v>17670.345615483235</v>
      </c>
      <c r="AH145" s="7">
        <v>-446.54742204047113</v>
      </c>
      <c r="AI145" s="7">
        <v>-1009.8733609749177</v>
      </c>
      <c r="AJ145" s="16">
        <f>AD145-AG145</f>
        <v>0</v>
      </c>
      <c r="AK145" s="16">
        <f>SQRT((AE145-AH145)^2+(AF145-AI145)^2)</f>
        <v>0</v>
      </c>
      <c r="AL145" s="7" t="s">
        <v>190</v>
      </c>
      <c r="AM145" s="7">
        <v>17670.345615483235</v>
      </c>
      <c r="AN145" s="7">
        <v>-446.54742204047113</v>
      </c>
      <c r="AO145" s="7">
        <v>-1009.8733609749177</v>
      </c>
      <c r="AP145" s="7">
        <v>15289.900765931869</v>
      </c>
      <c r="AQ145" s="7">
        <v>-341.39464731742794</v>
      </c>
      <c r="AR145" s="7">
        <v>-764.9806756412997</v>
      </c>
      <c r="AS145" s="7">
        <v>2380.444849551365</v>
      </c>
      <c r="AT145" s="7">
        <v>-105.15277472304324</v>
      </c>
      <c r="AU145" s="7">
        <v>-244.89268533361798</v>
      </c>
    </row>
    <row r="146" spans="1:47" x14ac:dyDescent="0.25">
      <c r="A146" s="7" t="s">
        <v>472</v>
      </c>
      <c r="B146" s="7">
        <v>2</v>
      </c>
      <c r="C146" s="19">
        <v>240</v>
      </c>
      <c r="D146" s="7" t="s">
        <v>473</v>
      </c>
      <c r="E146" s="7" t="s">
        <v>613</v>
      </c>
      <c r="F146" s="20">
        <v>239.99999999999994</v>
      </c>
      <c r="G146" s="7" t="s">
        <v>194</v>
      </c>
      <c r="H146" s="21">
        <v>1.1000000000000003</v>
      </c>
      <c r="I146" s="11">
        <f>MAX(('Geometry'!$G$13*COS(RADIANS(F146))+'Geometry'!$F$13*SIN(RADIANS(F146))),('Geometry'!$G$14*COS(RADIANS(F146))+'Geometry'!$F$14*SIN(RADIANS(F146))),('Geometry'!$G$15*COS(RADIANS(F146))+'Geometry'!$F$15*SIN(RADIANS(F146))),('Geometry'!$G$16*COS(RADIANS(F146))+'Geometry'!$F$16*SIN(RADIANS(F146))),('Geometry'!$G$17*COS(RADIANS(F146))+'Geometry'!$F$17*SIN(RADIANS(F146))),('Geometry'!$G$18*COS(RADIANS(F146))+'Geometry'!$F$18*SIN(RADIANS(F146))),('Geometry'!$G$19*COS(RADIANS(F146))+'Geometry'!$F$19*SIN(RADIANS(F146))),('Geometry'!$G$20*COS(RADIANS(F146))+'Geometry'!$F$20*SIN(RADIANS(F146))))</f>
        <v>849.5190528383289</v>
      </c>
      <c r="J146" s="11">
        <f>I146-H146*K146</f>
        <v>-1019.4228634059953</v>
      </c>
      <c r="K146" s="11">
        <f>I146-MIN(('Geometry'!$G$13*COS(RADIANS(F146))+'Geometry'!$F$13*SIN(RADIANS(F146))),('Geometry'!$G$14*COS(RADIANS(F146))+'Geometry'!$F$14*SIN(RADIANS(F146))),('Geometry'!$G$15*COS(RADIANS(F146))+'Geometry'!$F$15*SIN(RADIANS(F146))),('Geometry'!$G$16*COS(RADIANS(F146))+'Geometry'!$F$16*SIN(RADIANS(F146))),('Geometry'!$G$17*COS(RADIANS(F146))+'Geometry'!$F$17*SIN(RADIANS(F146))),('Geometry'!$G$18*COS(RADIANS(F146))+'Geometry'!$F$18*SIN(RADIANS(F146))),('Geometry'!$G$19*COS(RADIANS(F146))+'Geometry'!$F$19*SIN(RADIANS(F146))),('Geometry'!$G$20*COS(RADIANS(F146))+'Geometry'!$F$20*SIN(RADIANS(F146))))</f>
        <v>1699.0381056766578</v>
      </c>
      <c r="L146" s="16">
        <f>C_ecu</f>
        <v>0.0032999999999999995</v>
      </c>
      <c r="M146" s="16">
        <f>0</f>
        <v>0</v>
      </c>
      <c r="N146" s="22">
        <f>IF(ABS(I146-J146)&lt;0.000000000001,0,(L146-M146)/(I146-J146))</f>
        <v>0.000001765704953865776</v>
      </c>
      <c r="O146" s="16">
        <f>L146-N146*I146</f>
        <v>0.0018000000000000002</v>
      </c>
      <c r="P146" s="22">
        <f>N146*COS(RADIANS(F146))</f>
        <v>-8.828524769328889e-7</v>
      </c>
      <c r="Q146" s="22">
        <f>N146*SIN(RADIANS(F146))</f>
        <v>-0.0000015291453456357922</v>
      </c>
      <c r="R146" s="11">
        <f>AP146</f>
        <v>15289.900765931869</v>
      </c>
      <c r="S146" s="11">
        <f>AQ146</f>
        <v>-568.9910788623798</v>
      </c>
      <c r="T146" s="11">
        <f>AR146</f>
        <v>-1274.9677927354994</v>
      </c>
      <c r="U146" s="11">
        <f>AS146</f>
        <v>2380.444849551365</v>
      </c>
      <c r="V146" s="11">
        <f>AT146</f>
        <v>-175.25462453840538</v>
      </c>
      <c r="W146" s="11">
        <f>AU146</f>
        <v>-408.15447555603</v>
      </c>
      <c r="X146" s="11">
        <f>AM146</f>
        <v>17670.345615483235</v>
      </c>
      <c r="Y146" s="11">
        <f>AN146</f>
        <v>-744.2457034007853</v>
      </c>
      <c r="Z146" s="11">
        <f>AO146</f>
        <v>-1683.1222682915295</v>
      </c>
      <c r="AA146" s="7">
        <v>1</v>
      </c>
      <c r="AB146" s="7">
        <v>1</v>
      </c>
      <c r="AC146" s="7">
        <v>1</v>
      </c>
      <c r="AD146" s="11">
        <f>X146*AA146</f>
        <v>17670.345615483235</v>
      </c>
      <c r="AE146" s="11">
        <f>Y146*AB146</f>
        <v>-744.2457034007853</v>
      </c>
      <c r="AF146" s="11">
        <f>Z146*AC146</f>
        <v>-1683.1222682915295</v>
      </c>
      <c r="AG146" s="7">
        <v>17670.345615483235</v>
      </c>
      <c r="AH146" s="7">
        <v>-744.2457034007853</v>
      </c>
      <c r="AI146" s="7">
        <v>-1683.1222682915295</v>
      </c>
      <c r="AJ146" s="16">
        <f>AD146-AG146</f>
        <v>0</v>
      </c>
      <c r="AK146" s="16">
        <f>SQRT((AE146-AH146)^2+(AF146-AI146)^2)</f>
        <v>0</v>
      </c>
      <c r="AL146" s="7" t="s">
        <v>190</v>
      </c>
      <c r="AM146" s="7">
        <v>17670.345615483235</v>
      </c>
      <c r="AN146" s="7">
        <v>-744.2457034007853</v>
      </c>
      <c r="AO146" s="7">
        <v>-1683.1222682915295</v>
      </c>
      <c r="AP146" s="7">
        <v>15289.900765931869</v>
      </c>
      <c r="AQ146" s="7">
        <v>-568.9910788623798</v>
      </c>
      <c r="AR146" s="7">
        <v>-1274.9677927354994</v>
      </c>
      <c r="AS146" s="7">
        <v>2380.444849551365</v>
      </c>
      <c r="AT146" s="7">
        <v>-175.25462453840538</v>
      </c>
      <c r="AU146" s="7">
        <v>-408.15447555603</v>
      </c>
    </row>
    <row r="147" spans="1:47" x14ac:dyDescent="0.25">
      <c r="A147" s="7" t="s">
        <v>474</v>
      </c>
      <c r="B147" s="7">
        <v>3</v>
      </c>
      <c r="C147" s="19">
        <v>240</v>
      </c>
      <c r="D147" s="7" t="s">
        <v>475</v>
      </c>
      <c r="E147" s="7" t="s">
        <v>614</v>
      </c>
      <c r="F147" s="20">
        <v>239.99999999999994</v>
      </c>
      <c r="G147" s="7" t="s">
        <v>194</v>
      </c>
      <c r="H147" s="21">
        <v>1</v>
      </c>
      <c r="I147" s="11">
        <f>MAX(('Geometry'!$G$13*COS(RADIANS(F147))+'Geometry'!$F$13*SIN(RADIANS(F147))),('Geometry'!$G$14*COS(RADIANS(F147))+'Geometry'!$F$14*SIN(RADIANS(F147))),('Geometry'!$G$15*COS(RADIANS(F147))+'Geometry'!$F$15*SIN(RADIANS(F147))),('Geometry'!$G$16*COS(RADIANS(F147))+'Geometry'!$F$16*SIN(RADIANS(F147))),('Geometry'!$G$17*COS(RADIANS(F147))+'Geometry'!$F$17*SIN(RADIANS(F147))),('Geometry'!$G$18*COS(RADIANS(F147))+'Geometry'!$F$18*SIN(RADIANS(F147))),('Geometry'!$G$19*COS(RADIANS(F147))+'Geometry'!$F$19*SIN(RADIANS(F147))),('Geometry'!$G$20*COS(RADIANS(F147))+'Geometry'!$F$20*SIN(RADIANS(F147))))</f>
        <v>849.5190528383289</v>
      </c>
      <c r="J147" s="11">
        <f>I147-H147*K147</f>
        <v>-849.5190528383289</v>
      </c>
      <c r="K147" s="11">
        <f>I147-MIN(('Geometry'!$G$13*COS(RADIANS(F147))+'Geometry'!$F$13*SIN(RADIANS(F147))),('Geometry'!$G$14*COS(RADIANS(F147))+'Geometry'!$F$14*SIN(RADIANS(F147))),('Geometry'!$G$15*COS(RADIANS(F147))+'Geometry'!$F$15*SIN(RADIANS(F147))),('Geometry'!$G$16*COS(RADIANS(F147))+'Geometry'!$F$16*SIN(RADIANS(F147))),('Geometry'!$G$17*COS(RADIANS(F147))+'Geometry'!$F$17*SIN(RADIANS(F147))),('Geometry'!$G$18*COS(RADIANS(F147))+'Geometry'!$F$18*SIN(RADIANS(F147))),('Geometry'!$G$19*COS(RADIANS(F147))+'Geometry'!$F$19*SIN(RADIANS(F147))),('Geometry'!$G$20*COS(RADIANS(F147))+'Geometry'!$F$20*SIN(RADIANS(F147))))</f>
        <v>1699.0381056766578</v>
      </c>
      <c r="L147" s="16">
        <f>C_ecu</f>
        <v>0.0032999999999999995</v>
      </c>
      <c r="M147" s="16">
        <f>0</f>
        <v>0</v>
      </c>
      <c r="N147" s="22">
        <f>IF(ABS(I147-J147)&lt;0.000000000001,0,(L147-M147)/(I147-J147))</f>
        <v>0.000001942275449252354</v>
      </c>
      <c r="O147" s="16">
        <f>L147-N147*I147</f>
        <v>0.0016499999999999998</v>
      </c>
      <c r="P147" s="22">
        <f>N147*COS(RADIANS(F147))</f>
        <v>-9.71137724626178e-7</v>
      </c>
      <c r="Q147" s="22">
        <f>N147*SIN(RADIANS(F147))</f>
        <v>-0.0000016820598801993718</v>
      </c>
      <c r="R147" s="11">
        <f>AP147</f>
        <v>15289.900765931869</v>
      </c>
      <c r="S147" s="11">
        <f>AQ147</f>
        <v>-682.7892946348559</v>
      </c>
      <c r="T147" s="11">
        <f>AR147</f>
        <v>-1529.9613512825995</v>
      </c>
      <c r="U147" s="11">
        <f>AS147</f>
        <v>2380.444849551365</v>
      </c>
      <c r="V147" s="11">
        <f>AT147</f>
        <v>-210.30554944608647</v>
      </c>
      <c r="W147" s="11">
        <f>AU147</f>
        <v>-489.78537066723595</v>
      </c>
      <c r="X147" s="11">
        <f>AM147</f>
        <v>17670.345615483235</v>
      </c>
      <c r="Y147" s="11">
        <f>AN147</f>
        <v>-893.0948440809423</v>
      </c>
      <c r="Z147" s="11">
        <f>AO147</f>
        <v>-2019.7467219498353</v>
      </c>
      <c r="AA147" s="7">
        <v>1</v>
      </c>
      <c r="AB147" s="7">
        <v>1</v>
      </c>
      <c r="AC147" s="7">
        <v>1</v>
      </c>
      <c r="AD147" s="11">
        <f>X147*AA147</f>
        <v>17670.345615483235</v>
      </c>
      <c r="AE147" s="11">
        <f>Y147*AB147</f>
        <v>-893.0948440809423</v>
      </c>
      <c r="AF147" s="11">
        <f>Z147*AC147</f>
        <v>-2019.7467219498353</v>
      </c>
      <c r="AG147" s="7">
        <v>17670.345615483235</v>
      </c>
      <c r="AH147" s="7">
        <v>-893.0948440809423</v>
      </c>
      <c r="AI147" s="7">
        <v>-2019.7467219498353</v>
      </c>
      <c r="AJ147" s="16">
        <f>AD147-AG147</f>
        <v>0</v>
      </c>
      <c r="AK147" s="16">
        <f>SQRT((AE147-AH147)^2+(AF147-AI147)^2)</f>
        <v>0</v>
      </c>
      <c r="AL147" s="7" t="s">
        <v>190</v>
      </c>
      <c r="AM147" s="7">
        <v>17670.345615483235</v>
      </c>
      <c r="AN147" s="7">
        <v>-893.0948440809423</v>
      </c>
      <c r="AO147" s="7">
        <v>-2019.7467219498353</v>
      </c>
      <c r="AP147" s="7">
        <v>15289.900765931869</v>
      </c>
      <c r="AQ147" s="7">
        <v>-682.7892946348559</v>
      </c>
      <c r="AR147" s="7">
        <v>-1529.9613512825995</v>
      </c>
      <c r="AS147" s="7">
        <v>2380.444849551365</v>
      </c>
      <c r="AT147" s="7">
        <v>-210.30554944608647</v>
      </c>
      <c r="AU147" s="7">
        <v>-489.78537066723595</v>
      </c>
    </row>
    <row r="148" spans="1:47" x14ac:dyDescent="0.25">
      <c r="A148" s="7" t="s">
        <v>476</v>
      </c>
      <c r="B148" s="7">
        <v>4</v>
      </c>
      <c r="C148" s="19">
        <v>240</v>
      </c>
      <c r="D148" s="7" t="s">
        <v>477</v>
      </c>
      <c r="E148" s="7" t="s">
        <v>609</v>
      </c>
      <c r="F148" s="20">
        <v>240</v>
      </c>
      <c r="G148" s="7" t="s">
        <v>194</v>
      </c>
      <c r="H148" s="21">
        <v>3</v>
      </c>
      <c r="I148" s="11">
        <f>MAX(('Geometry'!$G$13*COS(RADIANS(F148))+'Geometry'!$F$13*SIN(RADIANS(F148))),('Geometry'!$G$14*COS(RADIANS(F148))+'Geometry'!$F$14*SIN(RADIANS(F148))),('Geometry'!$G$15*COS(RADIANS(F148))+'Geometry'!$F$15*SIN(RADIANS(F148))),('Geometry'!$G$16*COS(RADIANS(F148))+'Geometry'!$F$16*SIN(RADIANS(F148))),('Geometry'!$G$17*COS(RADIANS(F148))+'Geometry'!$F$17*SIN(RADIANS(F148))),('Geometry'!$G$18*COS(RADIANS(F148))+'Geometry'!$F$18*SIN(RADIANS(F148))),('Geometry'!$G$19*COS(RADIANS(F148))+'Geometry'!$F$19*SIN(RADIANS(F148))),('Geometry'!$G$20*COS(RADIANS(F148))+'Geometry'!$F$20*SIN(RADIANS(F148))))</f>
        <v>849.5190528383291</v>
      </c>
      <c r="J148" s="11">
        <f>I148-H148*K148</f>
        <v>-4247.595264191646</v>
      </c>
      <c r="K148" s="11">
        <f>I148-MIN(('Geometry'!$G$13*COS(RADIANS(F148))+'Geometry'!$F$13*SIN(RADIANS(F148))),('Geometry'!$G$14*COS(RADIANS(F148))+'Geometry'!$F$14*SIN(RADIANS(F148))),('Geometry'!$G$15*COS(RADIANS(F148))+'Geometry'!$F$15*SIN(RADIANS(F148))),('Geometry'!$G$16*COS(RADIANS(F148))+'Geometry'!$F$16*SIN(RADIANS(F148))),('Geometry'!$G$17*COS(RADIANS(F148))+'Geometry'!$F$17*SIN(RADIANS(F148))),('Geometry'!$G$18*COS(RADIANS(F148))+'Geometry'!$F$18*SIN(RADIANS(F148))),('Geometry'!$G$19*COS(RADIANS(F148))+'Geometry'!$F$19*SIN(RADIANS(F148))),('Geometry'!$G$20*COS(RADIANS(F148))+'Geometry'!$F$20*SIN(RADIANS(F148))))</f>
        <v>1699.0381056766582</v>
      </c>
      <c r="L148" s="16">
        <f>C_ecu</f>
        <v>0.0033</v>
      </c>
      <c r="M148" s="16">
        <f>0</f>
        <v>0</v>
      </c>
      <c r="N148" s="22">
        <f>IF(ABS(I148-J148)&lt;0.000000000001,0,(L148-M148)/(I148-J148))</f>
        <v>6.474251497507847e-7</v>
      </c>
      <c r="O148" s="16">
        <f>L148-N148*I148</f>
        <v>0.00275</v>
      </c>
      <c r="P148" s="22">
        <f>N148*COS(RADIANS(F148))</f>
        <v>-3.237125748753926e-7</v>
      </c>
      <c r="Q148" s="22">
        <f>N148*SIN(RADIANS(F148))</f>
        <v>-5.606866267331239e-7</v>
      </c>
      <c r="R148" s="11">
        <f>AP148</f>
        <v>15289.900765931869</v>
      </c>
      <c r="S148" s="11">
        <f>AQ148</f>
        <v>-113.79821577247596</v>
      </c>
      <c r="T148" s="11">
        <f>AR148</f>
        <v>-254.9935585470999</v>
      </c>
      <c r="U148" s="11">
        <f>AS148</f>
        <v>2380.444849551365</v>
      </c>
      <c r="V148" s="11">
        <f>AT148</f>
        <v>-35.05092490768108</v>
      </c>
      <c r="W148" s="11">
        <f>AU148</f>
        <v>-81.630895111206</v>
      </c>
      <c r="X148" s="11">
        <f>AM148</f>
        <v>17670.345615483235</v>
      </c>
      <c r="Y148" s="11">
        <f>AN148</f>
        <v>-148.84914068015703</v>
      </c>
      <c r="Z148" s="11">
        <f>AO148</f>
        <v>-336.62445365830587</v>
      </c>
      <c r="AA148" s="7">
        <v>1</v>
      </c>
      <c r="AB148" s="7">
        <v>1</v>
      </c>
      <c r="AC148" s="7">
        <v>1</v>
      </c>
      <c r="AD148" s="11">
        <f>X148*AA148</f>
        <v>17670.345615483235</v>
      </c>
      <c r="AE148" s="11">
        <f>Y148*AB148</f>
        <v>-148.84914068015703</v>
      </c>
      <c r="AF148" s="11">
        <f>Z148*AC148</f>
        <v>-336.62445365830587</v>
      </c>
      <c r="AG148" s="7">
        <v>17670.345615483235</v>
      </c>
      <c r="AH148" s="7">
        <v>-148.84914068015703</v>
      </c>
      <c r="AI148" s="7">
        <v>-336.62445365830587</v>
      </c>
      <c r="AJ148" s="16">
        <f>AD148-AG148</f>
        <v>0</v>
      </c>
      <c r="AK148" s="16">
        <f>SQRT((AE148-AH148)^2+(AF148-AI148)^2)</f>
        <v>0</v>
      </c>
      <c r="AL148" s="7" t="s">
        <v>190</v>
      </c>
      <c r="AM148" s="7">
        <v>17670.345615483235</v>
      </c>
      <c r="AN148" s="7">
        <v>-148.84914068015703</v>
      </c>
      <c r="AO148" s="7">
        <v>-336.62445365830587</v>
      </c>
      <c r="AP148" s="7">
        <v>15289.900765931869</v>
      </c>
      <c r="AQ148" s="7">
        <v>-113.79821577247596</v>
      </c>
      <c r="AR148" s="7">
        <v>-254.9935585470999</v>
      </c>
      <c r="AS148" s="7">
        <v>2380.444849551365</v>
      </c>
      <c r="AT148" s="7">
        <v>-35.05092490768108</v>
      </c>
      <c r="AU148" s="7">
        <v>-81.630895111206</v>
      </c>
    </row>
    <row r="149" spans="1:47" x14ac:dyDescent="0.25">
      <c r="A149" s="7" t="s">
        <v>478</v>
      </c>
      <c r="B149" s="7">
        <v>5</v>
      </c>
      <c r="C149" s="19">
        <v>240</v>
      </c>
      <c r="D149" s="7" t="s">
        <v>479</v>
      </c>
      <c r="E149" s="7" t="s">
        <v>610</v>
      </c>
      <c r="F149" s="20">
        <v>239.99999999999994</v>
      </c>
      <c r="G149" s="7" t="s">
        <v>194</v>
      </c>
      <c r="H149" s="21">
        <v>2</v>
      </c>
      <c r="I149" s="11">
        <f>MAX(('Geometry'!$G$13*COS(RADIANS(F149))+'Geometry'!$F$13*SIN(RADIANS(F149))),('Geometry'!$G$14*COS(RADIANS(F149))+'Geometry'!$F$14*SIN(RADIANS(F149))),('Geometry'!$G$15*COS(RADIANS(F149))+'Geometry'!$F$15*SIN(RADIANS(F149))),('Geometry'!$G$16*COS(RADIANS(F149))+'Geometry'!$F$16*SIN(RADIANS(F149))),('Geometry'!$G$17*COS(RADIANS(F149))+'Geometry'!$F$17*SIN(RADIANS(F149))),('Geometry'!$G$18*COS(RADIANS(F149))+'Geometry'!$F$18*SIN(RADIANS(F149))),('Geometry'!$G$19*COS(RADIANS(F149))+'Geometry'!$F$19*SIN(RADIANS(F149))),('Geometry'!$G$20*COS(RADIANS(F149))+'Geometry'!$F$20*SIN(RADIANS(F149))))</f>
        <v>849.5190528383289</v>
      </c>
      <c r="J149" s="11">
        <f>I149-H149*K149</f>
        <v>-2548.557158514987</v>
      </c>
      <c r="K149" s="11">
        <f>I149-MIN(('Geometry'!$G$13*COS(RADIANS(F149))+'Geometry'!$F$13*SIN(RADIANS(F149))),('Geometry'!$G$14*COS(RADIANS(F149))+'Geometry'!$F$14*SIN(RADIANS(F149))),('Geometry'!$G$15*COS(RADIANS(F149))+'Geometry'!$F$15*SIN(RADIANS(F149))),('Geometry'!$G$16*COS(RADIANS(F149))+'Geometry'!$F$16*SIN(RADIANS(F149))),('Geometry'!$G$17*COS(RADIANS(F149))+'Geometry'!$F$17*SIN(RADIANS(F149))),('Geometry'!$G$18*COS(RADIANS(F149))+'Geometry'!$F$18*SIN(RADIANS(F149))),('Geometry'!$G$19*COS(RADIANS(F149))+'Geometry'!$F$19*SIN(RADIANS(F149))),('Geometry'!$G$20*COS(RADIANS(F149))+'Geometry'!$F$20*SIN(RADIANS(F149))))</f>
        <v>1699.0381056766578</v>
      </c>
      <c r="L149" s="16">
        <f>C_ecu</f>
        <v>0.0032999999999999995</v>
      </c>
      <c r="M149" s="16">
        <f>0</f>
        <v>0</v>
      </c>
      <c r="N149" s="22">
        <f>IF(ABS(I149-J149)&lt;0.000000000001,0,(L149-M149)/(I149-J149))</f>
        <v>9.71137724626177e-7</v>
      </c>
      <c r="O149" s="16">
        <f>L149-N149*I149</f>
        <v>0.0024749999999999998</v>
      </c>
      <c r="P149" s="22">
        <f>N149*COS(RADIANS(F149))</f>
        <v>-4.85568862313089e-7</v>
      </c>
      <c r="Q149" s="22">
        <f>N149*SIN(RADIANS(F149))</f>
        <v>-8.410299400996859e-7</v>
      </c>
      <c r="R149" s="11">
        <f>AP149</f>
        <v>15289.900765931869</v>
      </c>
      <c r="S149" s="11">
        <f>AQ149</f>
        <v>-227.5964315449519</v>
      </c>
      <c r="T149" s="11">
        <f>AR149</f>
        <v>-509.9871170941998</v>
      </c>
      <c r="U149" s="11">
        <f>AS149</f>
        <v>2380.444849551365</v>
      </c>
      <c r="V149" s="11">
        <f>AT149</f>
        <v>-70.10184981536216</v>
      </c>
      <c r="W149" s="11">
        <f>AU149</f>
        <v>-163.261790222412</v>
      </c>
      <c r="X149" s="11">
        <f>AM149</f>
        <v>17670.345615483235</v>
      </c>
      <c r="Y149" s="11">
        <f>AN149</f>
        <v>-297.69828136031407</v>
      </c>
      <c r="Z149" s="11">
        <f>AO149</f>
        <v>-673.2489073166117</v>
      </c>
      <c r="AA149" s="7">
        <v>1</v>
      </c>
      <c r="AB149" s="7">
        <v>1</v>
      </c>
      <c r="AC149" s="7">
        <v>1</v>
      </c>
      <c r="AD149" s="11">
        <f>X149*AA149</f>
        <v>17670.345615483235</v>
      </c>
      <c r="AE149" s="11">
        <f>Y149*AB149</f>
        <v>-297.69828136031407</v>
      </c>
      <c r="AF149" s="11">
        <f>Z149*AC149</f>
        <v>-673.2489073166117</v>
      </c>
      <c r="AG149" s="7">
        <v>17670.345615483235</v>
      </c>
      <c r="AH149" s="7">
        <v>-297.69828136031407</v>
      </c>
      <c r="AI149" s="7">
        <v>-673.2489073166117</v>
      </c>
      <c r="AJ149" s="16">
        <f>AD149-AG149</f>
        <v>0</v>
      </c>
      <c r="AK149" s="16">
        <f>SQRT((AE149-AH149)^2+(AF149-AI149)^2)</f>
        <v>0</v>
      </c>
      <c r="AL149" s="7" t="s">
        <v>190</v>
      </c>
      <c r="AM149" s="7">
        <v>17670.345615483235</v>
      </c>
      <c r="AN149" s="7">
        <v>-297.69828136031407</v>
      </c>
      <c r="AO149" s="7">
        <v>-673.2489073166117</v>
      </c>
      <c r="AP149" s="7">
        <v>15289.900765931869</v>
      </c>
      <c r="AQ149" s="7">
        <v>-227.5964315449519</v>
      </c>
      <c r="AR149" s="7">
        <v>-509.9871170941998</v>
      </c>
      <c r="AS149" s="7">
        <v>2380.444849551365</v>
      </c>
      <c r="AT149" s="7">
        <v>-70.10184981536216</v>
      </c>
      <c r="AU149" s="7">
        <v>-163.261790222412</v>
      </c>
    </row>
    <row r="150" spans="1:47" x14ac:dyDescent="0.25">
      <c r="A150" s="7" t="s">
        <v>480</v>
      </c>
      <c r="B150" s="7">
        <v>6</v>
      </c>
      <c r="C150" s="19">
        <v>240</v>
      </c>
      <c r="D150" s="7" t="s">
        <v>481</v>
      </c>
      <c r="E150" s="7" t="s">
        <v>612</v>
      </c>
      <c r="F150" s="20">
        <v>239.99999999999994</v>
      </c>
      <c r="G150" s="7" t="s">
        <v>194</v>
      </c>
      <c r="H150" s="21">
        <v>1.2000000000000004</v>
      </c>
      <c r="I150" s="11">
        <f>MAX(('Geometry'!$G$13*COS(RADIANS(F150))+'Geometry'!$F$13*SIN(RADIANS(F150))),('Geometry'!$G$14*COS(RADIANS(F150))+'Geometry'!$F$14*SIN(RADIANS(F150))),('Geometry'!$G$15*COS(RADIANS(F150))+'Geometry'!$F$15*SIN(RADIANS(F150))),('Geometry'!$G$16*COS(RADIANS(F150))+'Geometry'!$F$16*SIN(RADIANS(F150))),('Geometry'!$G$17*COS(RADIANS(F150))+'Geometry'!$F$17*SIN(RADIANS(F150))),('Geometry'!$G$18*COS(RADIANS(F150))+'Geometry'!$F$18*SIN(RADIANS(F150))),('Geometry'!$G$19*COS(RADIANS(F150))+'Geometry'!$F$19*SIN(RADIANS(F150))),('Geometry'!$G$20*COS(RADIANS(F150))+'Geometry'!$F$20*SIN(RADIANS(F150))))</f>
        <v>849.5190528383289</v>
      </c>
      <c r="J150" s="11">
        <f>I150-H150*K150</f>
        <v>-1189.326673973661</v>
      </c>
      <c r="K150" s="11">
        <f>I150-MIN(('Geometry'!$G$13*COS(RADIANS(F150))+'Geometry'!$F$13*SIN(RADIANS(F150))),('Geometry'!$G$14*COS(RADIANS(F150))+'Geometry'!$F$14*SIN(RADIANS(F150))),('Geometry'!$G$15*COS(RADIANS(F150))+'Geometry'!$F$15*SIN(RADIANS(F150))),('Geometry'!$G$16*COS(RADIANS(F150))+'Geometry'!$F$16*SIN(RADIANS(F150))),('Geometry'!$G$17*COS(RADIANS(F150))+'Geometry'!$F$17*SIN(RADIANS(F150))),('Geometry'!$G$18*COS(RADIANS(F150))+'Geometry'!$F$18*SIN(RADIANS(F150))),('Geometry'!$G$19*COS(RADIANS(F150))+'Geometry'!$F$19*SIN(RADIANS(F150))),('Geometry'!$G$20*COS(RADIANS(F150))+'Geometry'!$F$20*SIN(RADIANS(F150))))</f>
        <v>1699.0381056766578</v>
      </c>
      <c r="L150" s="16">
        <f>C_ecu</f>
        <v>0.0032999999999999995</v>
      </c>
      <c r="M150" s="16">
        <f>0</f>
        <v>0</v>
      </c>
      <c r="N150" s="22">
        <f>IF(ABS(I150-J150)&lt;0.000000000001,0,(L150-M150)/(I150-J150))</f>
        <v>0.0000016185628743769615</v>
      </c>
      <c r="O150" s="16">
        <f>L150-N150*I150</f>
        <v>0.001925</v>
      </c>
      <c r="P150" s="22">
        <f>N150*COS(RADIANS(F150))</f>
        <v>-8.092814371884816e-7</v>
      </c>
      <c r="Q150" s="22">
        <f>N150*SIN(RADIANS(F150))</f>
        <v>-0.0000014017165668328096</v>
      </c>
      <c r="R150" s="11">
        <f>AP150</f>
        <v>15289.900765931869</v>
      </c>
      <c r="S150" s="11">
        <f>AQ150</f>
        <v>-455.1928630899038</v>
      </c>
      <c r="T150" s="11">
        <f>AR150</f>
        <v>-1019.9742341883996</v>
      </c>
      <c r="U150" s="11">
        <f>AS150</f>
        <v>2380.444849551365</v>
      </c>
      <c r="V150" s="11">
        <f>AT150</f>
        <v>-140.20369963072432</v>
      </c>
      <c r="W150" s="11">
        <f>AU150</f>
        <v>-326.523580444824</v>
      </c>
      <c r="X150" s="11">
        <f>AM150</f>
        <v>17670.345615483235</v>
      </c>
      <c r="Y150" s="11">
        <f>AN150</f>
        <v>-595.3965627206281</v>
      </c>
      <c r="Z150" s="11">
        <f>AO150</f>
        <v>-1346.4978146332235</v>
      </c>
      <c r="AA150" s="7">
        <v>1</v>
      </c>
      <c r="AB150" s="7">
        <v>1</v>
      </c>
      <c r="AC150" s="7">
        <v>1</v>
      </c>
      <c r="AD150" s="11">
        <f>X150*AA150</f>
        <v>17670.345615483235</v>
      </c>
      <c r="AE150" s="11">
        <f>Y150*AB150</f>
        <v>-595.3965627206281</v>
      </c>
      <c r="AF150" s="11">
        <f>Z150*AC150</f>
        <v>-1346.4978146332235</v>
      </c>
      <c r="AG150" s="7">
        <v>17670.345615483235</v>
      </c>
      <c r="AH150" s="7">
        <v>-595.3965627206281</v>
      </c>
      <c r="AI150" s="7">
        <v>-1346.4978146332235</v>
      </c>
      <c r="AJ150" s="16">
        <f>AD150-AG150</f>
        <v>0</v>
      </c>
      <c r="AK150" s="16">
        <f>SQRT((AE150-AH150)^2+(AF150-AI150)^2)</f>
        <v>0</v>
      </c>
      <c r="AL150" s="7" t="s">
        <v>190</v>
      </c>
      <c r="AM150" s="7">
        <v>17670.345615483235</v>
      </c>
      <c r="AN150" s="7">
        <v>-595.3965627206281</v>
      </c>
      <c r="AO150" s="7">
        <v>-1346.4978146332235</v>
      </c>
      <c r="AP150" s="7">
        <v>15289.900765931869</v>
      </c>
      <c r="AQ150" s="7">
        <v>-455.1928630899038</v>
      </c>
      <c r="AR150" s="7">
        <v>-1019.9742341883996</v>
      </c>
      <c r="AS150" s="7">
        <v>2380.444849551365</v>
      </c>
      <c r="AT150" s="7">
        <v>-140.20369963072432</v>
      </c>
      <c r="AU150" s="7">
        <v>-326.523580444824</v>
      </c>
    </row>
    <row r="151" spans="1:47" x14ac:dyDescent="0.25">
      <c r="A151" s="7" t="s">
        <v>482</v>
      </c>
      <c r="B151" s="7">
        <v>1</v>
      </c>
      <c r="C151" s="19">
        <v>250</v>
      </c>
      <c r="D151" s="7" t="s">
        <v>483</v>
      </c>
      <c r="E151" s="7" t="s">
        <v>609</v>
      </c>
      <c r="F151" s="20">
        <v>250</v>
      </c>
      <c r="G151" s="7" t="s">
        <v>194</v>
      </c>
      <c r="H151" s="21">
        <v>2.9999999999999996</v>
      </c>
      <c r="I151" s="11">
        <f>MAX(('Geometry'!$G$13*COS(RADIANS(F151))+'Geometry'!$F$13*SIN(RADIANS(F151))),('Geometry'!$G$14*COS(RADIANS(F151))+'Geometry'!$F$14*SIN(RADIANS(F151))),('Geometry'!$G$15*COS(RADIANS(F151))+'Geometry'!$F$15*SIN(RADIANS(F151))),('Geometry'!$G$16*COS(RADIANS(F151))+'Geometry'!$F$16*SIN(RADIANS(F151))),('Geometry'!$G$17*COS(RADIANS(F151))+'Geometry'!$F$17*SIN(RADIANS(F151))),('Geometry'!$G$18*COS(RADIANS(F151))+'Geometry'!$F$18*SIN(RADIANS(F151))),('Geometry'!$G$19*COS(RADIANS(F151))+'Geometry'!$F$19*SIN(RADIANS(F151))),('Geometry'!$G$20*COS(RADIANS(F151))+'Geometry'!$F$20*SIN(RADIANS(F151))))</f>
        <v>841.5775229196989</v>
      </c>
      <c r="J151" s="11">
        <f>I151-H151*K151</f>
        <v>-4207.887614598494</v>
      </c>
      <c r="K151" s="11">
        <f>I151-MIN(('Geometry'!$G$13*COS(RADIANS(F151))+'Geometry'!$F$13*SIN(RADIANS(F151))),('Geometry'!$G$14*COS(RADIANS(F151))+'Geometry'!$F$14*SIN(RADIANS(F151))),('Geometry'!$G$15*COS(RADIANS(F151))+'Geometry'!$F$15*SIN(RADIANS(F151))),('Geometry'!$G$16*COS(RADIANS(F151))+'Geometry'!$F$16*SIN(RADIANS(F151))),('Geometry'!$G$17*COS(RADIANS(F151))+'Geometry'!$F$17*SIN(RADIANS(F151))),('Geometry'!$G$18*COS(RADIANS(F151))+'Geometry'!$F$18*SIN(RADIANS(F151))),('Geometry'!$G$19*COS(RADIANS(F151))+'Geometry'!$F$19*SIN(RADIANS(F151))),('Geometry'!$G$20*COS(RADIANS(F151))+'Geometry'!$F$20*SIN(RADIANS(F151))))</f>
        <v>1683.1550458393979</v>
      </c>
      <c r="L151" s="16">
        <f>C_ecu</f>
        <v>0.0033</v>
      </c>
      <c r="M151" s="16">
        <f>0</f>
        <v>0</v>
      </c>
      <c r="N151" s="22">
        <f>IF(ABS(I151-J151)&lt;0.000000000001,0,(L151-M151)/(I151-J151))</f>
        <v>6.535345645780508e-7</v>
      </c>
      <c r="O151" s="16">
        <f>L151-N151*I151</f>
        <v>0.00275</v>
      </c>
      <c r="P151" s="22">
        <f>N151*COS(RADIANS(F151))</f>
        <v>-2.2352198544526336e-7</v>
      </c>
      <c r="Q151" s="22">
        <f>N151*SIN(RADIANS(F151))</f>
        <v>-6.141216077625262e-7</v>
      </c>
      <c r="R151" s="11">
        <f>AP151</f>
        <v>15276.903228450983</v>
      </c>
      <c r="S151" s="11">
        <f>AQ151</f>
        <v>-79.98262871229697</v>
      </c>
      <c r="T151" s="11">
        <f>AR151</f>
        <v>-278.10534146687365</v>
      </c>
      <c r="U151" s="11">
        <f>AS151</f>
        <v>2393.4423870322516</v>
      </c>
      <c r="V151" s="11">
        <f>AT151</f>
        <v>-23.71261199210657</v>
      </c>
      <c r="W151" s="11">
        <f>AU151</f>
        <v>-89.58151322519441</v>
      </c>
      <c r="X151" s="11">
        <f>AM151</f>
        <v>17670.345615483235</v>
      </c>
      <c r="Y151" s="11">
        <f>AN151</f>
        <v>-103.69524070440356</v>
      </c>
      <c r="Z151" s="11">
        <f>AO151</f>
        <v>-367.68685469206804</v>
      </c>
      <c r="AA151" s="7">
        <v>1</v>
      </c>
      <c r="AB151" s="7">
        <v>1</v>
      </c>
      <c r="AC151" s="7">
        <v>1</v>
      </c>
      <c r="AD151" s="11">
        <f>X151*AA151</f>
        <v>17670.345615483235</v>
      </c>
      <c r="AE151" s="11">
        <f>Y151*AB151</f>
        <v>-103.69524070440356</v>
      </c>
      <c r="AF151" s="11">
        <f>Z151*AC151</f>
        <v>-367.68685469206804</v>
      </c>
      <c r="AG151" s="7">
        <v>17670.345615483235</v>
      </c>
      <c r="AH151" s="7">
        <v>-103.69524070440356</v>
      </c>
      <c r="AI151" s="7">
        <v>-367.68685469206804</v>
      </c>
      <c r="AJ151" s="16">
        <f>AD151-AG151</f>
        <v>0</v>
      </c>
      <c r="AK151" s="16">
        <f>SQRT((AE151-AH151)^2+(AF151-AI151)^2)</f>
        <v>0</v>
      </c>
      <c r="AL151" s="7" t="s">
        <v>190</v>
      </c>
      <c r="AM151" s="7">
        <v>17670.345615483235</v>
      </c>
      <c r="AN151" s="7">
        <v>-103.69524070440356</v>
      </c>
      <c r="AO151" s="7">
        <v>-367.68685469206804</v>
      </c>
      <c r="AP151" s="7">
        <v>15276.903228450983</v>
      </c>
      <c r="AQ151" s="7">
        <v>-79.98262871229697</v>
      </c>
      <c r="AR151" s="7">
        <v>-278.10534146687365</v>
      </c>
      <c r="AS151" s="7">
        <v>2393.4423870322516</v>
      </c>
      <c r="AT151" s="7">
        <v>-23.71261199210657</v>
      </c>
      <c r="AU151" s="7">
        <v>-89.58151322519441</v>
      </c>
    </row>
    <row r="152" spans="1:47" x14ac:dyDescent="0.25">
      <c r="A152" s="7" t="s">
        <v>484</v>
      </c>
      <c r="B152" s="7">
        <v>2</v>
      </c>
      <c r="C152" s="19">
        <v>250</v>
      </c>
      <c r="D152" s="7" t="s">
        <v>485</v>
      </c>
      <c r="E152" s="7" t="s">
        <v>610</v>
      </c>
      <c r="F152" s="20">
        <v>250</v>
      </c>
      <c r="G152" s="7" t="s">
        <v>194</v>
      </c>
      <c r="H152" s="21">
        <v>1.9999999999999996</v>
      </c>
      <c r="I152" s="11">
        <f>MAX(('Geometry'!$G$13*COS(RADIANS(F152))+'Geometry'!$F$13*SIN(RADIANS(F152))),('Geometry'!$G$14*COS(RADIANS(F152))+'Geometry'!$F$14*SIN(RADIANS(F152))),('Geometry'!$G$15*COS(RADIANS(F152))+'Geometry'!$F$15*SIN(RADIANS(F152))),('Geometry'!$G$16*COS(RADIANS(F152))+'Geometry'!$F$16*SIN(RADIANS(F152))),('Geometry'!$G$17*COS(RADIANS(F152))+'Geometry'!$F$17*SIN(RADIANS(F152))),('Geometry'!$G$18*COS(RADIANS(F152))+'Geometry'!$F$18*SIN(RADIANS(F152))),('Geometry'!$G$19*COS(RADIANS(F152))+'Geometry'!$F$19*SIN(RADIANS(F152))),('Geometry'!$G$20*COS(RADIANS(F152))+'Geometry'!$F$20*SIN(RADIANS(F152))))</f>
        <v>841.5775229196989</v>
      </c>
      <c r="J152" s="11">
        <f>I152-H152*K152</f>
        <v>-2524.732568759096</v>
      </c>
      <c r="K152" s="11">
        <f>I152-MIN(('Geometry'!$G$13*COS(RADIANS(F152))+'Geometry'!$F$13*SIN(RADIANS(F152))),('Geometry'!$G$14*COS(RADIANS(F152))+'Geometry'!$F$14*SIN(RADIANS(F152))),('Geometry'!$G$15*COS(RADIANS(F152))+'Geometry'!$F$15*SIN(RADIANS(F152))),('Geometry'!$G$16*COS(RADIANS(F152))+'Geometry'!$F$16*SIN(RADIANS(F152))),('Geometry'!$G$17*COS(RADIANS(F152))+'Geometry'!$F$17*SIN(RADIANS(F152))),('Geometry'!$G$18*COS(RADIANS(F152))+'Geometry'!$F$18*SIN(RADIANS(F152))),('Geometry'!$G$19*COS(RADIANS(F152))+'Geometry'!$F$19*SIN(RADIANS(F152))),('Geometry'!$G$20*COS(RADIANS(F152))+'Geometry'!$F$20*SIN(RADIANS(F152))))</f>
        <v>1683.1550458393979</v>
      </c>
      <c r="L152" s="16">
        <f>C_ecu</f>
        <v>0.0033</v>
      </c>
      <c r="M152" s="16">
        <f>0</f>
        <v>0</v>
      </c>
      <c r="N152" s="22">
        <f>IF(ABS(I152-J152)&lt;0.000000000001,0,(L152-M152)/(I152-J152))</f>
        <v>9.803018468670764e-7</v>
      </c>
      <c r="O152" s="16">
        <f>L152-N152*I152</f>
        <v>0.0024749999999999998</v>
      </c>
      <c r="P152" s="22">
        <f>N152*COS(RADIANS(F152))</f>
        <v>-3.3528297816789503e-7</v>
      </c>
      <c r="Q152" s="22">
        <f>N152*SIN(RADIANS(F152))</f>
        <v>-9.211824116437893e-7</v>
      </c>
      <c r="R152" s="11">
        <f>AP152</f>
        <v>15276.903228450983</v>
      </c>
      <c r="S152" s="11">
        <f>AQ152</f>
        <v>-159.96525742459394</v>
      </c>
      <c r="T152" s="11">
        <f>AR152</f>
        <v>-556.2106829337473</v>
      </c>
      <c r="U152" s="11">
        <f>AS152</f>
        <v>2393.4423870322516</v>
      </c>
      <c r="V152" s="11">
        <f>AT152</f>
        <v>-47.42522398421314</v>
      </c>
      <c r="W152" s="11">
        <f>AU152</f>
        <v>-179.16302645038883</v>
      </c>
      <c r="X152" s="11">
        <f>AM152</f>
        <v>17670.345615483235</v>
      </c>
      <c r="Y152" s="11">
        <f>AN152</f>
        <v>-207.39048140880712</v>
      </c>
      <c r="Z152" s="11">
        <f>AO152</f>
        <v>-735.3737093841361</v>
      </c>
      <c r="AA152" s="7">
        <v>1</v>
      </c>
      <c r="AB152" s="7">
        <v>1</v>
      </c>
      <c r="AC152" s="7">
        <v>1</v>
      </c>
      <c r="AD152" s="11">
        <f>X152*AA152</f>
        <v>17670.345615483235</v>
      </c>
      <c r="AE152" s="11">
        <f>Y152*AB152</f>
        <v>-207.39048140880712</v>
      </c>
      <c r="AF152" s="11">
        <f>Z152*AC152</f>
        <v>-735.3737093841361</v>
      </c>
      <c r="AG152" s="7">
        <v>17670.345615483235</v>
      </c>
      <c r="AH152" s="7">
        <v>-207.39048140880712</v>
      </c>
      <c r="AI152" s="7">
        <v>-735.3737093841361</v>
      </c>
      <c r="AJ152" s="16">
        <f>AD152-AG152</f>
        <v>0</v>
      </c>
      <c r="AK152" s="16">
        <f>SQRT((AE152-AH152)^2+(AF152-AI152)^2)</f>
        <v>0</v>
      </c>
      <c r="AL152" s="7" t="s">
        <v>190</v>
      </c>
      <c r="AM152" s="7">
        <v>17670.345615483235</v>
      </c>
      <c r="AN152" s="7">
        <v>-207.39048140880712</v>
      </c>
      <c r="AO152" s="7">
        <v>-735.3737093841361</v>
      </c>
      <c r="AP152" s="7">
        <v>15276.903228450983</v>
      </c>
      <c r="AQ152" s="7">
        <v>-159.96525742459394</v>
      </c>
      <c r="AR152" s="7">
        <v>-556.2106829337473</v>
      </c>
      <c r="AS152" s="7">
        <v>2393.4423870322516</v>
      </c>
      <c r="AT152" s="7">
        <v>-47.42522398421314</v>
      </c>
      <c r="AU152" s="7">
        <v>-179.16302645038883</v>
      </c>
    </row>
    <row r="153" spans="1:47" x14ac:dyDescent="0.25">
      <c r="A153" s="7" t="s">
        <v>486</v>
      </c>
      <c r="B153" s="7">
        <v>3</v>
      </c>
      <c r="C153" s="19">
        <v>250</v>
      </c>
      <c r="D153" s="7" t="s">
        <v>487</v>
      </c>
      <c r="E153" s="7" t="s">
        <v>611</v>
      </c>
      <c r="F153" s="20">
        <v>250</v>
      </c>
      <c r="G153" s="7" t="s">
        <v>194</v>
      </c>
      <c r="H153" s="21">
        <v>1.4999999999999998</v>
      </c>
      <c r="I153" s="11">
        <f>MAX(('Geometry'!$G$13*COS(RADIANS(F153))+'Geometry'!$F$13*SIN(RADIANS(F153))),('Geometry'!$G$14*COS(RADIANS(F153))+'Geometry'!$F$14*SIN(RADIANS(F153))),('Geometry'!$G$15*COS(RADIANS(F153))+'Geometry'!$F$15*SIN(RADIANS(F153))),('Geometry'!$G$16*COS(RADIANS(F153))+'Geometry'!$F$16*SIN(RADIANS(F153))),('Geometry'!$G$17*COS(RADIANS(F153))+'Geometry'!$F$17*SIN(RADIANS(F153))),('Geometry'!$G$18*COS(RADIANS(F153))+'Geometry'!$F$18*SIN(RADIANS(F153))),('Geometry'!$G$19*COS(RADIANS(F153))+'Geometry'!$F$19*SIN(RADIANS(F153))),('Geometry'!$G$20*COS(RADIANS(F153))+'Geometry'!$F$20*SIN(RADIANS(F153))))</f>
        <v>841.5775229196989</v>
      </c>
      <c r="J153" s="11">
        <f>I153-H153*K153</f>
        <v>-1683.1550458393974</v>
      </c>
      <c r="K153" s="11">
        <f>I153-MIN(('Geometry'!$G$13*COS(RADIANS(F153))+'Geometry'!$F$13*SIN(RADIANS(F153))),('Geometry'!$G$14*COS(RADIANS(F153))+'Geometry'!$F$14*SIN(RADIANS(F153))),('Geometry'!$G$15*COS(RADIANS(F153))+'Geometry'!$F$15*SIN(RADIANS(F153))),('Geometry'!$G$16*COS(RADIANS(F153))+'Geometry'!$F$16*SIN(RADIANS(F153))),('Geometry'!$G$17*COS(RADIANS(F153))+'Geometry'!$F$17*SIN(RADIANS(F153))),('Geometry'!$G$18*COS(RADIANS(F153))+'Geometry'!$F$18*SIN(RADIANS(F153))),('Geometry'!$G$19*COS(RADIANS(F153))+'Geometry'!$F$19*SIN(RADIANS(F153))),('Geometry'!$G$20*COS(RADIANS(F153))+'Geometry'!$F$20*SIN(RADIANS(F153))))</f>
        <v>1683.1550458393979</v>
      </c>
      <c r="L153" s="16">
        <f>C_ecu</f>
        <v>0.0033</v>
      </c>
      <c r="M153" s="16">
        <f>0</f>
        <v>0</v>
      </c>
      <c r="N153" s="22">
        <f>IF(ABS(I153-J153)&lt;0.000000000001,0,(L153-M153)/(I153-J153))</f>
        <v>0.0000013070691291561017</v>
      </c>
      <c r="O153" s="16">
        <f>L153-N153*I153</f>
        <v>0.0021999999999999997</v>
      </c>
      <c r="P153" s="22">
        <f>N153*COS(RADIANS(F153))</f>
        <v>-4.470439708905267e-7</v>
      </c>
      <c r="Q153" s="22">
        <f>N153*SIN(RADIANS(F153))</f>
        <v>-0.0000012282432155250523</v>
      </c>
      <c r="R153" s="11">
        <f>AP153</f>
        <v>15276.903228450983</v>
      </c>
      <c r="S153" s="11">
        <f>AQ153</f>
        <v>-239.94788613689096</v>
      </c>
      <c r="T153" s="11">
        <f>AR153</f>
        <v>-834.3160244006208</v>
      </c>
      <c r="U153" s="11">
        <f>AS153</f>
        <v>2393.4423870322516</v>
      </c>
      <c r="V153" s="11">
        <f>AT153</f>
        <v>-71.13783597631972</v>
      </c>
      <c r="W153" s="11">
        <f>AU153</f>
        <v>-268.74453967558327</v>
      </c>
      <c r="X153" s="11">
        <f>AM153</f>
        <v>17670.345615483235</v>
      </c>
      <c r="Y153" s="11">
        <f>AN153</f>
        <v>-311.0857221132107</v>
      </c>
      <c r="Z153" s="11">
        <f>AO153</f>
        <v>-1103.0605640762042</v>
      </c>
      <c r="AA153" s="7">
        <v>1</v>
      </c>
      <c r="AB153" s="7">
        <v>1</v>
      </c>
      <c r="AC153" s="7">
        <v>1</v>
      </c>
      <c r="AD153" s="11">
        <f>X153*AA153</f>
        <v>17670.345615483235</v>
      </c>
      <c r="AE153" s="11">
        <f>Y153*AB153</f>
        <v>-311.0857221132107</v>
      </c>
      <c r="AF153" s="11">
        <f>Z153*AC153</f>
        <v>-1103.0605640762042</v>
      </c>
      <c r="AG153" s="7">
        <v>17670.345615483235</v>
      </c>
      <c r="AH153" s="7">
        <v>-311.0857221132107</v>
      </c>
      <c r="AI153" s="7">
        <v>-1103.0605640762042</v>
      </c>
      <c r="AJ153" s="16">
        <f>AD153-AG153</f>
        <v>0</v>
      </c>
      <c r="AK153" s="16">
        <f>SQRT((AE153-AH153)^2+(AF153-AI153)^2)</f>
        <v>0</v>
      </c>
      <c r="AL153" s="7" t="s">
        <v>190</v>
      </c>
      <c r="AM153" s="7">
        <v>17670.345615483235</v>
      </c>
      <c r="AN153" s="7">
        <v>-311.0857221132107</v>
      </c>
      <c r="AO153" s="7">
        <v>-1103.0605640762042</v>
      </c>
      <c r="AP153" s="7">
        <v>15276.903228450983</v>
      </c>
      <c r="AQ153" s="7">
        <v>-239.94788613689096</v>
      </c>
      <c r="AR153" s="7">
        <v>-834.3160244006208</v>
      </c>
      <c r="AS153" s="7">
        <v>2393.4423870322516</v>
      </c>
      <c r="AT153" s="7">
        <v>-71.13783597631972</v>
      </c>
      <c r="AU153" s="7">
        <v>-268.74453967558327</v>
      </c>
    </row>
    <row r="154" spans="1:47" x14ac:dyDescent="0.25">
      <c r="A154" s="7" t="s">
        <v>488</v>
      </c>
      <c r="B154" s="7">
        <v>4</v>
      </c>
      <c r="C154" s="19">
        <v>250</v>
      </c>
      <c r="D154" s="7" t="s">
        <v>489</v>
      </c>
      <c r="E154" s="7" t="s">
        <v>612</v>
      </c>
      <c r="F154" s="20">
        <v>250</v>
      </c>
      <c r="G154" s="7" t="s">
        <v>194</v>
      </c>
      <c r="H154" s="21">
        <v>1.2</v>
      </c>
      <c r="I154" s="11">
        <f>MAX(('Geometry'!$G$13*COS(RADIANS(F154))+'Geometry'!$F$13*SIN(RADIANS(F154))),('Geometry'!$G$14*COS(RADIANS(F154))+'Geometry'!$F$14*SIN(RADIANS(F154))),('Geometry'!$G$15*COS(RADIANS(F154))+'Geometry'!$F$15*SIN(RADIANS(F154))),('Geometry'!$G$16*COS(RADIANS(F154))+'Geometry'!$F$16*SIN(RADIANS(F154))),('Geometry'!$G$17*COS(RADIANS(F154))+'Geometry'!$F$17*SIN(RADIANS(F154))),('Geometry'!$G$18*COS(RADIANS(F154))+'Geometry'!$F$18*SIN(RADIANS(F154))),('Geometry'!$G$19*COS(RADIANS(F154))+'Geometry'!$F$19*SIN(RADIANS(F154))),('Geometry'!$G$20*COS(RADIANS(F154))+'Geometry'!$F$20*SIN(RADIANS(F154))))</f>
        <v>841.5775229196989</v>
      </c>
      <c r="J154" s="11">
        <f>I154-H154*K154</f>
        <v>-1178.2085320875783</v>
      </c>
      <c r="K154" s="11">
        <f>I154-MIN(('Geometry'!$G$13*COS(RADIANS(F154))+'Geometry'!$F$13*SIN(RADIANS(F154))),('Geometry'!$G$14*COS(RADIANS(F154))+'Geometry'!$F$14*SIN(RADIANS(F154))),('Geometry'!$G$15*COS(RADIANS(F154))+'Geometry'!$F$15*SIN(RADIANS(F154))),('Geometry'!$G$16*COS(RADIANS(F154))+'Geometry'!$F$16*SIN(RADIANS(F154))),('Geometry'!$G$17*COS(RADIANS(F154))+'Geometry'!$F$17*SIN(RADIANS(F154))),('Geometry'!$G$18*COS(RADIANS(F154))+'Geometry'!$F$18*SIN(RADIANS(F154))),('Geometry'!$G$19*COS(RADIANS(F154))+'Geometry'!$F$19*SIN(RADIANS(F154))),('Geometry'!$G$20*COS(RADIANS(F154))+'Geometry'!$F$20*SIN(RADIANS(F154))))</f>
        <v>1683.1550458393979</v>
      </c>
      <c r="L154" s="16">
        <f>C_ecu</f>
        <v>0.0033000000000000004</v>
      </c>
      <c r="M154" s="16">
        <f>0</f>
        <v>0</v>
      </c>
      <c r="N154" s="22">
        <f>IF(ABS(I154-J154)&lt;0.000000000001,0,(L154-M154)/(I154-J154))</f>
        <v>0.0000016338364114451274</v>
      </c>
      <c r="O154" s="16">
        <f>L154-N154*I154</f>
        <v>0.001925</v>
      </c>
      <c r="P154" s="22">
        <f>N154*COS(RADIANS(F154))</f>
        <v>-5.588049636131584e-7</v>
      </c>
      <c r="Q154" s="22">
        <f>N154*SIN(RADIANS(F154))</f>
        <v>-0.0000015353040194063156</v>
      </c>
      <c r="R154" s="11">
        <f>AP154</f>
        <v>15276.903228450983</v>
      </c>
      <c r="S154" s="11">
        <f>AQ154</f>
        <v>-319.9305148491879</v>
      </c>
      <c r="T154" s="11">
        <f>AR154</f>
        <v>-1112.4213658674946</v>
      </c>
      <c r="U154" s="11">
        <f>AS154</f>
        <v>2393.4423870322516</v>
      </c>
      <c r="V154" s="11">
        <f>AT154</f>
        <v>-94.85044796842628</v>
      </c>
      <c r="W154" s="11">
        <f>AU154</f>
        <v>-358.32605290077765</v>
      </c>
      <c r="X154" s="11">
        <f>AM154</f>
        <v>17670.345615483235</v>
      </c>
      <c r="Y154" s="11">
        <f>AN154</f>
        <v>-414.78096281761424</v>
      </c>
      <c r="Z154" s="11">
        <f>AO154</f>
        <v>-1470.7474187682722</v>
      </c>
      <c r="AA154" s="7">
        <v>1</v>
      </c>
      <c r="AB154" s="7">
        <v>1</v>
      </c>
      <c r="AC154" s="7">
        <v>1</v>
      </c>
      <c r="AD154" s="11">
        <f>X154*AA154</f>
        <v>17670.345615483235</v>
      </c>
      <c r="AE154" s="11">
        <f>Y154*AB154</f>
        <v>-414.78096281761424</v>
      </c>
      <c r="AF154" s="11">
        <f>Z154*AC154</f>
        <v>-1470.7474187682722</v>
      </c>
      <c r="AG154" s="7">
        <v>17670.345615483235</v>
      </c>
      <c r="AH154" s="7">
        <v>-414.78096281761424</v>
      </c>
      <c r="AI154" s="7">
        <v>-1470.7474187682722</v>
      </c>
      <c r="AJ154" s="16">
        <f>AD154-AG154</f>
        <v>0</v>
      </c>
      <c r="AK154" s="16">
        <f>SQRT((AE154-AH154)^2+(AF154-AI154)^2)</f>
        <v>0</v>
      </c>
      <c r="AL154" s="7" t="s">
        <v>190</v>
      </c>
      <c r="AM154" s="7">
        <v>17670.345615483235</v>
      </c>
      <c r="AN154" s="7">
        <v>-414.78096281761424</v>
      </c>
      <c r="AO154" s="7">
        <v>-1470.7474187682722</v>
      </c>
      <c r="AP154" s="7">
        <v>15276.903228450983</v>
      </c>
      <c r="AQ154" s="7">
        <v>-319.9305148491879</v>
      </c>
      <c r="AR154" s="7">
        <v>-1112.4213658674946</v>
      </c>
      <c r="AS154" s="7">
        <v>2393.4423870322516</v>
      </c>
      <c r="AT154" s="7">
        <v>-94.85044796842628</v>
      </c>
      <c r="AU154" s="7">
        <v>-358.32605290077765</v>
      </c>
    </row>
    <row r="155" spans="1:47" x14ac:dyDescent="0.25">
      <c r="A155" s="7" t="s">
        <v>490</v>
      </c>
      <c r="B155" s="7">
        <v>5</v>
      </c>
      <c r="C155" s="19">
        <v>250</v>
      </c>
      <c r="D155" s="7" t="s">
        <v>491</v>
      </c>
      <c r="E155" s="7" t="s">
        <v>613</v>
      </c>
      <c r="F155" s="20">
        <v>250</v>
      </c>
      <c r="G155" s="7" t="s">
        <v>194</v>
      </c>
      <c r="H155" s="21">
        <v>1.0999999999999999</v>
      </c>
      <c r="I155" s="11">
        <f>MAX(('Geometry'!$G$13*COS(RADIANS(F155))+'Geometry'!$F$13*SIN(RADIANS(F155))),('Geometry'!$G$14*COS(RADIANS(F155))+'Geometry'!$F$14*SIN(RADIANS(F155))),('Geometry'!$G$15*COS(RADIANS(F155))+'Geometry'!$F$15*SIN(RADIANS(F155))),('Geometry'!$G$16*COS(RADIANS(F155))+'Geometry'!$F$16*SIN(RADIANS(F155))),('Geometry'!$G$17*COS(RADIANS(F155))+'Geometry'!$F$17*SIN(RADIANS(F155))),('Geometry'!$G$18*COS(RADIANS(F155))+'Geometry'!$F$18*SIN(RADIANS(F155))),('Geometry'!$G$19*COS(RADIANS(F155))+'Geometry'!$F$19*SIN(RADIANS(F155))),('Geometry'!$G$20*COS(RADIANS(F155))+'Geometry'!$F$20*SIN(RADIANS(F155))))</f>
        <v>841.5775229196989</v>
      </c>
      <c r="J155" s="11">
        <f>I155-H155*K155</f>
        <v>-1009.8930275036386</v>
      </c>
      <c r="K155" s="11">
        <f>I155-MIN(('Geometry'!$G$13*COS(RADIANS(F155))+'Geometry'!$F$13*SIN(RADIANS(F155))),('Geometry'!$G$14*COS(RADIANS(F155))+'Geometry'!$F$14*SIN(RADIANS(F155))),('Geometry'!$G$15*COS(RADIANS(F155))+'Geometry'!$F$15*SIN(RADIANS(F155))),('Geometry'!$G$16*COS(RADIANS(F155))+'Geometry'!$F$16*SIN(RADIANS(F155))),('Geometry'!$G$17*COS(RADIANS(F155))+'Geometry'!$F$17*SIN(RADIANS(F155))),('Geometry'!$G$18*COS(RADIANS(F155))+'Geometry'!$F$18*SIN(RADIANS(F155))),('Geometry'!$G$19*COS(RADIANS(F155))+'Geometry'!$F$19*SIN(RADIANS(F155))),('Geometry'!$G$20*COS(RADIANS(F155))+'Geometry'!$F$20*SIN(RADIANS(F155))))</f>
        <v>1683.1550458393979</v>
      </c>
      <c r="L155" s="16">
        <f>C_ecu</f>
        <v>0.0033000000000000004</v>
      </c>
      <c r="M155" s="16">
        <f>0</f>
        <v>0</v>
      </c>
      <c r="N155" s="22">
        <f>IF(ABS(I155-J155)&lt;0.000000000001,0,(L155-M155)/(I155-J155))</f>
        <v>0.0000017823669943037752</v>
      </c>
      <c r="O155" s="16">
        <f>L155-N155*I155</f>
        <v>0.0018000000000000002</v>
      </c>
      <c r="P155" s="22">
        <f>N155*COS(RADIANS(F155))</f>
        <v>-6.096054148507183e-7</v>
      </c>
      <c r="Q155" s="22">
        <f>N155*SIN(RADIANS(F155))</f>
        <v>-0.0000016748771120796169</v>
      </c>
      <c r="R155" s="11">
        <f>AP155</f>
        <v>15276.903228450983</v>
      </c>
      <c r="S155" s="11">
        <f>AQ155</f>
        <v>-399.9131435614849</v>
      </c>
      <c r="T155" s="11">
        <f>AR155</f>
        <v>-1390.526707334368</v>
      </c>
      <c r="U155" s="11">
        <f>AS155</f>
        <v>2393.4423870322516</v>
      </c>
      <c r="V155" s="11">
        <f>AT155</f>
        <v>-118.56305996053284</v>
      </c>
      <c r="W155" s="11">
        <f>AU155</f>
        <v>-447.907566125972</v>
      </c>
      <c r="X155" s="11">
        <f>AM155</f>
        <v>17670.345615483235</v>
      </c>
      <c r="Y155" s="11">
        <f>AN155</f>
        <v>-518.4762035220177</v>
      </c>
      <c r="Z155" s="11">
        <f>AO155</f>
        <v>-1838.43427346034</v>
      </c>
      <c r="AA155" s="7">
        <v>1</v>
      </c>
      <c r="AB155" s="7">
        <v>1</v>
      </c>
      <c r="AC155" s="7">
        <v>1</v>
      </c>
      <c r="AD155" s="11">
        <f>X155*AA155</f>
        <v>17670.345615483235</v>
      </c>
      <c r="AE155" s="11">
        <f>Y155*AB155</f>
        <v>-518.4762035220177</v>
      </c>
      <c r="AF155" s="11">
        <f>Z155*AC155</f>
        <v>-1838.43427346034</v>
      </c>
      <c r="AG155" s="7">
        <v>17670.345615483235</v>
      </c>
      <c r="AH155" s="7">
        <v>-518.4762035220177</v>
      </c>
      <c r="AI155" s="7">
        <v>-1838.43427346034</v>
      </c>
      <c r="AJ155" s="16">
        <f>AD155-AG155</f>
        <v>0</v>
      </c>
      <c r="AK155" s="16">
        <f>SQRT((AE155-AH155)^2+(AF155-AI155)^2)</f>
        <v>0</v>
      </c>
      <c r="AL155" s="7" t="s">
        <v>190</v>
      </c>
      <c r="AM155" s="7">
        <v>17670.345615483235</v>
      </c>
      <c r="AN155" s="7">
        <v>-518.4762035220177</v>
      </c>
      <c r="AO155" s="7">
        <v>-1838.43427346034</v>
      </c>
      <c r="AP155" s="7">
        <v>15276.903228450983</v>
      </c>
      <c r="AQ155" s="7">
        <v>-399.9131435614849</v>
      </c>
      <c r="AR155" s="7">
        <v>-1390.526707334368</v>
      </c>
      <c r="AS155" s="7">
        <v>2393.4423870322516</v>
      </c>
      <c r="AT155" s="7">
        <v>-118.56305996053284</v>
      </c>
      <c r="AU155" s="7">
        <v>-447.907566125972</v>
      </c>
    </row>
    <row r="156" spans="1:47" x14ac:dyDescent="0.25">
      <c r="A156" s="7" t="s">
        <v>492</v>
      </c>
      <c r="B156" s="7">
        <v>6</v>
      </c>
      <c r="C156" s="19">
        <v>250</v>
      </c>
      <c r="D156" s="7" t="s">
        <v>493</v>
      </c>
      <c r="E156" s="7" t="s">
        <v>614</v>
      </c>
      <c r="F156" s="20">
        <v>250</v>
      </c>
      <c r="G156" s="7" t="s">
        <v>194</v>
      </c>
      <c r="H156" s="21">
        <v>0.9999999999999999</v>
      </c>
      <c r="I156" s="11">
        <f>MAX(('Geometry'!$G$13*COS(RADIANS(F156))+'Geometry'!$F$13*SIN(RADIANS(F156))),('Geometry'!$G$14*COS(RADIANS(F156))+'Geometry'!$F$14*SIN(RADIANS(F156))),('Geometry'!$G$15*COS(RADIANS(F156))+'Geometry'!$F$15*SIN(RADIANS(F156))),('Geometry'!$G$16*COS(RADIANS(F156))+'Geometry'!$F$16*SIN(RADIANS(F156))),('Geometry'!$G$17*COS(RADIANS(F156))+'Geometry'!$F$17*SIN(RADIANS(F156))),('Geometry'!$G$18*COS(RADIANS(F156))+'Geometry'!$F$18*SIN(RADIANS(F156))),('Geometry'!$G$19*COS(RADIANS(F156))+'Geometry'!$F$19*SIN(RADIANS(F156))),('Geometry'!$G$20*COS(RADIANS(F156))+'Geometry'!$F$20*SIN(RADIANS(F156))))</f>
        <v>841.5775229196989</v>
      </c>
      <c r="J156" s="11">
        <f>I156-H156*K156</f>
        <v>-841.5775229196987</v>
      </c>
      <c r="K156" s="11">
        <f>I156-MIN(('Geometry'!$G$13*COS(RADIANS(F156))+'Geometry'!$F$13*SIN(RADIANS(F156))),('Geometry'!$G$14*COS(RADIANS(F156))+'Geometry'!$F$14*SIN(RADIANS(F156))),('Geometry'!$G$15*COS(RADIANS(F156))+'Geometry'!$F$15*SIN(RADIANS(F156))),('Geometry'!$G$16*COS(RADIANS(F156))+'Geometry'!$F$16*SIN(RADIANS(F156))),('Geometry'!$G$17*COS(RADIANS(F156))+'Geometry'!$F$17*SIN(RADIANS(F156))),('Geometry'!$G$18*COS(RADIANS(F156))+'Geometry'!$F$18*SIN(RADIANS(F156))),('Geometry'!$G$19*COS(RADIANS(F156))+'Geometry'!$F$19*SIN(RADIANS(F156))),('Geometry'!$G$20*COS(RADIANS(F156))+'Geometry'!$F$20*SIN(RADIANS(F156))))</f>
        <v>1683.1550458393979</v>
      </c>
      <c r="L156" s="16">
        <f>C_ecu</f>
        <v>0.0033000000000000004</v>
      </c>
      <c r="M156" s="16">
        <f>0</f>
        <v>0</v>
      </c>
      <c r="N156" s="22">
        <f>IF(ABS(I156-J156)&lt;0.000000000001,0,(L156-M156)/(I156-J156))</f>
        <v>0.0000019606036937341528</v>
      </c>
      <c r="O156" s="16">
        <f>L156-N156*I156</f>
        <v>0.00165</v>
      </c>
      <c r="P156" s="22">
        <f>N156*COS(RADIANS(F156))</f>
        <v>-6.705659563357901e-7</v>
      </c>
      <c r="Q156" s="22">
        <f>N156*SIN(RADIANS(F156))</f>
        <v>-0.0000018423648232875786</v>
      </c>
      <c r="R156" s="11">
        <f>AP156</f>
        <v>15276.903228450983</v>
      </c>
      <c r="S156" s="11">
        <f>AQ156</f>
        <v>-479.8957722737819</v>
      </c>
      <c r="T156" s="11">
        <f>AR156</f>
        <v>-1668.6320488012416</v>
      </c>
      <c r="U156" s="11">
        <f>AS156</f>
        <v>2393.4423870322516</v>
      </c>
      <c r="V156" s="11">
        <f>AT156</f>
        <v>-142.27567195263944</v>
      </c>
      <c r="W156" s="11">
        <f>AU156</f>
        <v>-537.4890793511665</v>
      </c>
      <c r="X156" s="11">
        <f>AM156</f>
        <v>17670.345615483235</v>
      </c>
      <c r="Y156" s="11">
        <f>AN156</f>
        <v>-622.1714442264214</v>
      </c>
      <c r="Z156" s="11">
        <f>AO156</f>
        <v>-2206.1211281524083</v>
      </c>
      <c r="AA156" s="7">
        <v>1</v>
      </c>
      <c r="AB156" s="7">
        <v>1</v>
      </c>
      <c r="AC156" s="7">
        <v>1</v>
      </c>
      <c r="AD156" s="11">
        <f>X156*AA156</f>
        <v>17670.345615483235</v>
      </c>
      <c r="AE156" s="11">
        <f>Y156*AB156</f>
        <v>-622.1714442264214</v>
      </c>
      <c r="AF156" s="11">
        <f>Z156*AC156</f>
        <v>-2206.1211281524083</v>
      </c>
      <c r="AG156" s="7">
        <v>17670.345615483235</v>
      </c>
      <c r="AH156" s="7">
        <v>-622.1714442264214</v>
      </c>
      <c r="AI156" s="7">
        <v>-2206.1211281524083</v>
      </c>
      <c r="AJ156" s="16">
        <f>AD156-AG156</f>
        <v>0</v>
      </c>
      <c r="AK156" s="16">
        <f>SQRT((AE156-AH156)^2+(AF156-AI156)^2)</f>
        <v>0</v>
      </c>
      <c r="AL156" s="7" t="s">
        <v>190</v>
      </c>
      <c r="AM156" s="7">
        <v>17670.345615483235</v>
      </c>
      <c r="AN156" s="7">
        <v>-622.1714442264214</v>
      </c>
      <c r="AO156" s="7">
        <v>-2206.1211281524083</v>
      </c>
      <c r="AP156" s="7">
        <v>15276.903228450983</v>
      </c>
      <c r="AQ156" s="7">
        <v>-479.8957722737819</v>
      </c>
      <c r="AR156" s="7">
        <v>-1668.6320488012416</v>
      </c>
      <c r="AS156" s="7">
        <v>2393.4423870322516</v>
      </c>
      <c r="AT156" s="7">
        <v>-142.27567195263944</v>
      </c>
      <c r="AU156" s="7">
        <v>-537.4890793511665</v>
      </c>
    </row>
    <row r="157" spans="1:47" x14ac:dyDescent="0.25">
      <c r="A157" s="7" t="s">
        <v>494</v>
      </c>
      <c r="B157" s="7">
        <v>1</v>
      </c>
      <c r="C157" s="19">
        <v>260</v>
      </c>
      <c r="D157" s="7" t="s">
        <v>495</v>
      </c>
      <c r="E157" s="7" t="s">
        <v>609</v>
      </c>
      <c r="F157" s="20">
        <v>260</v>
      </c>
      <c r="G157" s="7" t="s">
        <v>194</v>
      </c>
      <c r="H157" s="21">
        <v>3</v>
      </c>
      <c r="I157" s="11">
        <f>MAX(('Geometry'!$G$13*COS(RADIANS(F157))+'Geometry'!$F$13*SIN(RADIANS(F157))),('Geometry'!$G$14*COS(RADIANS(F157))+'Geometry'!$F$14*SIN(RADIANS(F157))),('Geometry'!$G$15*COS(RADIANS(F157))+'Geometry'!$F$15*SIN(RADIANS(F157))),('Geometry'!$G$16*COS(RADIANS(F157))+'Geometry'!$F$16*SIN(RADIANS(F157))),('Geometry'!$G$17*COS(RADIANS(F157))+'Geometry'!$F$17*SIN(RADIANS(F157))),('Geometry'!$G$18*COS(RADIANS(F157))+'Geometry'!$F$18*SIN(RADIANS(F157))),('Geometry'!$G$19*COS(RADIANS(F157))+'Geometry'!$F$19*SIN(RADIANS(F157))),('Geometry'!$G$20*COS(RADIANS(F157))+'Geometry'!$F$20*SIN(RADIANS(F157))))</f>
        <v>808.0650858259281</v>
      </c>
      <c r="J157" s="11">
        <f>I157-H157*K157</f>
        <v>-4040.3254291296407</v>
      </c>
      <c r="K157" s="11">
        <f>I157-MIN(('Geometry'!$G$13*COS(RADIANS(F157))+'Geometry'!$F$13*SIN(RADIANS(F157))),('Geometry'!$G$14*COS(RADIANS(F157))+'Geometry'!$F$14*SIN(RADIANS(F157))),('Geometry'!$G$15*COS(RADIANS(F157))+'Geometry'!$F$15*SIN(RADIANS(F157))),('Geometry'!$G$16*COS(RADIANS(F157))+'Geometry'!$F$16*SIN(RADIANS(F157))),('Geometry'!$G$17*COS(RADIANS(F157))+'Geometry'!$F$17*SIN(RADIANS(F157))),('Geometry'!$G$18*COS(RADIANS(F157))+'Geometry'!$F$18*SIN(RADIANS(F157))),('Geometry'!$G$19*COS(RADIANS(F157))+'Geometry'!$F$19*SIN(RADIANS(F157))),('Geometry'!$G$20*COS(RADIANS(F157))+'Geometry'!$F$20*SIN(RADIANS(F157))))</f>
        <v>1616.1301716518562</v>
      </c>
      <c r="L157" s="16">
        <f>C_ecu</f>
        <v>0.0033</v>
      </c>
      <c r="M157" s="16">
        <f>0</f>
        <v>0</v>
      </c>
      <c r="N157" s="22">
        <f>IF(ABS(I157-J157)&lt;0.000000000001,0,(L157-M157)/(I157-J157))</f>
        <v>6.806382426953167e-7</v>
      </c>
      <c r="O157" s="16">
        <f>L157-N157*I157</f>
        <v>0.00275</v>
      </c>
      <c r="P157" s="22">
        <f>N157*COS(RADIANS(F157))</f>
        <v>-1.1819159049446361e-7</v>
      </c>
      <c r="Q157" s="22">
        <f>N157*SIN(RADIANS(F157))</f>
        <v>-6.702978184029528e-7</v>
      </c>
      <c r="R157" s="11">
        <f>AP157</f>
        <v>15273.411330637564</v>
      </c>
      <c r="S157" s="11">
        <f>AQ157</f>
        <v>-43.04266521655821</v>
      </c>
      <c r="T157" s="11">
        <f>AR157</f>
        <v>-303.41387055856654</v>
      </c>
      <c r="U157" s="11">
        <f>AS157</f>
        <v>2396.934284845672</v>
      </c>
      <c r="V157" s="11">
        <f>AT157</f>
        <v>-12.260077872437062</v>
      </c>
      <c r="W157" s="11">
        <f>AU157</f>
        <v>-97.14054886417682</v>
      </c>
      <c r="X157" s="11">
        <f>AM157</f>
        <v>17670.345615483235</v>
      </c>
      <c r="Y157" s="11">
        <f>AN157</f>
        <v>-55.30274308899527</v>
      </c>
      <c r="Z157" s="11">
        <f>AO157</f>
        <v>-400.55441942274336</v>
      </c>
      <c r="AA157" s="7">
        <v>1</v>
      </c>
      <c r="AB157" s="7">
        <v>1</v>
      </c>
      <c r="AC157" s="7">
        <v>1</v>
      </c>
      <c r="AD157" s="11">
        <f>X157*AA157</f>
        <v>17670.345615483235</v>
      </c>
      <c r="AE157" s="11">
        <f>Y157*AB157</f>
        <v>-55.30274308899527</v>
      </c>
      <c r="AF157" s="11">
        <f>Z157*AC157</f>
        <v>-400.55441942274336</v>
      </c>
      <c r="AG157" s="7">
        <v>17670.345615483235</v>
      </c>
      <c r="AH157" s="7">
        <v>-55.30274308899527</v>
      </c>
      <c r="AI157" s="7">
        <v>-400.55441942274336</v>
      </c>
      <c r="AJ157" s="16">
        <f>AD157-AG157</f>
        <v>0</v>
      </c>
      <c r="AK157" s="16">
        <f>SQRT((AE157-AH157)^2+(AF157-AI157)^2)</f>
        <v>0</v>
      </c>
      <c r="AL157" s="7" t="s">
        <v>190</v>
      </c>
      <c r="AM157" s="7">
        <v>17670.345615483235</v>
      </c>
      <c r="AN157" s="7">
        <v>-55.30274308899527</v>
      </c>
      <c r="AO157" s="7">
        <v>-400.55441942274336</v>
      </c>
      <c r="AP157" s="7">
        <v>15273.411330637564</v>
      </c>
      <c r="AQ157" s="7">
        <v>-43.04266521655821</v>
      </c>
      <c r="AR157" s="7">
        <v>-303.41387055856654</v>
      </c>
      <c r="AS157" s="7">
        <v>2396.934284845672</v>
      </c>
      <c r="AT157" s="7">
        <v>-12.260077872437062</v>
      </c>
      <c r="AU157" s="7">
        <v>-97.14054886417682</v>
      </c>
    </row>
    <row r="158" spans="1:47" x14ac:dyDescent="0.25">
      <c r="A158" s="7" t="s">
        <v>496</v>
      </c>
      <c r="B158" s="7">
        <v>2</v>
      </c>
      <c r="C158" s="19">
        <v>260</v>
      </c>
      <c r="D158" s="7" t="s">
        <v>497</v>
      </c>
      <c r="E158" s="7" t="s">
        <v>610</v>
      </c>
      <c r="F158" s="20">
        <v>260</v>
      </c>
      <c r="G158" s="7" t="s">
        <v>194</v>
      </c>
      <c r="H158" s="21">
        <v>2.0000000000000004</v>
      </c>
      <c r="I158" s="11">
        <f>MAX(('Geometry'!$G$13*COS(RADIANS(F158))+'Geometry'!$F$13*SIN(RADIANS(F158))),('Geometry'!$G$14*COS(RADIANS(F158))+'Geometry'!$F$14*SIN(RADIANS(F158))),('Geometry'!$G$15*COS(RADIANS(F158))+'Geometry'!$F$15*SIN(RADIANS(F158))),('Geometry'!$G$16*COS(RADIANS(F158))+'Geometry'!$F$16*SIN(RADIANS(F158))),('Geometry'!$G$17*COS(RADIANS(F158))+'Geometry'!$F$17*SIN(RADIANS(F158))),('Geometry'!$G$18*COS(RADIANS(F158))+'Geometry'!$F$18*SIN(RADIANS(F158))),('Geometry'!$G$19*COS(RADIANS(F158))+'Geometry'!$F$19*SIN(RADIANS(F158))),('Geometry'!$G$20*COS(RADIANS(F158))+'Geometry'!$F$20*SIN(RADIANS(F158))))</f>
        <v>808.0650858259281</v>
      </c>
      <c r="J158" s="11">
        <f>I158-H158*K158</f>
        <v>-2424.1952574777847</v>
      </c>
      <c r="K158" s="11">
        <f>I158-MIN(('Geometry'!$G$13*COS(RADIANS(F158))+'Geometry'!$F$13*SIN(RADIANS(F158))),('Geometry'!$G$14*COS(RADIANS(F158))+'Geometry'!$F$14*SIN(RADIANS(F158))),('Geometry'!$G$15*COS(RADIANS(F158))+'Geometry'!$F$15*SIN(RADIANS(F158))),('Geometry'!$G$16*COS(RADIANS(F158))+'Geometry'!$F$16*SIN(RADIANS(F158))),('Geometry'!$G$17*COS(RADIANS(F158))+'Geometry'!$F$17*SIN(RADIANS(F158))),('Geometry'!$G$18*COS(RADIANS(F158))+'Geometry'!$F$18*SIN(RADIANS(F158))),('Geometry'!$G$19*COS(RADIANS(F158))+'Geometry'!$F$19*SIN(RADIANS(F158))),('Geometry'!$G$20*COS(RADIANS(F158))+'Geometry'!$F$20*SIN(RADIANS(F158))))</f>
        <v>1616.1301716518562</v>
      </c>
      <c r="L158" s="16">
        <f>C_ecu</f>
        <v>0.0032999999999999995</v>
      </c>
      <c r="M158" s="16">
        <f>0</f>
        <v>0</v>
      </c>
      <c r="N158" s="22">
        <f>IF(ABS(I158-J158)&lt;0.000000000001,0,(L158-M158)/(I158-J158))</f>
        <v>0.0000010209573640429748</v>
      </c>
      <c r="O158" s="16">
        <f>L158-N158*I158</f>
        <v>0.0024749999999999998</v>
      </c>
      <c r="P158" s="22">
        <f>N158*COS(RADIANS(F158))</f>
        <v>-1.7728738574169539e-7</v>
      </c>
      <c r="Q158" s="22">
        <f>N158*SIN(RADIANS(F158))</f>
        <v>-0.000001005446727604429</v>
      </c>
      <c r="R158" s="11">
        <f>AP158</f>
        <v>15273.411330637564</v>
      </c>
      <c r="S158" s="11">
        <f>AQ158</f>
        <v>-86.08533043311643</v>
      </c>
      <c r="T158" s="11">
        <f>AR158</f>
        <v>-606.8277411171331</v>
      </c>
      <c r="U158" s="11">
        <f>AS158</f>
        <v>2396.934284845672</v>
      </c>
      <c r="V158" s="11">
        <f>AT158</f>
        <v>-24.520155744874124</v>
      </c>
      <c r="W158" s="11">
        <f>AU158</f>
        <v>-194.28109772835364</v>
      </c>
      <c r="X158" s="11">
        <f>AM158</f>
        <v>17670.345615483235</v>
      </c>
      <c r="Y158" s="11">
        <f>AN158</f>
        <v>-110.60548617799054</v>
      </c>
      <c r="Z158" s="11">
        <f>AO158</f>
        <v>-801.1088388454867</v>
      </c>
      <c r="AA158" s="7">
        <v>1</v>
      </c>
      <c r="AB158" s="7">
        <v>1</v>
      </c>
      <c r="AC158" s="7">
        <v>1</v>
      </c>
      <c r="AD158" s="11">
        <f>X158*AA158</f>
        <v>17670.345615483235</v>
      </c>
      <c r="AE158" s="11">
        <f>Y158*AB158</f>
        <v>-110.60548617799054</v>
      </c>
      <c r="AF158" s="11">
        <f>Z158*AC158</f>
        <v>-801.1088388454867</v>
      </c>
      <c r="AG158" s="7">
        <v>17670.345615483235</v>
      </c>
      <c r="AH158" s="7">
        <v>-110.60548617799054</v>
      </c>
      <c r="AI158" s="7">
        <v>-801.1088388454867</v>
      </c>
      <c r="AJ158" s="16">
        <f>AD158-AG158</f>
        <v>0</v>
      </c>
      <c r="AK158" s="16">
        <f>SQRT((AE158-AH158)^2+(AF158-AI158)^2)</f>
        <v>0</v>
      </c>
      <c r="AL158" s="7" t="s">
        <v>190</v>
      </c>
      <c r="AM158" s="7">
        <v>17670.345615483235</v>
      </c>
      <c r="AN158" s="7">
        <v>-110.60548617799054</v>
      </c>
      <c r="AO158" s="7">
        <v>-801.1088388454867</v>
      </c>
      <c r="AP158" s="7">
        <v>15273.411330637564</v>
      </c>
      <c r="AQ158" s="7">
        <v>-86.08533043311643</v>
      </c>
      <c r="AR158" s="7">
        <v>-606.8277411171331</v>
      </c>
      <c r="AS158" s="7">
        <v>2396.934284845672</v>
      </c>
      <c r="AT158" s="7">
        <v>-24.520155744874124</v>
      </c>
      <c r="AU158" s="7">
        <v>-194.28109772835364</v>
      </c>
    </row>
    <row r="159" spans="1:47" x14ac:dyDescent="0.25">
      <c r="A159" s="7" t="s">
        <v>498</v>
      </c>
      <c r="B159" s="7">
        <v>3</v>
      </c>
      <c r="C159" s="19">
        <v>260</v>
      </c>
      <c r="D159" s="7" t="s">
        <v>499</v>
      </c>
      <c r="E159" s="7" t="s">
        <v>611</v>
      </c>
      <c r="F159" s="20">
        <v>260</v>
      </c>
      <c r="G159" s="7" t="s">
        <v>194</v>
      </c>
      <c r="H159" s="21">
        <v>1.5</v>
      </c>
      <c r="I159" s="11">
        <f>MAX(('Geometry'!$G$13*COS(RADIANS(F159))+'Geometry'!$F$13*SIN(RADIANS(F159))),('Geometry'!$G$14*COS(RADIANS(F159))+'Geometry'!$F$14*SIN(RADIANS(F159))),('Geometry'!$G$15*COS(RADIANS(F159))+'Geometry'!$F$15*SIN(RADIANS(F159))),('Geometry'!$G$16*COS(RADIANS(F159))+'Geometry'!$F$16*SIN(RADIANS(F159))),('Geometry'!$G$17*COS(RADIANS(F159))+'Geometry'!$F$17*SIN(RADIANS(F159))),('Geometry'!$G$18*COS(RADIANS(F159))+'Geometry'!$F$18*SIN(RADIANS(F159))),('Geometry'!$G$19*COS(RADIANS(F159))+'Geometry'!$F$19*SIN(RADIANS(F159))),('Geometry'!$G$20*COS(RADIANS(F159))+'Geometry'!$F$20*SIN(RADIANS(F159))))</f>
        <v>808.0650858259281</v>
      </c>
      <c r="J159" s="11">
        <f>I159-H159*K159</f>
        <v>-1616.1301716518562</v>
      </c>
      <c r="K159" s="11">
        <f>I159-MIN(('Geometry'!$G$13*COS(RADIANS(F159))+'Geometry'!$F$13*SIN(RADIANS(F159))),('Geometry'!$G$14*COS(RADIANS(F159))+'Geometry'!$F$14*SIN(RADIANS(F159))),('Geometry'!$G$15*COS(RADIANS(F159))+'Geometry'!$F$15*SIN(RADIANS(F159))),('Geometry'!$G$16*COS(RADIANS(F159))+'Geometry'!$F$16*SIN(RADIANS(F159))),('Geometry'!$G$17*COS(RADIANS(F159))+'Geometry'!$F$17*SIN(RADIANS(F159))),('Geometry'!$G$18*COS(RADIANS(F159))+'Geometry'!$F$18*SIN(RADIANS(F159))),('Geometry'!$G$19*COS(RADIANS(F159))+'Geometry'!$F$19*SIN(RADIANS(F159))),('Geometry'!$G$20*COS(RADIANS(F159))+'Geometry'!$F$20*SIN(RADIANS(F159))))</f>
        <v>1616.1301716518562</v>
      </c>
      <c r="L159" s="16">
        <f>C_ecu</f>
        <v>0.0032999999999999995</v>
      </c>
      <c r="M159" s="16">
        <f>0</f>
        <v>0</v>
      </c>
      <c r="N159" s="22">
        <f>IF(ABS(I159-J159)&lt;0.000000000001,0,(L159-M159)/(I159-J159))</f>
        <v>0.0000013612764853906333</v>
      </c>
      <c r="O159" s="16">
        <f>L159-N159*I159</f>
        <v>0.0021999999999999997</v>
      </c>
      <c r="P159" s="22">
        <f>N159*COS(RADIANS(F159))</f>
        <v>-2.3638318098892722e-7</v>
      </c>
      <c r="Q159" s="22">
        <f>N159*SIN(RADIANS(F159))</f>
        <v>-0.0000013405956368059057</v>
      </c>
      <c r="R159" s="11">
        <f>AP159</f>
        <v>15273.411330637564</v>
      </c>
      <c r="S159" s="11">
        <f>AQ159</f>
        <v>-129.12799564967463</v>
      </c>
      <c r="T159" s="11">
        <f>AR159</f>
        <v>-910.2416116756999</v>
      </c>
      <c r="U159" s="11">
        <f>AS159</f>
        <v>2396.934284845672</v>
      </c>
      <c r="V159" s="11">
        <f>AT159</f>
        <v>-36.7802336173112</v>
      </c>
      <c r="W159" s="11">
        <f>AU159</f>
        <v>-291.42164659253046</v>
      </c>
      <c r="X159" s="11">
        <f>AM159</f>
        <v>17670.345615483235</v>
      </c>
      <c r="Y159" s="11">
        <f>AN159</f>
        <v>-165.90822926698584</v>
      </c>
      <c r="Z159" s="11">
        <f>AO159</f>
        <v>-1201.6632582682303</v>
      </c>
      <c r="AA159" s="7">
        <v>1</v>
      </c>
      <c r="AB159" s="7">
        <v>1</v>
      </c>
      <c r="AC159" s="7">
        <v>1</v>
      </c>
      <c r="AD159" s="11">
        <f>X159*AA159</f>
        <v>17670.345615483235</v>
      </c>
      <c r="AE159" s="11">
        <f>Y159*AB159</f>
        <v>-165.90822926698584</v>
      </c>
      <c r="AF159" s="11">
        <f>Z159*AC159</f>
        <v>-1201.6632582682303</v>
      </c>
      <c r="AG159" s="7">
        <v>17670.345615483235</v>
      </c>
      <c r="AH159" s="7">
        <v>-165.90822926698584</v>
      </c>
      <c r="AI159" s="7">
        <v>-1201.6632582682303</v>
      </c>
      <c r="AJ159" s="16">
        <f>AD159-AG159</f>
        <v>0</v>
      </c>
      <c r="AK159" s="16">
        <f>SQRT((AE159-AH159)^2+(AF159-AI159)^2)</f>
        <v>0</v>
      </c>
      <c r="AL159" s="7" t="s">
        <v>190</v>
      </c>
      <c r="AM159" s="7">
        <v>17670.345615483235</v>
      </c>
      <c r="AN159" s="7">
        <v>-165.90822926698584</v>
      </c>
      <c r="AO159" s="7">
        <v>-1201.6632582682303</v>
      </c>
      <c r="AP159" s="7">
        <v>15273.411330637564</v>
      </c>
      <c r="AQ159" s="7">
        <v>-129.12799564967463</v>
      </c>
      <c r="AR159" s="7">
        <v>-910.2416116756999</v>
      </c>
      <c r="AS159" s="7">
        <v>2396.934284845672</v>
      </c>
      <c r="AT159" s="7">
        <v>-36.7802336173112</v>
      </c>
      <c r="AU159" s="7">
        <v>-291.42164659253046</v>
      </c>
    </row>
    <row r="160" spans="1:47" x14ac:dyDescent="0.25">
      <c r="A160" s="7" t="s">
        <v>500</v>
      </c>
      <c r="B160" s="7">
        <v>4</v>
      </c>
      <c r="C160" s="19">
        <v>260</v>
      </c>
      <c r="D160" s="7" t="s">
        <v>501</v>
      </c>
      <c r="E160" s="7" t="s">
        <v>612</v>
      </c>
      <c r="F160" s="20">
        <v>260</v>
      </c>
      <c r="G160" s="7" t="s">
        <v>194</v>
      </c>
      <c r="H160" s="21">
        <v>1.2</v>
      </c>
      <c r="I160" s="11">
        <f>MAX(('Geometry'!$G$13*COS(RADIANS(F160))+'Geometry'!$F$13*SIN(RADIANS(F160))),('Geometry'!$G$14*COS(RADIANS(F160))+'Geometry'!$F$14*SIN(RADIANS(F160))),('Geometry'!$G$15*COS(RADIANS(F160))+'Geometry'!$F$15*SIN(RADIANS(F160))),('Geometry'!$G$16*COS(RADIANS(F160))+'Geometry'!$F$16*SIN(RADIANS(F160))),('Geometry'!$G$17*COS(RADIANS(F160))+'Geometry'!$F$17*SIN(RADIANS(F160))),('Geometry'!$G$18*COS(RADIANS(F160))+'Geometry'!$F$18*SIN(RADIANS(F160))),('Geometry'!$G$19*COS(RADIANS(F160))+'Geometry'!$F$19*SIN(RADIANS(F160))),('Geometry'!$G$20*COS(RADIANS(F160))+'Geometry'!$F$20*SIN(RADIANS(F160))))</f>
        <v>808.0650858259281</v>
      </c>
      <c r="J160" s="11">
        <f>I160-H160*K160</f>
        <v>-1131.2911201562995</v>
      </c>
      <c r="K160" s="11">
        <f>I160-MIN(('Geometry'!$G$13*COS(RADIANS(F160))+'Geometry'!$F$13*SIN(RADIANS(F160))),('Geometry'!$G$14*COS(RADIANS(F160))+'Geometry'!$F$14*SIN(RADIANS(F160))),('Geometry'!$G$15*COS(RADIANS(F160))+'Geometry'!$F$15*SIN(RADIANS(F160))),('Geometry'!$G$16*COS(RADIANS(F160))+'Geometry'!$F$16*SIN(RADIANS(F160))),('Geometry'!$G$17*COS(RADIANS(F160))+'Geometry'!$F$17*SIN(RADIANS(F160))),('Geometry'!$G$18*COS(RADIANS(F160))+'Geometry'!$F$18*SIN(RADIANS(F160))),('Geometry'!$G$19*COS(RADIANS(F160))+'Geometry'!$F$19*SIN(RADIANS(F160))),('Geometry'!$G$20*COS(RADIANS(F160))+'Geometry'!$F$20*SIN(RADIANS(F160))))</f>
        <v>1616.1301716518562</v>
      </c>
      <c r="L160" s="16">
        <f>C_ecu</f>
        <v>0.0033</v>
      </c>
      <c r="M160" s="16">
        <f>0</f>
        <v>0</v>
      </c>
      <c r="N160" s="22">
        <f>IF(ABS(I160-J160)&lt;0.000000000001,0,(L160-M160)/(I160-J160))</f>
        <v>0.0000017015956067382918</v>
      </c>
      <c r="O160" s="16">
        <f>L160-N160*I160</f>
        <v>0.001925</v>
      </c>
      <c r="P160" s="22">
        <f>N160*COS(RADIANS(F160))</f>
        <v>-2.95478976236159e-7</v>
      </c>
      <c r="Q160" s="22">
        <f>N160*SIN(RADIANS(F160))</f>
        <v>-0.000001675744546007382</v>
      </c>
      <c r="R160" s="11">
        <f>AP160</f>
        <v>15273.411330637564</v>
      </c>
      <c r="S160" s="11">
        <f>AQ160</f>
        <v>-172.17066086623285</v>
      </c>
      <c r="T160" s="11">
        <f>AR160</f>
        <v>-1213.6554822342662</v>
      </c>
      <c r="U160" s="11">
        <f>AS160</f>
        <v>2396.934284845672</v>
      </c>
      <c r="V160" s="11">
        <f>AT160</f>
        <v>-49.04031148974825</v>
      </c>
      <c r="W160" s="11">
        <f>AU160</f>
        <v>-388.5621954567073</v>
      </c>
      <c r="X160" s="11">
        <f>AM160</f>
        <v>17670.345615483235</v>
      </c>
      <c r="Y160" s="11">
        <f>AN160</f>
        <v>-221.21097235598108</v>
      </c>
      <c r="Z160" s="11">
        <f>AO160</f>
        <v>-1602.2176776909735</v>
      </c>
      <c r="AA160" s="7">
        <v>1</v>
      </c>
      <c r="AB160" s="7">
        <v>1</v>
      </c>
      <c r="AC160" s="7">
        <v>1</v>
      </c>
      <c r="AD160" s="11">
        <f>X160*AA160</f>
        <v>17670.345615483235</v>
      </c>
      <c r="AE160" s="11">
        <f>Y160*AB160</f>
        <v>-221.21097235598108</v>
      </c>
      <c r="AF160" s="11">
        <f>Z160*AC160</f>
        <v>-1602.2176776909735</v>
      </c>
      <c r="AG160" s="7">
        <v>17670.345615483235</v>
      </c>
      <c r="AH160" s="7">
        <v>-221.21097235598108</v>
      </c>
      <c r="AI160" s="7">
        <v>-1602.2176776909735</v>
      </c>
      <c r="AJ160" s="16">
        <f>AD160-AG160</f>
        <v>0</v>
      </c>
      <c r="AK160" s="16">
        <f>SQRT((AE160-AH160)^2+(AF160-AI160)^2)</f>
        <v>0</v>
      </c>
      <c r="AL160" s="7" t="s">
        <v>190</v>
      </c>
      <c r="AM160" s="7">
        <v>17670.345615483235</v>
      </c>
      <c r="AN160" s="7">
        <v>-221.21097235598108</v>
      </c>
      <c r="AO160" s="7">
        <v>-1602.2176776909735</v>
      </c>
      <c r="AP160" s="7">
        <v>15273.411330637564</v>
      </c>
      <c r="AQ160" s="7">
        <v>-172.17066086623285</v>
      </c>
      <c r="AR160" s="7">
        <v>-1213.6554822342662</v>
      </c>
      <c r="AS160" s="7">
        <v>2396.934284845672</v>
      </c>
      <c r="AT160" s="7">
        <v>-49.04031148974825</v>
      </c>
      <c r="AU160" s="7">
        <v>-388.5621954567073</v>
      </c>
    </row>
    <row r="161" spans="1:47" x14ac:dyDescent="0.25">
      <c r="A161" s="7" t="s">
        <v>502</v>
      </c>
      <c r="B161" s="7">
        <v>5</v>
      </c>
      <c r="C161" s="19">
        <v>260</v>
      </c>
      <c r="D161" s="7" t="s">
        <v>503</v>
      </c>
      <c r="E161" s="7" t="s">
        <v>613</v>
      </c>
      <c r="F161" s="20">
        <v>260</v>
      </c>
      <c r="G161" s="7" t="s">
        <v>194</v>
      </c>
      <c r="H161" s="21">
        <v>1.1000000000000003</v>
      </c>
      <c r="I161" s="11">
        <f>MAX(('Geometry'!$G$13*COS(RADIANS(F161))+'Geometry'!$F$13*SIN(RADIANS(F161))),('Geometry'!$G$14*COS(RADIANS(F161))+'Geometry'!$F$14*SIN(RADIANS(F161))),('Geometry'!$G$15*COS(RADIANS(F161))+'Geometry'!$F$15*SIN(RADIANS(F161))),('Geometry'!$G$16*COS(RADIANS(F161))+'Geometry'!$F$16*SIN(RADIANS(F161))),('Geometry'!$G$17*COS(RADIANS(F161))+'Geometry'!$F$17*SIN(RADIANS(F161))),('Geometry'!$G$18*COS(RADIANS(F161))+'Geometry'!$F$18*SIN(RADIANS(F161))),('Geometry'!$G$19*COS(RADIANS(F161))+'Geometry'!$F$19*SIN(RADIANS(F161))),('Geometry'!$G$20*COS(RADIANS(F161))+'Geometry'!$F$20*SIN(RADIANS(F161))))</f>
        <v>808.0650858259281</v>
      </c>
      <c r="J161" s="11">
        <f>I161-H161*K161</f>
        <v>-969.678102991114</v>
      </c>
      <c r="K161" s="11">
        <f>I161-MIN(('Geometry'!$G$13*COS(RADIANS(F161))+'Geometry'!$F$13*SIN(RADIANS(F161))),('Geometry'!$G$14*COS(RADIANS(F161))+'Geometry'!$F$14*SIN(RADIANS(F161))),('Geometry'!$G$15*COS(RADIANS(F161))+'Geometry'!$F$15*SIN(RADIANS(F161))),('Geometry'!$G$16*COS(RADIANS(F161))+'Geometry'!$F$16*SIN(RADIANS(F161))),('Geometry'!$G$17*COS(RADIANS(F161))+'Geometry'!$F$17*SIN(RADIANS(F161))),('Geometry'!$G$18*COS(RADIANS(F161))+'Geometry'!$F$18*SIN(RADIANS(F161))),('Geometry'!$G$19*COS(RADIANS(F161))+'Geometry'!$F$19*SIN(RADIANS(F161))),('Geometry'!$G$20*COS(RADIANS(F161))+'Geometry'!$F$20*SIN(RADIANS(F161))))</f>
        <v>1616.1301716518562</v>
      </c>
      <c r="L161" s="16">
        <f>C_ecu</f>
        <v>0.0033</v>
      </c>
      <c r="M161" s="16">
        <f>0</f>
        <v>0</v>
      </c>
      <c r="N161" s="22">
        <f>IF(ABS(I161-J161)&lt;0.000000000001,0,(L161-M161)/(I161-J161))</f>
        <v>0.0000018562861164417725</v>
      </c>
      <c r="O161" s="16">
        <f>L161-N161*I161</f>
        <v>0.0018000000000000002</v>
      </c>
      <c r="P161" s="22">
        <f>N161*COS(RADIANS(F161))</f>
        <v>-3.223407013485371e-7</v>
      </c>
      <c r="Q161" s="22">
        <f>N161*SIN(RADIANS(F161))</f>
        <v>-0.00000182808495928078</v>
      </c>
      <c r="R161" s="11">
        <f>AP161</f>
        <v>15273.411330637564</v>
      </c>
      <c r="S161" s="11">
        <f>AQ161</f>
        <v>-215.21332608279107</v>
      </c>
      <c r="T161" s="11">
        <f>AR161</f>
        <v>-1517.0693527928331</v>
      </c>
      <c r="U161" s="11">
        <f>AS161</f>
        <v>2396.934284845672</v>
      </c>
      <c r="V161" s="11">
        <f>AT161</f>
        <v>-61.300389362185314</v>
      </c>
      <c r="W161" s="11">
        <f>AU161</f>
        <v>-485.70274432088416</v>
      </c>
      <c r="X161" s="11">
        <f>AM161</f>
        <v>17670.345615483235</v>
      </c>
      <c r="Y161" s="11">
        <f>AN161</f>
        <v>-276.51371544497636</v>
      </c>
      <c r="Z161" s="11">
        <f>AO161</f>
        <v>-2002.772097113717</v>
      </c>
      <c r="AA161" s="7">
        <v>1</v>
      </c>
      <c r="AB161" s="7">
        <v>1</v>
      </c>
      <c r="AC161" s="7">
        <v>1</v>
      </c>
      <c r="AD161" s="11">
        <f>X161*AA161</f>
        <v>17670.345615483235</v>
      </c>
      <c r="AE161" s="11">
        <f>Y161*AB161</f>
        <v>-276.51371544497636</v>
      </c>
      <c r="AF161" s="11">
        <f>Z161*AC161</f>
        <v>-2002.772097113717</v>
      </c>
      <c r="AG161" s="7">
        <v>17670.345615483235</v>
      </c>
      <c r="AH161" s="7">
        <v>-276.51371544497636</v>
      </c>
      <c r="AI161" s="7">
        <v>-2002.772097113717</v>
      </c>
      <c r="AJ161" s="16">
        <f>AD161-AG161</f>
        <v>0</v>
      </c>
      <c r="AK161" s="16">
        <f>SQRT((AE161-AH161)^2+(AF161-AI161)^2)</f>
        <v>0</v>
      </c>
      <c r="AL161" s="7" t="s">
        <v>190</v>
      </c>
      <c r="AM161" s="7">
        <v>17670.345615483235</v>
      </c>
      <c r="AN161" s="7">
        <v>-276.51371544497636</v>
      </c>
      <c r="AO161" s="7">
        <v>-2002.772097113717</v>
      </c>
      <c r="AP161" s="7">
        <v>15273.411330637564</v>
      </c>
      <c r="AQ161" s="7">
        <v>-215.21332608279107</v>
      </c>
      <c r="AR161" s="7">
        <v>-1517.0693527928331</v>
      </c>
      <c r="AS161" s="7">
        <v>2396.934284845672</v>
      </c>
      <c r="AT161" s="7">
        <v>-61.300389362185314</v>
      </c>
      <c r="AU161" s="7">
        <v>-485.70274432088416</v>
      </c>
    </row>
    <row r="162" spans="1:47" x14ac:dyDescent="0.25">
      <c r="A162" s="7" t="s">
        <v>504</v>
      </c>
      <c r="B162" s="7">
        <v>1</v>
      </c>
      <c r="C162" s="19">
        <v>270</v>
      </c>
      <c r="D162" s="7" t="s">
        <v>505</v>
      </c>
      <c r="E162" s="7" t="s">
        <v>609</v>
      </c>
      <c r="F162" s="20">
        <v>270</v>
      </c>
      <c r="G162" s="7" t="s">
        <v>194</v>
      </c>
      <c r="H162" s="21">
        <v>3</v>
      </c>
      <c r="I162" s="11">
        <f>MAX(('Geometry'!$G$13*COS(RADIANS(F162))+'Geometry'!$F$13*SIN(RADIANS(F162))),('Geometry'!$G$14*COS(RADIANS(F162))+'Geometry'!$F$14*SIN(RADIANS(F162))),('Geometry'!$G$15*COS(RADIANS(F162))+'Geometry'!$F$15*SIN(RADIANS(F162))),('Geometry'!$G$16*COS(RADIANS(F162))+'Geometry'!$F$16*SIN(RADIANS(F162))),('Geometry'!$G$17*COS(RADIANS(F162))+'Geometry'!$F$17*SIN(RADIANS(F162))),('Geometry'!$G$18*COS(RADIANS(F162))+'Geometry'!$F$18*SIN(RADIANS(F162))),('Geometry'!$G$19*COS(RADIANS(F162))+'Geometry'!$F$19*SIN(RADIANS(F162))),('Geometry'!$G$20*COS(RADIANS(F162))+'Geometry'!$F$20*SIN(RADIANS(F162))))</f>
        <v>750.0000000000001</v>
      </c>
      <c r="J162" s="11">
        <f>I162-H162*K162</f>
        <v>-3750.0000000000005</v>
      </c>
      <c r="K162" s="11">
        <f>I162-MIN(('Geometry'!$G$13*COS(RADIANS(F162))+'Geometry'!$F$13*SIN(RADIANS(F162))),('Geometry'!$G$14*COS(RADIANS(F162))+'Geometry'!$F$14*SIN(RADIANS(F162))),('Geometry'!$G$15*COS(RADIANS(F162))+'Geometry'!$F$15*SIN(RADIANS(F162))),('Geometry'!$G$16*COS(RADIANS(F162))+'Geometry'!$F$16*SIN(RADIANS(F162))),('Geometry'!$G$17*COS(RADIANS(F162))+'Geometry'!$F$17*SIN(RADIANS(F162))),('Geometry'!$G$18*COS(RADIANS(F162))+'Geometry'!$F$18*SIN(RADIANS(F162))),('Geometry'!$G$19*COS(RADIANS(F162))+'Geometry'!$F$19*SIN(RADIANS(F162))),('Geometry'!$G$20*COS(RADIANS(F162))+'Geometry'!$F$20*SIN(RADIANS(F162))))</f>
        <v>1500.0000000000002</v>
      </c>
      <c r="L162" s="16">
        <f>C_ecu</f>
        <v>0.0033</v>
      </c>
      <c r="M162" s="16">
        <f>0</f>
        <v>0</v>
      </c>
      <c r="N162" s="22">
        <f>IF(ABS(I162-J162)&lt;0.000000000001,0,(L162-M162)/(I162-J162))</f>
        <v>7.333333333333332e-7</v>
      </c>
      <c r="O162" s="16">
        <f>L162-N162*I162</f>
        <v>0.00275</v>
      </c>
      <c r="P162" s="22">
        <f>N162*COS(RADIANS(F162))</f>
        <v>-1.3471114790620882e-22</v>
      </c>
      <c r="Q162" s="22">
        <f>N162*SIN(RADIANS(F162))</f>
        <v>-7.333333333333332e-7</v>
      </c>
      <c r="R162" s="11">
        <f>AP162</f>
        <v>15260.444169480968</v>
      </c>
      <c r="S162" s="11">
        <f>AQ162</f>
        <v>-0.0008350156762243781</v>
      </c>
      <c r="T162" s="11">
        <f>AR162</f>
        <v>-330.42775276837955</v>
      </c>
      <c r="U162" s="11">
        <f>AS162</f>
        <v>2409.9014460022663</v>
      </c>
      <c r="V162" s="11">
        <f>AT162</f>
        <v>-1.991006516125358e-14</v>
      </c>
      <c r="W162" s="11">
        <f>AU162</f>
        <v>-104.66037549268799</v>
      </c>
      <c r="X162" s="11">
        <f>AM162</f>
        <v>17670.345615483235</v>
      </c>
      <c r="Y162" s="11">
        <f>AN162</f>
        <v>-0.0008350156762442883</v>
      </c>
      <c r="Z162" s="11">
        <f>AO162</f>
        <v>-435.0881282610674</v>
      </c>
      <c r="AA162" s="7">
        <v>1</v>
      </c>
      <c r="AB162" s="7">
        <v>1</v>
      </c>
      <c r="AC162" s="7">
        <v>1</v>
      </c>
      <c r="AD162" s="11">
        <f>X162*AA162</f>
        <v>17670.345615483235</v>
      </c>
      <c r="AE162" s="11">
        <f>Y162*AB162</f>
        <v>-0.0008350156762442883</v>
      </c>
      <c r="AF162" s="11">
        <f>Z162*AC162</f>
        <v>-435.0881282610674</v>
      </c>
      <c r="AG162" s="7">
        <v>17670.345615483235</v>
      </c>
      <c r="AH162" s="7">
        <v>-0.0008350156762442883</v>
      </c>
      <c r="AI162" s="7">
        <v>-435.0881282610674</v>
      </c>
      <c r="AJ162" s="16">
        <f>AD162-AG162</f>
        <v>0</v>
      </c>
      <c r="AK162" s="16">
        <f>SQRT((AE162-AH162)^2+(AF162-AI162)^2)</f>
        <v>0</v>
      </c>
      <c r="AL162" s="7" t="s">
        <v>190</v>
      </c>
      <c r="AM162" s="7">
        <v>17670.345615483235</v>
      </c>
      <c r="AN162" s="7">
        <v>-0.0008350156762442883</v>
      </c>
      <c r="AO162" s="7">
        <v>-435.0881282610674</v>
      </c>
      <c r="AP162" s="7">
        <v>15260.444169480968</v>
      </c>
      <c r="AQ162" s="7">
        <v>-0.0008350156762243781</v>
      </c>
      <c r="AR162" s="7">
        <v>-330.42775276837955</v>
      </c>
      <c r="AS162" s="7">
        <v>2409.9014460022663</v>
      </c>
      <c r="AT162" s="7">
        <v>-1.991006516125358e-14</v>
      </c>
      <c r="AU162" s="7">
        <v>-104.66037549268799</v>
      </c>
    </row>
    <row r="163" spans="1:47" x14ac:dyDescent="0.25">
      <c r="A163" s="7" t="s">
        <v>506</v>
      </c>
      <c r="B163" s="7">
        <v>2</v>
      </c>
      <c r="C163" s="19">
        <v>270</v>
      </c>
      <c r="D163" s="7" t="s">
        <v>507</v>
      </c>
      <c r="E163" s="7" t="s">
        <v>610</v>
      </c>
      <c r="F163" s="20">
        <v>270</v>
      </c>
      <c r="G163" s="7" t="s">
        <v>194</v>
      </c>
      <c r="H163" s="21">
        <v>1.9999999999999998</v>
      </c>
      <c r="I163" s="11">
        <f>MAX(('Geometry'!$G$13*COS(RADIANS(F163))+'Geometry'!$F$13*SIN(RADIANS(F163))),('Geometry'!$G$14*COS(RADIANS(F163))+'Geometry'!$F$14*SIN(RADIANS(F163))),('Geometry'!$G$15*COS(RADIANS(F163))+'Geometry'!$F$15*SIN(RADIANS(F163))),('Geometry'!$G$16*COS(RADIANS(F163))+'Geometry'!$F$16*SIN(RADIANS(F163))),('Geometry'!$G$17*COS(RADIANS(F163))+'Geometry'!$F$17*SIN(RADIANS(F163))),('Geometry'!$G$18*COS(RADIANS(F163))+'Geometry'!$F$18*SIN(RADIANS(F163))),('Geometry'!$G$19*COS(RADIANS(F163))+'Geometry'!$F$19*SIN(RADIANS(F163))),('Geometry'!$G$20*COS(RADIANS(F163))+'Geometry'!$F$20*SIN(RADIANS(F163))))</f>
        <v>750.0000000000001</v>
      </c>
      <c r="J163" s="11">
        <f>I163-H163*K163</f>
        <v>-2250</v>
      </c>
      <c r="K163" s="11">
        <f>I163-MIN(('Geometry'!$G$13*COS(RADIANS(F163))+'Geometry'!$F$13*SIN(RADIANS(F163))),('Geometry'!$G$14*COS(RADIANS(F163))+'Geometry'!$F$14*SIN(RADIANS(F163))),('Geometry'!$G$15*COS(RADIANS(F163))+'Geometry'!$F$15*SIN(RADIANS(F163))),('Geometry'!$G$16*COS(RADIANS(F163))+'Geometry'!$F$16*SIN(RADIANS(F163))),('Geometry'!$G$17*COS(RADIANS(F163))+'Geometry'!$F$17*SIN(RADIANS(F163))),('Geometry'!$G$18*COS(RADIANS(F163))+'Geometry'!$F$18*SIN(RADIANS(F163))),('Geometry'!$G$19*COS(RADIANS(F163))+'Geometry'!$F$19*SIN(RADIANS(F163))),('Geometry'!$G$20*COS(RADIANS(F163))+'Geometry'!$F$20*SIN(RADIANS(F163))))</f>
        <v>1500.0000000000002</v>
      </c>
      <c r="L163" s="16">
        <f>C_ecu</f>
        <v>0.0033</v>
      </c>
      <c r="M163" s="16">
        <f>0</f>
        <v>0</v>
      </c>
      <c r="N163" s="22">
        <f>IF(ABS(I163-J163)&lt;0.000000000001,0,(L163-M163)/(I163-J163))</f>
        <v>0.0000010999999999999998</v>
      </c>
      <c r="O163" s="16">
        <f>L163-N163*I163</f>
        <v>0.0024749999999999998</v>
      </c>
      <c r="P163" s="22">
        <f>N163*COS(RADIANS(F163))</f>
        <v>-2.0206672185931323e-22</v>
      </c>
      <c r="Q163" s="22">
        <f>N163*SIN(RADIANS(F163))</f>
        <v>-0.0000010999999999999998</v>
      </c>
      <c r="R163" s="11">
        <f>AP163</f>
        <v>15260.444169480968</v>
      </c>
      <c r="S163" s="11">
        <f>AQ163</f>
        <v>-0.0016700313524487562</v>
      </c>
      <c r="T163" s="11">
        <f>AR163</f>
        <v>-660.8555055367591</v>
      </c>
      <c r="U163" s="11">
        <f>AS163</f>
        <v>2409.9014460022663</v>
      </c>
      <c r="V163" s="11">
        <f>AT163</f>
        <v>-3.982013032250716e-14</v>
      </c>
      <c r="W163" s="11">
        <f>AU163</f>
        <v>-209.32075098537598</v>
      </c>
      <c r="X163" s="11">
        <f>AM163</f>
        <v>17670.345615483235</v>
      </c>
      <c r="Y163" s="11">
        <f>AN163</f>
        <v>-0.0016700313524885765</v>
      </c>
      <c r="Z163" s="11">
        <f>AO163</f>
        <v>-870.1762565221348</v>
      </c>
      <c r="AA163" s="7">
        <v>1</v>
      </c>
      <c r="AB163" s="7">
        <v>1</v>
      </c>
      <c r="AC163" s="7">
        <v>1</v>
      </c>
      <c r="AD163" s="11">
        <f>X163*AA163</f>
        <v>17670.345615483235</v>
      </c>
      <c r="AE163" s="11">
        <f>Y163*AB163</f>
        <v>-0.0016700313524885765</v>
      </c>
      <c r="AF163" s="11">
        <f>Z163*AC163</f>
        <v>-870.1762565221348</v>
      </c>
      <c r="AG163" s="7">
        <v>17670.345615483235</v>
      </c>
      <c r="AH163" s="7">
        <v>-0.0016700313524885765</v>
      </c>
      <c r="AI163" s="7">
        <v>-870.1762565221348</v>
      </c>
      <c r="AJ163" s="16">
        <f>AD163-AG163</f>
        <v>0</v>
      </c>
      <c r="AK163" s="16">
        <f>SQRT((AE163-AH163)^2+(AF163-AI163)^2)</f>
        <v>0</v>
      </c>
      <c r="AL163" s="7" t="s">
        <v>190</v>
      </c>
      <c r="AM163" s="7">
        <v>17670.345615483235</v>
      </c>
      <c r="AN163" s="7">
        <v>-0.0016700313524885765</v>
      </c>
      <c r="AO163" s="7">
        <v>-870.1762565221348</v>
      </c>
      <c r="AP163" s="7">
        <v>15260.444169480968</v>
      </c>
      <c r="AQ163" s="7">
        <v>-0.0016700313524487562</v>
      </c>
      <c r="AR163" s="7">
        <v>-660.8555055367591</v>
      </c>
      <c r="AS163" s="7">
        <v>2409.9014460022663</v>
      </c>
      <c r="AT163" s="7">
        <v>-3.982013032250716e-14</v>
      </c>
      <c r="AU163" s="7">
        <v>-209.32075098537598</v>
      </c>
    </row>
    <row r="164" spans="1:47" x14ac:dyDescent="0.25">
      <c r="A164" s="7" t="s">
        <v>508</v>
      </c>
      <c r="B164" s="7">
        <v>3</v>
      </c>
      <c r="C164" s="19">
        <v>270</v>
      </c>
      <c r="D164" s="7" t="s">
        <v>509</v>
      </c>
      <c r="E164" s="7" t="s">
        <v>611</v>
      </c>
      <c r="F164" s="20">
        <v>270</v>
      </c>
      <c r="G164" s="7" t="s">
        <v>194</v>
      </c>
      <c r="H164" s="21">
        <v>1.4999999999999998</v>
      </c>
      <c r="I164" s="11">
        <f>MAX(('Geometry'!$G$13*COS(RADIANS(F164))+'Geometry'!$F$13*SIN(RADIANS(F164))),('Geometry'!$G$14*COS(RADIANS(F164))+'Geometry'!$F$14*SIN(RADIANS(F164))),('Geometry'!$G$15*COS(RADIANS(F164))+'Geometry'!$F$15*SIN(RADIANS(F164))),('Geometry'!$G$16*COS(RADIANS(F164))+'Geometry'!$F$16*SIN(RADIANS(F164))),('Geometry'!$G$17*COS(RADIANS(F164))+'Geometry'!$F$17*SIN(RADIANS(F164))),('Geometry'!$G$18*COS(RADIANS(F164))+'Geometry'!$F$18*SIN(RADIANS(F164))),('Geometry'!$G$19*COS(RADIANS(F164))+'Geometry'!$F$19*SIN(RADIANS(F164))),('Geometry'!$G$20*COS(RADIANS(F164))+'Geometry'!$F$20*SIN(RADIANS(F164))))</f>
        <v>750.0000000000001</v>
      </c>
      <c r="J164" s="11">
        <f>I164-H164*K164</f>
        <v>-1500</v>
      </c>
      <c r="K164" s="11">
        <f>I164-MIN(('Geometry'!$G$13*COS(RADIANS(F164))+'Geometry'!$F$13*SIN(RADIANS(F164))),('Geometry'!$G$14*COS(RADIANS(F164))+'Geometry'!$F$14*SIN(RADIANS(F164))),('Geometry'!$G$15*COS(RADIANS(F164))+'Geometry'!$F$15*SIN(RADIANS(F164))),('Geometry'!$G$16*COS(RADIANS(F164))+'Geometry'!$F$16*SIN(RADIANS(F164))),('Geometry'!$G$17*COS(RADIANS(F164))+'Geometry'!$F$17*SIN(RADIANS(F164))),('Geometry'!$G$18*COS(RADIANS(F164))+'Geometry'!$F$18*SIN(RADIANS(F164))),('Geometry'!$G$19*COS(RADIANS(F164))+'Geometry'!$F$19*SIN(RADIANS(F164))),('Geometry'!$G$20*COS(RADIANS(F164))+'Geometry'!$F$20*SIN(RADIANS(F164))))</f>
        <v>1500.0000000000002</v>
      </c>
      <c r="L164" s="16">
        <f>C_ecu</f>
        <v>0.0033</v>
      </c>
      <c r="M164" s="16">
        <f>0</f>
        <v>0</v>
      </c>
      <c r="N164" s="22">
        <f>IF(ABS(I164-J164)&lt;0.000000000001,0,(L164-M164)/(I164-J164))</f>
        <v>0.0000014666666666666665</v>
      </c>
      <c r="O164" s="16">
        <f>L164-N164*I164</f>
        <v>0.0021999999999999997</v>
      </c>
      <c r="P164" s="22">
        <f>N164*COS(RADIANS(F164))</f>
        <v>-2.6942229581241763e-22</v>
      </c>
      <c r="Q164" s="22">
        <f>N164*SIN(RADIANS(F164))</f>
        <v>-0.0000014666666666666665</v>
      </c>
      <c r="R164" s="11">
        <f>AP164</f>
        <v>15260.444169480968</v>
      </c>
      <c r="S164" s="11">
        <f>AQ164</f>
        <v>-0.002505047028673135</v>
      </c>
      <c r="T164" s="11">
        <f>AR164</f>
        <v>-991.2832583051386</v>
      </c>
      <c r="U164" s="11">
        <f>AS164</f>
        <v>2409.9014460022663</v>
      </c>
      <c r="V164" s="11">
        <f>AT164</f>
        <v>-5.973019548376076e-14</v>
      </c>
      <c r="W164" s="11">
        <f>AU164</f>
        <v>-313.981126478064</v>
      </c>
      <c r="X164" s="11">
        <f>AM164</f>
        <v>17670.345615483235</v>
      </c>
      <c r="Y164" s="11">
        <f>AN164</f>
        <v>-0.0025050470287328644</v>
      </c>
      <c r="Z164" s="11">
        <f>AO164</f>
        <v>-1305.2643847832023</v>
      </c>
      <c r="AA164" s="7">
        <v>1</v>
      </c>
      <c r="AB164" s="7">
        <v>1</v>
      </c>
      <c r="AC164" s="7">
        <v>1</v>
      </c>
      <c r="AD164" s="11">
        <f>X164*AA164</f>
        <v>17670.345615483235</v>
      </c>
      <c r="AE164" s="11">
        <f>Y164*AB164</f>
        <v>-0.0025050470287328644</v>
      </c>
      <c r="AF164" s="11">
        <f>Z164*AC164</f>
        <v>-1305.2643847832023</v>
      </c>
      <c r="AG164" s="7">
        <v>17670.345615483235</v>
      </c>
      <c r="AH164" s="7">
        <v>-0.0025050470287328644</v>
      </c>
      <c r="AI164" s="7">
        <v>-1305.2643847832023</v>
      </c>
      <c r="AJ164" s="16">
        <f>AD164-AG164</f>
        <v>0</v>
      </c>
      <c r="AK164" s="16">
        <f>SQRT((AE164-AH164)^2+(AF164-AI164)^2)</f>
        <v>0</v>
      </c>
      <c r="AL164" s="7" t="s">
        <v>190</v>
      </c>
      <c r="AM164" s="7">
        <v>17670.345615483235</v>
      </c>
      <c r="AN164" s="7">
        <v>-0.0025050470287328644</v>
      </c>
      <c r="AO164" s="7">
        <v>-1305.2643847832023</v>
      </c>
      <c r="AP164" s="7">
        <v>15260.444169480968</v>
      </c>
      <c r="AQ164" s="7">
        <v>-0.002505047028673135</v>
      </c>
      <c r="AR164" s="7">
        <v>-991.2832583051386</v>
      </c>
      <c r="AS164" s="7">
        <v>2409.9014460022663</v>
      </c>
      <c r="AT164" s="7">
        <v>-5.973019548376076e-14</v>
      </c>
      <c r="AU164" s="7">
        <v>-313.981126478064</v>
      </c>
    </row>
    <row r="165" spans="1:47" x14ac:dyDescent="0.25">
      <c r="A165" s="7" t="s">
        <v>510</v>
      </c>
      <c r="B165" s="7">
        <v>4</v>
      </c>
      <c r="C165" s="19">
        <v>270</v>
      </c>
      <c r="D165" s="7" t="s">
        <v>511</v>
      </c>
      <c r="E165" s="7" t="s">
        <v>612</v>
      </c>
      <c r="F165" s="20">
        <v>270</v>
      </c>
      <c r="G165" s="7" t="s">
        <v>194</v>
      </c>
      <c r="H165" s="21">
        <v>1.1999999999999997</v>
      </c>
      <c r="I165" s="11">
        <f>MAX(('Geometry'!$G$13*COS(RADIANS(F165))+'Geometry'!$F$13*SIN(RADIANS(F165))),('Geometry'!$G$14*COS(RADIANS(F165))+'Geometry'!$F$14*SIN(RADIANS(F165))),('Geometry'!$G$15*COS(RADIANS(F165))+'Geometry'!$F$15*SIN(RADIANS(F165))),('Geometry'!$G$16*COS(RADIANS(F165))+'Geometry'!$F$16*SIN(RADIANS(F165))),('Geometry'!$G$17*COS(RADIANS(F165))+'Geometry'!$F$17*SIN(RADIANS(F165))),('Geometry'!$G$18*COS(RADIANS(F165))+'Geometry'!$F$18*SIN(RADIANS(F165))),('Geometry'!$G$19*COS(RADIANS(F165))+'Geometry'!$F$19*SIN(RADIANS(F165))),('Geometry'!$G$20*COS(RADIANS(F165))+'Geometry'!$F$20*SIN(RADIANS(F165))))</f>
        <v>750.0000000000001</v>
      </c>
      <c r="J165" s="11">
        <f>I165-H165*K165</f>
        <v>-1050</v>
      </c>
      <c r="K165" s="11">
        <f>I165-MIN(('Geometry'!$G$13*COS(RADIANS(F165))+'Geometry'!$F$13*SIN(RADIANS(F165))),('Geometry'!$G$14*COS(RADIANS(F165))+'Geometry'!$F$14*SIN(RADIANS(F165))),('Geometry'!$G$15*COS(RADIANS(F165))+'Geometry'!$F$15*SIN(RADIANS(F165))),('Geometry'!$G$16*COS(RADIANS(F165))+'Geometry'!$F$16*SIN(RADIANS(F165))),('Geometry'!$G$17*COS(RADIANS(F165))+'Geometry'!$F$17*SIN(RADIANS(F165))),('Geometry'!$G$18*COS(RADIANS(F165))+'Geometry'!$F$18*SIN(RADIANS(F165))),('Geometry'!$G$19*COS(RADIANS(F165))+'Geometry'!$F$19*SIN(RADIANS(F165))),('Geometry'!$G$20*COS(RADIANS(F165))+'Geometry'!$F$20*SIN(RADIANS(F165))))</f>
        <v>1500.0000000000002</v>
      </c>
      <c r="L165" s="16">
        <f>C_ecu</f>
        <v>0.0033</v>
      </c>
      <c r="M165" s="16">
        <f>0</f>
        <v>0</v>
      </c>
      <c r="N165" s="22">
        <f>IF(ABS(I165-J165)&lt;0.000000000001,0,(L165-M165)/(I165-J165))</f>
        <v>0.0000018333333333333333</v>
      </c>
      <c r="O165" s="16">
        <f>L165-N165*I165</f>
        <v>0.0019249999999999998</v>
      </c>
      <c r="P165" s="22">
        <f>N165*COS(RADIANS(F165))</f>
        <v>-3.367778697655221e-22</v>
      </c>
      <c r="Q165" s="22">
        <f>N165*SIN(RADIANS(F165))</f>
        <v>-0.0000018333333333333333</v>
      </c>
      <c r="R165" s="11">
        <f>AP165</f>
        <v>15260.444169480968</v>
      </c>
      <c r="S165" s="11">
        <f>AQ165</f>
        <v>-0.0033400627048975123</v>
      </c>
      <c r="T165" s="11">
        <f>AR165</f>
        <v>-1321.7110110735182</v>
      </c>
      <c r="U165" s="11">
        <f>AS165</f>
        <v>2409.9014460022663</v>
      </c>
      <c r="V165" s="11">
        <f>AT165</f>
        <v>-7.964026064501432e-14</v>
      </c>
      <c r="W165" s="11">
        <f>AU165</f>
        <v>-418.64150197075196</v>
      </c>
      <c r="X165" s="11">
        <f>AM165</f>
        <v>17670.345615483235</v>
      </c>
      <c r="Y165" s="11">
        <f>AN165</f>
        <v>-0.003340062704977153</v>
      </c>
      <c r="Z165" s="11">
        <f>AO165</f>
        <v>-1740.3525130442697</v>
      </c>
      <c r="AA165" s="7">
        <v>1</v>
      </c>
      <c r="AB165" s="7">
        <v>1</v>
      </c>
      <c r="AC165" s="7">
        <v>1</v>
      </c>
      <c r="AD165" s="11">
        <f>X165*AA165</f>
        <v>17670.345615483235</v>
      </c>
      <c r="AE165" s="11">
        <f>Y165*AB165</f>
        <v>-0.003340062704977153</v>
      </c>
      <c r="AF165" s="11">
        <f>Z165*AC165</f>
        <v>-1740.3525130442697</v>
      </c>
      <c r="AG165" s="7">
        <v>17670.345615483235</v>
      </c>
      <c r="AH165" s="7">
        <v>-0.003340062704977153</v>
      </c>
      <c r="AI165" s="7">
        <v>-1740.3525130442697</v>
      </c>
      <c r="AJ165" s="16">
        <f>AD165-AG165</f>
        <v>0</v>
      </c>
      <c r="AK165" s="16">
        <f>SQRT((AE165-AH165)^2+(AF165-AI165)^2)</f>
        <v>0</v>
      </c>
      <c r="AL165" s="7" t="s">
        <v>190</v>
      </c>
      <c r="AM165" s="7">
        <v>17670.345615483235</v>
      </c>
      <c r="AN165" s="7">
        <v>-0.003340062704977153</v>
      </c>
      <c r="AO165" s="7">
        <v>-1740.3525130442697</v>
      </c>
      <c r="AP165" s="7">
        <v>15260.444169480968</v>
      </c>
      <c r="AQ165" s="7">
        <v>-0.0033400627048975123</v>
      </c>
      <c r="AR165" s="7">
        <v>-1321.7110110735182</v>
      </c>
      <c r="AS165" s="7">
        <v>2409.9014460022663</v>
      </c>
      <c r="AT165" s="7">
        <v>-7.964026064501432e-14</v>
      </c>
      <c r="AU165" s="7">
        <v>-418.64150197075196</v>
      </c>
    </row>
    <row r="166" spans="1:47" x14ac:dyDescent="0.25">
      <c r="A166" s="7" t="s">
        <v>512</v>
      </c>
      <c r="B166" s="7">
        <v>5</v>
      </c>
      <c r="C166" s="19">
        <v>270</v>
      </c>
      <c r="D166" s="7" t="s">
        <v>513</v>
      </c>
      <c r="E166" s="7" t="s">
        <v>613</v>
      </c>
      <c r="F166" s="20">
        <v>270</v>
      </c>
      <c r="G166" s="7" t="s">
        <v>194</v>
      </c>
      <c r="H166" s="21">
        <v>1.1</v>
      </c>
      <c r="I166" s="11">
        <f>MAX(('Geometry'!$G$13*COS(RADIANS(F166))+'Geometry'!$F$13*SIN(RADIANS(F166))),('Geometry'!$G$14*COS(RADIANS(F166))+'Geometry'!$F$14*SIN(RADIANS(F166))),('Geometry'!$G$15*COS(RADIANS(F166))+'Geometry'!$F$15*SIN(RADIANS(F166))),('Geometry'!$G$16*COS(RADIANS(F166))+'Geometry'!$F$16*SIN(RADIANS(F166))),('Geometry'!$G$17*COS(RADIANS(F166))+'Geometry'!$F$17*SIN(RADIANS(F166))),('Geometry'!$G$18*COS(RADIANS(F166))+'Geometry'!$F$18*SIN(RADIANS(F166))),('Geometry'!$G$19*COS(RADIANS(F166))+'Geometry'!$F$19*SIN(RADIANS(F166))),('Geometry'!$G$20*COS(RADIANS(F166))+'Geometry'!$F$20*SIN(RADIANS(F166))))</f>
        <v>750.0000000000001</v>
      </c>
      <c r="J166" s="11">
        <f>I166-H166*K166</f>
        <v>-900.0000000000003</v>
      </c>
      <c r="K166" s="11">
        <f>I166-MIN(('Geometry'!$G$13*COS(RADIANS(F166))+'Geometry'!$F$13*SIN(RADIANS(F166))),('Geometry'!$G$14*COS(RADIANS(F166))+'Geometry'!$F$14*SIN(RADIANS(F166))),('Geometry'!$G$15*COS(RADIANS(F166))+'Geometry'!$F$15*SIN(RADIANS(F166))),('Geometry'!$G$16*COS(RADIANS(F166))+'Geometry'!$F$16*SIN(RADIANS(F166))),('Geometry'!$G$17*COS(RADIANS(F166))+'Geometry'!$F$17*SIN(RADIANS(F166))),('Geometry'!$G$18*COS(RADIANS(F166))+'Geometry'!$F$18*SIN(RADIANS(F166))),('Geometry'!$G$19*COS(RADIANS(F166))+'Geometry'!$F$19*SIN(RADIANS(F166))),('Geometry'!$G$20*COS(RADIANS(F166))+'Geometry'!$F$20*SIN(RADIANS(F166))))</f>
        <v>1500.0000000000002</v>
      </c>
      <c r="L166" s="16">
        <f>C_ecu</f>
        <v>0.0033</v>
      </c>
      <c r="M166" s="16">
        <f>0</f>
        <v>0</v>
      </c>
      <c r="N166" s="22">
        <f>IF(ABS(I166-J166)&lt;0.000000000001,0,(L166-M166)/(I166-J166))</f>
        <v>0.0000019999999999999995</v>
      </c>
      <c r="O166" s="16">
        <f>L166-N166*I166</f>
        <v>0.0018000000000000002</v>
      </c>
      <c r="P166" s="22">
        <f>N166*COS(RADIANS(F166))</f>
        <v>-3.6739403974420583e-22</v>
      </c>
      <c r="Q166" s="22">
        <f>N166*SIN(RADIANS(F166))</f>
        <v>-0.0000019999999999999995</v>
      </c>
      <c r="R166" s="11">
        <f>AP166</f>
        <v>15260.444169480968</v>
      </c>
      <c r="S166" s="11">
        <f>AQ166</f>
        <v>-0.004175078381121891</v>
      </c>
      <c r="T166" s="11">
        <f>AR166</f>
        <v>-1652.1387638418978</v>
      </c>
      <c r="U166" s="11">
        <f>AS166</f>
        <v>2409.9014460022663</v>
      </c>
      <c r="V166" s="11">
        <f>AT166</f>
        <v>-9.955032580626791e-14</v>
      </c>
      <c r="W166" s="11">
        <f>AU166</f>
        <v>-523.30187746344</v>
      </c>
      <c r="X166" s="11">
        <f>AM166</f>
        <v>17670.345615483235</v>
      </c>
      <c r="Y166" s="11">
        <f>AN166</f>
        <v>-0.004175078381221441</v>
      </c>
      <c r="Z166" s="11">
        <f>AO166</f>
        <v>-2175.4406413053375</v>
      </c>
      <c r="AA166" s="7">
        <v>1</v>
      </c>
      <c r="AB166" s="7">
        <v>1</v>
      </c>
      <c r="AC166" s="7">
        <v>1</v>
      </c>
      <c r="AD166" s="11">
        <f>X166*AA166</f>
        <v>17670.345615483235</v>
      </c>
      <c r="AE166" s="11">
        <f>Y166*AB166</f>
        <v>-0.004175078381221441</v>
      </c>
      <c r="AF166" s="11">
        <f>Z166*AC166</f>
        <v>-2175.4406413053375</v>
      </c>
      <c r="AG166" s="7">
        <v>17670.345615483235</v>
      </c>
      <c r="AH166" s="7">
        <v>-0.004175078381221441</v>
      </c>
      <c r="AI166" s="7">
        <v>-2175.4406413053375</v>
      </c>
      <c r="AJ166" s="16">
        <f>AD166-AG166</f>
        <v>0</v>
      </c>
      <c r="AK166" s="16">
        <f>SQRT((AE166-AH166)^2+(AF166-AI166)^2)</f>
        <v>0</v>
      </c>
      <c r="AL166" s="7" t="s">
        <v>190</v>
      </c>
      <c r="AM166" s="7">
        <v>17670.345615483235</v>
      </c>
      <c r="AN166" s="7">
        <v>-0.004175078381221441</v>
      </c>
      <c r="AO166" s="7">
        <v>-2175.4406413053375</v>
      </c>
      <c r="AP166" s="7">
        <v>15260.444169480968</v>
      </c>
      <c r="AQ166" s="7">
        <v>-0.004175078381121891</v>
      </c>
      <c r="AR166" s="7">
        <v>-1652.1387638418978</v>
      </c>
      <c r="AS166" s="7">
        <v>2409.9014460022663</v>
      </c>
      <c r="AT166" s="7">
        <v>-9.955032580626791e-14</v>
      </c>
      <c r="AU166" s="7">
        <v>-523.30187746344</v>
      </c>
    </row>
    <row r="167" spans="1:47" x14ac:dyDescent="0.25">
      <c r="A167" s="7" t="s">
        <v>514</v>
      </c>
      <c r="B167" s="7">
        <v>1</v>
      </c>
      <c r="C167" s="19">
        <v>280</v>
      </c>
      <c r="D167" s="7" t="s">
        <v>515</v>
      </c>
      <c r="E167" s="7" t="s">
        <v>613</v>
      </c>
      <c r="F167" s="20">
        <v>280</v>
      </c>
      <c r="G167" s="7" t="s">
        <v>194</v>
      </c>
      <c r="H167" s="21">
        <v>1.1</v>
      </c>
      <c r="I167" s="11">
        <f>MAX(('Geometry'!$G$13*COS(RADIANS(F167))+'Geometry'!$F$13*SIN(RADIANS(F167))),('Geometry'!$G$14*COS(RADIANS(F167))+'Geometry'!$F$14*SIN(RADIANS(F167))),('Geometry'!$G$15*COS(RADIANS(F167))+'Geometry'!$F$15*SIN(RADIANS(F167))),('Geometry'!$G$16*COS(RADIANS(F167))+'Geometry'!$F$16*SIN(RADIANS(F167))),('Geometry'!$G$17*COS(RADIANS(F167))+'Geometry'!$F$17*SIN(RADIANS(F167))),('Geometry'!$G$18*COS(RADIANS(F167))+'Geometry'!$F$18*SIN(RADIANS(F167))),('Geometry'!$G$19*COS(RADIANS(F167))+'Geometry'!$F$19*SIN(RADIANS(F167))),('Geometry'!$G$20*COS(RADIANS(F167))+'Geometry'!$F$20*SIN(RADIANS(F167))))</f>
        <v>808.0650858259281</v>
      </c>
      <c r="J167" s="11">
        <f>I167-H167*K167</f>
        <v>-969.6781029911139</v>
      </c>
      <c r="K167" s="11">
        <f>I167-MIN(('Geometry'!$G$13*COS(RADIANS(F167))+'Geometry'!$F$13*SIN(RADIANS(F167))),('Geometry'!$G$14*COS(RADIANS(F167))+'Geometry'!$F$14*SIN(RADIANS(F167))),('Geometry'!$G$15*COS(RADIANS(F167))+'Geometry'!$F$15*SIN(RADIANS(F167))),('Geometry'!$G$16*COS(RADIANS(F167))+'Geometry'!$F$16*SIN(RADIANS(F167))),('Geometry'!$G$17*COS(RADIANS(F167))+'Geometry'!$F$17*SIN(RADIANS(F167))),('Geometry'!$G$18*COS(RADIANS(F167))+'Geometry'!$F$18*SIN(RADIANS(F167))),('Geometry'!$G$19*COS(RADIANS(F167))+'Geometry'!$F$19*SIN(RADIANS(F167))),('Geometry'!$G$20*COS(RADIANS(F167))+'Geometry'!$F$20*SIN(RADIANS(F167))))</f>
        <v>1616.1301716518562</v>
      </c>
      <c r="L167" s="16">
        <f>C_ecu</f>
        <v>0.0033</v>
      </c>
      <c r="M167" s="16">
        <f>0</f>
        <v>0</v>
      </c>
      <c r="N167" s="22">
        <f>IF(ABS(I167-J167)&lt;0.000000000001,0,(L167-M167)/(I167-J167))</f>
        <v>0.0000018562861164417727</v>
      </c>
      <c r="O167" s="16">
        <f>L167-N167*I167</f>
        <v>0.0018000000000000002</v>
      </c>
      <c r="P167" s="22">
        <f>N167*COS(RADIANS(F167))</f>
        <v>3.223407013485364e-7</v>
      </c>
      <c r="Q167" s="22">
        <f>N167*SIN(RADIANS(F167))</f>
        <v>-0.0000018280849592807803</v>
      </c>
      <c r="R167" s="11">
        <f>AP167</f>
        <v>15273.40570302067</v>
      </c>
      <c r="S167" s="11">
        <f>AQ167</f>
        <v>215.20163016105505</v>
      </c>
      <c r="T167" s="11">
        <f>AR167</f>
        <v>-1517.0569792550057</v>
      </c>
      <c r="U167" s="11">
        <f>AS167</f>
        <v>2396.9399124625647</v>
      </c>
      <c r="V167" s="11">
        <f>AT167</f>
        <v>61.30038613332269</v>
      </c>
      <c r="W167" s="11">
        <f>AU167</f>
        <v>-485.7028455841956</v>
      </c>
      <c r="X167" s="11">
        <f>AM167</f>
        <v>17670.345615483235</v>
      </c>
      <c r="Y167" s="11">
        <f>AN167</f>
        <v>276.50201629437777</v>
      </c>
      <c r="Z167" s="11">
        <f>AO167</f>
        <v>-2002.759824839201</v>
      </c>
      <c r="AA167" s="7">
        <v>1</v>
      </c>
      <c r="AB167" s="7">
        <v>1</v>
      </c>
      <c r="AC167" s="7">
        <v>1</v>
      </c>
      <c r="AD167" s="11">
        <f>X167*AA167</f>
        <v>17670.345615483235</v>
      </c>
      <c r="AE167" s="11">
        <f>Y167*AB167</f>
        <v>276.50201629437777</v>
      </c>
      <c r="AF167" s="11">
        <f>Z167*AC167</f>
        <v>-2002.759824839201</v>
      </c>
      <c r="AG167" s="7">
        <v>17670.345615483235</v>
      </c>
      <c r="AH167" s="7">
        <v>276.50201629437777</v>
      </c>
      <c r="AI167" s="7">
        <v>-2002.759824839201</v>
      </c>
      <c r="AJ167" s="16">
        <f>AD167-AG167</f>
        <v>0</v>
      </c>
      <c r="AK167" s="16">
        <f>SQRT((AE167-AH167)^2+(AF167-AI167)^2)</f>
        <v>0</v>
      </c>
      <c r="AL167" s="7" t="s">
        <v>190</v>
      </c>
      <c r="AM167" s="7">
        <v>17670.345615483235</v>
      </c>
      <c r="AN167" s="7">
        <v>276.50201629437777</v>
      </c>
      <c r="AO167" s="7">
        <v>-2002.759824839201</v>
      </c>
      <c r="AP167" s="7">
        <v>15273.40570302067</v>
      </c>
      <c r="AQ167" s="7">
        <v>215.20163016105505</v>
      </c>
      <c r="AR167" s="7">
        <v>-1517.0569792550057</v>
      </c>
      <c r="AS167" s="7">
        <v>2396.9399124625647</v>
      </c>
      <c r="AT167" s="7">
        <v>61.30038613332269</v>
      </c>
      <c r="AU167" s="7">
        <v>-485.7028455841956</v>
      </c>
    </row>
    <row r="168" spans="1:47" x14ac:dyDescent="0.25">
      <c r="A168" s="7" t="s">
        <v>516</v>
      </c>
      <c r="B168" s="7">
        <v>2</v>
      </c>
      <c r="C168" s="19">
        <v>280</v>
      </c>
      <c r="D168" s="7" t="s">
        <v>517</v>
      </c>
      <c r="E168" s="7" t="s">
        <v>609</v>
      </c>
      <c r="F168" s="20">
        <v>280</v>
      </c>
      <c r="G168" s="7" t="s">
        <v>194</v>
      </c>
      <c r="H168" s="21">
        <v>3</v>
      </c>
      <c r="I168" s="11">
        <f>MAX(('Geometry'!$G$13*COS(RADIANS(F168))+'Geometry'!$F$13*SIN(RADIANS(F168))),('Geometry'!$G$14*COS(RADIANS(F168))+'Geometry'!$F$14*SIN(RADIANS(F168))),('Geometry'!$G$15*COS(RADIANS(F168))+'Geometry'!$F$15*SIN(RADIANS(F168))),('Geometry'!$G$16*COS(RADIANS(F168))+'Geometry'!$F$16*SIN(RADIANS(F168))),('Geometry'!$G$17*COS(RADIANS(F168))+'Geometry'!$F$17*SIN(RADIANS(F168))),('Geometry'!$G$18*COS(RADIANS(F168))+'Geometry'!$F$18*SIN(RADIANS(F168))),('Geometry'!$G$19*COS(RADIANS(F168))+'Geometry'!$F$19*SIN(RADIANS(F168))),('Geometry'!$G$20*COS(RADIANS(F168))+'Geometry'!$F$20*SIN(RADIANS(F168))))</f>
        <v>808.0650858259281</v>
      </c>
      <c r="J168" s="11">
        <f>I168-H168*K168</f>
        <v>-4040.3254291296403</v>
      </c>
      <c r="K168" s="11">
        <f>I168-MIN(('Geometry'!$G$13*COS(RADIANS(F168))+'Geometry'!$F$13*SIN(RADIANS(F168))),('Geometry'!$G$14*COS(RADIANS(F168))+'Geometry'!$F$14*SIN(RADIANS(F168))),('Geometry'!$G$15*COS(RADIANS(F168))+'Geometry'!$F$15*SIN(RADIANS(F168))),('Geometry'!$G$16*COS(RADIANS(F168))+'Geometry'!$F$16*SIN(RADIANS(F168))),('Geometry'!$G$17*COS(RADIANS(F168))+'Geometry'!$F$17*SIN(RADIANS(F168))),('Geometry'!$G$18*COS(RADIANS(F168))+'Geometry'!$F$18*SIN(RADIANS(F168))),('Geometry'!$G$19*COS(RADIANS(F168))+'Geometry'!$F$19*SIN(RADIANS(F168))),('Geometry'!$G$20*COS(RADIANS(F168))+'Geometry'!$F$20*SIN(RADIANS(F168))))</f>
        <v>1616.1301716518562</v>
      </c>
      <c r="L168" s="16">
        <f>C_ecu</f>
        <v>0.0033</v>
      </c>
      <c r="M168" s="16">
        <f>0</f>
        <v>0</v>
      </c>
      <c r="N168" s="22">
        <f>IF(ABS(I168-J168)&lt;0.000000000001,0,(L168-M168)/(I168-J168))</f>
        <v>6.806382426953168e-7</v>
      </c>
      <c r="O168" s="16">
        <f>L168-N168*I168</f>
        <v>0.00275</v>
      </c>
      <c r="P168" s="22">
        <f>N168*COS(RADIANS(F168))</f>
        <v>1.1819159049446337e-7</v>
      </c>
      <c r="Q168" s="22">
        <f>N168*SIN(RADIANS(F168))</f>
        <v>-6.702978184029529e-7</v>
      </c>
      <c r="R168" s="11">
        <f>AP168</f>
        <v>15273.40570302067</v>
      </c>
      <c r="S168" s="11">
        <f>AQ168</f>
        <v>43.040326032211006</v>
      </c>
      <c r="T168" s="11">
        <f>AR168</f>
        <v>-303.4113958510011</v>
      </c>
      <c r="U168" s="11">
        <f>AS168</f>
        <v>2396.9399124625647</v>
      </c>
      <c r="V168" s="11">
        <f>AT168</f>
        <v>12.260077226664537</v>
      </c>
      <c r="W168" s="11">
        <f>AU168</f>
        <v>-97.14056911683912</v>
      </c>
      <c r="X168" s="11">
        <f>AM168</f>
        <v>17670.345615483235</v>
      </c>
      <c r="Y168" s="11">
        <f>AN168</f>
        <v>55.30040325887555</v>
      </c>
      <c r="Z168" s="11">
        <f>AO168</f>
        <v>-400.55196496784015</v>
      </c>
      <c r="AA168" s="7">
        <v>1</v>
      </c>
      <c r="AB168" s="7">
        <v>1</v>
      </c>
      <c r="AC168" s="7">
        <v>1</v>
      </c>
      <c r="AD168" s="11">
        <f>X168*AA168</f>
        <v>17670.345615483235</v>
      </c>
      <c r="AE168" s="11">
        <f>Y168*AB168</f>
        <v>55.30040325887555</v>
      </c>
      <c r="AF168" s="11">
        <f>Z168*AC168</f>
        <v>-400.55196496784015</v>
      </c>
      <c r="AG168" s="7">
        <v>17670.345615483235</v>
      </c>
      <c r="AH168" s="7">
        <v>55.30040325887555</v>
      </c>
      <c r="AI168" s="7">
        <v>-400.55196496784015</v>
      </c>
      <c r="AJ168" s="16">
        <f>AD168-AG168</f>
        <v>0</v>
      </c>
      <c r="AK168" s="16">
        <f>SQRT((AE168-AH168)^2+(AF168-AI168)^2)</f>
        <v>0</v>
      </c>
      <c r="AL168" s="7" t="s">
        <v>190</v>
      </c>
      <c r="AM168" s="7">
        <v>17670.345615483235</v>
      </c>
      <c r="AN168" s="7">
        <v>55.30040325887555</v>
      </c>
      <c r="AO168" s="7">
        <v>-400.55196496784015</v>
      </c>
      <c r="AP168" s="7">
        <v>15273.40570302067</v>
      </c>
      <c r="AQ168" s="7">
        <v>43.040326032211006</v>
      </c>
      <c r="AR168" s="7">
        <v>-303.4113958510011</v>
      </c>
      <c r="AS168" s="7">
        <v>2396.9399124625647</v>
      </c>
      <c r="AT168" s="7">
        <v>12.260077226664537</v>
      </c>
      <c r="AU168" s="7">
        <v>-97.14056911683912</v>
      </c>
    </row>
    <row r="169" spans="1:47" x14ac:dyDescent="0.25">
      <c r="A169" s="7" t="s">
        <v>518</v>
      </c>
      <c r="B169" s="7">
        <v>3</v>
      </c>
      <c r="C169" s="19">
        <v>280</v>
      </c>
      <c r="D169" s="7" t="s">
        <v>519</v>
      </c>
      <c r="E169" s="7" t="s">
        <v>610</v>
      </c>
      <c r="F169" s="20">
        <v>280</v>
      </c>
      <c r="G169" s="7" t="s">
        <v>194</v>
      </c>
      <c r="H169" s="21">
        <v>2</v>
      </c>
      <c r="I169" s="11">
        <f>MAX(('Geometry'!$G$13*COS(RADIANS(F169))+'Geometry'!$F$13*SIN(RADIANS(F169))),('Geometry'!$G$14*COS(RADIANS(F169))+'Geometry'!$F$14*SIN(RADIANS(F169))),('Geometry'!$G$15*COS(RADIANS(F169))+'Geometry'!$F$15*SIN(RADIANS(F169))),('Geometry'!$G$16*COS(RADIANS(F169))+'Geometry'!$F$16*SIN(RADIANS(F169))),('Geometry'!$G$17*COS(RADIANS(F169))+'Geometry'!$F$17*SIN(RADIANS(F169))),('Geometry'!$G$18*COS(RADIANS(F169))+'Geometry'!$F$18*SIN(RADIANS(F169))),('Geometry'!$G$19*COS(RADIANS(F169))+'Geometry'!$F$19*SIN(RADIANS(F169))),('Geometry'!$G$20*COS(RADIANS(F169))+'Geometry'!$F$20*SIN(RADIANS(F169))))</f>
        <v>808.0650858259281</v>
      </c>
      <c r="J169" s="11">
        <f>I169-H169*K169</f>
        <v>-2424.1952574777843</v>
      </c>
      <c r="K169" s="11">
        <f>I169-MIN(('Geometry'!$G$13*COS(RADIANS(F169))+'Geometry'!$F$13*SIN(RADIANS(F169))),('Geometry'!$G$14*COS(RADIANS(F169))+'Geometry'!$F$14*SIN(RADIANS(F169))),('Geometry'!$G$15*COS(RADIANS(F169))+'Geometry'!$F$15*SIN(RADIANS(F169))),('Geometry'!$G$16*COS(RADIANS(F169))+'Geometry'!$F$16*SIN(RADIANS(F169))),('Geometry'!$G$17*COS(RADIANS(F169))+'Geometry'!$F$17*SIN(RADIANS(F169))),('Geometry'!$G$18*COS(RADIANS(F169))+'Geometry'!$F$18*SIN(RADIANS(F169))),('Geometry'!$G$19*COS(RADIANS(F169))+'Geometry'!$F$19*SIN(RADIANS(F169))),('Geometry'!$G$20*COS(RADIANS(F169))+'Geometry'!$F$20*SIN(RADIANS(F169))))</f>
        <v>1616.1301716518562</v>
      </c>
      <c r="L169" s="16">
        <f>C_ecu</f>
        <v>0.0033</v>
      </c>
      <c r="M169" s="16">
        <f>0</f>
        <v>0</v>
      </c>
      <c r="N169" s="22">
        <f>IF(ABS(I169-J169)&lt;0.000000000001,0,(L169-M169)/(I169-J169))</f>
        <v>0.000001020957364042975</v>
      </c>
      <c r="O169" s="16">
        <f>L169-N169*I169</f>
        <v>0.0024749999999999998</v>
      </c>
      <c r="P169" s="22">
        <f>N169*COS(RADIANS(F169))</f>
        <v>1.7728738574169504e-7</v>
      </c>
      <c r="Q169" s="22">
        <f>N169*SIN(RADIANS(F169))</f>
        <v>-0.0000010054467276044293</v>
      </c>
      <c r="R169" s="11">
        <f>AP169</f>
        <v>15273.40570302067</v>
      </c>
      <c r="S169" s="11">
        <f>AQ169</f>
        <v>86.08065206442201</v>
      </c>
      <c r="T169" s="11">
        <f>AR169</f>
        <v>-606.8227917020022</v>
      </c>
      <c r="U169" s="11">
        <f>AS169</f>
        <v>2396.9399124625647</v>
      </c>
      <c r="V169" s="11">
        <f>AT169</f>
        <v>24.520154453329074</v>
      </c>
      <c r="W169" s="11">
        <f>AU169</f>
        <v>-194.28113823367823</v>
      </c>
      <c r="X169" s="11">
        <f>AM169</f>
        <v>17670.345615483235</v>
      </c>
      <c r="Y169" s="11">
        <f>AN169</f>
        <v>110.6008065177511</v>
      </c>
      <c r="Z169" s="11">
        <f>AO169</f>
        <v>-801.1039299356803</v>
      </c>
      <c r="AA169" s="7">
        <v>1</v>
      </c>
      <c r="AB169" s="7">
        <v>1</v>
      </c>
      <c r="AC169" s="7">
        <v>1</v>
      </c>
      <c r="AD169" s="11">
        <f>X169*AA169</f>
        <v>17670.345615483235</v>
      </c>
      <c r="AE169" s="11">
        <f>Y169*AB169</f>
        <v>110.6008065177511</v>
      </c>
      <c r="AF169" s="11">
        <f>Z169*AC169</f>
        <v>-801.1039299356803</v>
      </c>
      <c r="AG169" s="7">
        <v>17670.345615483235</v>
      </c>
      <c r="AH169" s="7">
        <v>110.6008065177511</v>
      </c>
      <c r="AI169" s="7">
        <v>-801.1039299356803</v>
      </c>
      <c r="AJ169" s="16">
        <f>AD169-AG169</f>
        <v>0</v>
      </c>
      <c r="AK169" s="16">
        <f>SQRT((AE169-AH169)^2+(AF169-AI169)^2)</f>
        <v>0</v>
      </c>
      <c r="AL169" s="7" t="s">
        <v>190</v>
      </c>
      <c r="AM169" s="7">
        <v>17670.345615483235</v>
      </c>
      <c r="AN169" s="7">
        <v>110.6008065177511</v>
      </c>
      <c r="AO169" s="7">
        <v>-801.1039299356803</v>
      </c>
      <c r="AP169" s="7">
        <v>15273.40570302067</v>
      </c>
      <c r="AQ169" s="7">
        <v>86.08065206442201</v>
      </c>
      <c r="AR169" s="7">
        <v>-606.8227917020022</v>
      </c>
      <c r="AS169" s="7">
        <v>2396.9399124625647</v>
      </c>
      <c r="AT169" s="7">
        <v>24.520154453329074</v>
      </c>
      <c r="AU169" s="7">
        <v>-194.28113823367823</v>
      </c>
    </row>
    <row r="170" spans="1:47" x14ac:dyDescent="0.25">
      <c r="A170" s="7" t="s">
        <v>520</v>
      </c>
      <c r="B170" s="7">
        <v>4</v>
      </c>
      <c r="C170" s="19">
        <v>280</v>
      </c>
      <c r="D170" s="7" t="s">
        <v>521</v>
      </c>
      <c r="E170" s="7" t="s">
        <v>611</v>
      </c>
      <c r="F170" s="20">
        <v>280</v>
      </c>
      <c r="G170" s="7" t="s">
        <v>194</v>
      </c>
      <c r="H170" s="21">
        <v>1.5</v>
      </c>
      <c r="I170" s="11">
        <f>MAX(('Geometry'!$G$13*COS(RADIANS(F170))+'Geometry'!$F$13*SIN(RADIANS(F170))),('Geometry'!$G$14*COS(RADIANS(F170))+'Geometry'!$F$14*SIN(RADIANS(F170))),('Geometry'!$G$15*COS(RADIANS(F170))+'Geometry'!$F$15*SIN(RADIANS(F170))),('Geometry'!$G$16*COS(RADIANS(F170))+'Geometry'!$F$16*SIN(RADIANS(F170))),('Geometry'!$G$17*COS(RADIANS(F170))+'Geometry'!$F$17*SIN(RADIANS(F170))),('Geometry'!$G$18*COS(RADIANS(F170))+'Geometry'!$F$18*SIN(RADIANS(F170))),('Geometry'!$G$19*COS(RADIANS(F170))+'Geometry'!$F$19*SIN(RADIANS(F170))),('Geometry'!$G$20*COS(RADIANS(F170))+'Geometry'!$F$20*SIN(RADIANS(F170))))</f>
        <v>808.0650858259281</v>
      </c>
      <c r="J170" s="11">
        <f>I170-H170*K170</f>
        <v>-1616.130171651856</v>
      </c>
      <c r="K170" s="11">
        <f>I170-MIN(('Geometry'!$G$13*COS(RADIANS(F170))+'Geometry'!$F$13*SIN(RADIANS(F170))),('Geometry'!$G$14*COS(RADIANS(F170))+'Geometry'!$F$14*SIN(RADIANS(F170))),('Geometry'!$G$15*COS(RADIANS(F170))+'Geometry'!$F$15*SIN(RADIANS(F170))),('Geometry'!$G$16*COS(RADIANS(F170))+'Geometry'!$F$16*SIN(RADIANS(F170))),('Geometry'!$G$17*COS(RADIANS(F170))+'Geometry'!$F$17*SIN(RADIANS(F170))),('Geometry'!$G$18*COS(RADIANS(F170))+'Geometry'!$F$18*SIN(RADIANS(F170))),('Geometry'!$G$19*COS(RADIANS(F170))+'Geometry'!$F$19*SIN(RADIANS(F170))),('Geometry'!$G$20*COS(RADIANS(F170))+'Geometry'!$F$20*SIN(RADIANS(F170))))</f>
        <v>1616.1301716518562</v>
      </c>
      <c r="L170" s="16">
        <f>C_ecu</f>
        <v>0.0033</v>
      </c>
      <c r="M170" s="16">
        <f>0</f>
        <v>0</v>
      </c>
      <c r="N170" s="22">
        <f>IF(ABS(I170-J170)&lt;0.000000000001,0,(L170-M170)/(I170-J170))</f>
        <v>0.0000013612764853906335</v>
      </c>
      <c r="O170" s="16">
        <f>L170-N170*I170</f>
        <v>0.0021999999999999997</v>
      </c>
      <c r="P170" s="22">
        <f>N170*COS(RADIANS(F170))</f>
        <v>2.3638318098892674e-7</v>
      </c>
      <c r="Q170" s="22">
        <f>N170*SIN(RADIANS(F170))</f>
        <v>-0.0000013405956368059059</v>
      </c>
      <c r="R170" s="11">
        <f>AP170</f>
        <v>15273.40570302067</v>
      </c>
      <c r="S170" s="11">
        <f>AQ170</f>
        <v>129.12097809663302</v>
      </c>
      <c r="T170" s="11">
        <f>AR170</f>
        <v>-910.2341875530033</v>
      </c>
      <c r="U170" s="11">
        <f>AS170</f>
        <v>2396.9399124625647</v>
      </c>
      <c r="V170" s="11">
        <f>AT170</f>
        <v>36.78023167999361</v>
      </c>
      <c r="W170" s="11">
        <f>AU170</f>
        <v>-291.4217073505174</v>
      </c>
      <c r="X170" s="11">
        <f>AM170</f>
        <v>17670.345615483235</v>
      </c>
      <c r="Y170" s="11">
        <f>AN170</f>
        <v>165.90120977662667</v>
      </c>
      <c r="Z170" s="11">
        <f>AO170</f>
        <v>-1201.6558949035207</v>
      </c>
      <c r="AA170" s="7">
        <v>1</v>
      </c>
      <c r="AB170" s="7">
        <v>1</v>
      </c>
      <c r="AC170" s="7">
        <v>1</v>
      </c>
      <c r="AD170" s="11">
        <f>X170*AA170</f>
        <v>17670.345615483235</v>
      </c>
      <c r="AE170" s="11">
        <f>Y170*AB170</f>
        <v>165.90120977662667</v>
      </c>
      <c r="AF170" s="11">
        <f>Z170*AC170</f>
        <v>-1201.6558949035207</v>
      </c>
      <c r="AG170" s="7">
        <v>17670.345615483235</v>
      </c>
      <c r="AH170" s="7">
        <v>165.90120977662667</v>
      </c>
      <c r="AI170" s="7">
        <v>-1201.6558949035207</v>
      </c>
      <c r="AJ170" s="16">
        <f>AD170-AG170</f>
        <v>0</v>
      </c>
      <c r="AK170" s="16">
        <f>SQRT((AE170-AH170)^2+(AF170-AI170)^2)</f>
        <v>0</v>
      </c>
      <c r="AL170" s="7" t="s">
        <v>190</v>
      </c>
      <c r="AM170" s="7">
        <v>17670.345615483235</v>
      </c>
      <c r="AN170" s="7">
        <v>165.90120977662667</v>
      </c>
      <c r="AO170" s="7">
        <v>-1201.6558949035207</v>
      </c>
      <c r="AP170" s="7">
        <v>15273.40570302067</v>
      </c>
      <c r="AQ170" s="7">
        <v>129.12097809663302</v>
      </c>
      <c r="AR170" s="7">
        <v>-910.2341875530033</v>
      </c>
      <c r="AS170" s="7">
        <v>2396.9399124625647</v>
      </c>
      <c r="AT170" s="7">
        <v>36.78023167999361</v>
      </c>
      <c r="AU170" s="7">
        <v>-291.4217073505174</v>
      </c>
    </row>
    <row r="171" spans="1:47" x14ac:dyDescent="0.25">
      <c r="A171" s="7" t="s">
        <v>522</v>
      </c>
      <c r="B171" s="7">
        <v>5</v>
      </c>
      <c r="C171" s="19">
        <v>280</v>
      </c>
      <c r="D171" s="7" t="s">
        <v>523</v>
      </c>
      <c r="E171" s="7" t="s">
        <v>612</v>
      </c>
      <c r="F171" s="20">
        <v>280</v>
      </c>
      <c r="G171" s="7" t="s">
        <v>194</v>
      </c>
      <c r="H171" s="21">
        <v>1.2</v>
      </c>
      <c r="I171" s="11">
        <f>MAX(('Geometry'!$G$13*COS(RADIANS(F171))+'Geometry'!$F$13*SIN(RADIANS(F171))),('Geometry'!$G$14*COS(RADIANS(F171))+'Geometry'!$F$14*SIN(RADIANS(F171))),('Geometry'!$G$15*COS(RADIANS(F171))+'Geometry'!$F$15*SIN(RADIANS(F171))),('Geometry'!$G$16*COS(RADIANS(F171))+'Geometry'!$F$16*SIN(RADIANS(F171))),('Geometry'!$G$17*COS(RADIANS(F171))+'Geometry'!$F$17*SIN(RADIANS(F171))),('Geometry'!$G$18*COS(RADIANS(F171))+'Geometry'!$F$18*SIN(RADIANS(F171))),('Geometry'!$G$19*COS(RADIANS(F171))+'Geometry'!$F$19*SIN(RADIANS(F171))),('Geometry'!$G$20*COS(RADIANS(F171))+'Geometry'!$F$20*SIN(RADIANS(F171))))</f>
        <v>808.0650858259281</v>
      </c>
      <c r="J171" s="11">
        <f>I171-H171*K171</f>
        <v>-1131.2911201562995</v>
      </c>
      <c r="K171" s="11">
        <f>I171-MIN(('Geometry'!$G$13*COS(RADIANS(F171))+'Geometry'!$F$13*SIN(RADIANS(F171))),('Geometry'!$G$14*COS(RADIANS(F171))+'Geometry'!$F$14*SIN(RADIANS(F171))),('Geometry'!$G$15*COS(RADIANS(F171))+'Geometry'!$F$15*SIN(RADIANS(F171))),('Geometry'!$G$16*COS(RADIANS(F171))+'Geometry'!$F$16*SIN(RADIANS(F171))),('Geometry'!$G$17*COS(RADIANS(F171))+'Geometry'!$F$17*SIN(RADIANS(F171))),('Geometry'!$G$18*COS(RADIANS(F171))+'Geometry'!$F$18*SIN(RADIANS(F171))),('Geometry'!$G$19*COS(RADIANS(F171))+'Geometry'!$F$19*SIN(RADIANS(F171))),('Geometry'!$G$20*COS(RADIANS(F171))+'Geometry'!$F$20*SIN(RADIANS(F171))))</f>
        <v>1616.1301716518562</v>
      </c>
      <c r="L171" s="16">
        <f>C_ecu</f>
        <v>0.0033</v>
      </c>
      <c r="M171" s="16">
        <f>0</f>
        <v>0</v>
      </c>
      <c r="N171" s="22">
        <f>IF(ABS(I171-J171)&lt;0.000000000001,0,(L171-M171)/(I171-J171))</f>
        <v>0.0000017015956067382918</v>
      </c>
      <c r="O171" s="16">
        <f>L171-N171*I171</f>
        <v>0.001925</v>
      </c>
      <c r="P171" s="22">
        <f>N171*COS(RADIANS(F171))</f>
        <v>2.954789762361584e-7</v>
      </c>
      <c r="Q171" s="22">
        <f>N171*SIN(RADIANS(F171))</f>
        <v>-0.000001675744546007382</v>
      </c>
      <c r="R171" s="11">
        <f>AP171</f>
        <v>15273.40570302067</v>
      </c>
      <c r="S171" s="11">
        <f>AQ171</f>
        <v>172.16130412884402</v>
      </c>
      <c r="T171" s="11">
        <f>AR171</f>
        <v>-1213.6455834040044</v>
      </c>
      <c r="U171" s="11">
        <f>AS171</f>
        <v>2396.9399124625647</v>
      </c>
      <c r="V171" s="11">
        <f>AT171</f>
        <v>49.04030890665815</v>
      </c>
      <c r="W171" s="11">
        <f>AU171</f>
        <v>-388.56227646735647</v>
      </c>
      <c r="X171" s="11">
        <f>AM171</f>
        <v>17670.345615483235</v>
      </c>
      <c r="Y171" s="11">
        <f>AN171</f>
        <v>221.2016130355022</v>
      </c>
      <c r="Z171" s="11">
        <f>AO171</f>
        <v>-1602.2078598713606</v>
      </c>
      <c r="AA171" s="7">
        <v>1</v>
      </c>
      <c r="AB171" s="7">
        <v>1</v>
      </c>
      <c r="AC171" s="7">
        <v>1</v>
      </c>
      <c r="AD171" s="11">
        <f>X171*AA171</f>
        <v>17670.345615483235</v>
      </c>
      <c r="AE171" s="11">
        <f>Y171*AB171</f>
        <v>221.2016130355022</v>
      </c>
      <c r="AF171" s="11">
        <f>Z171*AC171</f>
        <v>-1602.2078598713606</v>
      </c>
      <c r="AG171" s="7">
        <v>17670.345615483235</v>
      </c>
      <c r="AH171" s="7">
        <v>221.2016130355022</v>
      </c>
      <c r="AI171" s="7">
        <v>-1602.2078598713606</v>
      </c>
      <c r="AJ171" s="16">
        <f>AD171-AG171</f>
        <v>0</v>
      </c>
      <c r="AK171" s="16">
        <f>SQRT((AE171-AH171)^2+(AF171-AI171)^2)</f>
        <v>0</v>
      </c>
      <c r="AL171" s="7" t="s">
        <v>190</v>
      </c>
      <c r="AM171" s="7">
        <v>17670.345615483235</v>
      </c>
      <c r="AN171" s="7">
        <v>221.2016130355022</v>
      </c>
      <c r="AO171" s="7">
        <v>-1602.2078598713606</v>
      </c>
      <c r="AP171" s="7">
        <v>15273.40570302067</v>
      </c>
      <c r="AQ171" s="7">
        <v>172.16130412884402</v>
      </c>
      <c r="AR171" s="7">
        <v>-1213.6455834040044</v>
      </c>
      <c r="AS171" s="7">
        <v>2396.9399124625647</v>
      </c>
      <c r="AT171" s="7">
        <v>49.04030890665815</v>
      </c>
      <c r="AU171" s="7">
        <v>-388.56227646735647</v>
      </c>
    </row>
    <row r="172" spans="1:47" x14ac:dyDescent="0.25">
      <c r="A172" s="7" t="s">
        <v>524</v>
      </c>
      <c r="B172" s="7">
        <v>1</v>
      </c>
      <c r="C172" s="19">
        <v>290</v>
      </c>
      <c r="D172" s="7" t="s">
        <v>525</v>
      </c>
      <c r="E172" s="7" t="s">
        <v>609</v>
      </c>
      <c r="F172" s="20">
        <v>290</v>
      </c>
      <c r="G172" s="7" t="s">
        <v>194</v>
      </c>
      <c r="H172" s="21">
        <v>3.0000000000000004</v>
      </c>
      <c r="I172" s="11">
        <f>MAX(('Geometry'!$G$13*COS(RADIANS(F172))+'Geometry'!$F$13*SIN(RADIANS(F172))),('Geometry'!$G$14*COS(RADIANS(F172))+'Geometry'!$F$14*SIN(RADIANS(F172))),('Geometry'!$G$15*COS(RADIANS(F172))+'Geometry'!$F$15*SIN(RADIANS(F172))),('Geometry'!$G$16*COS(RADIANS(F172))+'Geometry'!$F$16*SIN(RADIANS(F172))),('Geometry'!$G$17*COS(RADIANS(F172))+'Geometry'!$F$17*SIN(RADIANS(F172))),('Geometry'!$G$18*COS(RADIANS(F172))+'Geometry'!$F$18*SIN(RADIANS(F172))),('Geometry'!$G$19*COS(RADIANS(F172))+'Geometry'!$F$19*SIN(RADIANS(F172))),('Geometry'!$G$20*COS(RADIANS(F172))+'Geometry'!$F$20*SIN(RADIANS(F172))))</f>
        <v>841.5775229196987</v>
      </c>
      <c r="J172" s="11">
        <f>I172-H172*K172</f>
        <v>-4207.887614598494</v>
      </c>
      <c r="K172" s="11">
        <f>I172-MIN(('Geometry'!$G$13*COS(RADIANS(F172))+'Geometry'!$F$13*SIN(RADIANS(F172))),('Geometry'!$G$14*COS(RADIANS(F172))+'Geometry'!$F$14*SIN(RADIANS(F172))),('Geometry'!$G$15*COS(RADIANS(F172))+'Geometry'!$F$15*SIN(RADIANS(F172))),('Geometry'!$G$16*COS(RADIANS(F172))+'Geometry'!$F$16*SIN(RADIANS(F172))),('Geometry'!$G$17*COS(RADIANS(F172))+'Geometry'!$F$17*SIN(RADIANS(F172))),('Geometry'!$G$18*COS(RADIANS(F172))+'Geometry'!$F$18*SIN(RADIANS(F172))),('Geometry'!$G$19*COS(RADIANS(F172))+'Geometry'!$F$19*SIN(RADIANS(F172))),('Geometry'!$G$20*COS(RADIANS(F172))+'Geometry'!$F$20*SIN(RADIANS(F172))))</f>
        <v>1683.1550458393974</v>
      </c>
      <c r="L172" s="16">
        <f>C_ecu</f>
        <v>0.0033</v>
      </c>
      <c r="M172" s="16">
        <f>0</f>
        <v>0</v>
      </c>
      <c r="N172" s="22">
        <f>IF(ABS(I172-J172)&lt;0.000000000001,0,(L172-M172)/(I172-J172))</f>
        <v>6.535345645780508e-7</v>
      </c>
      <c r="O172" s="16">
        <f>L172-N172*I172</f>
        <v>0.00275</v>
      </c>
      <c r="P172" s="22">
        <f>N172*COS(RADIANS(F172))</f>
        <v>2.2352198544526363e-7</v>
      </c>
      <c r="Q172" s="22">
        <f>N172*SIN(RADIANS(F172))</f>
        <v>-6.141216077625261e-7</v>
      </c>
      <c r="R172" s="11">
        <f>AP172</f>
        <v>15276.900239631199</v>
      </c>
      <c r="S172" s="11">
        <f>AQ172</f>
        <v>79.98044667193732</v>
      </c>
      <c r="T172" s="11">
        <f>AR172</f>
        <v>-278.10654781587914</v>
      </c>
      <c r="U172" s="11">
        <f>AS172</f>
        <v>2393.4453758520362</v>
      </c>
      <c r="V172" s="11">
        <f>AT172</f>
        <v>23.712637775055086</v>
      </c>
      <c r="W172" s="11">
        <f>AU172</f>
        <v>-89.58160683297345</v>
      </c>
      <c r="X172" s="11">
        <f>AM172</f>
        <v>17670.345615483235</v>
      </c>
      <c r="Y172" s="11">
        <f>AN172</f>
        <v>103.6930844469924</v>
      </c>
      <c r="Z172" s="11">
        <f>AO172</f>
        <v>-367.6881546488527</v>
      </c>
      <c r="AA172" s="7">
        <v>1</v>
      </c>
      <c r="AB172" s="7">
        <v>1</v>
      </c>
      <c r="AC172" s="7">
        <v>1</v>
      </c>
      <c r="AD172" s="11">
        <f>X172*AA172</f>
        <v>17670.345615483235</v>
      </c>
      <c r="AE172" s="11">
        <f>Y172*AB172</f>
        <v>103.6930844469924</v>
      </c>
      <c r="AF172" s="11">
        <f>Z172*AC172</f>
        <v>-367.6881546488527</v>
      </c>
      <c r="AG172" s="7">
        <v>17670.345615483235</v>
      </c>
      <c r="AH172" s="7">
        <v>103.6930844469924</v>
      </c>
      <c r="AI172" s="7">
        <v>-367.6881546488527</v>
      </c>
      <c r="AJ172" s="16">
        <f>AD172-AG172</f>
        <v>0</v>
      </c>
      <c r="AK172" s="16">
        <f>SQRT((AE172-AH172)^2+(AF172-AI172)^2)</f>
        <v>0</v>
      </c>
      <c r="AL172" s="7" t="s">
        <v>190</v>
      </c>
      <c r="AM172" s="7">
        <v>17670.345615483235</v>
      </c>
      <c r="AN172" s="7">
        <v>103.6930844469924</v>
      </c>
      <c r="AO172" s="7">
        <v>-367.6881546488527</v>
      </c>
      <c r="AP172" s="7">
        <v>15276.900239631199</v>
      </c>
      <c r="AQ172" s="7">
        <v>79.98044667193732</v>
      </c>
      <c r="AR172" s="7">
        <v>-278.10654781587914</v>
      </c>
      <c r="AS172" s="7">
        <v>2393.4453758520362</v>
      </c>
      <c r="AT172" s="7">
        <v>23.712637775055086</v>
      </c>
      <c r="AU172" s="7">
        <v>-89.58160683297345</v>
      </c>
    </row>
    <row r="173" spans="1:47" x14ac:dyDescent="0.25">
      <c r="A173" s="7" t="s">
        <v>526</v>
      </c>
      <c r="B173" s="7">
        <v>2</v>
      </c>
      <c r="C173" s="19">
        <v>290</v>
      </c>
      <c r="D173" s="7" t="s">
        <v>527</v>
      </c>
      <c r="E173" s="7" t="s">
        <v>610</v>
      </c>
      <c r="F173" s="20">
        <v>290</v>
      </c>
      <c r="G173" s="7" t="s">
        <v>194</v>
      </c>
      <c r="H173" s="21">
        <v>2</v>
      </c>
      <c r="I173" s="11">
        <f>MAX(('Geometry'!$G$13*COS(RADIANS(F173))+'Geometry'!$F$13*SIN(RADIANS(F173))),('Geometry'!$G$14*COS(RADIANS(F173))+'Geometry'!$F$14*SIN(RADIANS(F173))),('Geometry'!$G$15*COS(RADIANS(F173))+'Geometry'!$F$15*SIN(RADIANS(F173))),('Geometry'!$G$16*COS(RADIANS(F173))+'Geometry'!$F$16*SIN(RADIANS(F173))),('Geometry'!$G$17*COS(RADIANS(F173))+'Geometry'!$F$17*SIN(RADIANS(F173))),('Geometry'!$G$18*COS(RADIANS(F173))+'Geometry'!$F$18*SIN(RADIANS(F173))),('Geometry'!$G$19*COS(RADIANS(F173))+'Geometry'!$F$19*SIN(RADIANS(F173))),('Geometry'!$G$20*COS(RADIANS(F173))+'Geometry'!$F$20*SIN(RADIANS(F173))))</f>
        <v>841.5775229196987</v>
      </c>
      <c r="J173" s="11">
        <f>I173-H173*K173</f>
        <v>-2524.732568759096</v>
      </c>
      <c r="K173" s="11">
        <f>I173-MIN(('Geometry'!$G$13*COS(RADIANS(F173))+'Geometry'!$F$13*SIN(RADIANS(F173))),('Geometry'!$G$14*COS(RADIANS(F173))+'Geometry'!$F$14*SIN(RADIANS(F173))),('Geometry'!$G$15*COS(RADIANS(F173))+'Geometry'!$F$15*SIN(RADIANS(F173))),('Geometry'!$G$16*COS(RADIANS(F173))+'Geometry'!$F$16*SIN(RADIANS(F173))),('Geometry'!$G$17*COS(RADIANS(F173))+'Geometry'!$F$17*SIN(RADIANS(F173))),('Geometry'!$G$18*COS(RADIANS(F173))+'Geometry'!$F$18*SIN(RADIANS(F173))),('Geometry'!$G$19*COS(RADIANS(F173))+'Geometry'!$F$19*SIN(RADIANS(F173))),('Geometry'!$G$20*COS(RADIANS(F173))+'Geometry'!$F$20*SIN(RADIANS(F173))))</f>
        <v>1683.1550458393974</v>
      </c>
      <c r="L173" s="16">
        <f>C_ecu</f>
        <v>0.0033</v>
      </c>
      <c r="M173" s="16">
        <f>0</f>
        <v>0</v>
      </c>
      <c r="N173" s="22">
        <f>IF(ABS(I173-J173)&lt;0.000000000001,0,(L173-M173)/(I173-J173))</f>
        <v>9.803018468670764e-7</v>
      </c>
      <c r="O173" s="16">
        <f>L173-N173*I173</f>
        <v>0.0024749999999999998</v>
      </c>
      <c r="P173" s="22">
        <f>N173*COS(RADIANS(F173))</f>
        <v>3.3528297816789545e-7</v>
      </c>
      <c r="Q173" s="22">
        <f>N173*SIN(RADIANS(F173))</f>
        <v>-9.211824116437892e-7</v>
      </c>
      <c r="R173" s="11">
        <f>AP173</f>
        <v>15276.900239631199</v>
      </c>
      <c r="S173" s="11">
        <f>AQ173</f>
        <v>159.96089334387463</v>
      </c>
      <c r="T173" s="11">
        <f>AR173</f>
        <v>-556.2130956317583</v>
      </c>
      <c r="U173" s="11">
        <f>AS173</f>
        <v>2393.4453758520362</v>
      </c>
      <c r="V173" s="11">
        <f>AT173</f>
        <v>47.42527555011017</v>
      </c>
      <c r="W173" s="11">
        <f>AU173</f>
        <v>-179.1632136659469</v>
      </c>
      <c r="X173" s="11">
        <f>AM173</f>
        <v>17670.345615483235</v>
      </c>
      <c r="Y173" s="11">
        <f>AN173</f>
        <v>207.3861688939848</v>
      </c>
      <c r="Z173" s="11">
        <f>AO173</f>
        <v>-735.3763092977053</v>
      </c>
      <c r="AA173" s="7">
        <v>1</v>
      </c>
      <c r="AB173" s="7">
        <v>1</v>
      </c>
      <c r="AC173" s="7">
        <v>1</v>
      </c>
      <c r="AD173" s="11">
        <f>X173*AA173</f>
        <v>17670.345615483235</v>
      </c>
      <c r="AE173" s="11">
        <f>Y173*AB173</f>
        <v>207.3861688939848</v>
      </c>
      <c r="AF173" s="11">
        <f>Z173*AC173</f>
        <v>-735.3763092977053</v>
      </c>
      <c r="AG173" s="7">
        <v>17670.345615483235</v>
      </c>
      <c r="AH173" s="7">
        <v>207.3861688939848</v>
      </c>
      <c r="AI173" s="7">
        <v>-735.3763092977053</v>
      </c>
      <c r="AJ173" s="16">
        <f>AD173-AG173</f>
        <v>0</v>
      </c>
      <c r="AK173" s="16">
        <f>SQRT((AE173-AH173)^2+(AF173-AI173)^2)</f>
        <v>0</v>
      </c>
      <c r="AL173" s="7" t="s">
        <v>190</v>
      </c>
      <c r="AM173" s="7">
        <v>17670.345615483235</v>
      </c>
      <c r="AN173" s="7">
        <v>207.3861688939848</v>
      </c>
      <c r="AO173" s="7">
        <v>-735.3763092977053</v>
      </c>
      <c r="AP173" s="7">
        <v>15276.900239631199</v>
      </c>
      <c r="AQ173" s="7">
        <v>159.96089334387463</v>
      </c>
      <c r="AR173" s="7">
        <v>-556.2130956317583</v>
      </c>
      <c r="AS173" s="7">
        <v>2393.4453758520362</v>
      </c>
      <c r="AT173" s="7">
        <v>47.42527555011017</v>
      </c>
      <c r="AU173" s="7">
        <v>-179.1632136659469</v>
      </c>
    </row>
    <row r="174" spans="1:47" x14ac:dyDescent="0.25">
      <c r="A174" s="7" t="s">
        <v>528</v>
      </c>
      <c r="B174" s="7">
        <v>3</v>
      </c>
      <c r="C174" s="19">
        <v>290</v>
      </c>
      <c r="D174" s="7" t="s">
        <v>529</v>
      </c>
      <c r="E174" s="7" t="s">
        <v>611</v>
      </c>
      <c r="F174" s="20">
        <v>290</v>
      </c>
      <c r="G174" s="7" t="s">
        <v>194</v>
      </c>
      <c r="H174" s="21">
        <v>1.5000000000000002</v>
      </c>
      <c r="I174" s="11">
        <f>MAX(('Geometry'!$G$13*COS(RADIANS(F174))+'Geometry'!$F$13*SIN(RADIANS(F174))),('Geometry'!$G$14*COS(RADIANS(F174))+'Geometry'!$F$14*SIN(RADIANS(F174))),('Geometry'!$G$15*COS(RADIANS(F174))+'Geometry'!$F$15*SIN(RADIANS(F174))),('Geometry'!$G$16*COS(RADIANS(F174))+'Geometry'!$F$16*SIN(RADIANS(F174))),('Geometry'!$G$17*COS(RADIANS(F174))+'Geometry'!$F$17*SIN(RADIANS(F174))),('Geometry'!$G$18*COS(RADIANS(F174))+'Geometry'!$F$18*SIN(RADIANS(F174))),('Geometry'!$G$19*COS(RADIANS(F174))+'Geometry'!$F$19*SIN(RADIANS(F174))),('Geometry'!$G$20*COS(RADIANS(F174))+'Geometry'!$F$20*SIN(RADIANS(F174))))</f>
        <v>841.5775229196987</v>
      </c>
      <c r="J174" s="11">
        <f>I174-H174*K174</f>
        <v>-1683.1550458393979</v>
      </c>
      <c r="K174" s="11">
        <f>I174-MIN(('Geometry'!$G$13*COS(RADIANS(F174))+'Geometry'!$F$13*SIN(RADIANS(F174))),('Geometry'!$G$14*COS(RADIANS(F174))+'Geometry'!$F$14*SIN(RADIANS(F174))),('Geometry'!$G$15*COS(RADIANS(F174))+'Geometry'!$F$15*SIN(RADIANS(F174))),('Geometry'!$G$16*COS(RADIANS(F174))+'Geometry'!$F$16*SIN(RADIANS(F174))),('Geometry'!$G$17*COS(RADIANS(F174))+'Geometry'!$F$17*SIN(RADIANS(F174))),('Geometry'!$G$18*COS(RADIANS(F174))+'Geometry'!$F$18*SIN(RADIANS(F174))),('Geometry'!$G$19*COS(RADIANS(F174))+'Geometry'!$F$19*SIN(RADIANS(F174))),('Geometry'!$G$20*COS(RADIANS(F174))+'Geometry'!$F$20*SIN(RADIANS(F174))))</f>
        <v>1683.1550458393974</v>
      </c>
      <c r="L174" s="16">
        <f>C_ecu</f>
        <v>0.0033</v>
      </c>
      <c r="M174" s="16">
        <f>0</f>
        <v>0</v>
      </c>
      <c r="N174" s="22">
        <f>IF(ABS(I174-J174)&lt;0.000000000001,0,(L174-M174)/(I174-J174))</f>
        <v>0.0000013070691291561017</v>
      </c>
      <c r="O174" s="16">
        <f>L174-N174*I174</f>
        <v>0.0022</v>
      </c>
      <c r="P174" s="22">
        <f>N174*COS(RADIANS(F174))</f>
        <v>4.4704397089052726e-7</v>
      </c>
      <c r="Q174" s="22">
        <f>N174*SIN(RADIANS(F174))</f>
        <v>-0.0000012282432155250521</v>
      </c>
      <c r="R174" s="11">
        <f>AP174</f>
        <v>15276.900239631199</v>
      </c>
      <c r="S174" s="11">
        <f>AQ174</f>
        <v>239.94134001581196</v>
      </c>
      <c r="T174" s="11">
        <f>AR174</f>
        <v>-834.3196434476375</v>
      </c>
      <c r="U174" s="11">
        <f>AS174</f>
        <v>2393.4453758520362</v>
      </c>
      <c r="V174" s="11">
        <f>AT174</f>
        <v>71.13791332516526</v>
      </c>
      <c r="W174" s="11">
        <f>AU174</f>
        <v>-268.7448204989204</v>
      </c>
      <c r="X174" s="11">
        <f>AM174</f>
        <v>17670.345615483235</v>
      </c>
      <c r="Y174" s="11">
        <f>AN174</f>
        <v>311.0792533409772</v>
      </c>
      <c r="Z174" s="11">
        <f>AO174</f>
        <v>-1103.0644639465577</v>
      </c>
      <c r="AA174" s="7">
        <v>1</v>
      </c>
      <c r="AB174" s="7">
        <v>1</v>
      </c>
      <c r="AC174" s="7">
        <v>1</v>
      </c>
      <c r="AD174" s="11">
        <f>X174*AA174</f>
        <v>17670.345615483235</v>
      </c>
      <c r="AE174" s="11">
        <f>Y174*AB174</f>
        <v>311.0792533409772</v>
      </c>
      <c r="AF174" s="11">
        <f>Z174*AC174</f>
        <v>-1103.0644639465577</v>
      </c>
      <c r="AG174" s="7">
        <v>17670.345615483235</v>
      </c>
      <c r="AH174" s="7">
        <v>311.0792533409772</v>
      </c>
      <c r="AI174" s="7">
        <v>-1103.0644639465577</v>
      </c>
      <c r="AJ174" s="16">
        <f>AD174-AG174</f>
        <v>0</v>
      </c>
      <c r="AK174" s="16">
        <f>SQRT((AE174-AH174)^2+(AF174-AI174)^2)</f>
        <v>0</v>
      </c>
      <c r="AL174" s="7" t="s">
        <v>190</v>
      </c>
      <c r="AM174" s="7">
        <v>17670.345615483235</v>
      </c>
      <c r="AN174" s="7">
        <v>311.0792533409772</v>
      </c>
      <c r="AO174" s="7">
        <v>-1103.0644639465577</v>
      </c>
      <c r="AP174" s="7">
        <v>15276.900239631199</v>
      </c>
      <c r="AQ174" s="7">
        <v>239.94134001581196</v>
      </c>
      <c r="AR174" s="7">
        <v>-834.3196434476375</v>
      </c>
      <c r="AS174" s="7">
        <v>2393.4453758520362</v>
      </c>
      <c r="AT174" s="7">
        <v>71.13791332516526</v>
      </c>
      <c r="AU174" s="7">
        <v>-268.7448204989204</v>
      </c>
    </row>
    <row r="175" spans="1:47" x14ac:dyDescent="0.25">
      <c r="A175" s="7" t="s">
        <v>530</v>
      </c>
      <c r="B175" s="7">
        <v>4</v>
      </c>
      <c r="C175" s="19">
        <v>290</v>
      </c>
      <c r="D175" s="7" t="s">
        <v>531</v>
      </c>
      <c r="E175" s="7" t="s">
        <v>612</v>
      </c>
      <c r="F175" s="20">
        <v>290</v>
      </c>
      <c r="G175" s="7" t="s">
        <v>194</v>
      </c>
      <c r="H175" s="21">
        <v>1.2</v>
      </c>
      <c r="I175" s="11">
        <f>MAX(('Geometry'!$G$13*COS(RADIANS(F175))+'Geometry'!$F$13*SIN(RADIANS(F175))),('Geometry'!$G$14*COS(RADIANS(F175))+'Geometry'!$F$14*SIN(RADIANS(F175))),('Geometry'!$G$15*COS(RADIANS(F175))+'Geometry'!$F$15*SIN(RADIANS(F175))),('Geometry'!$G$16*COS(RADIANS(F175))+'Geometry'!$F$16*SIN(RADIANS(F175))),('Geometry'!$G$17*COS(RADIANS(F175))+'Geometry'!$F$17*SIN(RADIANS(F175))),('Geometry'!$G$18*COS(RADIANS(F175))+'Geometry'!$F$18*SIN(RADIANS(F175))),('Geometry'!$G$19*COS(RADIANS(F175))+'Geometry'!$F$19*SIN(RADIANS(F175))),('Geometry'!$G$20*COS(RADIANS(F175))+'Geometry'!$F$20*SIN(RADIANS(F175))))</f>
        <v>841.5775229196987</v>
      </c>
      <c r="J175" s="11">
        <f>I175-H175*K175</f>
        <v>-1178.2085320875783</v>
      </c>
      <c r="K175" s="11">
        <f>I175-MIN(('Geometry'!$G$13*COS(RADIANS(F175))+'Geometry'!$F$13*SIN(RADIANS(F175))),('Geometry'!$G$14*COS(RADIANS(F175))+'Geometry'!$F$14*SIN(RADIANS(F175))),('Geometry'!$G$15*COS(RADIANS(F175))+'Geometry'!$F$15*SIN(RADIANS(F175))),('Geometry'!$G$16*COS(RADIANS(F175))+'Geometry'!$F$16*SIN(RADIANS(F175))),('Geometry'!$G$17*COS(RADIANS(F175))+'Geometry'!$F$17*SIN(RADIANS(F175))),('Geometry'!$G$18*COS(RADIANS(F175))+'Geometry'!$F$18*SIN(RADIANS(F175))),('Geometry'!$G$19*COS(RADIANS(F175))+'Geometry'!$F$19*SIN(RADIANS(F175))),('Geometry'!$G$20*COS(RADIANS(F175))+'Geometry'!$F$20*SIN(RADIANS(F175))))</f>
        <v>1683.1550458393974</v>
      </c>
      <c r="L175" s="16">
        <f>C_ecu</f>
        <v>0.0033</v>
      </c>
      <c r="M175" s="16">
        <f>0</f>
        <v>0</v>
      </c>
      <c r="N175" s="22">
        <f>IF(ABS(I175-J175)&lt;0.000000000001,0,(L175-M175)/(I175-J175))</f>
        <v>0.0000016338364114451272</v>
      </c>
      <c r="O175" s="16">
        <f>L175-N175*I175</f>
        <v>0.0019249999999999998</v>
      </c>
      <c r="P175" s="22">
        <f>N175*COS(RADIANS(F175))</f>
        <v>5.588049636131591e-7</v>
      </c>
      <c r="Q175" s="22">
        <f>N175*SIN(RADIANS(F175))</f>
        <v>-0.0000015353040194063152</v>
      </c>
      <c r="R175" s="11">
        <f>AP175</f>
        <v>15276.900239631199</v>
      </c>
      <c r="S175" s="11">
        <f>AQ175</f>
        <v>319.92178668774926</v>
      </c>
      <c r="T175" s="11">
        <f>AR175</f>
        <v>-1112.4261912635166</v>
      </c>
      <c r="U175" s="11">
        <f>AS175</f>
        <v>2393.4453758520362</v>
      </c>
      <c r="V175" s="11">
        <f>AT175</f>
        <v>94.85055110022034</v>
      </c>
      <c r="W175" s="11">
        <f>AU175</f>
        <v>-358.3264273318938</v>
      </c>
      <c r="X175" s="11">
        <f>AM175</f>
        <v>17670.345615483235</v>
      </c>
      <c r="Y175" s="11">
        <f>AN175</f>
        <v>414.7723377879696</v>
      </c>
      <c r="Z175" s="11">
        <f>AO175</f>
        <v>-1470.7526185954107</v>
      </c>
      <c r="AA175" s="7">
        <v>1</v>
      </c>
      <c r="AB175" s="7">
        <v>1</v>
      </c>
      <c r="AC175" s="7">
        <v>1</v>
      </c>
      <c r="AD175" s="11">
        <f>X175*AA175</f>
        <v>17670.345615483235</v>
      </c>
      <c r="AE175" s="11">
        <f>Y175*AB175</f>
        <v>414.7723377879696</v>
      </c>
      <c r="AF175" s="11">
        <f>Z175*AC175</f>
        <v>-1470.7526185954107</v>
      </c>
      <c r="AG175" s="7">
        <v>17670.345615483235</v>
      </c>
      <c r="AH175" s="7">
        <v>414.7723377879696</v>
      </c>
      <c r="AI175" s="7">
        <v>-1470.7526185954107</v>
      </c>
      <c r="AJ175" s="16">
        <f>AD175-AG175</f>
        <v>0</v>
      </c>
      <c r="AK175" s="16">
        <f>SQRT((AE175-AH175)^2+(AF175-AI175)^2)</f>
        <v>0</v>
      </c>
      <c r="AL175" s="7" t="s">
        <v>190</v>
      </c>
      <c r="AM175" s="7">
        <v>17670.345615483235</v>
      </c>
      <c r="AN175" s="7">
        <v>414.7723377879696</v>
      </c>
      <c r="AO175" s="7">
        <v>-1470.7526185954107</v>
      </c>
      <c r="AP175" s="7">
        <v>15276.900239631199</v>
      </c>
      <c r="AQ175" s="7">
        <v>319.92178668774926</v>
      </c>
      <c r="AR175" s="7">
        <v>-1112.4261912635166</v>
      </c>
      <c r="AS175" s="7">
        <v>2393.4453758520362</v>
      </c>
      <c r="AT175" s="7">
        <v>94.85055110022034</v>
      </c>
      <c r="AU175" s="7">
        <v>-358.3264273318938</v>
      </c>
    </row>
    <row r="176" spans="1:47" x14ac:dyDescent="0.25">
      <c r="A176" s="7" t="s">
        <v>532</v>
      </c>
      <c r="B176" s="7">
        <v>5</v>
      </c>
      <c r="C176" s="19">
        <v>290</v>
      </c>
      <c r="D176" s="7" t="s">
        <v>533</v>
      </c>
      <c r="E176" s="7" t="s">
        <v>613</v>
      </c>
      <c r="F176" s="20">
        <v>290</v>
      </c>
      <c r="G176" s="7" t="s">
        <v>194</v>
      </c>
      <c r="H176" s="21">
        <v>1.1000000000000003</v>
      </c>
      <c r="I176" s="11">
        <f>MAX(('Geometry'!$G$13*COS(RADIANS(F176))+'Geometry'!$F$13*SIN(RADIANS(F176))),('Geometry'!$G$14*COS(RADIANS(F176))+'Geometry'!$F$14*SIN(RADIANS(F176))),('Geometry'!$G$15*COS(RADIANS(F176))+'Geometry'!$F$15*SIN(RADIANS(F176))),('Geometry'!$G$16*COS(RADIANS(F176))+'Geometry'!$F$16*SIN(RADIANS(F176))),('Geometry'!$G$17*COS(RADIANS(F176))+'Geometry'!$F$17*SIN(RADIANS(F176))),('Geometry'!$G$18*COS(RADIANS(F176))+'Geometry'!$F$18*SIN(RADIANS(F176))),('Geometry'!$G$19*COS(RADIANS(F176))+'Geometry'!$F$19*SIN(RADIANS(F176))),('Geometry'!$G$20*COS(RADIANS(F176))+'Geometry'!$F$20*SIN(RADIANS(F176))))</f>
        <v>841.5775229196987</v>
      </c>
      <c r="J176" s="11">
        <f>I176-H176*K176</f>
        <v>-1009.8930275036387</v>
      </c>
      <c r="K176" s="11">
        <f>I176-MIN(('Geometry'!$G$13*COS(RADIANS(F176))+'Geometry'!$F$13*SIN(RADIANS(F176))),('Geometry'!$G$14*COS(RADIANS(F176))+'Geometry'!$F$14*SIN(RADIANS(F176))),('Geometry'!$G$15*COS(RADIANS(F176))+'Geometry'!$F$15*SIN(RADIANS(F176))),('Geometry'!$G$16*COS(RADIANS(F176))+'Geometry'!$F$16*SIN(RADIANS(F176))),('Geometry'!$G$17*COS(RADIANS(F176))+'Geometry'!$F$17*SIN(RADIANS(F176))),('Geometry'!$G$18*COS(RADIANS(F176))+'Geometry'!$F$18*SIN(RADIANS(F176))),('Geometry'!$G$19*COS(RADIANS(F176))+'Geometry'!$F$19*SIN(RADIANS(F176))),('Geometry'!$G$20*COS(RADIANS(F176))+'Geometry'!$F$20*SIN(RADIANS(F176))))</f>
        <v>1683.1550458393974</v>
      </c>
      <c r="L176" s="16">
        <f>C_ecu</f>
        <v>0.0033</v>
      </c>
      <c r="M176" s="16">
        <f>0</f>
        <v>0</v>
      </c>
      <c r="N176" s="22">
        <f>IF(ABS(I176-J176)&lt;0.000000000001,0,(L176-M176)/(I176-J176))</f>
        <v>0.000001782366994303775</v>
      </c>
      <c r="O176" s="16">
        <f>L176-N176*I176</f>
        <v>0.0018000000000000002</v>
      </c>
      <c r="P176" s="22">
        <f>N176*COS(RADIANS(F176))</f>
        <v>6.09605414850719e-7</v>
      </c>
      <c r="Q176" s="22">
        <f>N176*SIN(RADIANS(F176))</f>
        <v>-0.0000016748771120796165</v>
      </c>
      <c r="R176" s="11">
        <f>AP176</f>
        <v>15276.900239631199</v>
      </c>
      <c r="S176" s="11">
        <f>AQ176</f>
        <v>399.9022333596866</v>
      </c>
      <c r="T176" s="11">
        <f>AR176</f>
        <v>-1390.532739079396</v>
      </c>
      <c r="U176" s="11">
        <f>AS176</f>
        <v>2393.4453758520362</v>
      </c>
      <c r="V176" s="11">
        <f>AT176</f>
        <v>118.56318887527543</v>
      </c>
      <c r="W176" s="11">
        <f>AU176</f>
        <v>-447.9080341648673</v>
      </c>
      <c r="X176" s="11">
        <f>AM176</f>
        <v>17670.345615483235</v>
      </c>
      <c r="Y176" s="11">
        <f>AN176</f>
        <v>518.465422234962</v>
      </c>
      <c r="Z176" s="11">
        <f>AO176</f>
        <v>-1838.4407732442633</v>
      </c>
      <c r="AA176" s="7">
        <v>1</v>
      </c>
      <c r="AB176" s="7">
        <v>1</v>
      </c>
      <c r="AC176" s="7">
        <v>1</v>
      </c>
      <c r="AD176" s="11">
        <f>X176*AA176</f>
        <v>17670.345615483235</v>
      </c>
      <c r="AE176" s="11">
        <f>Y176*AB176</f>
        <v>518.465422234962</v>
      </c>
      <c r="AF176" s="11">
        <f>Z176*AC176</f>
        <v>-1838.4407732442633</v>
      </c>
      <c r="AG176" s="7">
        <v>17670.345615483235</v>
      </c>
      <c r="AH176" s="7">
        <v>518.465422234962</v>
      </c>
      <c r="AI176" s="7">
        <v>-1838.4407732442633</v>
      </c>
      <c r="AJ176" s="16">
        <f>AD176-AG176</f>
        <v>0</v>
      </c>
      <c r="AK176" s="16">
        <f>SQRT((AE176-AH176)^2+(AF176-AI176)^2)</f>
        <v>0</v>
      </c>
      <c r="AL176" s="7" t="s">
        <v>190</v>
      </c>
      <c r="AM176" s="7">
        <v>17670.345615483235</v>
      </c>
      <c r="AN176" s="7">
        <v>518.465422234962</v>
      </c>
      <c r="AO176" s="7">
        <v>-1838.4407732442633</v>
      </c>
      <c r="AP176" s="7">
        <v>15276.900239631199</v>
      </c>
      <c r="AQ176" s="7">
        <v>399.9022333596866</v>
      </c>
      <c r="AR176" s="7">
        <v>-1390.532739079396</v>
      </c>
      <c r="AS176" s="7">
        <v>2393.4453758520362</v>
      </c>
      <c r="AT176" s="7">
        <v>118.56318887527543</v>
      </c>
      <c r="AU176" s="7">
        <v>-447.9080341648673</v>
      </c>
    </row>
    <row r="177" spans="1:47" x14ac:dyDescent="0.25">
      <c r="A177" s="7" t="s">
        <v>534</v>
      </c>
      <c r="B177" s="7">
        <v>6</v>
      </c>
      <c r="C177" s="19">
        <v>290</v>
      </c>
      <c r="D177" s="7" t="s">
        <v>535</v>
      </c>
      <c r="E177" s="7" t="s">
        <v>614</v>
      </c>
      <c r="F177" s="20">
        <v>290</v>
      </c>
      <c r="G177" s="7" t="s">
        <v>194</v>
      </c>
      <c r="H177" s="21">
        <v>0.9999999999999999</v>
      </c>
      <c r="I177" s="11">
        <f>MAX(('Geometry'!$G$13*COS(RADIANS(F177))+'Geometry'!$F$13*SIN(RADIANS(F177))),('Geometry'!$G$14*COS(RADIANS(F177))+'Geometry'!$F$14*SIN(RADIANS(F177))),('Geometry'!$G$15*COS(RADIANS(F177))+'Geometry'!$F$15*SIN(RADIANS(F177))),('Geometry'!$G$16*COS(RADIANS(F177))+'Geometry'!$F$16*SIN(RADIANS(F177))),('Geometry'!$G$17*COS(RADIANS(F177))+'Geometry'!$F$17*SIN(RADIANS(F177))),('Geometry'!$G$18*COS(RADIANS(F177))+'Geometry'!$F$18*SIN(RADIANS(F177))),('Geometry'!$G$19*COS(RADIANS(F177))+'Geometry'!$F$19*SIN(RADIANS(F177))),('Geometry'!$G$20*COS(RADIANS(F177))+'Geometry'!$F$20*SIN(RADIANS(F177))))</f>
        <v>841.5775229196987</v>
      </c>
      <c r="J177" s="11">
        <f>I177-H177*K177</f>
        <v>-841.5775229196986</v>
      </c>
      <c r="K177" s="11">
        <f>I177-MIN(('Geometry'!$G$13*COS(RADIANS(F177))+'Geometry'!$F$13*SIN(RADIANS(F177))),('Geometry'!$G$14*COS(RADIANS(F177))+'Geometry'!$F$14*SIN(RADIANS(F177))),('Geometry'!$G$15*COS(RADIANS(F177))+'Geometry'!$F$15*SIN(RADIANS(F177))),('Geometry'!$G$16*COS(RADIANS(F177))+'Geometry'!$F$16*SIN(RADIANS(F177))),('Geometry'!$G$17*COS(RADIANS(F177))+'Geometry'!$F$17*SIN(RADIANS(F177))),('Geometry'!$G$18*COS(RADIANS(F177))+'Geometry'!$F$18*SIN(RADIANS(F177))),('Geometry'!$G$19*COS(RADIANS(F177))+'Geometry'!$F$19*SIN(RADIANS(F177))),('Geometry'!$G$20*COS(RADIANS(F177))+'Geometry'!$F$20*SIN(RADIANS(F177))))</f>
        <v>1683.1550458393974</v>
      </c>
      <c r="L177" s="16">
        <f>C_ecu</f>
        <v>0.0033</v>
      </c>
      <c r="M177" s="16">
        <f>0</f>
        <v>0</v>
      </c>
      <c r="N177" s="22">
        <f>IF(ABS(I177-J177)&lt;0.000000000001,0,(L177-M177)/(I177-J177))</f>
        <v>0.0000019606036937341528</v>
      </c>
      <c r="O177" s="16">
        <f>L177-N177*I177</f>
        <v>0.0016499999999999998</v>
      </c>
      <c r="P177" s="22">
        <f>N177*COS(RADIANS(F177))</f>
        <v>6.705659563357909e-7</v>
      </c>
      <c r="Q177" s="22">
        <f>N177*SIN(RADIANS(F177))</f>
        <v>-0.0000018423648232875784</v>
      </c>
      <c r="R177" s="11">
        <f>AP177</f>
        <v>15276.900239631199</v>
      </c>
      <c r="S177" s="11">
        <f>AQ177</f>
        <v>479.8826800316239</v>
      </c>
      <c r="T177" s="11">
        <f>AR177</f>
        <v>-1668.639286895275</v>
      </c>
      <c r="U177" s="11">
        <f>AS177</f>
        <v>2393.4453758520362</v>
      </c>
      <c r="V177" s="11">
        <f>AT177</f>
        <v>142.27582665033052</v>
      </c>
      <c r="W177" s="11">
        <f>AU177</f>
        <v>-537.4896409978408</v>
      </c>
      <c r="X177" s="11">
        <f>AM177</f>
        <v>17670.345615483235</v>
      </c>
      <c r="Y177" s="11">
        <f>AN177</f>
        <v>622.1585066819543</v>
      </c>
      <c r="Z177" s="11">
        <f>AO177</f>
        <v>-2206.1289278931154</v>
      </c>
      <c r="AA177" s="7">
        <v>1</v>
      </c>
      <c r="AB177" s="7">
        <v>1</v>
      </c>
      <c r="AC177" s="7">
        <v>1</v>
      </c>
      <c r="AD177" s="11">
        <f>X177*AA177</f>
        <v>17670.345615483235</v>
      </c>
      <c r="AE177" s="11">
        <f>Y177*AB177</f>
        <v>622.1585066819543</v>
      </c>
      <c r="AF177" s="11">
        <f>Z177*AC177</f>
        <v>-2206.1289278931154</v>
      </c>
      <c r="AG177" s="7">
        <v>17670.345615483235</v>
      </c>
      <c r="AH177" s="7">
        <v>622.1585066819543</v>
      </c>
      <c r="AI177" s="7">
        <v>-2206.1289278931154</v>
      </c>
      <c r="AJ177" s="16">
        <f>AD177-AG177</f>
        <v>0</v>
      </c>
      <c r="AK177" s="16">
        <f>SQRT((AE177-AH177)^2+(AF177-AI177)^2)</f>
        <v>0</v>
      </c>
      <c r="AL177" s="7" t="s">
        <v>190</v>
      </c>
      <c r="AM177" s="7">
        <v>17670.345615483235</v>
      </c>
      <c r="AN177" s="7">
        <v>622.1585066819543</v>
      </c>
      <c r="AO177" s="7">
        <v>-2206.1289278931154</v>
      </c>
      <c r="AP177" s="7">
        <v>15276.900239631199</v>
      </c>
      <c r="AQ177" s="7">
        <v>479.8826800316239</v>
      </c>
      <c r="AR177" s="7">
        <v>-1668.639286895275</v>
      </c>
      <c r="AS177" s="7">
        <v>2393.4453758520362</v>
      </c>
      <c r="AT177" s="7">
        <v>142.27582665033052</v>
      </c>
      <c r="AU177" s="7">
        <v>-537.4896409978408</v>
      </c>
    </row>
    <row r="178" spans="1:47" x14ac:dyDescent="0.25">
      <c r="A178" s="7" t="s">
        <v>536</v>
      </c>
      <c r="B178" s="7">
        <v>1</v>
      </c>
      <c r="C178" s="19">
        <v>300</v>
      </c>
      <c r="D178" s="7" t="s">
        <v>537</v>
      </c>
      <c r="E178" s="7" t="s">
        <v>609</v>
      </c>
      <c r="F178" s="20">
        <v>299.99999999999994</v>
      </c>
      <c r="G178" s="7" t="s">
        <v>194</v>
      </c>
      <c r="H178" s="21">
        <v>3</v>
      </c>
      <c r="I178" s="11">
        <f>MAX(('Geometry'!$G$13*COS(RADIANS(F178))+'Geometry'!$F$13*SIN(RADIANS(F178))),('Geometry'!$G$14*COS(RADIANS(F178))+'Geometry'!$F$14*SIN(RADIANS(F178))),('Geometry'!$G$15*COS(RADIANS(F178))+'Geometry'!$F$15*SIN(RADIANS(F178))),('Geometry'!$G$16*COS(RADIANS(F178))+'Geometry'!$F$16*SIN(RADIANS(F178))),('Geometry'!$G$17*COS(RADIANS(F178))+'Geometry'!$F$17*SIN(RADIANS(F178))),('Geometry'!$G$18*COS(RADIANS(F178))+'Geometry'!$F$18*SIN(RADIANS(F178))),('Geometry'!$G$19*COS(RADIANS(F178))+'Geometry'!$F$19*SIN(RADIANS(F178))),('Geometry'!$G$20*COS(RADIANS(F178))+'Geometry'!$F$20*SIN(RADIANS(F178))))</f>
        <v>849.519052838329</v>
      </c>
      <c r="J178" s="11">
        <f>I178-H178*K178</f>
        <v>-4247.595264191645</v>
      </c>
      <c r="K178" s="11">
        <f>I178-MIN(('Geometry'!$G$13*COS(RADIANS(F178))+'Geometry'!$F$13*SIN(RADIANS(F178))),('Geometry'!$G$14*COS(RADIANS(F178))+'Geometry'!$F$14*SIN(RADIANS(F178))),('Geometry'!$G$15*COS(RADIANS(F178))+'Geometry'!$F$15*SIN(RADIANS(F178))),('Geometry'!$G$16*COS(RADIANS(F178))+'Geometry'!$F$16*SIN(RADIANS(F178))),('Geometry'!$G$17*COS(RADIANS(F178))+'Geometry'!$F$17*SIN(RADIANS(F178))),('Geometry'!$G$18*COS(RADIANS(F178))+'Geometry'!$F$18*SIN(RADIANS(F178))),('Geometry'!$G$19*COS(RADIANS(F178))+'Geometry'!$F$19*SIN(RADIANS(F178))),('Geometry'!$G$20*COS(RADIANS(F178))+'Geometry'!$F$20*SIN(RADIANS(F178))))</f>
        <v>1699.038105676658</v>
      </c>
      <c r="L178" s="16">
        <f>C_ecu</f>
        <v>0.0033</v>
      </c>
      <c r="M178" s="16">
        <f>0</f>
        <v>0</v>
      </c>
      <c r="N178" s="22">
        <f>IF(ABS(I178-J178)&lt;0.000000000001,0,(L178-M178)/(I178-J178))</f>
        <v>6.474251497507848e-7</v>
      </c>
      <c r="O178" s="16">
        <f>L178-N178*I178</f>
        <v>0.00275</v>
      </c>
      <c r="P178" s="22">
        <f>N178*COS(RADIANS(F178))</f>
        <v>3.23712574875392e-7</v>
      </c>
      <c r="Q178" s="22">
        <f>N178*SIN(RADIANS(F178))</f>
        <v>-5.606866267331243e-7</v>
      </c>
      <c r="R178" s="11">
        <f>AP178</f>
        <v>15289.854043870042</v>
      </c>
      <c r="S178" s="11">
        <f>AQ178</f>
        <v>113.81547481367129</v>
      </c>
      <c r="T178" s="11">
        <f>AR178</f>
        <v>-255.0216341253911</v>
      </c>
      <c r="U178" s="11">
        <f>AS178</f>
        <v>2380.491571613195</v>
      </c>
      <c r="V178" s="11">
        <f>AT178</f>
        <v>35.051249806448325</v>
      </c>
      <c r="W178" s="11">
        <f>AU178</f>
        <v>-81.63181364956866</v>
      </c>
      <c r="X178" s="11">
        <f>AM178</f>
        <v>17670.345615483235</v>
      </c>
      <c r="Y178" s="11">
        <f>AN178</f>
        <v>148.86672462011964</v>
      </c>
      <c r="Z178" s="11">
        <f>AO178</f>
        <v>-336.6534477749597</v>
      </c>
      <c r="AA178" s="7">
        <v>1</v>
      </c>
      <c r="AB178" s="7">
        <v>1</v>
      </c>
      <c r="AC178" s="7">
        <v>1</v>
      </c>
      <c r="AD178" s="11">
        <f>X178*AA178</f>
        <v>17670.345615483235</v>
      </c>
      <c r="AE178" s="11">
        <f>Y178*AB178</f>
        <v>148.86672462011964</v>
      </c>
      <c r="AF178" s="11">
        <f>Z178*AC178</f>
        <v>-336.6534477749597</v>
      </c>
      <c r="AG178" s="7">
        <v>17670.345615483235</v>
      </c>
      <c r="AH178" s="7">
        <v>148.86672462011964</v>
      </c>
      <c r="AI178" s="7">
        <v>-336.6534477749597</v>
      </c>
      <c r="AJ178" s="16">
        <f>AD178-AG178</f>
        <v>0</v>
      </c>
      <c r="AK178" s="16">
        <f>SQRT((AE178-AH178)^2+(AF178-AI178)^2)</f>
        <v>0</v>
      </c>
      <c r="AL178" s="7" t="s">
        <v>190</v>
      </c>
      <c r="AM178" s="7">
        <v>17670.345615483235</v>
      </c>
      <c r="AN178" s="7">
        <v>148.86672462011964</v>
      </c>
      <c r="AO178" s="7">
        <v>-336.6534477749597</v>
      </c>
      <c r="AP178" s="7">
        <v>15289.854043870042</v>
      </c>
      <c r="AQ178" s="7">
        <v>113.81547481367129</v>
      </c>
      <c r="AR178" s="7">
        <v>-255.0216341253911</v>
      </c>
      <c r="AS178" s="7">
        <v>2380.491571613195</v>
      </c>
      <c r="AT178" s="7">
        <v>35.051249806448325</v>
      </c>
      <c r="AU178" s="7">
        <v>-81.63181364956866</v>
      </c>
    </row>
    <row r="179" spans="1:47" x14ac:dyDescent="0.25">
      <c r="A179" s="7" t="s">
        <v>538</v>
      </c>
      <c r="B179" s="7">
        <v>2</v>
      </c>
      <c r="C179" s="19">
        <v>300</v>
      </c>
      <c r="D179" s="7" t="s">
        <v>539</v>
      </c>
      <c r="E179" s="7" t="s">
        <v>610</v>
      </c>
      <c r="F179" s="20">
        <v>299.99999999999994</v>
      </c>
      <c r="G179" s="7" t="s">
        <v>194</v>
      </c>
      <c r="H179" s="21">
        <v>2</v>
      </c>
      <c r="I179" s="11">
        <f>MAX(('Geometry'!$G$13*COS(RADIANS(F179))+'Geometry'!$F$13*SIN(RADIANS(F179))),('Geometry'!$G$14*COS(RADIANS(F179))+'Geometry'!$F$14*SIN(RADIANS(F179))),('Geometry'!$G$15*COS(RADIANS(F179))+'Geometry'!$F$15*SIN(RADIANS(F179))),('Geometry'!$G$16*COS(RADIANS(F179))+'Geometry'!$F$16*SIN(RADIANS(F179))),('Geometry'!$G$17*COS(RADIANS(F179))+'Geometry'!$F$17*SIN(RADIANS(F179))),('Geometry'!$G$18*COS(RADIANS(F179))+'Geometry'!$F$18*SIN(RADIANS(F179))),('Geometry'!$G$19*COS(RADIANS(F179))+'Geometry'!$F$19*SIN(RADIANS(F179))),('Geometry'!$G$20*COS(RADIANS(F179))+'Geometry'!$F$20*SIN(RADIANS(F179))))</f>
        <v>849.519052838329</v>
      </c>
      <c r="J179" s="11">
        <f>I179-H179*K179</f>
        <v>-2548.557158514987</v>
      </c>
      <c r="K179" s="11">
        <f>I179-MIN(('Geometry'!$G$13*COS(RADIANS(F179))+'Geometry'!$F$13*SIN(RADIANS(F179))),('Geometry'!$G$14*COS(RADIANS(F179))+'Geometry'!$F$14*SIN(RADIANS(F179))),('Geometry'!$G$15*COS(RADIANS(F179))+'Geometry'!$F$15*SIN(RADIANS(F179))),('Geometry'!$G$16*COS(RADIANS(F179))+'Geometry'!$F$16*SIN(RADIANS(F179))),('Geometry'!$G$17*COS(RADIANS(F179))+'Geometry'!$F$17*SIN(RADIANS(F179))),('Geometry'!$G$18*COS(RADIANS(F179))+'Geometry'!$F$18*SIN(RADIANS(F179))),('Geometry'!$G$19*COS(RADIANS(F179))+'Geometry'!$F$19*SIN(RADIANS(F179))),('Geometry'!$G$20*COS(RADIANS(F179))+'Geometry'!$F$20*SIN(RADIANS(F179))))</f>
        <v>1699.038105676658</v>
      </c>
      <c r="L179" s="16">
        <f>C_ecu</f>
        <v>0.0033</v>
      </c>
      <c r="M179" s="16">
        <f>0</f>
        <v>0</v>
      </c>
      <c r="N179" s="22">
        <f>IF(ABS(I179-J179)&lt;0.000000000001,0,(L179-M179)/(I179-J179))</f>
        <v>9.71137724626177e-7</v>
      </c>
      <c r="O179" s="16">
        <f>L179-N179*I179</f>
        <v>0.0024749999999999998</v>
      </c>
      <c r="P179" s="22">
        <f>N179*COS(RADIANS(F179))</f>
        <v>4.855688623130879e-7</v>
      </c>
      <c r="Q179" s="22">
        <f>N179*SIN(RADIANS(F179))</f>
        <v>-8.410299400996864e-7</v>
      </c>
      <c r="R179" s="11">
        <f>AP179</f>
        <v>15289.854043870042</v>
      </c>
      <c r="S179" s="11">
        <f>AQ179</f>
        <v>227.63094962734257</v>
      </c>
      <c r="T179" s="11">
        <f>AR179</f>
        <v>-510.0432682507822</v>
      </c>
      <c r="U179" s="11">
        <f>AS179</f>
        <v>2380.491571613195</v>
      </c>
      <c r="V179" s="11">
        <f>AT179</f>
        <v>70.10249961289665</v>
      </c>
      <c r="W179" s="11">
        <f>AU179</f>
        <v>-163.2636272991373</v>
      </c>
      <c r="X179" s="11">
        <f>AM179</f>
        <v>17670.345615483235</v>
      </c>
      <c r="Y179" s="11">
        <f>AN179</f>
        <v>297.7334492402393</v>
      </c>
      <c r="Z179" s="11">
        <f>AO179</f>
        <v>-673.3068955499194</v>
      </c>
      <c r="AA179" s="7">
        <v>1</v>
      </c>
      <c r="AB179" s="7">
        <v>1</v>
      </c>
      <c r="AC179" s="7">
        <v>1</v>
      </c>
      <c r="AD179" s="11">
        <f>X179*AA179</f>
        <v>17670.345615483235</v>
      </c>
      <c r="AE179" s="11">
        <f>Y179*AB179</f>
        <v>297.7334492402393</v>
      </c>
      <c r="AF179" s="11">
        <f>Z179*AC179</f>
        <v>-673.3068955499194</v>
      </c>
      <c r="AG179" s="7">
        <v>17670.345615483235</v>
      </c>
      <c r="AH179" s="7">
        <v>297.7334492402393</v>
      </c>
      <c r="AI179" s="7">
        <v>-673.3068955499194</v>
      </c>
      <c r="AJ179" s="16">
        <f>AD179-AG179</f>
        <v>0</v>
      </c>
      <c r="AK179" s="16">
        <f>SQRT((AE179-AH179)^2+(AF179-AI179)^2)</f>
        <v>0</v>
      </c>
      <c r="AL179" s="7" t="s">
        <v>190</v>
      </c>
      <c r="AM179" s="7">
        <v>17670.345615483235</v>
      </c>
      <c r="AN179" s="7">
        <v>297.7334492402393</v>
      </c>
      <c r="AO179" s="7">
        <v>-673.3068955499194</v>
      </c>
      <c r="AP179" s="7">
        <v>15289.854043870042</v>
      </c>
      <c r="AQ179" s="7">
        <v>227.63094962734257</v>
      </c>
      <c r="AR179" s="7">
        <v>-510.0432682507822</v>
      </c>
      <c r="AS179" s="7">
        <v>2380.491571613195</v>
      </c>
      <c r="AT179" s="7">
        <v>70.10249961289665</v>
      </c>
      <c r="AU179" s="7">
        <v>-163.2636272991373</v>
      </c>
    </row>
    <row r="180" spans="1:47" x14ac:dyDescent="0.25">
      <c r="A180" s="7" t="s">
        <v>540</v>
      </c>
      <c r="B180" s="7">
        <v>3</v>
      </c>
      <c r="C180" s="19">
        <v>300</v>
      </c>
      <c r="D180" s="7" t="s">
        <v>541</v>
      </c>
      <c r="E180" s="7" t="s">
        <v>611</v>
      </c>
      <c r="F180" s="20">
        <v>299.99999999999994</v>
      </c>
      <c r="G180" s="7" t="s">
        <v>194</v>
      </c>
      <c r="H180" s="21">
        <v>1.5</v>
      </c>
      <c r="I180" s="11">
        <f>MAX(('Geometry'!$G$13*COS(RADIANS(F180))+'Geometry'!$F$13*SIN(RADIANS(F180))),('Geometry'!$G$14*COS(RADIANS(F180))+'Geometry'!$F$14*SIN(RADIANS(F180))),('Geometry'!$G$15*COS(RADIANS(F180))+'Geometry'!$F$15*SIN(RADIANS(F180))),('Geometry'!$G$16*COS(RADIANS(F180))+'Geometry'!$F$16*SIN(RADIANS(F180))),('Geometry'!$G$17*COS(RADIANS(F180))+'Geometry'!$F$17*SIN(RADIANS(F180))),('Geometry'!$G$18*COS(RADIANS(F180))+'Geometry'!$F$18*SIN(RADIANS(F180))),('Geometry'!$G$19*COS(RADIANS(F180))+'Geometry'!$F$19*SIN(RADIANS(F180))),('Geometry'!$G$20*COS(RADIANS(F180))+'Geometry'!$F$20*SIN(RADIANS(F180))))</f>
        <v>849.519052838329</v>
      </c>
      <c r="J180" s="11">
        <f>I180-H180*K180</f>
        <v>-1699.0381056766578</v>
      </c>
      <c r="K180" s="11">
        <f>I180-MIN(('Geometry'!$G$13*COS(RADIANS(F180))+'Geometry'!$F$13*SIN(RADIANS(F180))),('Geometry'!$G$14*COS(RADIANS(F180))+'Geometry'!$F$14*SIN(RADIANS(F180))),('Geometry'!$G$15*COS(RADIANS(F180))+'Geometry'!$F$15*SIN(RADIANS(F180))),('Geometry'!$G$16*COS(RADIANS(F180))+'Geometry'!$F$16*SIN(RADIANS(F180))),('Geometry'!$G$17*COS(RADIANS(F180))+'Geometry'!$F$17*SIN(RADIANS(F180))),('Geometry'!$G$18*COS(RADIANS(F180))+'Geometry'!$F$18*SIN(RADIANS(F180))),('Geometry'!$G$19*COS(RADIANS(F180))+'Geometry'!$F$19*SIN(RADIANS(F180))),('Geometry'!$G$20*COS(RADIANS(F180))+'Geometry'!$F$20*SIN(RADIANS(F180))))</f>
        <v>1699.038105676658</v>
      </c>
      <c r="L180" s="16">
        <f>C_ecu</f>
        <v>0.0033</v>
      </c>
      <c r="M180" s="16">
        <f>0</f>
        <v>0</v>
      </c>
      <c r="N180" s="22">
        <f>IF(ABS(I180-J180)&lt;0.000000000001,0,(L180-M180)/(I180-J180))</f>
        <v>0.0000012948502995015696</v>
      </c>
      <c r="O180" s="16">
        <f>L180-N180*I180</f>
        <v>0.0021999999999999997</v>
      </c>
      <c r="P180" s="22">
        <f>N180*COS(RADIANS(F180))</f>
        <v>6.47425149750784e-7</v>
      </c>
      <c r="Q180" s="22">
        <f>N180*SIN(RADIANS(F180))</f>
        <v>-0.0000011213732534662487</v>
      </c>
      <c r="R180" s="11">
        <f>AP180</f>
        <v>15289.854043870042</v>
      </c>
      <c r="S180" s="11">
        <f>AQ180</f>
        <v>341.44642444101396</v>
      </c>
      <c r="T180" s="11">
        <f>AR180</f>
        <v>-765.0649023761732</v>
      </c>
      <c r="U180" s="11">
        <f>AS180</f>
        <v>2380.491571613195</v>
      </c>
      <c r="V180" s="11">
        <f>AT180</f>
        <v>105.15374941934498</v>
      </c>
      <c r="W180" s="11">
        <f>AU180</f>
        <v>-244.895440948706</v>
      </c>
      <c r="X180" s="11">
        <f>AM180</f>
        <v>17670.345615483235</v>
      </c>
      <c r="Y180" s="11">
        <f>AN180</f>
        <v>446.6001738603589</v>
      </c>
      <c r="Z180" s="11">
        <f>AO180</f>
        <v>-1009.9603433248793</v>
      </c>
      <c r="AA180" s="7">
        <v>1</v>
      </c>
      <c r="AB180" s="7">
        <v>1</v>
      </c>
      <c r="AC180" s="7">
        <v>1</v>
      </c>
      <c r="AD180" s="11">
        <f>X180*AA180</f>
        <v>17670.345615483235</v>
      </c>
      <c r="AE180" s="11">
        <f>Y180*AB180</f>
        <v>446.6001738603589</v>
      </c>
      <c r="AF180" s="11">
        <f>Z180*AC180</f>
        <v>-1009.9603433248793</v>
      </c>
      <c r="AG180" s="7">
        <v>17670.345615483235</v>
      </c>
      <c r="AH180" s="7">
        <v>446.6001738603589</v>
      </c>
      <c r="AI180" s="7">
        <v>-1009.9603433248793</v>
      </c>
      <c r="AJ180" s="16">
        <f>AD180-AG180</f>
        <v>0</v>
      </c>
      <c r="AK180" s="16">
        <f>SQRT((AE180-AH180)^2+(AF180-AI180)^2)</f>
        <v>0</v>
      </c>
      <c r="AL180" s="7" t="s">
        <v>190</v>
      </c>
      <c r="AM180" s="7">
        <v>17670.345615483235</v>
      </c>
      <c r="AN180" s="7">
        <v>446.6001738603589</v>
      </c>
      <c r="AO180" s="7">
        <v>-1009.9603433248793</v>
      </c>
      <c r="AP180" s="7">
        <v>15289.854043870042</v>
      </c>
      <c r="AQ180" s="7">
        <v>341.44642444101396</v>
      </c>
      <c r="AR180" s="7">
        <v>-765.0649023761732</v>
      </c>
      <c r="AS180" s="7">
        <v>2380.491571613195</v>
      </c>
      <c r="AT180" s="7">
        <v>105.15374941934498</v>
      </c>
      <c r="AU180" s="7">
        <v>-244.895440948706</v>
      </c>
    </row>
    <row r="181" spans="1:47" x14ac:dyDescent="0.25">
      <c r="A181" s="7" t="s">
        <v>542</v>
      </c>
      <c r="B181" s="7">
        <v>4</v>
      </c>
      <c r="C181" s="19">
        <v>300</v>
      </c>
      <c r="D181" s="7" t="s">
        <v>543</v>
      </c>
      <c r="E181" s="7" t="s">
        <v>612</v>
      </c>
      <c r="F181" s="20">
        <v>299.99999999999994</v>
      </c>
      <c r="G181" s="7" t="s">
        <v>194</v>
      </c>
      <c r="H181" s="21">
        <v>1.2</v>
      </c>
      <c r="I181" s="11">
        <f>MAX(('Geometry'!$G$13*COS(RADIANS(F181))+'Geometry'!$F$13*SIN(RADIANS(F181))),('Geometry'!$G$14*COS(RADIANS(F181))+'Geometry'!$F$14*SIN(RADIANS(F181))),('Geometry'!$G$15*COS(RADIANS(F181))+'Geometry'!$F$15*SIN(RADIANS(F181))),('Geometry'!$G$16*COS(RADIANS(F181))+'Geometry'!$F$16*SIN(RADIANS(F181))),('Geometry'!$G$17*COS(RADIANS(F181))+'Geometry'!$F$17*SIN(RADIANS(F181))),('Geometry'!$G$18*COS(RADIANS(F181))+'Geometry'!$F$18*SIN(RADIANS(F181))),('Geometry'!$G$19*COS(RADIANS(F181))+'Geometry'!$F$19*SIN(RADIANS(F181))),('Geometry'!$G$20*COS(RADIANS(F181))+'Geometry'!$F$20*SIN(RADIANS(F181))))</f>
        <v>849.519052838329</v>
      </c>
      <c r="J181" s="11">
        <f>I181-H181*K181</f>
        <v>-1189.3266739736607</v>
      </c>
      <c r="K181" s="11">
        <f>I181-MIN(('Geometry'!$G$13*COS(RADIANS(F181))+'Geometry'!$F$13*SIN(RADIANS(F181))),('Geometry'!$G$14*COS(RADIANS(F181))+'Geometry'!$F$14*SIN(RADIANS(F181))),('Geometry'!$G$15*COS(RADIANS(F181))+'Geometry'!$F$15*SIN(RADIANS(F181))),('Geometry'!$G$16*COS(RADIANS(F181))+'Geometry'!$F$16*SIN(RADIANS(F181))),('Geometry'!$G$17*COS(RADIANS(F181))+'Geometry'!$F$17*SIN(RADIANS(F181))),('Geometry'!$G$18*COS(RADIANS(F181))+'Geometry'!$F$18*SIN(RADIANS(F181))),('Geometry'!$G$19*COS(RADIANS(F181))+'Geometry'!$F$19*SIN(RADIANS(F181))),('Geometry'!$G$20*COS(RADIANS(F181))+'Geometry'!$F$20*SIN(RADIANS(F181))))</f>
        <v>1699.038105676658</v>
      </c>
      <c r="L181" s="16">
        <f>C_ecu</f>
        <v>0.0033</v>
      </c>
      <c r="M181" s="16">
        <f>0</f>
        <v>0</v>
      </c>
      <c r="N181" s="22">
        <f>IF(ABS(I181-J181)&lt;0.000000000001,0,(L181-M181)/(I181-J181))</f>
        <v>0.000001618562874376962</v>
      </c>
      <c r="O181" s="16">
        <f>L181-N181*I181</f>
        <v>0.001925</v>
      </c>
      <c r="P181" s="22">
        <f>N181*COS(RADIANS(F181))</f>
        <v>8.092814371884799e-7</v>
      </c>
      <c r="Q181" s="22">
        <f>N181*SIN(RADIANS(F181))</f>
        <v>-0.0000014017165668328106</v>
      </c>
      <c r="R181" s="11">
        <f>AP181</f>
        <v>15289.854043870042</v>
      </c>
      <c r="S181" s="11">
        <f>AQ181</f>
        <v>455.26189925468515</v>
      </c>
      <c r="T181" s="11">
        <f>AR181</f>
        <v>-1020.0865365015644</v>
      </c>
      <c r="U181" s="11">
        <f>AS181</f>
        <v>2380.491571613195</v>
      </c>
      <c r="V181" s="11">
        <f>AT181</f>
        <v>140.2049992257933</v>
      </c>
      <c r="W181" s="11">
        <f>AU181</f>
        <v>-326.5272545982746</v>
      </c>
      <c r="X181" s="11">
        <f>AM181</f>
        <v>17670.345615483235</v>
      </c>
      <c r="Y181" s="11">
        <f>AN181</f>
        <v>595.4668984804786</v>
      </c>
      <c r="Z181" s="11">
        <f>AO181</f>
        <v>-1346.6137910998389</v>
      </c>
      <c r="AA181" s="7">
        <v>1</v>
      </c>
      <c r="AB181" s="7">
        <v>1</v>
      </c>
      <c r="AC181" s="7">
        <v>1</v>
      </c>
      <c r="AD181" s="11">
        <f>X181*AA181</f>
        <v>17670.345615483235</v>
      </c>
      <c r="AE181" s="11">
        <f>Y181*AB181</f>
        <v>595.4668984804786</v>
      </c>
      <c r="AF181" s="11">
        <f>Z181*AC181</f>
        <v>-1346.6137910998389</v>
      </c>
      <c r="AG181" s="7">
        <v>17670.345615483235</v>
      </c>
      <c r="AH181" s="7">
        <v>595.4668984804786</v>
      </c>
      <c r="AI181" s="7">
        <v>-1346.6137910998389</v>
      </c>
      <c r="AJ181" s="16">
        <f>AD181-AG181</f>
        <v>0</v>
      </c>
      <c r="AK181" s="16">
        <f>SQRT((AE181-AH181)^2+(AF181-AI181)^2)</f>
        <v>0</v>
      </c>
      <c r="AL181" s="7" t="s">
        <v>190</v>
      </c>
      <c r="AM181" s="7">
        <v>17670.345615483235</v>
      </c>
      <c r="AN181" s="7">
        <v>595.4668984804786</v>
      </c>
      <c r="AO181" s="7">
        <v>-1346.6137910998389</v>
      </c>
      <c r="AP181" s="7">
        <v>15289.854043870042</v>
      </c>
      <c r="AQ181" s="7">
        <v>455.26189925468515</v>
      </c>
      <c r="AR181" s="7">
        <v>-1020.0865365015644</v>
      </c>
      <c r="AS181" s="7">
        <v>2380.491571613195</v>
      </c>
      <c r="AT181" s="7">
        <v>140.2049992257933</v>
      </c>
      <c r="AU181" s="7">
        <v>-326.5272545982746</v>
      </c>
    </row>
    <row r="182" spans="1:47" x14ac:dyDescent="0.25">
      <c r="A182" s="7" t="s">
        <v>544</v>
      </c>
      <c r="B182" s="7">
        <v>5</v>
      </c>
      <c r="C182" s="19">
        <v>300</v>
      </c>
      <c r="D182" s="7" t="s">
        <v>545</v>
      </c>
      <c r="E182" s="7" t="s">
        <v>613</v>
      </c>
      <c r="F182" s="20">
        <v>299.99999999999994</v>
      </c>
      <c r="G182" s="7" t="s">
        <v>194</v>
      </c>
      <c r="H182" s="21">
        <v>1.1</v>
      </c>
      <c r="I182" s="11">
        <f>MAX(('Geometry'!$G$13*COS(RADIANS(F182))+'Geometry'!$F$13*SIN(RADIANS(F182))),('Geometry'!$G$14*COS(RADIANS(F182))+'Geometry'!$F$14*SIN(RADIANS(F182))),('Geometry'!$G$15*COS(RADIANS(F182))+'Geometry'!$F$15*SIN(RADIANS(F182))),('Geometry'!$G$16*COS(RADIANS(F182))+'Geometry'!$F$16*SIN(RADIANS(F182))),('Geometry'!$G$17*COS(RADIANS(F182))+'Geometry'!$F$17*SIN(RADIANS(F182))),('Geometry'!$G$18*COS(RADIANS(F182))+'Geometry'!$F$18*SIN(RADIANS(F182))),('Geometry'!$G$19*COS(RADIANS(F182))+'Geometry'!$F$19*SIN(RADIANS(F182))),('Geometry'!$G$20*COS(RADIANS(F182))+'Geometry'!$F$20*SIN(RADIANS(F182))))</f>
        <v>849.519052838329</v>
      </c>
      <c r="J182" s="11">
        <f>I182-H182*K182</f>
        <v>-1019.4228634059949</v>
      </c>
      <c r="K182" s="11">
        <f>I182-MIN(('Geometry'!$G$13*COS(RADIANS(F182))+'Geometry'!$F$13*SIN(RADIANS(F182))),('Geometry'!$G$14*COS(RADIANS(F182))+'Geometry'!$F$14*SIN(RADIANS(F182))),('Geometry'!$G$15*COS(RADIANS(F182))+'Geometry'!$F$15*SIN(RADIANS(F182))),('Geometry'!$G$16*COS(RADIANS(F182))+'Geometry'!$F$16*SIN(RADIANS(F182))),('Geometry'!$G$17*COS(RADIANS(F182))+'Geometry'!$F$17*SIN(RADIANS(F182))),('Geometry'!$G$18*COS(RADIANS(F182))+'Geometry'!$F$18*SIN(RADIANS(F182))),('Geometry'!$G$19*COS(RADIANS(F182))+'Geometry'!$F$19*SIN(RADIANS(F182))),('Geometry'!$G$20*COS(RADIANS(F182))+'Geometry'!$F$20*SIN(RADIANS(F182))))</f>
        <v>1699.038105676658</v>
      </c>
      <c r="L182" s="16">
        <f>C_ecu</f>
        <v>0.0033</v>
      </c>
      <c r="M182" s="16">
        <f>0</f>
        <v>0</v>
      </c>
      <c r="N182" s="22">
        <f>IF(ABS(I182-J182)&lt;0.000000000001,0,(L182-M182)/(I182-J182))</f>
        <v>0.0000017657049538657767</v>
      </c>
      <c r="O182" s="16">
        <f>L182-N182*I182</f>
        <v>0.0018000000000000002</v>
      </c>
      <c r="P182" s="22">
        <f>N182*COS(RADIANS(F182))</f>
        <v>8.828524769328871e-7</v>
      </c>
      <c r="Q182" s="22">
        <f>N182*SIN(RADIANS(F182))</f>
        <v>-0.0000015291453456357935</v>
      </c>
      <c r="R182" s="11">
        <f>AP182</f>
        <v>15289.854043870042</v>
      </c>
      <c r="S182" s="11">
        <f>AQ182</f>
        <v>569.0773740683566</v>
      </c>
      <c r="T182" s="11">
        <f>AR182</f>
        <v>-1275.1081706269556</v>
      </c>
      <c r="U182" s="11">
        <f>AS182</f>
        <v>2380.491571613195</v>
      </c>
      <c r="V182" s="11">
        <f>AT182</f>
        <v>175.25624903224164</v>
      </c>
      <c r="W182" s="11">
        <f>AU182</f>
        <v>-408.1590682478433</v>
      </c>
      <c r="X182" s="11">
        <f>AM182</f>
        <v>17670.345615483235</v>
      </c>
      <c r="Y182" s="11">
        <f>AN182</f>
        <v>744.3336231005982</v>
      </c>
      <c r="Z182" s="11">
        <f>AO182</f>
        <v>-1683.2672388747987</v>
      </c>
      <c r="AA182" s="7">
        <v>1</v>
      </c>
      <c r="AB182" s="7">
        <v>1</v>
      </c>
      <c r="AC182" s="7">
        <v>1</v>
      </c>
      <c r="AD182" s="11">
        <f>X182*AA182</f>
        <v>17670.345615483235</v>
      </c>
      <c r="AE182" s="11">
        <f>Y182*AB182</f>
        <v>744.3336231005982</v>
      </c>
      <c r="AF182" s="11">
        <f>Z182*AC182</f>
        <v>-1683.2672388747987</v>
      </c>
      <c r="AG182" s="7">
        <v>17670.345615483235</v>
      </c>
      <c r="AH182" s="7">
        <v>744.3336231005982</v>
      </c>
      <c r="AI182" s="7">
        <v>-1683.2672388747987</v>
      </c>
      <c r="AJ182" s="16">
        <f>AD182-AG182</f>
        <v>0</v>
      </c>
      <c r="AK182" s="16">
        <f>SQRT((AE182-AH182)^2+(AF182-AI182)^2)</f>
        <v>0</v>
      </c>
      <c r="AL182" s="7" t="s">
        <v>190</v>
      </c>
      <c r="AM182" s="7">
        <v>17670.345615483235</v>
      </c>
      <c r="AN182" s="7">
        <v>744.3336231005982</v>
      </c>
      <c r="AO182" s="7">
        <v>-1683.2672388747987</v>
      </c>
      <c r="AP182" s="7">
        <v>15289.854043870042</v>
      </c>
      <c r="AQ182" s="7">
        <v>569.0773740683566</v>
      </c>
      <c r="AR182" s="7">
        <v>-1275.1081706269556</v>
      </c>
      <c r="AS182" s="7">
        <v>2380.491571613195</v>
      </c>
      <c r="AT182" s="7">
        <v>175.25624903224164</v>
      </c>
      <c r="AU182" s="7">
        <v>-408.1590682478433</v>
      </c>
    </row>
    <row r="183" spans="1:47" x14ac:dyDescent="0.25">
      <c r="A183" s="7" t="s">
        <v>546</v>
      </c>
      <c r="B183" s="7">
        <v>6</v>
      </c>
      <c r="C183" s="19">
        <v>300</v>
      </c>
      <c r="D183" s="7" t="s">
        <v>547</v>
      </c>
      <c r="E183" s="7" t="s">
        <v>614</v>
      </c>
      <c r="F183" s="20">
        <v>299.99999999999994</v>
      </c>
      <c r="G183" s="7" t="s">
        <v>194</v>
      </c>
      <c r="H183" s="21">
        <v>1</v>
      </c>
      <c r="I183" s="11">
        <f>MAX(('Geometry'!$G$13*COS(RADIANS(F183))+'Geometry'!$F$13*SIN(RADIANS(F183))),('Geometry'!$G$14*COS(RADIANS(F183))+'Geometry'!$F$14*SIN(RADIANS(F183))),('Geometry'!$G$15*COS(RADIANS(F183))+'Geometry'!$F$15*SIN(RADIANS(F183))),('Geometry'!$G$16*COS(RADIANS(F183))+'Geometry'!$F$16*SIN(RADIANS(F183))),('Geometry'!$G$17*COS(RADIANS(F183))+'Geometry'!$F$17*SIN(RADIANS(F183))),('Geometry'!$G$18*COS(RADIANS(F183))+'Geometry'!$F$18*SIN(RADIANS(F183))),('Geometry'!$G$19*COS(RADIANS(F183))+'Geometry'!$F$19*SIN(RADIANS(F183))),('Geometry'!$G$20*COS(RADIANS(F183))+'Geometry'!$F$20*SIN(RADIANS(F183))))</f>
        <v>849.519052838329</v>
      </c>
      <c r="J183" s="11">
        <f>I183-H183*K183</f>
        <v>-849.519052838329</v>
      </c>
      <c r="K183" s="11">
        <f>I183-MIN(('Geometry'!$G$13*COS(RADIANS(F183))+'Geometry'!$F$13*SIN(RADIANS(F183))),('Geometry'!$G$14*COS(RADIANS(F183))+'Geometry'!$F$14*SIN(RADIANS(F183))),('Geometry'!$G$15*COS(RADIANS(F183))+'Geometry'!$F$15*SIN(RADIANS(F183))),('Geometry'!$G$16*COS(RADIANS(F183))+'Geometry'!$F$16*SIN(RADIANS(F183))),('Geometry'!$G$17*COS(RADIANS(F183))+'Geometry'!$F$17*SIN(RADIANS(F183))),('Geometry'!$G$18*COS(RADIANS(F183))+'Geometry'!$F$18*SIN(RADIANS(F183))),('Geometry'!$G$19*COS(RADIANS(F183))+'Geometry'!$F$19*SIN(RADIANS(F183))),('Geometry'!$G$20*COS(RADIANS(F183))+'Geometry'!$F$20*SIN(RADIANS(F183))))</f>
        <v>1699.038105676658</v>
      </c>
      <c r="L183" s="16">
        <f>C_ecu</f>
        <v>0.0033</v>
      </c>
      <c r="M183" s="16">
        <f>0</f>
        <v>0</v>
      </c>
      <c r="N183" s="22">
        <f>IF(ABS(I183-J183)&lt;0.000000000001,0,(L183-M183)/(I183-J183))</f>
        <v>0.000001942275449252354</v>
      </c>
      <c r="O183" s="16">
        <f>L183-N183*I183</f>
        <v>0.00165</v>
      </c>
      <c r="P183" s="22">
        <f>N183*COS(RADIANS(F183))</f>
        <v>9.711377246261758e-7</v>
      </c>
      <c r="Q183" s="22">
        <f>N183*SIN(RADIANS(F183))</f>
        <v>-0.0000016820598801993728</v>
      </c>
      <c r="R183" s="11">
        <f>AP183</f>
        <v>15289.854043870042</v>
      </c>
      <c r="S183" s="11">
        <f>AQ183</f>
        <v>682.8928488820279</v>
      </c>
      <c r="T183" s="11">
        <f>AR183</f>
        <v>-1530.1298047523464</v>
      </c>
      <c r="U183" s="11">
        <f>AS183</f>
        <v>2380.491571613195</v>
      </c>
      <c r="V183" s="11">
        <f>AT183</f>
        <v>210.30749883868995</v>
      </c>
      <c r="W183" s="11">
        <f>AU183</f>
        <v>-489.790881897412</v>
      </c>
      <c r="X183" s="11">
        <f>AM183</f>
        <v>17670.345615483235</v>
      </c>
      <c r="Y183" s="11">
        <f>AN183</f>
        <v>893.2003477207178</v>
      </c>
      <c r="Z183" s="11">
        <f>AO183</f>
        <v>-2019.9206866497586</v>
      </c>
      <c r="AA183" s="7">
        <v>1</v>
      </c>
      <c r="AB183" s="7">
        <v>1</v>
      </c>
      <c r="AC183" s="7">
        <v>1</v>
      </c>
      <c r="AD183" s="11">
        <f>X183*AA183</f>
        <v>17670.345615483235</v>
      </c>
      <c r="AE183" s="11">
        <f>Y183*AB183</f>
        <v>893.2003477207178</v>
      </c>
      <c r="AF183" s="11">
        <f>Z183*AC183</f>
        <v>-2019.9206866497586</v>
      </c>
      <c r="AG183" s="7">
        <v>17670.345615483235</v>
      </c>
      <c r="AH183" s="7">
        <v>893.2003477207178</v>
      </c>
      <c r="AI183" s="7">
        <v>-2019.9206866497586</v>
      </c>
      <c r="AJ183" s="16">
        <f>AD183-AG183</f>
        <v>0</v>
      </c>
      <c r="AK183" s="16">
        <f>SQRT((AE183-AH183)^2+(AF183-AI183)^2)</f>
        <v>0</v>
      </c>
      <c r="AL183" s="7" t="s">
        <v>190</v>
      </c>
      <c r="AM183" s="7">
        <v>17670.345615483235</v>
      </c>
      <c r="AN183" s="7">
        <v>893.2003477207178</v>
      </c>
      <c r="AO183" s="7">
        <v>-2019.9206866497586</v>
      </c>
      <c r="AP183" s="7">
        <v>15289.854043870042</v>
      </c>
      <c r="AQ183" s="7">
        <v>682.8928488820279</v>
      </c>
      <c r="AR183" s="7">
        <v>-1530.1298047523464</v>
      </c>
      <c r="AS183" s="7">
        <v>2380.491571613195</v>
      </c>
      <c r="AT183" s="7">
        <v>210.30749883868995</v>
      </c>
      <c r="AU183" s="7">
        <v>-489.790881897412</v>
      </c>
    </row>
    <row r="184" spans="1:47" x14ac:dyDescent="0.25">
      <c r="A184" s="7" t="s">
        <v>548</v>
      </c>
      <c r="B184" s="7">
        <v>1</v>
      </c>
      <c r="C184" s="19">
        <v>310</v>
      </c>
      <c r="D184" s="7" t="s">
        <v>549</v>
      </c>
      <c r="E184" s="7" t="s">
        <v>609</v>
      </c>
      <c r="F184" s="20">
        <v>310</v>
      </c>
      <c r="G184" s="7" t="s">
        <v>194</v>
      </c>
      <c r="H184" s="21">
        <v>3</v>
      </c>
      <c r="I184" s="11">
        <f>MAX(('Geometry'!$G$13*COS(RADIANS(F184))+'Geometry'!$F$13*SIN(RADIANS(F184))),('Geometry'!$G$14*COS(RADIANS(F184))+'Geometry'!$F$14*SIN(RADIANS(F184))),('Geometry'!$G$15*COS(RADIANS(F184))+'Geometry'!$F$15*SIN(RADIANS(F184))),('Geometry'!$G$16*COS(RADIANS(F184))+'Geometry'!$F$16*SIN(RADIANS(F184))),('Geometry'!$G$17*COS(RADIANS(F184))+'Geometry'!$F$17*SIN(RADIANS(F184))),('Geometry'!$G$18*COS(RADIANS(F184))+'Geometry'!$F$18*SIN(RADIANS(F184))),('Geometry'!$G$19*COS(RADIANS(F184))+'Geometry'!$F$19*SIN(RADIANS(F184))),('Geometry'!$G$20*COS(RADIANS(F184))+'Geometry'!$F$20*SIN(RADIANS(F184))))</f>
        <v>831.6483762138492</v>
      </c>
      <c r="J184" s="11">
        <f>I184-H184*K184</f>
        <v>-4158.241881069246</v>
      </c>
      <c r="K184" s="11">
        <f>I184-MIN(('Geometry'!$G$13*COS(RADIANS(F184))+'Geometry'!$F$13*SIN(RADIANS(F184))),('Geometry'!$G$14*COS(RADIANS(F184))+'Geometry'!$F$14*SIN(RADIANS(F184))),('Geometry'!$G$15*COS(RADIANS(F184))+'Geometry'!$F$15*SIN(RADIANS(F184))),('Geometry'!$G$16*COS(RADIANS(F184))+'Geometry'!$F$16*SIN(RADIANS(F184))),('Geometry'!$G$17*COS(RADIANS(F184))+'Geometry'!$F$17*SIN(RADIANS(F184))),('Geometry'!$G$18*COS(RADIANS(F184))+'Geometry'!$F$18*SIN(RADIANS(F184))),('Geometry'!$G$19*COS(RADIANS(F184))+'Geometry'!$F$19*SIN(RADIANS(F184))),('Geometry'!$G$20*COS(RADIANS(F184))+'Geometry'!$F$20*SIN(RADIANS(F184))))</f>
        <v>1663.2967524276985</v>
      </c>
      <c r="L184" s="16">
        <f>C_ecu</f>
        <v>0.0033</v>
      </c>
      <c r="M184" s="16">
        <f>0</f>
        <v>0</v>
      </c>
      <c r="N184" s="22">
        <f>IF(ABS(I184-J184)&lt;0.000000000001,0,(L184-M184)/(I184-J184))</f>
        <v>6.613371897675341e-7</v>
      </c>
      <c r="O184" s="16">
        <f>L184-N184*I184</f>
        <v>0.00275</v>
      </c>
      <c r="P184" s="22">
        <f>N184*COS(RADIANS(F184))</f>
        <v>4.250993514074864e-7</v>
      </c>
      <c r="Q184" s="22">
        <f>N184*SIN(RADIANS(F184))</f>
        <v>-5.066136792493406e-7</v>
      </c>
      <c r="R184" s="11">
        <f>AP184</f>
        <v>15287.73838545838</v>
      </c>
      <c r="S184" s="11">
        <f>AQ184</f>
        <v>147.09528012888615</v>
      </c>
      <c r="T184" s="11">
        <f>AR184</f>
        <v>-232.80785048838624</v>
      </c>
      <c r="U184" s="11">
        <f>AS184</f>
        <v>2382.607230024855</v>
      </c>
      <c r="V184" s="11">
        <f>AT184</f>
        <v>46.60231665844286</v>
      </c>
      <c r="W184" s="11">
        <f>AU184</f>
        <v>-73.95919057183652</v>
      </c>
      <c r="X184" s="11">
        <f>AM184</f>
        <v>17670.345615483235</v>
      </c>
      <c r="Y184" s="11">
        <f>AN184</f>
        <v>193.697596787329</v>
      </c>
      <c r="Z184" s="11">
        <f>AO184</f>
        <v>-306.76704106022277</v>
      </c>
      <c r="AA184" s="7">
        <v>1</v>
      </c>
      <c r="AB184" s="7">
        <v>1</v>
      </c>
      <c r="AC184" s="7">
        <v>1</v>
      </c>
      <c r="AD184" s="11">
        <f>X184*AA184</f>
        <v>17670.345615483235</v>
      </c>
      <c r="AE184" s="11">
        <f>Y184*AB184</f>
        <v>193.697596787329</v>
      </c>
      <c r="AF184" s="11">
        <f>Z184*AC184</f>
        <v>-306.76704106022277</v>
      </c>
      <c r="AG184" s="7">
        <v>17670.345615483235</v>
      </c>
      <c r="AH184" s="7">
        <v>193.697596787329</v>
      </c>
      <c r="AI184" s="7">
        <v>-306.76704106022277</v>
      </c>
      <c r="AJ184" s="16">
        <f>AD184-AG184</f>
        <v>0</v>
      </c>
      <c r="AK184" s="16">
        <f>SQRT((AE184-AH184)^2+(AF184-AI184)^2)</f>
        <v>0</v>
      </c>
      <c r="AL184" s="7" t="s">
        <v>190</v>
      </c>
      <c r="AM184" s="7">
        <v>17670.345615483235</v>
      </c>
      <c r="AN184" s="7">
        <v>193.697596787329</v>
      </c>
      <c r="AO184" s="7">
        <v>-306.76704106022277</v>
      </c>
      <c r="AP184" s="7">
        <v>15287.73838545838</v>
      </c>
      <c r="AQ184" s="7">
        <v>147.09528012888615</v>
      </c>
      <c r="AR184" s="7">
        <v>-232.80785048838624</v>
      </c>
      <c r="AS184" s="7">
        <v>2382.607230024855</v>
      </c>
      <c r="AT184" s="7">
        <v>46.60231665844286</v>
      </c>
      <c r="AU184" s="7">
        <v>-73.95919057183652</v>
      </c>
    </row>
    <row r="185" spans="1:47" x14ac:dyDescent="0.25">
      <c r="A185" s="7" t="s">
        <v>550</v>
      </c>
      <c r="B185" s="7">
        <v>2</v>
      </c>
      <c r="C185" s="19">
        <v>310</v>
      </c>
      <c r="D185" s="7" t="s">
        <v>551</v>
      </c>
      <c r="E185" s="7" t="s">
        <v>610</v>
      </c>
      <c r="F185" s="20">
        <v>310</v>
      </c>
      <c r="G185" s="7" t="s">
        <v>194</v>
      </c>
      <c r="H185" s="21">
        <v>1.9999999999999998</v>
      </c>
      <c r="I185" s="11">
        <f>MAX(('Geometry'!$G$13*COS(RADIANS(F185))+'Geometry'!$F$13*SIN(RADIANS(F185))),('Geometry'!$G$14*COS(RADIANS(F185))+'Geometry'!$F$14*SIN(RADIANS(F185))),('Geometry'!$G$15*COS(RADIANS(F185))+'Geometry'!$F$15*SIN(RADIANS(F185))),('Geometry'!$G$16*COS(RADIANS(F185))+'Geometry'!$F$16*SIN(RADIANS(F185))),('Geometry'!$G$17*COS(RADIANS(F185))+'Geometry'!$F$17*SIN(RADIANS(F185))),('Geometry'!$G$18*COS(RADIANS(F185))+'Geometry'!$F$18*SIN(RADIANS(F185))),('Geometry'!$G$19*COS(RADIANS(F185))+'Geometry'!$F$19*SIN(RADIANS(F185))),('Geometry'!$G$20*COS(RADIANS(F185))+'Geometry'!$F$20*SIN(RADIANS(F185))))</f>
        <v>831.6483762138492</v>
      </c>
      <c r="J185" s="11">
        <f>I185-H185*K185</f>
        <v>-2494.9451286415474</v>
      </c>
      <c r="K185" s="11">
        <f>I185-MIN(('Geometry'!$G$13*COS(RADIANS(F185))+'Geometry'!$F$13*SIN(RADIANS(F185))),('Geometry'!$G$14*COS(RADIANS(F185))+'Geometry'!$F$14*SIN(RADIANS(F185))),('Geometry'!$G$15*COS(RADIANS(F185))+'Geometry'!$F$15*SIN(RADIANS(F185))),('Geometry'!$G$16*COS(RADIANS(F185))+'Geometry'!$F$16*SIN(RADIANS(F185))),('Geometry'!$G$17*COS(RADIANS(F185))+'Geometry'!$F$17*SIN(RADIANS(F185))),('Geometry'!$G$18*COS(RADIANS(F185))+'Geometry'!$F$18*SIN(RADIANS(F185))),('Geometry'!$G$19*COS(RADIANS(F185))+'Geometry'!$F$19*SIN(RADIANS(F185))),('Geometry'!$G$20*COS(RADIANS(F185))+'Geometry'!$F$20*SIN(RADIANS(F185))))</f>
        <v>1663.2967524276985</v>
      </c>
      <c r="L185" s="16">
        <f>C_ecu</f>
        <v>0.0033</v>
      </c>
      <c r="M185" s="16">
        <f>0</f>
        <v>0</v>
      </c>
      <c r="N185" s="22">
        <f>IF(ABS(I185-J185)&lt;0.000000000001,0,(L185-M185)/(I185-J185))</f>
        <v>9.920057846513012e-7</v>
      </c>
      <c r="O185" s="16">
        <f>L185-N185*I185</f>
        <v>0.0024749999999999998</v>
      </c>
      <c r="P185" s="22">
        <f>N185*COS(RADIANS(F185))</f>
        <v>6.376490271112297e-7</v>
      </c>
      <c r="Q185" s="22">
        <f>N185*SIN(RADIANS(F185))</f>
        <v>-7.59920518874011e-7</v>
      </c>
      <c r="R185" s="11">
        <f>AP185</f>
        <v>15287.73838545838</v>
      </c>
      <c r="S185" s="11">
        <f>AQ185</f>
        <v>294.1905602577723</v>
      </c>
      <c r="T185" s="11">
        <f>AR185</f>
        <v>-465.6157009767725</v>
      </c>
      <c r="U185" s="11">
        <f>AS185</f>
        <v>2382.607230024855</v>
      </c>
      <c r="V185" s="11">
        <f>AT185</f>
        <v>93.20463331688572</v>
      </c>
      <c r="W185" s="11">
        <f>AU185</f>
        <v>-147.91838114367303</v>
      </c>
      <c r="X185" s="11">
        <f>AM185</f>
        <v>17670.345615483235</v>
      </c>
      <c r="Y185" s="11">
        <f>AN185</f>
        <v>387.395193574658</v>
      </c>
      <c r="Z185" s="11">
        <f>AO185</f>
        <v>-613.5340821204455</v>
      </c>
      <c r="AA185" s="7">
        <v>1</v>
      </c>
      <c r="AB185" s="7">
        <v>1</v>
      </c>
      <c r="AC185" s="7">
        <v>1</v>
      </c>
      <c r="AD185" s="11">
        <f>X185*AA185</f>
        <v>17670.345615483235</v>
      </c>
      <c r="AE185" s="11">
        <f>Y185*AB185</f>
        <v>387.395193574658</v>
      </c>
      <c r="AF185" s="11">
        <f>Z185*AC185</f>
        <v>-613.5340821204455</v>
      </c>
      <c r="AG185" s="7">
        <v>17670.345615483235</v>
      </c>
      <c r="AH185" s="7">
        <v>387.395193574658</v>
      </c>
      <c r="AI185" s="7">
        <v>-613.5340821204455</v>
      </c>
      <c r="AJ185" s="16">
        <f>AD185-AG185</f>
        <v>0</v>
      </c>
      <c r="AK185" s="16">
        <f>SQRT((AE185-AH185)^2+(AF185-AI185)^2)</f>
        <v>0</v>
      </c>
      <c r="AL185" s="7" t="s">
        <v>190</v>
      </c>
      <c r="AM185" s="7">
        <v>17670.345615483235</v>
      </c>
      <c r="AN185" s="7">
        <v>387.395193574658</v>
      </c>
      <c r="AO185" s="7">
        <v>-613.5340821204455</v>
      </c>
      <c r="AP185" s="7">
        <v>15287.73838545838</v>
      </c>
      <c r="AQ185" s="7">
        <v>294.1905602577723</v>
      </c>
      <c r="AR185" s="7">
        <v>-465.6157009767725</v>
      </c>
      <c r="AS185" s="7">
        <v>2382.607230024855</v>
      </c>
      <c r="AT185" s="7">
        <v>93.20463331688572</v>
      </c>
      <c r="AU185" s="7">
        <v>-147.91838114367303</v>
      </c>
    </row>
    <row r="186" spans="1:47" x14ac:dyDescent="0.25">
      <c r="A186" s="7" t="s">
        <v>552</v>
      </c>
      <c r="B186" s="7">
        <v>3</v>
      </c>
      <c r="C186" s="19">
        <v>310</v>
      </c>
      <c r="D186" s="7" t="s">
        <v>553</v>
      </c>
      <c r="E186" s="7" t="s">
        <v>611</v>
      </c>
      <c r="F186" s="20">
        <v>310</v>
      </c>
      <c r="G186" s="7" t="s">
        <v>194</v>
      </c>
      <c r="H186" s="21">
        <v>1.4999999999999998</v>
      </c>
      <c r="I186" s="11">
        <f>MAX(('Geometry'!$G$13*COS(RADIANS(F186))+'Geometry'!$F$13*SIN(RADIANS(F186))),('Geometry'!$G$14*COS(RADIANS(F186))+'Geometry'!$F$14*SIN(RADIANS(F186))),('Geometry'!$G$15*COS(RADIANS(F186))+'Geometry'!$F$15*SIN(RADIANS(F186))),('Geometry'!$G$16*COS(RADIANS(F186))+'Geometry'!$F$16*SIN(RADIANS(F186))),('Geometry'!$G$17*COS(RADIANS(F186))+'Geometry'!$F$17*SIN(RADIANS(F186))),('Geometry'!$G$18*COS(RADIANS(F186))+'Geometry'!$F$18*SIN(RADIANS(F186))),('Geometry'!$G$19*COS(RADIANS(F186))+'Geometry'!$F$19*SIN(RADIANS(F186))),('Geometry'!$G$20*COS(RADIANS(F186))+'Geometry'!$F$20*SIN(RADIANS(F186))))</f>
        <v>831.6483762138492</v>
      </c>
      <c r="J186" s="11">
        <f>I186-H186*K186</f>
        <v>-1663.2967524276983</v>
      </c>
      <c r="K186" s="11">
        <f>I186-MIN(('Geometry'!$G$13*COS(RADIANS(F186))+'Geometry'!$F$13*SIN(RADIANS(F186))),('Geometry'!$G$14*COS(RADIANS(F186))+'Geometry'!$F$14*SIN(RADIANS(F186))),('Geometry'!$G$15*COS(RADIANS(F186))+'Geometry'!$F$15*SIN(RADIANS(F186))),('Geometry'!$G$16*COS(RADIANS(F186))+'Geometry'!$F$16*SIN(RADIANS(F186))),('Geometry'!$G$17*COS(RADIANS(F186))+'Geometry'!$F$17*SIN(RADIANS(F186))),('Geometry'!$G$18*COS(RADIANS(F186))+'Geometry'!$F$18*SIN(RADIANS(F186))),('Geometry'!$G$19*COS(RADIANS(F186))+'Geometry'!$F$19*SIN(RADIANS(F186))),('Geometry'!$G$20*COS(RADIANS(F186))+'Geometry'!$F$20*SIN(RADIANS(F186))))</f>
        <v>1663.2967524276985</v>
      </c>
      <c r="L186" s="16">
        <f>C_ecu</f>
        <v>0.0033</v>
      </c>
      <c r="M186" s="16">
        <f>0</f>
        <v>0</v>
      </c>
      <c r="N186" s="22">
        <f>IF(ABS(I186-J186)&lt;0.000000000001,0,(L186-M186)/(I186-J186))</f>
        <v>0.0000013226743795350681</v>
      </c>
      <c r="O186" s="16">
        <f>L186-N186*I186</f>
        <v>0.0021999999999999997</v>
      </c>
      <c r="P186" s="22">
        <f>N186*COS(RADIANS(F186))</f>
        <v>8.501987028149728e-7</v>
      </c>
      <c r="Q186" s="22">
        <f>N186*SIN(RADIANS(F186))</f>
        <v>-0.0000010132273584986811</v>
      </c>
      <c r="R186" s="11">
        <f>AP186</f>
        <v>15287.73838545838</v>
      </c>
      <c r="S186" s="11">
        <f>AQ186</f>
        <v>441.28584038665844</v>
      </c>
      <c r="T186" s="11">
        <f>AR186</f>
        <v>-698.4235514651588</v>
      </c>
      <c r="U186" s="11">
        <f>AS186</f>
        <v>2382.607230024855</v>
      </c>
      <c r="V186" s="11">
        <f>AT186</f>
        <v>139.8069499753286</v>
      </c>
      <c r="W186" s="11">
        <f>AU186</f>
        <v>-221.87757171550956</v>
      </c>
      <c r="X186" s="11">
        <f>AM186</f>
        <v>17670.345615483235</v>
      </c>
      <c r="Y186" s="11">
        <f>AN186</f>
        <v>581.0927903619871</v>
      </c>
      <c r="Z186" s="11">
        <f>AO186</f>
        <v>-920.3011231806684</v>
      </c>
      <c r="AA186" s="7">
        <v>1</v>
      </c>
      <c r="AB186" s="7">
        <v>1</v>
      </c>
      <c r="AC186" s="7">
        <v>1</v>
      </c>
      <c r="AD186" s="11">
        <f>X186*AA186</f>
        <v>17670.345615483235</v>
      </c>
      <c r="AE186" s="11">
        <f>Y186*AB186</f>
        <v>581.0927903619871</v>
      </c>
      <c r="AF186" s="11">
        <f>Z186*AC186</f>
        <v>-920.3011231806684</v>
      </c>
      <c r="AG186" s="7">
        <v>17670.345615483235</v>
      </c>
      <c r="AH186" s="7">
        <v>581.0927903619871</v>
      </c>
      <c r="AI186" s="7">
        <v>-920.3011231806684</v>
      </c>
      <c r="AJ186" s="16">
        <f>AD186-AG186</f>
        <v>0</v>
      </c>
      <c r="AK186" s="16">
        <f>SQRT((AE186-AH186)^2+(AF186-AI186)^2)</f>
        <v>0</v>
      </c>
      <c r="AL186" s="7" t="s">
        <v>190</v>
      </c>
      <c r="AM186" s="7">
        <v>17670.345615483235</v>
      </c>
      <c r="AN186" s="7">
        <v>581.0927903619871</v>
      </c>
      <c r="AO186" s="7">
        <v>-920.3011231806684</v>
      </c>
      <c r="AP186" s="7">
        <v>15287.73838545838</v>
      </c>
      <c r="AQ186" s="7">
        <v>441.28584038665844</v>
      </c>
      <c r="AR186" s="7">
        <v>-698.4235514651588</v>
      </c>
      <c r="AS186" s="7">
        <v>2382.607230024855</v>
      </c>
      <c r="AT186" s="7">
        <v>139.8069499753286</v>
      </c>
      <c r="AU186" s="7">
        <v>-221.87757171550956</v>
      </c>
    </row>
    <row r="187" spans="1:47" x14ac:dyDescent="0.25">
      <c r="A187" s="7" t="s">
        <v>554</v>
      </c>
      <c r="B187" s="7">
        <v>4</v>
      </c>
      <c r="C187" s="19">
        <v>310</v>
      </c>
      <c r="D187" s="7" t="s">
        <v>555</v>
      </c>
      <c r="E187" s="7" t="s">
        <v>612</v>
      </c>
      <c r="F187" s="20">
        <v>310</v>
      </c>
      <c r="G187" s="7" t="s">
        <v>194</v>
      </c>
      <c r="H187" s="21">
        <v>1.1999999999999997</v>
      </c>
      <c r="I187" s="11">
        <f>MAX(('Geometry'!$G$13*COS(RADIANS(F187))+'Geometry'!$F$13*SIN(RADIANS(F187))),('Geometry'!$G$14*COS(RADIANS(F187))+'Geometry'!$F$14*SIN(RADIANS(F187))),('Geometry'!$G$15*COS(RADIANS(F187))+'Geometry'!$F$15*SIN(RADIANS(F187))),('Geometry'!$G$16*COS(RADIANS(F187))+'Geometry'!$F$16*SIN(RADIANS(F187))),('Geometry'!$G$17*COS(RADIANS(F187))+'Geometry'!$F$17*SIN(RADIANS(F187))),('Geometry'!$G$18*COS(RADIANS(F187))+'Geometry'!$F$18*SIN(RADIANS(F187))),('Geometry'!$G$19*COS(RADIANS(F187))+'Geometry'!$F$19*SIN(RADIANS(F187))),('Geometry'!$G$20*COS(RADIANS(F187))+'Geometry'!$F$20*SIN(RADIANS(F187))))</f>
        <v>831.6483762138492</v>
      </c>
      <c r="J187" s="11">
        <f>I187-H187*K187</f>
        <v>-1164.3077266993885</v>
      </c>
      <c r="K187" s="11">
        <f>I187-MIN(('Geometry'!$G$13*COS(RADIANS(F187))+'Geometry'!$F$13*SIN(RADIANS(F187))),('Geometry'!$G$14*COS(RADIANS(F187))+'Geometry'!$F$14*SIN(RADIANS(F187))),('Geometry'!$G$15*COS(RADIANS(F187))+'Geometry'!$F$15*SIN(RADIANS(F187))),('Geometry'!$G$16*COS(RADIANS(F187))+'Geometry'!$F$16*SIN(RADIANS(F187))),('Geometry'!$G$17*COS(RADIANS(F187))+'Geometry'!$F$17*SIN(RADIANS(F187))),('Geometry'!$G$18*COS(RADIANS(F187))+'Geometry'!$F$18*SIN(RADIANS(F187))),('Geometry'!$G$19*COS(RADIANS(F187))+'Geometry'!$F$19*SIN(RADIANS(F187))),('Geometry'!$G$20*COS(RADIANS(F187))+'Geometry'!$F$20*SIN(RADIANS(F187))))</f>
        <v>1663.2967524276985</v>
      </c>
      <c r="L187" s="16">
        <f>C_ecu</f>
        <v>0.0033</v>
      </c>
      <c r="M187" s="16">
        <f>0</f>
        <v>0</v>
      </c>
      <c r="N187" s="22">
        <f>IF(ABS(I187-J187)&lt;0.000000000001,0,(L187-M187)/(I187-J187))</f>
        <v>0.0000016533429744188357</v>
      </c>
      <c r="O187" s="16">
        <f>L187-N187*I187</f>
        <v>0.0019249999999999998</v>
      </c>
      <c r="P187" s="22">
        <f>N187*COS(RADIANS(F187))</f>
        <v>0.0000010627483785187164</v>
      </c>
      <c r="Q187" s="22">
        <f>N187*SIN(RADIANS(F187))</f>
        <v>-0.0000012665341981233517</v>
      </c>
      <c r="R187" s="11">
        <f>AP187</f>
        <v>15287.73838545838</v>
      </c>
      <c r="S187" s="11">
        <f>AQ187</f>
        <v>588.3811205155446</v>
      </c>
      <c r="T187" s="11">
        <f>AR187</f>
        <v>-931.231401953545</v>
      </c>
      <c r="U187" s="11">
        <f>AS187</f>
        <v>2382.607230024855</v>
      </c>
      <c r="V187" s="11">
        <f>AT187</f>
        <v>186.40926663377144</v>
      </c>
      <c r="W187" s="11">
        <f>AU187</f>
        <v>-295.83676228734606</v>
      </c>
      <c r="X187" s="11">
        <f>AM187</f>
        <v>17670.345615483235</v>
      </c>
      <c r="Y187" s="11">
        <f>AN187</f>
        <v>774.790387149316</v>
      </c>
      <c r="Z187" s="11">
        <f>AO187</f>
        <v>-1227.068164240891</v>
      </c>
      <c r="AA187" s="7">
        <v>1</v>
      </c>
      <c r="AB187" s="7">
        <v>1</v>
      </c>
      <c r="AC187" s="7">
        <v>1</v>
      </c>
      <c r="AD187" s="11">
        <f>X187*AA187</f>
        <v>17670.345615483235</v>
      </c>
      <c r="AE187" s="11">
        <f>Y187*AB187</f>
        <v>774.790387149316</v>
      </c>
      <c r="AF187" s="11">
        <f>Z187*AC187</f>
        <v>-1227.068164240891</v>
      </c>
      <c r="AG187" s="7">
        <v>17670.345615483235</v>
      </c>
      <c r="AH187" s="7">
        <v>774.790387149316</v>
      </c>
      <c r="AI187" s="7">
        <v>-1227.068164240891</v>
      </c>
      <c r="AJ187" s="16">
        <f>AD187-AG187</f>
        <v>0</v>
      </c>
      <c r="AK187" s="16">
        <f>SQRT((AE187-AH187)^2+(AF187-AI187)^2)</f>
        <v>0</v>
      </c>
      <c r="AL187" s="7" t="s">
        <v>190</v>
      </c>
      <c r="AM187" s="7">
        <v>17670.345615483235</v>
      </c>
      <c r="AN187" s="7">
        <v>774.790387149316</v>
      </c>
      <c r="AO187" s="7">
        <v>-1227.068164240891</v>
      </c>
      <c r="AP187" s="7">
        <v>15287.73838545838</v>
      </c>
      <c r="AQ187" s="7">
        <v>588.3811205155446</v>
      </c>
      <c r="AR187" s="7">
        <v>-931.231401953545</v>
      </c>
      <c r="AS187" s="7">
        <v>2382.607230024855</v>
      </c>
      <c r="AT187" s="7">
        <v>186.40926663377144</v>
      </c>
      <c r="AU187" s="7">
        <v>-295.83676228734606</v>
      </c>
    </row>
    <row r="188" spans="1:47" x14ac:dyDescent="0.25">
      <c r="A188" s="7" t="s">
        <v>556</v>
      </c>
      <c r="B188" s="7">
        <v>5</v>
      </c>
      <c r="C188" s="19">
        <v>310</v>
      </c>
      <c r="D188" s="7" t="s">
        <v>557</v>
      </c>
      <c r="E188" s="7" t="s">
        <v>613</v>
      </c>
      <c r="F188" s="20">
        <v>310</v>
      </c>
      <c r="G188" s="7" t="s">
        <v>194</v>
      </c>
      <c r="H188" s="21">
        <v>1.1</v>
      </c>
      <c r="I188" s="11">
        <f>MAX(('Geometry'!$G$13*COS(RADIANS(F188))+'Geometry'!$F$13*SIN(RADIANS(F188))),('Geometry'!$G$14*COS(RADIANS(F188))+'Geometry'!$F$14*SIN(RADIANS(F188))),('Geometry'!$G$15*COS(RADIANS(F188))+'Geometry'!$F$15*SIN(RADIANS(F188))),('Geometry'!$G$16*COS(RADIANS(F188))+'Geometry'!$F$16*SIN(RADIANS(F188))),('Geometry'!$G$17*COS(RADIANS(F188))+'Geometry'!$F$17*SIN(RADIANS(F188))),('Geometry'!$G$18*COS(RADIANS(F188))+'Geometry'!$F$18*SIN(RADIANS(F188))),('Geometry'!$G$19*COS(RADIANS(F188))+'Geometry'!$F$19*SIN(RADIANS(F188))),('Geometry'!$G$20*COS(RADIANS(F188))+'Geometry'!$F$20*SIN(RADIANS(F188))))</f>
        <v>831.6483762138492</v>
      </c>
      <c r="J188" s="11">
        <f>I188-H188*K188</f>
        <v>-997.9780514566193</v>
      </c>
      <c r="K188" s="11">
        <f>I188-MIN(('Geometry'!$G$13*COS(RADIANS(F188))+'Geometry'!$F$13*SIN(RADIANS(F188))),('Geometry'!$G$14*COS(RADIANS(F188))+'Geometry'!$F$14*SIN(RADIANS(F188))),('Geometry'!$G$15*COS(RADIANS(F188))+'Geometry'!$F$15*SIN(RADIANS(F188))),('Geometry'!$G$16*COS(RADIANS(F188))+'Geometry'!$F$16*SIN(RADIANS(F188))),('Geometry'!$G$17*COS(RADIANS(F188))+'Geometry'!$F$17*SIN(RADIANS(F188))),('Geometry'!$G$18*COS(RADIANS(F188))+'Geometry'!$F$18*SIN(RADIANS(F188))),('Geometry'!$G$19*COS(RADIANS(F188))+'Geometry'!$F$19*SIN(RADIANS(F188))),('Geometry'!$G$20*COS(RADIANS(F188))+'Geometry'!$F$20*SIN(RADIANS(F188))))</f>
        <v>1663.2967524276985</v>
      </c>
      <c r="L188" s="16">
        <f>C_ecu</f>
        <v>0.0033</v>
      </c>
      <c r="M188" s="16">
        <f>0</f>
        <v>0</v>
      </c>
      <c r="N188" s="22">
        <f>IF(ABS(I188-J188)&lt;0.000000000001,0,(L188-M188)/(I188-J188))</f>
        <v>0.0000018036468811841838</v>
      </c>
      <c r="O188" s="16">
        <f>L188-N188*I188</f>
        <v>0.0018000000000000002</v>
      </c>
      <c r="P188" s="22">
        <f>N188*COS(RADIANS(F188))</f>
        <v>0.0000011593618674749628</v>
      </c>
      <c r="Q188" s="22">
        <f>N188*SIN(RADIANS(F188))</f>
        <v>-0.0000013816736706800197</v>
      </c>
      <c r="R188" s="11">
        <f>AP188</f>
        <v>15287.73838545838</v>
      </c>
      <c r="S188" s="11">
        <f>AQ188</f>
        <v>735.4764006444307</v>
      </c>
      <c r="T188" s="11">
        <f>AR188</f>
        <v>-1164.0392524419312</v>
      </c>
      <c r="U188" s="11">
        <f>AS188</f>
        <v>2382.607230024855</v>
      </c>
      <c r="V188" s="11">
        <f>AT188</f>
        <v>233.0115832922143</v>
      </c>
      <c r="W188" s="11">
        <f>AU188</f>
        <v>-369.7959528591826</v>
      </c>
      <c r="X188" s="11">
        <f>AM188</f>
        <v>17670.345615483235</v>
      </c>
      <c r="Y188" s="11">
        <f>AN188</f>
        <v>968.487983936645</v>
      </c>
      <c r="Z188" s="11">
        <f>AO188</f>
        <v>-1533.8352053011138</v>
      </c>
      <c r="AA188" s="7">
        <v>1</v>
      </c>
      <c r="AB188" s="7">
        <v>1</v>
      </c>
      <c r="AC188" s="7">
        <v>1</v>
      </c>
      <c r="AD188" s="11">
        <f>X188*AA188</f>
        <v>17670.345615483235</v>
      </c>
      <c r="AE188" s="11">
        <f>Y188*AB188</f>
        <v>968.487983936645</v>
      </c>
      <c r="AF188" s="11">
        <f>Z188*AC188</f>
        <v>-1533.8352053011138</v>
      </c>
      <c r="AG188" s="7">
        <v>17670.345615483235</v>
      </c>
      <c r="AH188" s="7">
        <v>968.487983936645</v>
      </c>
      <c r="AI188" s="7">
        <v>-1533.8352053011138</v>
      </c>
      <c r="AJ188" s="16">
        <f>AD188-AG188</f>
        <v>0</v>
      </c>
      <c r="AK188" s="16">
        <f>SQRT((AE188-AH188)^2+(AF188-AI188)^2)</f>
        <v>0</v>
      </c>
      <c r="AL188" s="7" t="s">
        <v>190</v>
      </c>
      <c r="AM188" s="7">
        <v>17670.345615483235</v>
      </c>
      <c r="AN188" s="7">
        <v>968.487983936645</v>
      </c>
      <c r="AO188" s="7">
        <v>-1533.8352053011138</v>
      </c>
      <c r="AP188" s="7">
        <v>15287.73838545838</v>
      </c>
      <c r="AQ188" s="7">
        <v>735.4764006444307</v>
      </c>
      <c r="AR188" s="7">
        <v>-1164.0392524419312</v>
      </c>
      <c r="AS188" s="7">
        <v>2382.607230024855</v>
      </c>
      <c r="AT188" s="7">
        <v>233.0115832922143</v>
      </c>
      <c r="AU188" s="7">
        <v>-369.7959528591826</v>
      </c>
    </row>
    <row r="189" spans="1:47" x14ac:dyDescent="0.25">
      <c r="A189" s="7" t="s">
        <v>558</v>
      </c>
      <c r="B189" s="7">
        <v>6</v>
      </c>
      <c r="C189" s="19">
        <v>310</v>
      </c>
      <c r="D189" s="7" t="s">
        <v>559</v>
      </c>
      <c r="E189" s="7" t="s">
        <v>614</v>
      </c>
      <c r="F189" s="20">
        <v>310</v>
      </c>
      <c r="G189" s="7" t="s">
        <v>194</v>
      </c>
      <c r="H189" s="21">
        <v>0.9999999999999999</v>
      </c>
      <c r="I189" s="11">
        <f>MAX(('Geometry'!$G$13*COS(RADIANS(F189))+'Geometry'!$F$13*SIN(RADIANS(F189))),('Geometry'!$G$14*COS(RADIANS(F189))+'Geometry'!$F$14*SIN(RADIANS(F189))),('Geometry'!$G$15*COS(RADIANS(F189))+'Geometry'!$F$15*SIN(RADIANS(F189))),('Geometry'!$G$16*COS(RADIANS(F189))+'Geometry'!$F$16*SIN(RADIANS(F189))),('Geometry'!$G$17*COS(RADIANS(F189))+'Geometry'!$F$17*SIN(RADIANS(F189))),('Geometry'!$G$18*COS(RADIANS(F189))+'Geometry'!$F$18*SIN(RADIANS(F189))),('Geometry'!$G$19*COS(RADIANS(F189))+'Geometry'!$F$19*SIN(RADIANS(F189))),('Geometry'!$G$20*COS(RADIANS(F189))+'Geometry'!$F$20*SIN(RADIANS(F189))))</f>
        <v>831.6483762138492</v>
      </c>
      <c r="J189" s="11">
        <f>I189-H189*K189</f>
        <v>-831.648376213849</v>
      </c>
      <c r="K189" s="11">
        <f>I189-MIN(('Geometry'!$G$13*COS(RADIANS(F189))+'Geometry'!$F$13*SIN(RADIANS(F189))),('Geometry'!$G$14*COS(RADIANS(F189))+'Geometry'!$F$14*SIN(RADIANS(F189))),('Geometry'!$G$15*COS(RADIANS(F189))+'Geometry'!$F$15*SIN(RADIANS(F189))),('Geometry'!$G$16*COS(RADIANS(F189))+'Geometry'!$F$16*SIN(RADIANS(F189))),('Geometry'!$G$17*COS(RADIANS(F189))+'Geometry'!$F$17*SIN(RADIANS(F189))),('Geometry'!$G$18*COS(RADIANS(F189))+'Geometry'!$F$18*SIN(RADIANS(F189))),('Geometry'!$G$19*COS(RADIANS(F189))+'Geometry'!$F$19*SIN(RADIANS(F189))),('Geometry'!$G$20*COS(RADIANS(F189))+'Geometry'!$F$20*SIN(RADIANS(F189))))</f>
        <v>1663.2967524276985</v>
      </c>
      <c r="L189" s="16">
        <f>C_ecu</f>
        <v>0.0033</v>
      </c>
      <c r="M189" s="16">
        <f>0</f>
        <v>0</v>
      </c>
      <c r="N189" s="22">
        <f>IF(ABS(I189-J189)&lt;0.000000000001,0,(L189-M189)/(I189-J189))</f>
        <v>0.0000019840115693026024</v>
      </c>
      <c r="O189" s="16">
        <f>L189-N189*I189</f>
        <v>0.0016499999999999998</v>
      </c>
      <c r="P189" s="22">
        <f>N189*COS(RADIANS(F189))</f>
        <v>0.0000012752980542224595</v>
      </c>
      <c r="Q189" s="22">
        <f>N189*SIN(RADIANS(F189))</f>
        <v>-0.000001519841037748022</v>
      </c>
      <c r="R189" s="11">
        <f>AP189</f>
        <v>15287.73838545838</v>
      </c>
      <c r="S189" s="11">
        <f>AQ189</f>
        <v>882.5716807733169</v>
      </c>
      <c r="T189" s="11">
        <f>AR189</f>
        <v>-1396.8471029303175</v>
      </c>
      <c r="U189" s="11">
        <f>AS189</f>
        <v>2382.607230024855</v>
      </c>
      <c r="V189" s="11">
        <f>AT189</f>
        <v>279.6138999506572</v>
      </c>
      <c r="W189" s="11">
        <f>AU189</f>
        <v>-443.7551434310191</v>
      </c>
      <c r="X189" s="11">
        <f>AM189</f>
        <v>17670.345615483235</v>
      </c>
      <c r="Y189" s="11">
        <f>AN189</f>
        <v>1162.1855807239742</v>
      </c>
      <c r="Z189" s="11">
        <f>AO189</f>
        <v>-1840.6022463613367</v>
      </c>
      <c r="AA189" s="7">
        <v>1</v>
      </c>
      <c r="AB189" s="7">
        <v>1</v>
      </c>
      <c r="AC189" s="7">
        <v>1</v>
      </c>
      <c r="AD189" s="11">
        <f>X189*AA189</f>
        <v>17670.345615483235</v>
      </c>
      <c r="AE189" s="11">
        <f>Y189*AB189</f>
        <v>1162.1855807239742</v>
      </c>
      <c r="AF189" s="11">
        <f>Z189*AC189</f>
        <v>-1840.6022463613367</v>
      </c>
      <c r="AG189" s="7">
        <v>17670.345615483235</v>
      </c>
      <c r="AH189" s="7">
        <v>1162.1855807239742</v>
      </c>
      <c r="AI189" s="7">
        <v>-1840.6022463613367</v>
      </c>
      <c r="AJ189" s="16">
        <f>AD189-AG189</f>
        <v>0</v>
      </c>
      <c r="AK189" s="16">
        <f>SQRT((AE189-AH189)^2+(AF189-AI189)^2)</f>
        <v>0</v>
      </c>
      <c r="AL189" s="7" t="s">
        <v>190</v>
      </c>
      <c r="AM189" s="7">
        <v>17670.345615483235</v>
      </c>
      <c r="AN189" s="7">
        <v>1162.1855807239742</v>
      </c>
      <c r="AO189" s="7">
        <v>-1840.6022463613367</v>
      </c>
      <c r="AP189" s="7">
        <v>15287.73838545838</v>
      </c>
      <c r="AQ189" s="7">
        <v>882.5716807733169</v>
      </c>
      <c r="AR189" s="7">
        <v>-1396.8471029303175</v>
      </c>
      <c r="AS189" s="7">
        <v>2382.607230024855</v>
      </c>
      <c r="AT189" s="7">
        <v>279.6138999506572</v>
      </c>
      <c r="AU189" s="7">
        <v>-443.7551434310191</v>
      </c>
    </row>
    <row r="190" spans="1:47" x14ac:dyDescent="0.25">
      <c r="A190" s="7" t="s">
        <v>560</v>
      </c>
      <c r="B190" s="7">
        <v>1</v>
      </c>
      <c r="C190" s="19">
        <v>320</v>
      </c>
      <c r="D190" s="7" t="s">
        <v>561</v>
      </c>
      <c r="E190" s="7" t="s">
        <v>609</v>
      </c>
      <c r="F190" s="20">
        <v>320</v>
      </c>
      <c r="G190" s="7" t="s">
        <v>194</v>
      </c>
      <c r="H190" s="21">
        <v>3.0000000000000004</v>
      </c>
      <c r="I190" s="11">
        <f>MAX(('Geometry'!$G$13*COS(RADIANS(F190))+'Geometry'!$F$13*SIN(RADIANS(F190))),('Geometry'!$G$14*COS(RADIANS(F190))+'Geometry'!$F$14*SIN(RADIANS(F190))),('Geometry'!$G$15*COS(RADIANS(F190))+'Geometry'!$F$15*SIN(RADIANS(F190))),('Geometry'!$G$16*COS(RADIANS(F190))+'Geometry'!$F$16*SIN(RADIANS(F190))),('Geometry'!$G$17*COS(RADIANS(F190))+'Geometry'!$F$17*SIN(RADIANS(F190))),('Geometry'!$G$18*COS(RADIANS(F190))+'Geometry'!$F$18*SIN(RADIANS(F190))),('Geometry'!$G$19*COS(RADIANS(F190))+'Geometry'!$F$19*SIN(RADIANS(F190))),('Geometry'!$G$20*COS(RADIANS(F190))+'Geometry'!$F$20*SIN(RADIANS(F190))))</f>
        <v>813.1598511989835</v>
      </c>
      <c r="J190" s="11">
        <f>I190-H190*K190</f>
        <v>-4065.7992559949175</v>
      </c>
      <c r="K190" s="11">
        <f>I190-MIN(('Geometry'!$G$13*COS(RADIANS(F190))+'Geometry'!$F$13*SIN(RADIANS(F190))),('Geometry'!$G$14*COS(RADIANS(F190))+'Geometry'!$F$14*SIN(RADIANS(F190))),('Geometry'!$G$15*COS(RADIANS(F190))+'Geometry'!$F$15*SIN(RADIANS(F190))),('Geometry'!$G$16*COS(RADIANS(F190))+'Geometry'!$F$16*SIN(RADIANS(F190))),('Geometry'!$G$17*COS(RADIANS(F190))+'Geometry'!$F$17*SIN(RADIANS(F190))),('Geometry'!$G$18*COS(RADIANS(F190))+'Geometry'!$F$18*SIN(RADIANS(F190))),('Geometry'!$G$19*COS(RADIANS(F190))+'Geometry'!$F$19*SIN(RADIANS(F190))),('Geometry'!$G$20*COS(RADIANS(F190))+'Geometry'!$F$20*SIN(RADIANS(F190))))</f>
        <v>1626.319702397967</v>
      </c>
      <c r="L190" s="16">
        <f>C_ecu</f>
        <v>0.0033</v>
      </c>
      <c r="M190" s="16">
        <f>0</f>
        <v>0</v>
      </c>
      <c r="N190" s="22">
        <f>IF(ABS(I190-J190)&lt;0.000000000001,0,(L190-M190)/(I190-J190))</f>
        <v>6.763737771719041e-7</v>
      </c>
      <c r="O190" s="16">
        <f>L190-N190*I190</f>
        <v>0.00275</v>
      </c>
      <c r="P190" s="22">
        <f>N190*COS(RADIANS(F190))</f>
        <v>5.181323734739309e-7</v>
      </c>
      <c r="Q190" s="22">
        <f>N190*SIN(RADIANS(F190))</f>
        <v>-4.347646834829844e-7</v>
      </c>
      <c r="R190" s="11">
        <f>AP190</f>
        <v>15280.207166863756</v>
      </c>
      <c r="S190" s="11">
        <f>AQ190</f>
        <v>177.1583852707201</v>
      </c>
      <c r="T190" s="11">
        <f>AR190</f>
        <v>-203.50349254185838</v>
      </c>
      <c r="U190" s="11">
        <f>AS190</f>
        <v>2390.138448619477</v>
      </c>
      <c r="V190" s="11">
        <f>AT190</f>
        <v>56.5876128114506</v>
      </c>
      <c r="W190" s="11">
        <f>AU190</f>
        <v>-65.06420043803</v>
      </c>
      <c r="X190" s="11">
        <f>AM190</f>
        <v>17670.345615483235</v>
      </c>
      <c r="Y190" s="11">
        <f>AN190</f>
        <v>233.7459980821707</v>
      </c>
      <c r="Z190" s="11">
        <f>AO190</f>
        <v>-268.56769297988836</v>
      </c>
      <c r="AA190" s="7">
        <v>1</v>
      </c>
      <c r="AB190" s="7">
        <v>1</v>
      </c>
      <c r="AC190" s="7">
        <v>1</v>
      </c>
      <c r="AD190" s="11">
        <f>X190*AA190</f>
        <v>17670.345615483235</v>
      </c>
      <c r="AE190" s="11">
        <f>Y190*AB190</f>
        <v>233.7459980821707</v>
      </c>
      <c r="AF190" s="11">
        <f>Z190*AC190</f>
        <v>-268.56769297988836</v>
      </c>
      <c r="AG190" s="7">
        <v>17670.345615483235</v>
      </c>
      <c r="AH190" s="7">
        <v>233.7459980821707</v>
      </c>
      <c r="AI190" s="7">
        <v>-268.56769297988836</v>
      </c>
      <c r="AJ190" s="16">
        <f>AD190-AG190</f>
        <v>0</v>
      </c>
      <c r="AK190" s="16">
        <f>SQRT((AE190-AH190)^2+(AF190-AI190)^2)</f>
        <v>0</v>
      </c>
      <c r="AL190" s="7" t="s">
        <v>190</v>
      </c>
      <c r="AM190" s="7">
        <v>17670.345615483235</v>
      </c>
      <c r="AN190" s="7">
        <v>233.7459980821707</v>
      </c>
      <c r="AO190" s="7">
        <v>-268.56769297988836</v>
      </c>
      <c r="AP190" s="7">
        <v>15280.207166863756</v>
      </c>
      <c r="AQ190" s="7">
        <v>177.1583852707201</v>
      </c>
      <c r="AR190" s="7">
        <v>-203.50349254185838</v>
      </c>
      <c r="AS190" s="7">
        <v>2390.138448619477</v>
      </c>
      <c r="AT190" s="7">
        <v>56.5876128114506</v>
      </c>
      <c r="AU190" s="7">
        <v>-65.06420043803</v>
      </c>
    </row>
    <row r="191" spans="1:47" x14ac:dyDescent="0.25">
      <c r="A191" s="7" t="s">
        <v>562</v>
      </c>
      <c r="B191" s="7">
        <v>2</v>
      </c>
      <c r="C191" s="19">
        <v>320</v>
      </c>
      <c r="D191" s="7" t="s">
        <v>563</v>
      </c>
      <c r="E191" s="7" t="s">
        <v>610</v>
      </c>
      <c r="F191" s="20">
        <v>320</v>
      </c>
      <c r="G191" s="7" t="s">
        <v>194</v>
      </c>
      <c r="H191" s="21">
        <v>2</v>
      </c>
      <c r="I191" s="11">
        <f>MAX(('Geometry'!$G$13*COS(RADIANS(F191))+'Geometry'!$F$13*SIN(RADIANS(F191))),('Geometry'!$G$14*COS(RADIANS(F191))+'Geometry'!$F$14*SIN(RADIANS(F191))),('Geometry'!$G$15*COS(RADIANS(F191))+'Geometry'!$F$15*SIN(RADIANS(F191))),('Geometry'!$G$16*COS(RADIANS(F191))+'Geometry'!$F$16*SIN(RADIANS(F191))),('Geometry'!$G$17*COS(RADIANS(F191))+'Geometry'!$F$17*SIN(RADIANS(F191))),('Geometry'!$G$18*COS(RADIANS(F191))+'Geometry'!$F$18*SIN(RADIANS(F191))),('Geometry'!$G$19*COS(RADIANS(F191))+'Geometry'!$F$19*SIN(RADIANS(F191))),('Geometry'!$G$20*COS(RADIANS(F191))+'Geometry'!$F$20*SIN(RADIANS(F191))))</f>
        <v>813.1598511989835</v>
      </c>
      <c r="J191" s="11">
        <f>I191-H191*K191</f>
        <v>-2439.4795535969506</v>
      </c>
      <c r="K191" s="11">
        <f>I191-MIN(('Geometry'!$G$13*COS(RADIANS(F191))+'Geometry'!$F$13*SIN(RADIANS(F191))),('Geometry'!$G$14*COS(RADIANS(F191))+'Geometry'!$F$14*SIN(RADIANS(F191))),('Geometry'!$G$15*COS(RADIANS(F191))+'Geometry'!$F$15*SIN(RADIANS(F191))),('Geometry'!$G$16*COS(RADIANS(F191))+'Geometry'!$F$16*SIN(RADIANS(F191))),('Geometry'!$G$17*COS(RADIANS(F191))+'Geometry'!$F$17*SIN(RADIANS(F191))),('Geometry'!$G$18*COS(RADIANS(F191))+'Geometry'!$F$18*SIN(RADIANS(F191))),('Geometry'!$G$19*COS(RADIANS(F191))+'Geometry'!$F$19*SIN(RADIANS(F191))),('Geometry'!$G$20*COS(RADIANS(F191))+'Geometry'!$F$20*SIN(RADIANS(F191))))</f>
        <v>1626.319702397967</v>
      </c>
      <c r="L191" s="16">
        <f>C_ecu</f>
        <v>0.0033</v>
      </c>
      <c r="M191" s="16">
        <f>0</f>
        <v>0</v>
      </c>
      <c r="N191" s="22">
        <f>IF(ABS(I191-J191)&lt;0.000000000001,0,(L191-M191)/(I191-J191))</f>
        <v>0.0000010145606657578562</v>
      </c>
      <c r="O191" s="16">
        <f>L191-N191*I191</f>
        <v>0.002475</v>
      </c>
      <c r="P191" s="22">
        <f>N191*COS(RADIANS(F191))</f>
        <v>7.771985602108963e-7</v>
      </c>
      <c r="Q191" s="22">
        <f>N191*SIN(RADIANS(F191))</f>
        <v>-6.521470252244766e-7</v>
      </c>
      <c r="R191" s="11">
        <f>AP191</f>
        <v>15280.207166863756</v>
      </c>
      <c r="S191" s="11">
        <f>AQ191</f>
        <v>354.3167705414402</v>
      </c>
      <c r="T191" s="11">
        <f>AR191</f>
        <v>-407.00698508371676</v>
      </c>
      <c r="U191" s="11">
        <f>AS191</f>
        <v>2390.138448619477</v>
      </c>
      <c r="V191" s="11">
        <f>AT191</f>
        <v>113.1752256229012</v>
      </c>
      <c r="W191" s="11">
        <f>AU191</f>
        <v>-130.12840087606</v>
      </c>
      <c r="X191" s="11">
        <f>AM191</f>
        <v>17670.345615483235</v>
      </c>
      <c r="Y191" s="11">
        <f>AN191</f>
        <v>467.4919961643414</v>
      </c>
      <c r="Z191" s="11">
        <f>AO191</f>
        <v>-537.1353859597767</v>
      </c>
      <c r="AA191" s="7">
        <v>1</v>
      </c>
      <c r="AB191" s="7">
        <v>1</v>
      </c>
      <c r="AC191" s="7">
        <v>1</v>
      </c>
      <c r="AD191" s="11">
        <f>X191*AA191</f>
        <v>17670.345615483235</v>
      </c>
      <c r="AE191" s="11">
        <f>Y191*AB191</f>
        <v>467.4919961643414</v>
      </c>
      <c r="AF191" s="11">
        <f>Z191*AC191</f>
        <v>-537.1353859597767</v>
      </c>
      <c r="AG191" s="7">
        <v>17670.345615483235</v>
      </c>
      <c r="AH191" s="7">
        <v>467.4919961643414</v>
      </c>
      <c r="AI191" s="7">
        <v>-537.1353859597767</v>
      </c>
      <c r="AJ191" s="16">
        <f>AD191-AG191</f>
        <v>0</v>
      </c>
      <c r="AK191" s="16">
        <f>SQRT((AE191-AH191)^2+(AF191-AI191)^2)</f>
        <v>0</v>
      </c>
      <c r="AL191" s="7" t="s">
        <v>190</v>
      </c>
      <c r="AM191" s="7">
        <v>17670.345615483235</v>
      </c>
      <c r="AN191" s="7">
        <v>467.4919961643414</v>
      </c>
      <c r="AO191" s="7">
        <v>-537.1353859597767</v>
      </c>
      <c r="AP191" s="7">
        <v>15280.207166863756</v>
      </c>
      <c r="AQ191" s="7">
        <v>354.3167705414402</v>
      </c>
      <c r="AR191" s="7">
        <v>-407.00698508371676</v>
      </c>
      <c r="AS191" s="7">
        <v>2390.138448619477</v>
      </c>
      <c r="AT191" s="7">
        <v>113.1752256229012</v>
      </c>
      <c r="AU191" s="7">
        <v>-130.12840087606</v>
      </c>
    </row>
    <row r="192" spans="1:47" x14ac:dyDescent="0.25">
      <c r="A192" s="7" t="s">
        <v>564</v>
      </c>
      <c r="B192" s="7">
        <v>3</v>
      </c>
      <c r="C192" s="19">
        <v>320</v>
      </c>
      <c r="D192" s="7" t="s">
        <v>565</v>
      </c>
      <c r="E192" s="7" t="s">
        <v>611</v>
      </c>
      <c r="F192" s="20">
        <v>320</v>
      </c>
      <c r="G192" s="7" t="s">
        <v>194</v>
      </c>
      <c r="H192" s="21">
        <v>1.5000000000000002</v>
      </c>
      <c r="I192" s="11">
        <f>MAX(('Geometry'!$G$13*COS(RADIANS(F192))+'Geometry'!$F$13*SIN(RADIANS(F192))),('Geometry'!$G$14*COS(RADIANS(F192))+'Geometry'!$F$14*SIN(RADIANS(F192))),('Geometry'!$G$15*COS(RADIANS(F192))+'Geometry'!$F$15*SIN(RADIANS(F192))),('Geometry'!$G$16*COS(RADIANS(F192))+'Geometry'!$F$16*SIN(RADIANS(F192))),('Geometry'!$G$17*COS(RADIANS(F192))+'Geometry'!$F$17*SIN(RADIANS(F192))),('Geometry'!$G$18*COS(RADIANS(F192))+'Geometry'!$F$18*SIN(RADIANS(F192))),('Geometry'!$G$19*COS(RADIANS(F192))+'Geometry'!$F$19*SIN(RADIANS(F192))),('Geometry'!$G$20*COS(RADIANS(F192))+'Geometry'!$F$20*SIN(RADIANS(F192))))</f>
        <v>813.1598511989835</v>
      </c>
      <c r="J192" s="11">
        <f>I192-H192*K192</f>
        <v>-1626.3197023979671</v>
      </c>
      <c r="K192" s="11">
        <f>I192-MIN(('Geometry'!$G$13*COS(RADIANS(F192))+'Geometry'!$F$13*SIN(RADIANS(F192))),('Geometry'!$G$14*COS(RADIANS(F192))+'Geometry'!$F$14*SIN(RADIANS(F192))),('Geometry'!$G$15*COS(RADIANS(F192))+'Geometry'!$F$15*SIN(RADIANS(F192))),('Geometry'!$G$16*COS(RADIANS(F192))+'Geometry'!$F$16*SIN(RADIANS(F192))),('Geometry'!$G$17*COS(RADIANS(F192))+'Geometry'!$F$17*SIN(RADIANS(F192))),('Geometry'!$G$18*COS(RADIANS(F192))+'Geometry'!$F$18*SIN(RADIANS(F192))),('Geometry'!$G$19*COS(RADIANS(F192))+'Geometry'!$F$19*SIN(RADIANS(F192))),('Geometry'!$G$20*COS(RADIANS(F192))+'Geometry'!$F$20*SIN(RADIANS(F192))))</f>
        <v>1626.319702397967</v>
      </c>
      <c r="L192" s="16">
        <f>C_ecu</f>
        <v>0.0033</v>
      </c>
      <c r="M192" s="16">
        <f>0</f>
        <v>0</v>
      </c>
      <c r="N192" s="22">
        <f>IF(ABS(I192-J192)&lt;0.000000000001,0,(L192-M192)/(I192-J192))</f>
        <v>0.0000013527475543438082</v>
      </c>
      <c r="O192" s="16">
        <f>L192-N192*I192</f>
        <v>0.0022</v>
      </c>
      <c r="P192" s="22">
        <f>N192*COS(RADIANS(F192))</f>
        <v>0.0000010362647469478618</v>
      </c>
      <c r="Q192" s="22">
        <f>N192*SIN(RADIANS(F192))</f>
        <v>-8.695293669659688e-7</v>
      </c>
      <c r="R192" s="11">
        <f>AP192</f>
        <v>15280.207166863756</v>
      </c>
      <c r="S192" s="11">
        <f>AQ192</f>
        <v>531.4751558121602</v>
      </c>
      <c r="T192" s="11">
        <f>AR192</f>
        <v>-610.510477625575</v>
      </c>
      <c r="U192" s="11">
        <f>AS192</f>
        <v>2390.138448619477</v>
      </c>
      <c r="V192" s="11">
        <f>AT192</f>
        <v>169.7628384343518</v>
      </c>
      <c r="W192" s="11">
        <f>AU192</f>
        <v>-195.19260131408998</v>
      </c>
      <c r="X192" s="11">
        <f>AM192</f>
        <v>17670.345615483235</v>
      </c>
      <c r="Y192" s="11">
        <f>AN192</f>
        <v>701.237994246512</v>
      </c>
      <c r="Z192" s="11">
        <f>AO192</f>
        <v>-805.703078939665</v>
      </c>
      <c r="AA192" s="7">
        <v>1</v>
      </c>
      <c r="AB192" s="7">
        <v>1</v>
      </c>
      <c r="AC192" s="7">
        <v>1</v>
      </c>
      <c r="AD192" s="11">
        <f>X192*AA192</f>
        <v>17670.345615483235</v>
      </c>
      <c r="AE192" s="11">
        <f>Y192*AB192</f>
        <v>701.237994246512</v>
      </c>
      <c r="AF192" s="11">
        <f>Z192*AC192</f>
        <v>-805.703078939665</v>
      </c>
      <c r="AG192" s="7">
        <v>17670.345615483235</v>
      </c>
      <c r="AH192" s="7">
        <v>701.237994246512</v>
      </c>
      <c r="AI192" s="7">
        <v>-805.703078939665</v>
      </c>
      <c r="AJ192" s="16">
        <f>AD192-AG192</f>
        <v>0</v>
      </c>
      <c r="AK192" s="16">
        <f>SQRT((AE192-AH192)^2+(AF192-AI192)^2)</f>
        <v>0</v>
      </c>
      <c r="AL192" s="7" t="s">
        <v>190</v>
      </c>
      <c r="AM192" s="7">
        <v>17670.345615483235</v>
      </c>
      <c r="AN192" s="7">
        <v>701.237994246512</v>
      </c>
      <c r="AO192" s="7">
        <v>-805.703078939665</v>
      </c>
      <c r="AP192" s="7">
        <v>15280.207166863756</v>
      </c>
      <c r="AQ192" s="7">
        <v>531.4751558121602</v>
      </c>
      <c r="AR192" s="7">
        <v>-610.510477625575</v>
      </c>
      <c r="AS192" s="7">
        <v>2390.138448619477</v>
      </c>
      <c r="AT192" s="7">
        <v>169.7628384343518</v>
      </c>
      <c r="AU192" s="7">
        <v>-195.19260131408998</v>
      </c>
    </row>
    <row r="193" spans="1:47" x14ac:dyDescent="0.25">
      <c r="A193" s="7" t="s">
        <v>566</v>
      </c>
      <c r="B193" s="7">
        <v>4</v>
      </c>
      <c r="C193" s="19">
        <v>320</v>
      </c>
      <c r="D193" s="7" t="s">
        <v>567</v>
      </c>
      <c r="E193" s="7" t="s">
        <v>612</v>
      </c>
      <c r="F193" s="20">
        <v>320</v>
      </c>
      <c r="G193" s="7" t="s">
        <v>194</v>
      </c>
      <c r="H193" s="21">
        <v>1.2</v>
      </c>
      <c r="I193" s="11">
        <f>MAX(('Geometry'!$G$13*COS(RADIANS(F193))+'Geometry'!$F$13*SIN(RADIANS(F193))),('Geometry'!$G$14*COS(RADIANS(F193))+'Geometry'!$F$14*SIN(RADIANS(F193))),('Geometry'!$G$15*COS(RADIANS(F193))+'Geometry'!$F$15*SIN(RADIANS(F193))),('Geometry'!$G$16*COS(RADIANS(F193))+'Geometry'!$F$16*SIN(RADIANS(F193))),('Geometry'!$G$17*COS(RADIANS(F193))+'Geometry'!$F$17*SIN(RADIANS(F193))),('Geometry'!$G$18*COS(RADIANS(F193))+'Geometry'!$F$18*SIN(RADIANS(F193))),('Geometry'!$G$19*COS(RADIANS(F193))+'Geometry'!$F$19*SIN(RADIANS(F193))),('Geometry'!$G$20*COS(RADIANS(F193))+'Geometry'!$F$20*SIN(RADIANS(F193))))</f>
        <v>813.1598511989835</v>
      </c>
      <c r="J193" s="11">
        <f>I193-H193*K193</f>
        <v>-1138.4237916785767</v>
      </c>
      <c r="K193" s="11">
        <f>I193-MIN(('Geometry'!$G$13*COS(RADIANS(F193))+'Geometry'!$F$13*SIN(RADIANS(F193))),('Geometry'!$G$14*COS(RADIANS(F193))+'Geometry'!$F$14*SIN(RADIANS(F193))),('Geometry'!$G$15*COS(RADIANS(F193))+'Geometry'!$F$15*SIN(RADIANS(F193))),('Geometry'!$G$16*COS(RADIANS(F193))+'Geometry'!$F$16*SIN(RADIANS(F193))),('Geometry'!$G$17*COS(RADIANS(F193))+'Geometry'!$F$17*SIN(RADIANS(F193))),('Geometry'!$G$18*COS(RADIANS(F193))+'Geometry'!$F$18*SIN(RADIANS(F193))),('Geometry'!$G$19*COS(RADIANS(F193))+'Geometry'!$F$19*SIN(RADIANS(F193))),('Geometry'!$G$20*COS(RADIANS(F193))+'Geometry'!$F$20*SIN(RADIANS(F193))))</f>
        <v>1626.319702397967</v>
      </c>
      <c r="L193" s="16">
        <f>C_ecu</f>
        <v>0.0033</v>
      </c>
      <c r="M193" s="16">
        <f>0</f>
        <v>0</v>
      </c>
      <c r="N193" s="22">
        <f>IF(ABS(I193-J193)&lt;0.000000000001,0,(L193-M193)/(I193-J193))</f>
        <v>0.0000016909344429297605</v>
      </c>
      <c r="O193" s="16">
        <f>L193-N193*I193</f>
        <v>0.0019249999999999998</v>
      </c>
      <c r="P193" s="22">
        <f>N193*COS(RADIANS(F193))</f>
        <v>0.0000012953309336848274</v>
      </c>
      <c r="Q193" s="22">
        <f>N193*SIN(RADIANS(F193))</f>
        <v>-0.0000010869117087074612</v>
      </c>
      <c r="R193" s="11">
        <f>AP193</f>
        <v>15280.207166863756</v>
      </c>
      <c r="S193" s="11">
        <f>AQ193</f>
        <v>708.6335410828804</v>
      </c>
      <c r="T193" s="11">
        <f>AR193</f>
        <v>-814.0139701674335</v>
      </c>
      <c r="U193" s="11">
        <f>AS193</f>
        <v>2390.138448619477</v>
      </c>
      <c r="V193" s="11">
        <f>AT193</f>
        <v>226.3504512458024</v>
      </c>
      <c r="W193" s="11">
        <f>AU193</f>
        <v>-260.25680175212</v>
      </c>
      <c r="X193" s="11">
        <f>AM193</f>
        <v>17670.345615483235</v>
      </c>
      <c r="Y193" s="11">
        <f>AN193</f>
        <v>934.9839923286828</v>
      </c>
      <c r="Z193" s="11">
        <f>AO193</f>
        <v>-1074.2707719195535</v>
      </c>
      <c r="AA193" s="7">
        <v>1</v>
      </c>
      <c r="AB193" s="7">
        <v>1</v>
      </c>
      <c r="AC193" s="7">
        <v>1</v>
      </c>
      <c r="AD193" s="11">
        <f>X193*AA193</f>
        <v>17670.345615483235</v>
      </c>
      <c r="AE193" s="11">
        <f>Y193*AB193</f>
        <v>934.9839923286828</v>
      </c>
      <c r="AF193" s="11">
        <f>Z193*AC193</f>
        <v>-1074.2707719195535</v>
      </c>
      <c r="AG193" s="7">
        <v>17670.345615483235</v>
      </c>
      <c r="AH193" s="7">
        <v>934.9839923286828</v>
      </c>
      <c r="AI193" s="7">
        <v>-1074.2707719195535</v>
      </c>
      <c r="AJ193" s="16">
        <f>AD193-AG193</f>
        <v>0</v>
      </c>
      <c r="AK193" s="16">
        <f>SQRT((AE193-AH193)^2+(AF193-AI193)^2)</f>
        <v>0</v>
      </c>
      <c r="AL193" s="7" t="s">
        <v>190</v>
      </c>
      <c r="AM193" s="7">
        <v>17670.345615483235</v>
      </c>
      <c r="AN193" s="7">
        <v>934.9839923286828</v>
      </c>
      <c r="AO193" s="7">
        <v>-1074.2707719195535</v>
      </c>
      <c r="AP193" s="7">
        <v>15280.207166863756</v>
      </c>
      <c r="AQ193" s="7">
        <v>708.6335410828804</v>
      </c>
      <c r="AR193" s="7">
        <v>-814.0139701674335</v>
      </c>
      <c r="AS193" s="7">
        <v>2390.138448619477</v>
      </c>
      <c r="AT193" s="7">
        <v>226.3504512458024</v>
      </c>
      <c r="AU193" s="7">
        <v>-260.25680175212</v>
      </c>
    </row>
    <row r="194" spans="1:47" x14ac:dyDescent="0.25">
      <c r="A194" s="7" t="s">
        <v>568</v>
      </c>
      <c r="B194" s="7">
        <v>5</v>
      </c>
      <c r="C194" s="19">
        <v>320</v>
      </c>
      <c r="D194" s="7" t="s">
        <v>569</v>
      </c>
      <c r="E194" s="7" t="s">
        <v>613</v>
      </c>
      <c r="F194" s="20">
        <v>320</v>
      </c>
      <c r="G194" s="7" t="s">
        <v>194</v>
      </c>
      <c r="H194" s="21">
        <v>1.1</v>
      </c>
      <c r="I194" s="11">
        <f>MAX(('Geometry'!$G$13*COS(RADIANS(F194))+'Geometry'!$F$13*SIN(RADIANS(F194))),('Geometry'!$G$14*COS(RADIANS(F194))+'Geometry'!$F$14*SIN(RADIANS(F194))),('Geometry'!$G$15*COS(RADIANS(F194))+'Geometry'!$F$15*SIN(RADIANS(F194))),('Geometry'!$G$16*COS(RADIANS(F194))+'Geometry'!$F$16*SIN(RADIANS(F194))),('Geometry'!$G$17*COS(RADIANS(F194))+'Geometry'!$F$17*SIN(RADIANS(F194))),('Geometry'!$G$18*COS(RADIANS(F194))+'Geometry'!$F$18*SIN(RADIANS(F194))),('Geometry'!$G$19*COS(RADIANS(F194))+'Geometry'!$F$19*SIN(RADIANS(F194))),('Geometry'!$G$20*COS(RADIANS(F194))+'Geometry'!$F$20*SIN(RADIANS(F194))))</f>
        <v>813.1598511989835</v>
      </c>
      <c r="J194" s="11">
        <f>I194-H194*K194</f>
        <v>-975.7918214387802</v>
      </c>
      <c r="K194" s="11">
        <f>I194-MIN(('Geometry'!$G$13*COS(RADIANS(F194))+'Geometry'!$F$13*SIN(RADIANS(F194))),('Geometry'!$G$14*COS(RADIANS(F194))+'Geometry'!$F$14*SIN(RADIANS(F194))),('Geometry'!$G$15*COS(RADIANS(F194))+'Geometry'!$F$15*SIN(RADIANS(F194))),('Geometry'!$G$16*COS(RADIANS(F194))+'Geometry'!$F$16*SIN(RADIANS(F194))),('Geometry'!$G$17*COS(RADIANS(F194))+'Geometry'!$F$17*SIN(RADIANS(F194))),('Geometry'!$G$18*COS(RADIANS(F194))+'Geometry'!$F$18*SIN(RADIANS(F194))),('Geometry'!$G$19*COS(RADIANS(F194))+'Geometry'!$F$19*SIN(RADIANS(F194))),('Geometry'!$G$20*COS(RADIANS(F194))+'Geometry'!$F$20*SIN(RADIANS(F194))))</f>
        <v>1626.319702397967</v>
      </c>
      <c r="L194" s="16">
        <f>C_ecu</f>
        <v>0.0033</v>
      </c>
      <c r="M194" s="16">
        <f>0</f>
        <v>0</v>
      </c>
      <c r="N194" s="22">
        <f>IF(ABS(I194-J194)&lt;0.000000000001,0,(L194-M194)/(I194-J194))</f>
        <v>0.000001844655755923375</v>
      </c>
      <c r="O194" s="16">
        <f>L194-N194*I194</f>
        <v>0.0018</v>
      </c>
      <c r="P194" s="22">
        <f>N194*COS(RADIANS(F194))</f>
        <v>0.0000014130882912925388</v>
      </c>
      <c r="Q194" s="22">
        <f>N194*SIN(RADIANS(F194))</f>
        <v>-0.000001185721864044503</v>
      </c>
      <c r="R194" s="11">
        <f>AP194</f>
        <v>15280.207166863756</v>
      </c>
      <c r="S194" s="11">
        <f>AQ194</f>
        <v>885.7919263536004</v>
      </c>
      <c r="T194" s="11">
        <f>AR194</f>
        <v>-1017.5174627092917</v>
      </c>
      <c r="U194" s="11">
        <f>AS194</f>
        <v>2390.138448619477</v>
      </c>
      <c r="V194" s="11">
        <f>AT194</f>
        <v>282.93806405725303</v>
      </c>
      <c r="W194" s="11">
        <f>AU194</f>
        <v>-325.32100219014995</v>
      </c>
      <c r="X194" s="11">
        <f>AM194</f>
        <v>17670.345615483235</v>
      </c>
      <c r="Y194" s="11">
        <f>AN194</f>
        <v>1168.7299904108534</v>
      </c>
      <c r="Z194" s="11">
        <f>AO194</f>
        <v>-1342.8384648994418</v>
      </c>
      <c r="AA194" s="7">
        <v>1</v>
      </c>
      <c r="AB194" s="7">
        <v>1</v>
      </c>
      <c r="AC194" s="7">
        <v>1</v>
      </c>
      <c r="AD194" s="11">
        <f>X194*AA194</f>
        <v>17670.345615483235</v>
      </c>
      <c r="AE194" s="11">
        <f>Y194*AB194</f>
        <v>1168.7299904108534</v>
      </c>
      <c r="AF194" s="11">
        <f>Z194*AC194</f>
        <v>-1342.8384648994418</v>
      </c>
      <c r="AG194" s="7">
        <v>17670.345615483235</v>
      </c>
      <c r="AH194" s="7">
        <v>1168.7299904108534</v>
      </c>
      <c r="AI194" s="7">
        <v>-1342.8384648994418</v>
      </c>
      <c r="AJ194" s="16">
        <f>AD194-AG194</f>
        <v>0</v>
      </c>
      <c r="AK194" s="16">
        <f>SQRT((AE194-AH194)^2+(AF194-AI194)^2)</f>
        <v>0</v>
      </c>
      <c r="AL194" s="7" t="s">
        <v>190</v>
      </c>
      <c r="AM194" s="7">
        <v>17670.345615483235</v>
      </c>
      <c r="AN194" s="7">
        <v>1168.7299904108534</v>
      </c>
      <c r="AO194" s="7">
        <v>-1342.8384648994418</v>
      </c>
      <c r="AP194" s="7">
        <v>15280.207166863756</v>
      </c>
      <c r="AQ194" s="7">
        <v>885.7919263536004</v>
      </c>
      <c r="AR194" s="7">
        <v>-1017.5174627092917</v>
      </c>
      <c r="AS194" s="7">
        <v>2390.138448619477</v>
      </c>
      <c r="AT194" s="7">
        <v>282.93806405725303</v>
      </c>
      <c r="AU194" s="7">
        <v>-325.32100219014995</v>
      </c>
    </row>
    <row r="195" spans="1:47" x14ac:dyDescent="0.25">
      <c r="A195" s="7" t="s">
        <v>570</v>
      </c>
      <c r="B195" s="7">
        <v>6</v>
      </c>
      <c r="C195" s="19">
        <v>320</v>
      </c>
      <c r="D195" s="7" t="s">
        <v>571</v>
      </c>
      <c r="E195" s="7" t="s">
        <v>614</v>
      </c>
      <c r="F195" s="20">
        <v>320</v>
      </c>
      <c r="G195" s="7" t="s">
        <v>194</v>
      </c>
      <c r="H195" s="21">
        <v>1.0000000000000002</v>
      </c>
      <c r="I195" s="11">
        <f>MAX(('Geometry'!$G$13*COS(RADIANS(F195))+'Geometry'!$F$13*SIN(RADIANS(F195))),('Geometry'!$G$14*COS(RADIANS(F195))+'Geometry'!$F$14*SIN(RADIANS(F195))),('Geometry'!$G$15*COS(RADIANS(F195))+'Geometry'!$F$15*SIN(RADIANS(F195))),('Geometry'!$G$16*COS(RADIANS(F195))+'Geometry'!$F$16*SIN(RADIANS(F195))),('Geometry'!$G$17*COS(RADIANS(F195))+'Geometry'!$F$17*SIN(RADIANS(F195))),('Geometry'!$G$18*COS(RADIANS(F195))+'Geometry'!$F$18*SIN(RADIANS(F195))),('Geometry'!$G$19*COS(RADIANS(F195))+'Geometry'!$F$19*SIN(RADIANS(F195))),('Geometry'!$G$20*COS(RADIANS(F195))+'Geometry'!$F$20*SIN(RADIANS(F195))))</f>
        <v>813.1598511989835</v>
      </c>
      <c r="J195" s="11">
        <f>I195-H195*K195</f>
        <v>-813.1598511989837</v>
      </c>
      <c r="K195" s="11">
        <f>I195-MIN(('Geometry'!$G$13*COS(RADIANS(F195))+'Geometry'!$F$13*SIN(RADIANS(F195))),('Geometry'!$G$14*COS(RADIANS(F195))+'Geometry'!$F$14*SIN(RADIANS(F195))),('Geometry'!$G$15*COS(RADIANS(F195))+'Geometry'!$F$15*SIN(RADIANS(F195))),('Geometry'!$G$16*COS(RADIANS(F195))+'Geometry'!$F$16*SIN(RADIANS(F195))),('Geometry'!$G$17*COS(RADIANS(F195))+'Geometry'!$F$17*SIN(RADIANS(F195))),('Geometry'!$G$18*COS(RADIANS(F195))+'Geometry'!$F$18*SIN(RADIANS(F195))),('Geometry'!$G$19*COS(RADIANS(F195))+'Geometry'!$F$19*SIN(RADIANS(F195))),('Geometry'!$G$20*COS(RADIANS(F195))+'Geometry'!$F$20*SIN(RADIANS(F195))))</f>
        <v>1626.319702397967</v>
      </c>
      <c r="L195" s="16">
        <f>C_ecu</f>
        <v>0.0033</v>
      </c>
      <c r="M195" s="16">
        <f>0</f>
        <v>0</v>
      </c>
      <c r="N195" s="22">
        <f>IF(ABS(I195-J195)&lt;0.000000000001,0,(L195-M195)/(I195-J195))</f>
        <v>0.0000020291213315157124</v>
      </c>
      <c r="O195" s="16">
        <f>L195-N195*I195</f>
        <v>0.0016500000000000002</v>
      </c>
      <c r="P195" s="22">
        <f>N195*COS(RADIANS(F195))</f>
        <v>0.0000015543971204217926</v>
      </c>
      <c r="Q195" s="22">
        <f>N195*SIN(RADIANS(F195))</f>
        <v>-0.0000013042940504489533</v>
      </c>
      <c r="R195" s="11">
        <f>AP195</f>
        <v>15280.207166863756</v>
      </c>
      <c r="S195" s="11">
        <f>AQ195</f>
        <v>1062.9503116243204</v>
      </c>
      <c r="T195" s="11">
        <f>AR195</f>
        <v>-1221.02095525115</v>
      </c>
      <c r="U195" s="11">
        <f>AS195</f>
        <v>2390.138448619477</v>
      </c>
      <c r="V195" s="11">
        <f>AT195</f>
        <v>339.5256768687036</v>
      </c>
      <c r="W195" s="11">
        <f>AU195</f>
        <v>-390.38520262817997</v>
      </c>
      <c r="X195" s="11">
        <f>AM195</f>
        <v>17670.345615483235</v>
      </c>
      <c r="Y195" s="11">
        <f>AN195</f>
        <v>1402.475988493024</v>
      </c>
      <c r="Z195" s="11">
        <f>AO195</f>
        <v>-1611.40615787933</v>
      </c>
      <c r="AA195" s="7">
        <v>1</v>
      </c>
      <c r="AB195" s="7">
        <v>1</v>
      </c>
      <c r="AC195" s="7">
        <v>1</v>
      </c>
      <c r="AD195" s="11">
        <f>X195*AA195</f>
        <v>17670.345615483235</v>
      </c>
      <c r="AE195" s="11">
        <f>Y195*AB195</f>
        <v>1402.475988493024</v>
      </c>
      <c r="AF195" s="11">
        <f>Z195*AC195</f>
        <v>-1611.40615787933</v>
      </c>
      <c r="AG195" s="7">
        <v>17670.345615483235</v>
      </c>
      <c r="AH195" s="7">
        <v>1402.475988493024</v>
      </c>
      <c r="AI195" s="7">
        <v>-1611.40615787933</v>
      </c>
      <c r="AJ195" s="16">
        <f>AD195-AG195</f>
        <v>0</v>
      </c>
      <c r="AK195" s="16">
        <f>SQRT((AE195-AH195)^2+(AF195-AI195)^2)</f>
        <v>0</v>
      </c>
      <c r="AL195" s="7" t="s">
        <v>190</v>
      </c>
      <c r="AM195" s="7">
        <v>17670.345615483235</v>
      </c>
      <c r="AN195" s="7">
        <v>1402.475988493024</v>
      </c>
      <c r="AO195" s="7">
        <v>-1611.40615787933</v>
      </c>
      <c r="AP195" s="7">
        <v>15280.207166863756</v>
      </c>
      <c r="AQ195" s="7">
        <v>1062.9503116243204</v>
      </c>
      <c r="AR195" s="7">
        <v>-1221.02095525115</v>
      </c>
      <c r="AS195" s="7">
        <v>2390.138448619477</v>
      </c>
      <c r="AT195" s="7">
        <v>339.5256768687036</v>
      </c>
      <c r="AU195" s="7">
        <v>-390.38520262817997</v>
      </c>
    </row>
    <row r="196" spans="1:47" x14ac:dyDescent="0.25">
      <c r="A196" s="7" t="s">
        <v>572</v>
      </c>
      <c r="B196" s="7">
        <v>1</v>
      </c>
      <c r="C196" s="19">
        <v>330</v>
      </c>
      <c r="D196" s="7" t="s">
        <v>573</v>
      </c>
      <c r="E196" s="7" t="s">
        <v>611</v>
      </c>
      <c r="F196" s="20">
        <v>330</v>
      </c>
      <c r="G196" s="7" t="s">
        <v>194</v>
      </c>
      <c r="H196" s="21">
        <v>1.5000000000000002</v>
      </c>
      <c r="I196" s="11">
        <f>MAX(('Geometry'!$G$13*COS(RADIANS(F196))+'Geometry'!$F$13*SIN(RADIANS(F196))),('Geometry'!$G$14*COS(RADIANS(F196))+'Geometry'!$F$14*SIN(RADIANS(F196))),('Geometry'!$G$15*COS(RADIANS(F196))+'Geometry'!$F$15*SIN(RADIANS(F196))),('Geometry'!$G$16*COS(RADIANS(F196))+'Geometry'!$F$16*SIN(RADIANS(F196))),('Geometry'!$G$17*COS(RADIANS(F196))+'Geometry'!$F$17*SIN(RADIANS(F196))),('Geometry'!$G$18*COS(RADIANS(F196))+'Geometry'!$F$18*SIN(RADIANS(F196))),('Geometry'!$G$19*COS(RADIANS(F196))+'Geometry'!$F$19*SIN(RADIANS(F196))),('Geometry'!$G$20*COS(RADIANS(F196))+'Geometry'!$F$20*SIN(RADIANS(F196))))</f>
        <v>794.6152422706632</v>
      </c>
      <c r="J196" s="11">
        <f>I196-H196*K196</f>
        <v>-1589.2304845413266</v>
      </c>
      <c r="K196" s="11">
        <f>I196-MIN(('Geometry'!$G$13*COS(RADIANS(F196))+'Geometry'!$F$13*SIN(RADIANS(F196))),('Geometry'!$G$14*COS(RADIANS(F196))+'Geometry'!$F$14*SIN(RADIANS(F196))),('Geometry'!$G$15*COS(RADIANS(F196))+'Geometry'!$F$15*SIN(RADIANS(F196))),('Geometry'!$G$16*COS(RADIANS(F196))+'Geometry'!$F$16*SIN(RADIANS(F196))),('Geometry'!$G$17*COS(RADIANS(F196))+'Geometry'!$F$17*SIN(RADIANS(F196))),('Geometry'!$G$18*COS(RADIANS(F196))+'Geometry'!$F$18*SIN(RADIANS(F196))),('Geometry'!$G$19*COS(RADIANS(F196))+'Geometry'!$F$19*SIN(RADIANS(F196))),('Geometry'!$G$20*COS(RADIANS(F196))+'Geometry'!$F$20*SIN(RADIANS(F196))))</f>
        <v>1589.2304845413264</v>
      </c>
      <c r="L196" s="16">
        <f>C_ecu</f>
        <v>0.0033</v>
      </c>
      <c r="M196" s="16">
        <f>0</f>
        <v>0</v>
      </c>
      <c r="N196" s="22">
        <f>IF(ABS(I196-J196)&lt;0.000000000001,0,(L196-M196)/(I196-J196))</f>
        <v>0.0000013843177697632385</v>
      </c>
      <c r="O196" s="16">
        <f>L196-N196*I196</f>
        <v>0.0022</v>
      </c>
      <c r="P196" s="22">
        <f>N196*COS(RADIANS(F196))</f>
        <v>0.0000011988543555251824</v>
      </c>
      <c r="Q196" s="22">
        <f>N196*SIN(RADIANS(F196))</f>
        <v>-6.921588848816188e-7</v>
      </c>
      <c r="R196" s="11">
        <f>AP196</f>
        <v>15282.1090138309</v>
      </c>
      <c r="S196" s="11">
        <f>AQ196</f>
        <v>601.4341286992551</v>
      </c>
      <c r="T196" s="11">
        <f>AR196</f>
        <v>-491.614637303094</v>
      </c>
      <c r="U196" s="11">
        <f>AS196</f>
        <v>2388.2366016523374</v>
      </c>
      <c r="V196" s="11">
        <f>AT196</f>
        <v>193.37197996849864</v>
      </c>
      <c r="W196" s="11">
        <f>AU196</f>
        <v>-157.63138012404335</v>
      </c>
      <c r="X196" s="11">
        <f>AM196</f>
        <v>17670.345615483235</v>
      </c>
      <c r="Y196" s="11">
        <f>AN196</f>
        <v>794.8061086677537</v>
      </c>
      <c r="Z196" s="11">
        <f>AO196</f>
        <v>-649.2460174271374</v>
      </c>
      <c r="AA196" s="7">
        <v>1</v>
      </c>
      <c r="AB196" s="7">
        <v>1</v>
      </c>
      <c r="AC196" s="7">
        <v>1</v>
      </c>
      <c r="AD196" s="11">
        <f>X196*AA196</f>
        <v>17670.345615483235</v>
      </c>
      <c r="AE196" s="11">
        <f>Y196*AB196</f>
        <v>794.8061086677537</v>
      </c>
      <c r="AF196" s="11">
        <f>Z196*AC196</f>
        <v>-649.2460174271374</v>
      </c>
      <c r="AG196" s="7">
        <v>17670.345615483235</v>
      </c>
      <c r="AH196" s="7">
        <v>794.8061086677537</v>
      </c>
      <c r="AI196" s="7">
        <v>-649.2460174271374</v>
      </c>
      <c r="AJ196" s="16">
        <f>AD196-AG196</f>
        <v>0</v>
      </c>
      <c r="AK196" s="16">
        <f>SQRT((AE196-AH196)^2+(AF196-AI196)^2)</f>
        <v>0</v>
      </c>
      <c r="AL196" s="7" t="s">
        <v>190</v>
      </c>
      <c r="AM196" s="7">
        <v>17670.345615483235</v>
      </c>
      <c r="AN196" s="7">
        <v>794.8061086677537</v>
      </c>
      <c r="AO196" s="7">
        <v>-649.2460174271374</v>
      </c>
      <c r="AP196" s="7">
        <v>15282.1090138309</v>
      </c>
      <c r="AQ196" s="7">
        <v>601.4341286992551</v>
      </c>
      <c r="AR196" s="7">
        <v>-491.614637303094</v>
      </c>
      <c r="AS196" s="7">
        <v>2388.2366016523374</v>
      </c>
      <c r="AT196" s="7">
        <v>193.37197996849864</v>
      </c>
      <c r="AU196" s="7">
        <v>-157.63138012404335</v>
      </c>
    </row>
    <row r="197" spans="1:47" x14ac:dyDescent="0.25">
      <c r="A197" s="7" t="s">
        <v>574</v>
      </c>
      <c r="B197" s="7">
        <v>2</v>
      </c>
      <c r="C197" s="19">
        <v>330</v>
      </c>
      <c r="D197" s="7" t="s">
        <v>575</v>
      </c>
      <c r="E197" s="7" t="s">
        <v>614</v>
      </c>
      <c r="F197" s="20">
        <v>330</v>
      </c>
      <c r="G197" s="7" t="s">
        <v>194</v>
      </c>
      <c r="H197" s="21">
        <v>1</v>
      </c>
      <c r="I197" s="11">
        <f>MAX(('Geometry'!$G$13*COS(RADIANS(F197))+'Geometry'!$F$13*SIN(RADIANS(F197))),('Geometry'!$G$14*COS(RADIANS(F197))+'Geometry'!$F$14*SIN(RADIANS(F197))),('Geometry'!$G$15*COS(RADIANS(F197))+'Geometry'!$F$15*SIN(RADIANS(F197))),('Geometry'!$G$16*COS(RADIANS(F197))+'Geometry'!$F$16*SIN(RADIANS(F197))),('Geometry'!$G$17*COS(RADIANS(F197))+'Geometry'!$F$17*SIN(RADIANS(F197))),('Geometry'!$G$18*COS(RADIANS(F197))+'Geometry'!$F$18*SIN(RADIANS(F197))),('Geometry'!$G$19*COS(RADIANS(F197))+'Geometry'!$F$19*SIN(RADIANS(F197))),('Geometry'!$G$20*COS(RADIANS(F197))+'Geometry'!$F$20*SIN(RADIANS(F197))))</f>
        <v>794.6152422706632</v>
      </c>
      <c r="J197" s="11">
        <f>I197-H197*K197</f>
        <v>-794.6152422706632</v>
      </c>
      <c r="K197" s="11">
        <f>I197-MIN(('Geometry'!$G$13*COS(RADIANS(F197))+'Geometry'!$F$13*SIN(RADIANS(F197))),('Geometry'!$G$14*COS(RADIANS(F197))+'Geometry'!$F$14*SIN(RADIANS(F197))),('Geometry'!$G$15*COS(RADIANS(F197))+'Geometry'!$F$15*SIN(RADIANS(F197))),('Geometry'!$G$16*COS(RADIANS(F197))+'Geometry'!$F$16*SIN(RADIANS(F197))),('Geometry'!$G$17*COS(RADIANS(F197))+'Geometry'!$F$17*SIN(RADIANS(F197))),('Geometry'!$G$18*COS(RADIANS(F197))+'Geometry'!$F$18*SIN(RADIANS(F197))),('Geometry'!$G$19*COS(RADIANS(F197))+'Geometry'!$F$19*SIN(RADIANS(F197))),('Geometry'!$G$20*COS(RADIANS(F197))+'Geometry'!$F$20*SIN(RADIANS(F197))))</f>
        <v>1589.2304845413264</v>
      </c>
      <c r="L197" s="16">
        <f>C_ecu</f>
        <v>0.0033</v>
      </c>
      <c r="M197" s="16">
        <f>0</f>
        <v>0</v>
      </c>
      <c r="N197" s="22">
        <f>IF(ABS(I197-J197)&lt;0.000000000001,0,(L197-M197)/(I197-J197))</f>
        <v>0.0000020764766546448578</v>
      </c>
      <c r="O197" s="16">
        <f>L197-N197*I197</f>
        <v>0.00165</v>
      </c>
      <c r="P197" s="22">
        <f>N197*COS(RADIANS(F197))</f>
        <v>0.0000017982815332877738</v>
      </c>
      <c r="Q197" s="22">
        <f>N197*SIN(RADIANS(F197))</f>
        <v>-0.0000010382383273224283</v>
      </c>
      <c r="R197" s="11">
        <f>AP197</f>
        <v>15282.1090138309</v>
      </c>
      <c r="S197" s="11">
        <f>AQ197</f>
        <v>1202.8682573985102</v>
      </c>
      <c r="T197" s="11">
        <f>AR197</f>
        <v>-983.229274606188</v>
      </c>
      <c r="U197" s="11">
        <f>AS197</f>
        <v>2388.2366016523374</v>
      </c>
      <c r="V197" s="11">
        <f>AT197</f>
        <v>386.74395993699727</v>
      </c>
      <c r="W197" s="11">
        <f>AU197</f>
        <v>-315.2627602480867</v>
      </c>
      <c r="X197" s="11">
        <f>AM197</f>
        <v>17670.345615483235</v>
      </c>
      <c r="Y197" s="11">
        <f>AN197</f>
        <v>1589.6122173355075</v>
      </c>
      <c r="Z197" s="11">
        <f>AO197</f>
        <v>-1298.4920348542748</v>
      </c>
      <c r="AA197" s="7">
        <v>1</v>
      </c>
      <c r="AB197" s="7">
        <v>1</v>
      </c>
      <c r="AC197" s="7">
        <v>1</v>
      </c>
      <c r="AD197" s="11">
        <f>X197*AA197</f>
        <v>17670.345615483235</v>
      </c>
      <c r="AE197" s="11">
        <f>Y197*AB197</f>
        <v>1589.6122173355075</v>
      </c>
      <c r="AF197" s="11">
        <f>Z197*AC197</f>
        <v>-1298.4920348542748</v>
      </c>
      <c r="AG197" s="7">
        <v>17670.345615483235</v>
      </c>
      <c r="AH197" s="7">
        <v>1589.6122173355075</v>
      </c>
      <c r="AI197" s="7">
        <v>-1298.4920348542748</v>
      </c>
      <c r="AJ197" s="16">
        <f>AD197-AG197</f>
        <v>0</v>
      </c>
      <c r="AK197" s="16">
        <f>SQRT((AE197-AH197)^2+(AF197-AI197)^2)</f>
        <v>0</v>
      </c>
      <c r="AL197" s="7" t="s">
        <v>190</v>
      </c>
      <c r="AM197" s="7">
        <v>17670.345615483235</v>
      </c>
      <c r="AN197" s="7">
        <v>1589.6122173355075</v>
      </c>
      <c r="AO197" s="7">
        <v>-1298.4920348542748</v>
      </c>
      <c r="AP197" s="7">
        <v>15282.1090138309</v>
      </c>
      <c r="AQ197" s="7">
        <v>1202.8682573985102</v>
      </c>
      <c r="AR197" s="7">
        <v>-983.229274606188</v>
      </c>
      <c r="AS197" s="7">
        <v>2388.2366016523374</v>
      </c>
      <c r="AT197" s="7">
        <v>386.74395993699727</v>
      </c>
      <c r="AU197" s="7">
        <v>-315.2627602480867</v>
      </c>
    </row>
    <row r="198" spans="1:47" x14ac:dyDescent="0.25">
      <c r="A198" s="7" t="s">
        <v>576</v>
      </c>
      <c r="B198" s="7">
        <v>3</v>
      </c>
      <c r="C198" s="19">
        <v>330</v>
      </c>
      <c r="D198" s="7" t="s">
        <v>577</v>
      </c>
      <c r="E198" s="7" t="s">
        <v>609</v>
      </c>
      <c r="F198" s="20">
        <v>330</v>
      </c>
      <c r="G198" s="7" t="s">
        <v>194</v>
      </c>
      <c r="H198" s="21">
        <v>3</v>
      </c>
      <c r="I198" s="11">
        <f>MAX(('Geometry'!$G$13*COS(RADIANS(F198))+'Geometry'!$F$13*SIN(RADIANS(F198))),('Geometry'!$G$14*COS(RADIANS(F198))+'Geometry'!$F$14*SIN(RADIANS(F198))),('Geometry'!$G$15*COS(RADIANS(F198))+'Geometry'!$F$15*SIN(RADIANS(F198))),('Geometry'!$G$16*COS(RADIANS(F198))+'Geometry'!$F$16*SIN(RADIANS(F198))),('Geometry'!$G$17*COS(RADIANS(F198))+'Geometry'!$F$17*SIN(RADIANS(F198))),('Geometry'!$G$18*COS(RADIANS(F198))+'Geometry'!$F$18*SIN(RADIANS(F198))),('Geometry'!$G$19*COS(RADIANS(F198))+'Geometry'!$F$19*SIN(RADIANS(F198))),('Geometry'!$G$20*COS(RADIANS(F198))+'Geometry'!$F$20*SIN(RADIANS(F198))))</f>
        <v>794.6152422706632</v>
      </c>
      <c r="J198" s="11">
        <f>I198-H198*K198</f>
        <v>-3973.076211353316</v>
      </c>
      <c r="K198" s="11">
        <f>I198-MIN(('Geometry'!$G$13*COS(RADIANS(F198))+'Geometry'!$F$13*SIN(RADIANS(F198))),('Geometry'!$G$14*COS(RADIANS(F198))+'Geometry'!$F$14*SIN(RADIANS(F198))),('Geometry'!$G$15*COS(RADIANS(F198))+'Geometry'!$F$15*SIN(RADIANS(F198))),('Geometry'!$G$16*COS(RADIANS(F198))+'Geometry'!$F$16*SIN(RADIANS(F198))),('Geometry'!$G$17*COS(RADIANS(F198))+'Geometry'!$F$17*SIN(RADIANS(F198))),('Geometry'!$G$18*COS(RADIANS(F198))+'Geometry'!$F$18*SIN(RADIANS(F198))),('Geometry'!$G$19*COS(RADIANS(F198))+'Geometry'!$F$19*SIN(RADIANS(F198))),('Geometry'!$G$20*COS(RADIANS(F198))+'Geometry'!$F$20*SIN(RADIANS(F198))))</f>
        <v>1589.2304845413264</v>
      </c>
      <c r="L198" s="16">
        <f>C_ecu</f>
        <v>0.0033</v>
      </c>
      <c r="M198" s="16">
        <f>0</f>
        <v>0</v>
      </c>
      <c r="N198" s="22">
        <f>IF(ABS(I198-J198)&lt;0.000000000001,0,(L198-M198)/(I198-J198))</f>
        <v>6.921588848816193e-7</v>
      </c>
      <c r="O198" s="16">
        <f>L198-N198*I198</f>
        <v>0.00275</v>
      </c>
      <c r="P198" s="22">
        <f>N198*COS(RADIANS(F198))</f>
        <v>5.994271777625912e-7</v>
      </c>
      <c r="Q198" s="22">
        <f>N198*SIN(RADIANS(F198))</f>
        <v>-3.460794424408094e-7</v>
      </c>
      <c r="R198" s="11">
        <f>AP198</f>
        <v>15282.1090138309</v>
      </c>
      <c r="S198" s="11">
        <f>AQ198</f>
        <v>200.4780428997517</v>
      </c>
      <c r="T198" s="11">
        <f>AR198</f>
        <v>-163.87154576769802</v>
      </c>
      <c r="U198" s="11">
        <f>AS198</f>
        <v>2388.2366016523374</v>
      </c>
      <c r="V198" s="11">
        <f>AT198</f>
        <v>64.45732665616622</v>
      </c>
      <c r="W198" s="11">
        <f>AU198</f>
        <v>-52.543793374681115</v>
      </c>
      <c r="X198" s="11">
        <f>AM198</f>
        <v>17670.345615483235</v>
      </c>
      <c r="Y198" s="11">
        <f>AN198</f>
        <v>264.9353695559179</v>
      </c>
      <c r="Z198" s="11">
        <f>AO198</f>
        <v>-216.4153391423791</v>
      </c>
      <c r="AA198" s="7">
        <v>1</v>
      </c>
      <c r="AB198" s="7">
        <v>1</v>
      </c>
      <c r="AC198" s="7">
        <v>1</v>
      </c>
      <c r="AD198" s="11">
        <f>X198*AA198</f>
        <v>17670.345615483235</v>
      </c>
      <c r="AE198" s="11">
        <f>Y198*AB198</f>
        <v>264.9353695559179</v>
      </c>
      <c r="AF198" s="11">
        <f>Z198*AC198</f>
        <v>-216.4153391423791</v>
      </c>
      <c r="AG198" s="7">
        <v>17670.345615483235</v>
      </c>
      <c r="AH198" s="7">
        <v>264.9353695559179</v>
      </c>
      <c r="AI198" s="7">
        <v>-216.4153391423791</v>
      </c>
      <c r="AJ198" s="16">
        <f>AD198-AG198</f>
        <v>0</v>
      </c>
      <c r="AK198" s="16">
        <f>SQRT((AE198-AH198)^2+(AF198-AI198)^2)</f>
        <v>0</v>
      </c>
      <c r="AL198" s="7" t="s">
        <v>190</v>
      </c>
      <c r="AM198" s="7">
        <v>17670.345615483235</v>
      </c>
      <c r="AN198" s="7">
        <v>264.9353695559179</v>
      </c>
      <c r="AO198" s="7">
        <v>-216.4153391423791</v>
      </c>
      <c r="AP198" s="7">
        <v>15282.1090138309</v>
      </c>
      <c r="AQ198" s="7">
        <v>200.4780428997517</v>
      </c>
      <c r="AR198" s="7">
        <v>-163.87154576769802</v>
      </c>
      <c r="AS198" s="7">
        <v>2388.2366016523374</v>
      </c>
      <c r="AT198" s="7">
        <v>64.45732665616622</v>
      </c>
      <c r="AU198" s="7">
        <v>-52.543793374681115</v>
      </c>
    </row>
    <row r="199" spans="1:47" x14ac:dyDescent="0.25">
      <c r="A199" s="7" t="s">
        <v>578</v>
      </c>
      <c r="B199" s="7">
        <v>4</v>
      </c>
      <c r="C199" s="19">
        <v>330</v>
      </c>
      <c r="D199" s="7" t="s">
        <v>579</v>
      </c>
      <c r="E199" s="7" t="s">
        <v>610</v>
      </c>
      <c r="F199" s="20">
        <v>330</v>
      </c>
      <c r="G199" s="7" t="s">
        <v>194</v>
      </c>
      <c r="H199" s="21">
        <v>2</v>
      </c>
      <c r="I199" s="11">
        <f>MAX(('Geometry'!$G$13*COS(RADIANS(F199))+'Geometry'!$F$13*SIN(RADIANS(F199))),('Geometry'!$G$14*COS(RADIANS(F199))+'Geometry'!$F$14*SIN(RADIANS(F199))),('Geometry'!$G$15*COS(RADIANS(F199))+'Geometry'!$F$15*SIN(RADIANS(F199))),('Geometry'!$G$16*COS(RADIANS(F199))+'Geometry'!$F$16*SIN(RADIANS(F199))),('Geometry'!$G$17*COS(RADIANS(F199))+'Geometry'!$F$17*SIN(RADIANS(F199))),('Geometry'!$G$18*COS(RADIANS(F199))+'Geometry'!$F$18*SIN(RADIANS(F199))),('Geometry'!$G$19*COS(RADIANS(F199))+'Geometry'!$F$19*SIN(RADIANS(F199))),('Geometry'!$G$20*COS(RADIANS(F199))+'Geometry'!$F$20*SIN(RADIANS(F199))))</f>
        <v>794.6152422706632</v>
      </c>
      <c r="J199" s="11">
        <f>I199-H199*K199</f>
        <v>-2383.8457268119896</v>
      </c>
      <c r="K199" s="11">
        <f>I199-MIN(('Geometry'!$G$13*COS(RADIANS(F199))+'Geometry'!$F$13*SIN(RADIANS(F199))),('Geometry'!$G$14*COS(RADIANS(F199))+'Geometry'!$F$14*SIN(RADIANS(F199))),('Geometry'!$G$15*COS(RADIANS(F199))+'Geometry'!$F$15*SIN(RADIANS(F199))),('Geometry'!$G$16*COS(RADIANS(F199))+'Geometry'!$F$16*SIN(RADIANS(F199))),('Geometry'!$G$17*COS(RADIANS(F199))+'Geometry'!$F$17*SIN(RADIANS(F199))),('Geometry'!$G$18*COS(RADIANS(F199))+'Geometry'!$F$18*SIN(RADIANS(F199))),('Geometry'!$G$19*COS(RADIANS(F199))+'Geometry'!$F$19*SIN(RADIANS(F199))),('Geometry'!$G$20*COS(RADIANS(F199))+'Geometry'!$F$20*SIN(RADIANS(F199))))</f>
        <v>1589.2304845413264</v>
      </c>
      <c r="L199" s="16">
        <f>C_ecu</f>
        <v>0.0033</v>
      </c>
      <c r="M199" s="16">
        <f>0</f>
        <v>0</v>
      </c>
      <c r="N199" s="22">
        <f>IF(ABS(I199-J199)&lt;0.000000000001,0,(L199-M199)/(I199-J199))</f>
        <v>0.0000010382383273224289</v>
      </c>
      <c r="O199" s="16">
        <f>L199-N199*I199</f>
        <v>0.0024749999999999998</v>
      </c>
      <c r="P199" s="22">
        <f>N199*COS(RADIANS(F199))</f>
        <v>8.991407666438869e-7</v>
      </c>
      <c r="Q199" s="22">
        <f>N199*SIN(RADIANS(F199))</f>
        <v>-5.191191636612141e-7</v>
      </c>
      <c r="R199" s="11">
        <f>AP199</f>
        <v>15282.1090138309</v>
      </c>
      <c r="S199" s="11">
        <f>AQ199</f>
        <v>400.9560857995034</v>
      </c>
      <c r="T199" s="11">
        <f>AR199</f>
        <v>-327.74309153539605</v>
      </c>
      <c r="U199" s="11">
        <f>AS199</f>
        <v>2388.2366016523374</v>
      </c>
      <c r="V199" s="11">
        <f>AT199</f>
        <v>128.91465331233243</v>
      </c>
      <c r="W199" s="11">
        <f>AU199</f>
        <v>-105.08758674936223</v>
      </c>
      <c r="X199" s="11">
        <f>AM199</f>
        <v>17670.345615483235</v>
      </c>
      <c r="Y199" s="11">
        <f>AN199</f>
        <v>529.8707391118357</v>
      </c>
      <c r="Z199" s="11">
        <f>AO199</f>
        <v>-432.8306782847582</v>
      </c>
      <c r="AA199" s="7">
        <v>1</v>
      </c>
      <c r="AB199" s="7">
        <v>1</v>
      </c>
      <c r="AC199" s="7">
        <v>1</v>
      </c>
      <c r="AD199" s="11">
        <f>X199*AA199</f>
        <v>17670.345615483235</v>
      </c>
      <c r="AE199" s="11">
        <f>Y199*AB199</f>
        <v>529.8707391118357</v>
      </c>
      <c r="AF199" s="11">
        <f>Z199*AC199</f>
        <v>-432.8306782847582</v>
      </c>
      <c r="AG199" s="7">
        <v>17670.345615483235</v>
      </c>
      <c r="AH199" s="7">
        <v>529.8707391118357</v>
      </c>
      <c r="AI199" s="7">
        <v>-432.8306782847582</v>
      </c>
      <c r="AJ199" s="16">
        <f>AD199-AG199</f>
        <v>0</v>
      </c>
      <c r="AK199" s="16">
        <f>SQRT((AE199-AH199)^2+(AF199-AI199)^2)</f>
        <v>0</v>
      </c>
      <c r="AL199" s="7" t="s">
        <v>190</v>
      </c>
      <c r="AM199" s="7">
        <v>17670.345615483235</v>
      </c>
      <c r="AN199" s="7">
        <v>529.8707391118357</v>
      </c>
      <c r="AO199" s="7">
        <v>-432.8306782847582</v>
      </c>
      <c r="AP199" s="7">
        <v>15282.1090138309</v>
      </c>
      <c r="AQ199" s="7">
        <v>400.9560857995034</v>
      </c>
      <c r="AR199" s="7">
        <v>-327.74309153539605</v>
      </c>
      <c r="AS199" s="7">
        <v>2388.2366016523374</v>
      </c>
      <c r="AT199" s="7">
        <v>128.91465331233243</v>
      </c>
      <c r="AU199" s="7">
        <v>-105.08758674936223</v>
      </c>
    </row>
    <row r="200" spans="1:47" x14ac:dyDescent="0.25">
      <c r="A200" s="7" t="s">
        <v>580</v>
      </c>
      <c r="B200" s="7">
        <v>5</v>
      </c>
      <c r="C200" s="19">
        <v>330</v>
      </c>
      <c r="D200" s="7" t="s">
        <v>581</v>
      </c>
      <c r="E200" s="7" t="s">
        <v>612</v>
      </c>
      <c r="F200" s="20">
        <v>330</v>
      </c>
      <c r="G200" s="7" t="s">
        <v>194</v>
      </c>
      <c r="H200" s="21">
        <v>1.2</v>
      </c>
      <c r="I200" s="11">
        <f>MAX(('Geometry'!$G$13*COS(RADIANS(F200))+'Geometry'!$F$13*SIN(RADIANS(F200))),('Geometry'!$G$14*COS(RADIANS(F200))+'Geometry'!$F$14*SIN(RADIANS(F200))),('Geometry'!$G$15*COS(RADIANS(F200))+'Geometry'!$F$15*SIN(RADIANS(F200))),('Geometry'!$G$16*COS(RADIANS(F200))+'Geometry'!$F$16*SIN(RADIANS(F200))),('Geometry'!$G$17*COS(RADIANS(F200))+'Geometry'!$F$17*SIN(RADIANS(F200))),('Geometry'!$G$18*COS(RADIANS(F200))+'Geometry'!$F$18*SIN(RADIANS(F200))),('Geometry'!$G$19*COS(RADIANS(F200))+'Geometry'!$F$19*SIN(RADIANS(F200))),('Geometry'!$G$20*COS(RADIANS(F200))+'Geometry'!$F$20*SIN(RADIANS(F200))))</f>
        <v>794.6152422706632</v>
      </c>
      <c r="J200" s="11">
        <f>I200-H200*K200</f>
        <v>-1112.4613391789285</v>
      </c>
      <c r="K200" s="11">
        <f>I200-MIN(('Geometry'!$G$13*COS(RADIANS(F200))+'Geometry'!$F$13*SIN(RADIANS(F200))),('Geometry'!$G$14*COS(RADIANS(F200))+'Geometry'!$F$14*SIN(RADIANS(F200))),('Geometry'!$G$15*COS(RADIANS(F200))+'Geometry'!$F$15*SIN(RADIANS(F200))),('Geometry'!$G$16*COS(RADIANS(F200))+'Geometry'!$F$16*SIN(RADIANS(F200))),('Geometry'!$G$17*COS(RADIANS(F200))+'Geometry'!$F$17*SIN(RADIANS(F200))),('Geometry'!$G$18*COS(RADIANS(F200))+'Geometry'!$F$18*SIN(RADIANS(F200))),('Geometry'!$G$19*COS(RADIANS(F200))+'Geometry'!$F$19*SIN(RADIANS(F200))),('Geometry'!$G$20*COS(RADIANS(F200))+'Geometry'!$F$20*SIN(RADIANS(F200))))</f>
        <v>1589.2304845413264</v>
      </c>
      <c r="L200" s="16">
        <f>C_ecu</f>
        <v>0.0033</v>
      </c>
      <c r="M200" s="16">
        <f>0</f>
        <v>0</v>
      </c>
      <c r="N200" s="22">
        <f>IF(ABS(I200-J200)&lt;0.000000000001,0,(L200-M200)/(I200-J200))</f>
        <v>0.0000017303972122040482</v>
      </c>
      <c r="O200" s="16">
        <f>L200-N200*I200</f>
        <v>0.001925</v>
      </c>
      <c r="P200" s="22">
        <f>N200*COS(RADIANS(F200))</f>
        <v>0.000001498567944406478</v>
      </c>
      <c r="Q200" s="22">
        <f>N200*SIN(RADIANS(F200))</f>
        <v>-8.651986061020235e-7</v>
      </c>
      <c r="R200" s="11">
        <f>AP200</f>
        <v>15282.1090138309</v>
      </c>
      <c r="S200" s="11">
        <f>AQ200</f>
        <v>801.9121715990068</v>
      </c>
      <c r="T200" s="11">
        <f>AR200</f>
        <v>-655.4861830707921</v>
      </c>
      <c r="U200" s="11">
        <f>AS200</f>
        <v>2388.2366016523374</v>
      </c>
      <c r="V200" s="11">
        <f>AT200</f>
        <v>257.82930662466487</v>
      </c>
      <c r="W200" s="11">
        <f>AU200</f>
        <v>-210.17517349872446</v>
      </c>
      <c r="X200" s="11">
        <f>AM200</f>
        <v>17670.345615483235</v>
      </c>
      <c r="Y200" s="11">
        <f>AN200</f>
        <v>1059.7414782236715</v>
      </c>
      <c r="Z200" s="11">
        <f>AO200</f>
        <v>-865.6613565695164</v>
      </c>
      <c r="AA200" s="7">
        <v>1</v>
      </c>
      <c r="AB200" s="7">
        <v>1</v>
      </c>
      <c r="AC200" s="7">
        <v>1</v>
      </c>
      <c r="AD200" s="11">
        <f>X200*AA200</f>
        <v>17670.345615483235</v>
      </c>
      <c r="AE200" s="11">
        <f>Y200*AB200</f>
        <v>1059.7414782236715</v>
      </c>
      <c r="AF200" s="11">
        <f>Z200*AC200</f>
        <v>-865.6613565695164</v>
      </c>
      <c r="AG200" s="7">
        <v>17670.345615483235</v>
      </c>
      <c r="AH200" s="7">
        <v>1059.7414782236715</v>
      </c>
      <c r="AI200" s="7">
        <v>-865.6613565695164</v>
      </c>
      <c r="AJ200" s="16">
        <f>AD200-AG200</f>
        <v>0</v>
      </c>
      <c r="AK200" s="16">
        <f>SQRT((AE200-AH200)^2+(AF200-AI200)^2)</f>
        <v>0</v>
      </c>
      <c r="AL200" s="7" t="s">
        <v>190</v>
      </c>
      <c r="AM200" s="7">
        <v>17670.345615483235</v>
      </c>
      <c r="AN200" s="7">
        <v>1059.7414782236715</v>
      </c>
      <c r="AO200" s="7">
        <v>-865.6613565695164</v>
      </c>
      <c r="AP200" s="7">
        <v>15282.1090138309</v>
      </c>
      <c r="AQ200" s="7">
        <v>801.9121715990068</v>
      </c>
      <c r="AR200" s="7">
        <v>-655.4861830707921</v>
      </c>
      <c r="AS200" s="7">
        <v>2388.2366016523374</v>
      </c>
      <c r="AT200" s="7">
        <v>257.82930662466487</v>
      </c>
      <c r="AU200" s="7">
        <v>-210.17517349872446</v>
      </c>
    </row>
    <row r="201" spans="1:47" x14ac:dyDescent="0.25">
      <c r="A201" s="7" t="s">
        <v>582</v>
      </c>
      <c r="B201" s="7">
        <v>6</v>
      </c>
      <c r="C201" s="19">
        <v>330</v>
      </c>
      <c r="D201" s="7" t="s">
        <v>583</v>
      </c>
      <c r="E201" s="7" t="s">
        <v>613</v>
      </c>
      <c r="F201" s="20">
        <v>330</v>
      </c>
      <c r="G201" s="7" t="s">
        <v>194</v>
      </c>
      <c r="H201" s="21">
        <v>1.1000000000000003</v>
      </c>
      <c r="I201" s="11">
        <f>MAX(('Geometry'!$G$13*COS(RADIANS(F201))+'Geometry'!$F$13*SIN(RADIANS(F201))),('Geometry'!$G$14*COS(RADIANS(F201))+'Geometry'!$F$14*SIN(RADIANS(F201))),('Geometry'!$G$15*COS(RADIANS(F201))+'Geometry'!$F$15*SIN(RADIANS(F201))),('Geometry'!$G$16*COS(RADIANS(F201))+'Geometry'!$F$16*SIN(RADIANS(F201))),('Geometry'!$G$17*COS(RADIANS(F201))+'Geometry'!$F$17*SIN(RADIANS(F201))),('Geometry'!$G$18*COS(RADIANS(F201))+'Geometry'!$F$18*SIN(RADIANS(F201))),('Geometry'!$G$19*COS(RADIANS(F201))+'Geometry'!$F$19*SIN(RADIANS(F201))),('Geometry'!$G$20*COS(RADIANS(F201))+'Geometry'!$F$20*SIN(RADIANS(F201))))</f>
        <v>794.6152422706632</v>
      </c>
      <c r="J201" s="11">
        <f>I201-H201*K201</f>
        <v>-953.5382907247962</v>
      </c>
      <c r="K201" s="11">
        <f>I201-MIN(('Geometry'!$G$13*COS(RADIANS(F201))+'Geometry'!$F$13*SIN(RADIANS(F201))),('Geometry'!$G$14*COS(RADIANS(F201))+'Geometry'!$F$14*SIN(RADIANS(F201))),('Geometry'!$G$15*COS(RADIANS(F201))+'Geometry'!$F$15*SIN(RADIANS(F201))),('Geometry'!$G$16*COS(RADIANS(F201))+'Geometry'!$F$16*SIN(RADIANS(F201))),('Geometry'!$G$17*COS(RADIANS(F201))+'Geometry'!$F$17*SIN(RADIANS(F201))),('Geometry'!$G$18*COS(RADIANS(F201))+'Geometry'!$F$18*SIN(RADIANS(F201))),('Geometry'!$G$19*COS(RADIANS(F201))+'Geometry'!$F$19*SIN(RADIANS(F201))),('Geometry'!$G$20*COS(RADIANS(F201))+'Geometry'!$F$20*SIN(RADIANS(F201))))</f>
        <v>1589.2304845413264</v>
      </c>
      <c r="L201" s="16">
        <f>C_ecu</f>
        <v>0.0033</v>
      </c>
      <c r="M201" s="16">
        <f>0</f>
        <v>0</v>
      </c>
      <c r="N201" s="22">
        <f>IF(ABS(I201-J201)&lt;0.000000000001,0,(L201-M201)/(I201-J201))</f>
        <v>0.000001887706049677143</v>
      </c>
      <c r="O201" s="16">
        <f>L201-N201*I201</f>
        <v>0.0018000000000000002</v>
      </c>
      <c r="P201" s="22">
        <f>N201*COS(RADIANS(F201))</f>
        <v>0.000001634801393897976</v>
      </c>
      <c r="Q201" s="22">
        <f>N201*SIN(RADIANS(F201))</f>
        <v>-9.43853024838571e-7</v>
      </c>
      <c r="R201" s="11">
        <f>AP201</f>
        <v>15282.1090138309</v>
      </c>
      <c r="S201" s="11">
        <f>AQ201</f>
        <v>1002.3902144987584</v>
      </c>
      <c r="T201" s="11">
        <f>AR201</f>
        <v>-819.3577288384902</v>
      </c>
      <c r="U201" s="11">
        <f>AS201</f>
        <v>2388.2366016523374</v>
      </c>
      <c r="V201" s="11">
        <f>AT201</f>
        <v>322.28663328083104</v>
      </c>
      <c r="W201" s="11">
        <f>AU201</f>
        <v>-262.7189668734056</v>
      </c>
      <c r="X201" s="11">
        <f>AM201</f>
        <v>17670.345615483235</v>
      </c>
      <c r="Y201" s="11">
        <f>AN201</f>
        <v>1324.6768477795895</v>
      </c>
      <c r="Z201" s="11">
        <f>AO201</f>
        <v>-1082.0766957118954</v>
      </c>
      <c r="AA201" s="7">
        <v>1</v>
      </c>
      <c r="AB201" s="7">
        <v>1</v>
      </c>
      <c r="AC201" s="7">
        <v>1</v>
      </c>
      <c r="AD201" s="11">
        <f>X201*AA201</f>
        <v>17670.345615483235</v>
      </c>
      <c r="AE201" s="11">
        <f>Y201*AB201</f>
        <v>1324.6768477795895</v>
      </c>
      <c r="AF201" s="11">
        <f>Z201*AC201</f>
        <v>-1082.0766957118954</v>
      </c>
      <c r="AG201" s="7">
        <v>17670.345615483235</v>
      </c>
      <c r="AH201" s="7">
        <v>1324.6768477795895</v>
      </c>
      <c r="AI201" s="7">
        <v>-1082.0766957118954</v>
      </c>
      <c r="AJ201" s="16">
        <f>AD201-AG201</f>
        <v>0</v>
      </c>
      <c r="AK201" s="16">
        <f>SQRT((AE201-AH201)^2+(AF201-AI201)^2)</f>
        <v>0</v>
      </c>
      <c r="AL201" s="7" t="s">
        <v>190</v>
      </c>
      <c r="AM201" s="7">
        <v>17670.345615483235</v>
      </c>
      <c r="AN201" s="7">
        <v>1324.6768477795895</v>
      </c>
      <c r="AO201" s="7">
        <v>-1082.0766957118954</v>
      </c>
      <c r="AP201" s="7">
        <v>15282.1090138309</v>
      </c>
      <c r="AQ201" s="7">
        <v>1002.3902144987584</v>
      </c>
      <c r="AR201" s="7">
        <v>-819.3577288384902</v>
      </c>
      <c r="AS201" s="7">
        <v>2388.2366016523374</v>
      </c>
      <c r="AT201" s="7">
        <v>322.28663328083104</v>
      </c>
      <c r="AU201" s="7">
        <v>-262.7189668734056</v>
      </c>
    </row>
    <row r="202" spans="1:47" x14ac:dyDescent="0.25">
      <c r="A202" s="7" t="s">
        <v>584</v>
      </c>
      <c r="B202" s="7">
        <v>1</v>
      </c>
      <c r="C202" s="19">
        <v>340</v>
      </c>
      <c r="D202" s="7" t="s">
        <v>585</v>
      </c>
      <c r="E202" s="7" t="s">
        <v>609</v>
      </c>
      <c r="F202" s="20">
        <v>340</v>
      </c>
      <c r="G202" s="7" t="s">
        <v>194</v>
      </c>
      <c r="H202" s="21">
        <v>3.0000000000000004</v>
      </c>
      <c r="I202" s="11">
        <f>MAX(('Geometry'!$G$13*COS(RADIANS(F202))+'Geometry'!$F$13*SIN(RADIANS(F202))),('Geometry'!$G$14*COS(RADIANS(F202))+'Geometry'!$F$14*SIN(RADIANS(F202))),('Geometry'!$G$15*COS(RADIANS(F202))+'Geometry'!$F$15*SIN(RADIANS(F202))),('Geometry'!$G$16*COS(RADIANS(F202))+'Geometry'!$F$16*SIN(RADIANS(F202))),('Geometry'!$G$17*COS(RADIANS(F202))+'Geometry'!$F$17*SIN(RADIANS(F202))),('Geometry'!$G$18*COS(RADIANS(F202))+'Geometry'!$F$18*SIN(RADIANS(F202))),('Geometry'!$G$19*COS(RADIANS(F202))+'Geometry'!$F$19*SIN(RADIANS(F202))),('Geometry'!$G$20*COS(RADIANS(F202))+'Geometry'!$F$20*SIN(RADIANS(F202))))</f>
        <v>751.9266513006628</v>
      </c>
      <c r="J202" s="11">
        <f>I202-H202*K202</f>
        <v>-3759.6332565033144</v>
      </c>
      <c r="K202" s="11">
        <f>I202-MIN(('Geometry'!$G$13*COS(RADIANS(F202))+'Geometry'!$F$13*SIN(RADIANS(F202))),('Geometry'!$G$14*COS(RADIANS(F202))+'Geometry'!$F$14*SIN(RADIANS(F202))),('Geometry'!$G$15*COS(RADIANS(F202))+'Geometry'!$F$15*SIN(RADIANS(F202))),('Geometry'!$G$16*COS(RADIANS(F202))+'Geometry'!$F$16*SIN(RADIANS(F202))),('Geometry'!$G$17*COS(RADIANS(F202))+'Geometry'!$F$17*SIN(RADIANS(F202))),('Geometry'!$G$18*COS(RADIANS(F202))+'Geometry'!$F$18*SIN(RADIANS(F202))),('Geometry'!$G$19*COS(RADIANS(F202))+'Geometry'!$F$19*SIN(RADIANS(F202))),('Geometry'!$G$20*COS(RADIANS(F202))+'Geometry'!$F$20*SIN(RADIANS(F202))))</f>
        <v>1503.8533026013256</v>
      </c>
      <c r="L202" s="16">
        <f>C_ecu</f>
        <v>0.0033</v>
      </c>
      <c r="M202" s="16">
        <f>0</f>
        <v>0</v>
      </c>
      <c r="N202" s="22">
        <f>IF(ABS(I202-J202)&lt;0.000000000001,0,(L202-M202)/(I202-J202))</f>
        <v>7.314543234351708e-7</v>
      </c>
      <c r="O202" s="16">
        <f>L202-N202*I202</f>
        <v>0.00275</v>
      </c>
      <c r="P202" s="22">
        <f>N202*COS(RADIANS(F202))</f>
        <v>6.873422301739792e-7</v>
      </c>
      <c r="Q202" s="22">
        <f>N202*SIN(RADIANS(F202))</f>
        <v>-2.5017211253747714e-7</v>
      </c>
      <c r="R202" s="11">
        <f>AP202</f>
        <v>15275.59368924359</v>
      </c>
      <c r="S202" s="11">
        <f>AQ202</f>
        <v>223.94092543046605</v>
      </c>
      <c r="T202" s="11">
        <f>AR202</f>
        <v>-120.08040430138499</v>
      </c>
      <c r="U202" s="11">
        <f>AS202</f>
        <v>2394.7519262396463</v>
      </c>
      <c r="V202" s="11">
        <f>AT202</f>
        <v>72.67201938101255</v>
      </c>
      <c r="W202" s="11">
        <f>AU202</f>
        <v>-38.14040915023108</v>
      </c>
      <c r="X202" s="11">
        <f>AM202</f>
        <v>17670.345615483235</v>
      </c>
      <c r="Y202" s="11">
        <f>AN202</f>
        <v>296.61294481147854</v>
      </c>
      <c r="Z202" s="11">
        <f>AO202</f>
        <v>-158.22081345161604</v>
      </c>
      <c r="AA202" s="7">
        <v>1</v>
      </c>
      <c r="AB202" s="7">
        <v>1</v>
      </c>
      <c r="AC202" s="7">
        <v>1</v>
      </c>
      <c r="AD202" s="11">
        <f>X202*AA202</f>
        <v>17670.345615483235</v>
      </c>
      <c r="AE202" s="11">
        <f>Y202*AB202</f>
        <v>296.61294481147854</v>
      </c>
      <c r="AF202" s="11">
        <f>Z202*AC202</f>
        <v>-158.22081345161604</v>
      </c>
      <c r="AG202" s="7">
        <v>17670.345615483235</v>
      </c>
      <c r="AH202" s="7">
        <v>296.61294481147854</v>
      </c>
      <c r="AI202" s="7">
        <v>-158.22081345161604</v>
      </c>
      <c r="AJ202" s="16">
        <f>AD202-AG202</f>
        <v>0</v>
      </c>
      <c r="AK202" s="16">
        <f>SQRT((AE202-AH202)^2+(AF202-AI202)^2)</f>
        <v>0</v>
      </c>
      <c r="AL202" s="7" t="s">
        <v>190</v>
      </c>
      <c r="AM202" s="7">
        <v>17670.345615483235</v>
      </c>
      <c r="AN202" s="7">
        <v>296.61294481147854</v>
      </c>
      <c r="AO202" s="7">
        <v>-158.22081345161604</v>
      </c>
      <c r="AP202" s="7">
        <v>15275.59368924359</v>
      </c>
      <c r="AQ202" s="7">
        <v>223.94092543046605</v>
      </c>
      <c r="AR202" s="7">
        <v>-120.08040430138499</v>
      </c>
      <c r="AS202" s="7">
        <v>2394.7519262396463</v>
      </c>
      <c r="AT202" s="7">
        <v>72.67201938101255</v>
      </c>
      <c r="AU202" s="7">
        <v>-38.14040915023108</v>
      </c>
    </row>
    <row r="203" spans="1:47" x14ac:dyDescent="0.25">
      <c r="A203" s="7" t="s">
        <v>586</v>
      </c>
      <c r="B203" s="7">
        <v>2</v>
      </c>
      <c r="C203" s="19">
        <v>340</v>
      </c>
      <c r="D203" s="7" t="s">
        <v>587</v>
      </c>
      <c r="E203" s="7" t="s">
        <v>610</v>
      </c>
      <c r="F203" s="20">
        <v>340</v>
      </c>
      <c r="G203" s="7" t="s">
        <v>194</v>
      </c>
      <c r="H203" s="21">
        <v>2</v>
      </c>
      <c r="I203" s="11">
        <f>MAX(('Geometry'!$G$13*COS(RADIANS(F203))+'Geometry'!$F$13*SIN(RADIANS(F203))),('Geometry'!$G$14*COS(RADIANS(F203))+'Geometry'!$F$14*SIN(RADIANS(F203))),('Geometry'!$G$15*COS(RADIANS(F203))+'Geometry'!$F$15*SIN(RADIANS(F203))),('Geometry'!$G$16*COS(RADIANS(F203))+'Geometry'!$F$16*SIN(RADIANS(F203))),('Geometry'!$G$17*COS(RADIANS(F203))+'Geometry'!$F$17*SIN(RADIANS(F203))),('Geometry'!$G$18*COS(RADIANS(F203))+'Geometry'!$F$18*SIN(RADIANS(F203))),('Geometry'!$G$19*COS(RADIANS(F203))+'Geometry'!$F$19*SIN(RADIANS(F203))),('Geometry'!$G$20*COS(RADIANS(F203))+'Geometry'!$F$20*SIN(RADIANS(F203))))</f>
        <v>751.9266513006628</v>
      </c>
      <c r="J203" s="11">
        <f>I203-H203*K203</f>
        <v>-2255.7799539019884</v>
      </c>
      <c r="K203" s="11">
        <f>I203-MIN(('Geometry'!$G$13*COS(RADIANS(F203))+'Geometry'!$F$13*SIN(RADIANS(F203))),('Geometry'!$G$14*COS(RADIANS(F203))+'Geometry'!$F$14*SIN(RADIANS(F203))),('Geometry'!$G$15*COS(RADIANS(F203))+'Geometry'!$F$15*SIN(RADIANS(F203))),('Geometry'!$G$16*COS(RADIANS(F203))+'Geometry'!$F$16*SIN(RADIANS(F203))),('Geometry'!$G$17*COS(RADIANS(F203))+'Geometry'!$F$17*SIN(RADIANS(F203))),('Geometry'!$G$18*COS(RADIANS(F203))+'Geometry'!$F$18*SIN(RADIANS(F203))),('Geometry'!$G$19*COS(RADIANS(F203))+'Geometry'!$F$19*SIN(RADIANS(F203))),('Geometry'!$G$20*COS(RADIANS(F203))+'Geometry'!$F$20*SIN(RADIANS(F203))))</f>
        <v>1503.8533026013256</v>
      </c>
      <c r="L203" s="16">
        <f>C_ecu</f>
        <v>0.0033</v>
      </c>
      <c r="M203" s="16">
        <f>0</f>
        <v>0</v>
      </c>
      <c r="N203" s="22">
        <f>IF(ABS(I203-J203)&lt;0.000000000001,0,(L203-M203)/(I203-J203))</f>
        <v>0.0000010971814851527564</v>
      </c>
      <c r="O203" s="16">
        <f>L203-N203*I203</f>
        <v>0.0024749999999999998</v>
      </c>
      <c r="P203" s="22">
        <f>N203*COS(RADIANS(F203))</f>
        <v>0.000001031013345260969</v>
      </c>
      <c r="Q203" s="22">
        <f>N203*SIN(RADIANS(F203))</f>
        <v>-3.7525816880621566e-7</v>
      </c>
      <c r="R203" s="11">
        <f>AP203</f>
        <v>15275.59368924359</v>
      </c>
      <c r="S203" s="11">
        <f>AQ203</f>
        <v>447.8818508609321</v>
      </c>
      <c r="T203" s="11">
        <f>AR203</f>
        <v>-240.16080860276998</v>
      </c>
      <c r="U203" s="11">
        <f>AS203</f>
        <v>2394.7519262396463</v>
      </c>
      <c r="V203" s="11">
        <f>AT203</f>
        <v>145.3440387620251</v>
      </c>
      <c r="W203" s="11">
        <f>AU203</f>
        <v>-76.28081830046216</v>
      </c>
      <c r="X203" s="11">
        <f>AM203</f>
        <v>17670.345615483235</v>
      </c>
      <c r="Y203" s="11">
        <f>AN203</f>
        <v>593.2258896229571</v>
      </c>
      <c r="Z203" s="11">
        <f>AO203</f>
        <v>-316.4416269032321</v>
      </c>
      <c r="AA203" s="7">
        <v>1</v>
      </c>
      <c r="AB203" s="7">
        <v>1</v>
      </c>
      <c r="AC203" s="7">
        <v>1</v>
      </c>
      <c r="AD203" s="11">
        <f>X203*AA203</f>
        <v>17670.345615483235</v>
      </c>
      <c r="AE203" s="11">
        <f>Y203*AB203</f>
        <v>593.2258896229571</v>
      </c>
      <c r="AF203" s="11">
        <f>Z203*AC203</f>
        <v>-316.4416269032321</v>
      </c>
      <c r="AG203" s="7">
        <v>17670.345615483235</v>
      </c>
      <c r="AH203" s="7">
        <v>593.2258896229571</v>
      </c>
      <c r="AI203" s="7">
        <v>-316.4416269032321</v>
      </c>
      <c r="AJ203" s="16">
        <f>AD203-AG203</f>
        <v>0</v>
      </c>
      <c r="AK203" s="16">
        <f>SQRT((AE203-AH203)^2+(AF203-AI203)^2)</f>
        <v>0</v>
      </c>
      <c r="AL203" s="7" t="s">
        <v>190</v>
      </c>
      <c r="AM203" s="7">
        <v>17670.345615483235</v>
      </c>
      <c r="AN203" s="7">
        <v>593.2258896229571</v>
      </c>
      <c r="AO203" s="7">
        <v>-316.4416269032321</v>
      </c>
      <c r="AP203" s="7">
        <v>15275.59368924359</v>
      </c>
      <c r="AQ203" s="7">
        <v>447.8818508609321</v>
      </c>
      <c r="AR203" s="7">
        <v>-240.16080860276998</v>
      </c>
      <c r="AS203" s="7">
        <v>2394.7519262396463</v>
      </c>
      <c r="AT203" s="7">
        <v>145.3440387620251</v>
      </c>
      <c r="AU203" s="7">
        <v>-76.28081830046216</v>
      </c>
    </row>
    <row r="204" spans="1:47" x14ac:dyDescent="0.25">
      <c r="A204" s="7" t="s">
        <v>588</v>
      </c>
      <c r="B204" s="7">
        <v>3</v>
      </c>
      <c r="C204" s="19">
        <v>340</v>
      </c>
      <c r="D204" s="7" t="s">
        <v>589</v>
      </c>
      <c r="E204" s="7" t="s">
        <v>611</v>
      </c>
      <c r="F204" s="20">
        <v>340</v>
      </c>
      <c r="G204" s="7" t="s">
        <v>194</v>
      </c>
      <c r="H204" s="21">
        <v>1.5</v>
      </c>
      <c r="I204" s="11">
        <f>MAX(('Geometry'!$G$13*COS(RADIANS(F204))+'Geometry'!$F$13*SIN(RADIANS(F204))),('Geometry'!$G$14*COS(RADIANS(F204))+'Geometry'!$F$14*SIN(RADIANS(F204))),('Geometry'!$G$15*COS(RADIANS(F204))+'Geometry'!$F$15*SIN(RADIANS(F204))),('Geometry'!$G$16*COS(RADIANS(F204))+'Geometry'!$F$16*SIN(RADIANS(F204))),('Geometry'!$G$17*COS(RADIANS(F204))+'Geometry'!$F$17*SIN(RADIANS(F204))),('Geometry'!$G$18*COS(RADIANS(F204))+'Geometry'!$F$18*SIN(RADIANS(F204))),('Geometry'!$G$19*COS(RADIANS(F204))+'Geometry'!$F$19*SIN(RADIANS(F204))),('Geometry'!$G$20*COS(RADIANS(F204))+'Geometry'!$F$20*SIN(RADIANS(F204))))</f>
        <v>751.9266513006628</v>
      </c>
      <c r="J204" s="11">
        <f>I204-H204*K204</f>
        <v>-1503.8533026013256</v>
      </c>
      <c r="K204" s="11">
        <f>I204-MIN(('Geometry'!$G$13*COS(RADIANS(F204))+'Geometry'!$F$13*SIN(RADIANS(F204))),('Geometry'!$G$14*COS(RADIANS(F204))+'Geometry'!$F$14*SIN(RADIANS(F204))),('Geometry'!$G$15*COS(RADIANS(F204))+'Geometry'!$F$15*SIN(RADIANS(F204))),('Geometry'!$G$16*COS(RADIANS(F204))+'Geometry'!$F$16*SIN(RADIANS(F204))),('Geometry'!$G$17*COS(RADIANS(F204))+'Geometry'!$F$17*SIN(RADIANS(F204))),('Geometry'!$G$18*COS(RADIANS(F204))+'Geometry'!$F$18*SIN(RADIANS(F204))),('Geometry'!$G$19*COS(RADIANS(F204))+'Geometry'!$F$19*SIN(RADIANS(F204))),('Geometry'!$G$20*COS(RADIANS(F204))+'Geometry'!$F$20*SIN(RADIANS(F204))))</f>
        <v>1503.8533026013256</v>
      </c>
      <c r="L204" s="16">
        <f>C_ecu</f>
        <v>0.0032999999999999995</v>
      </c>
      <c r="M204" s="16">
        <f>0</f>
        <v>0</v>
      </c>
      <c r="N204" s="22">
        <f>IF(ABS(I204-J204)&lt;0.000000000001,0,(L204-M204)/(I204-J204))</f>
        <v>0.0000014629086468703416</v>
      </c>
      <c r="O204" s="16">
        <f>L204-N204*I204</f>
        <v>0.0021999999999999997</v>
      </c>
      <c r="P204" s="22">
        <f>N204*COS(RADIANS(F204))</f>
        <v>0.0000013746844603479585</v>
      </c>
      <c r="Q204" s="22">
        <f>N204*SIN(RADIANS(F204))</f>
        <v>-5.003442250749543e-7</v>
      </c>
      <c r="R204" s="11">
        <f>AP204</f>
        <v>15275.59368924359</v>
      </c>
      <c r="S204" s="11">
        <f>AQ204</f>
        <v>671.8227762913982</v>
      </c>
      <c r="T204" s="11">
        <f>AR204</f>
        <v>-360.24121290415496</v>
      </c>
      <c r="U204" s="11">
        <f>AS204</f>
        <v>2394.7519262396463</v>
      </c>
      <c r="V204" s="11">
        <f>AT204</f>
        <v>218.0160581430376</v>
      </c>
      <c r="W204" s="11">
        <f>AU204</f>
        <v>-114.42122745069324</v>
      </c>
      <c r="X204" s="11">
        <f>AM204</f>
        <v>17670.345615483235</v>
      </c>
      <c r="Y204" s="11">
        <f>AN204</f>
        <v>889.8388344344357</v>
      </c>
      <c r="Z204" s="11">
        <f>AO204</f>
        <v>-474.6624403548482</v>
      </c>
      <c r="AA204" s="7">
        <v>1</v>
      </c>
      <c r="AB204" s="7">
        <v>1</v>
      </c>
      <c r="AC204" s="7">
        <v>1</v>
      </c>
      <c r="AD204" s="11">
        <f>X204*AA204</f>
        <v>17670.345615483235</v>
      </c>
      <c r="AE204" s="11">
        <f>Y204*AB204</f>
        <v>889.8388344344357</v>
      </c>
      <c r="AF204" s="11">
        <f>Z204*AC204</f>
        <v>-474.6624403548482</v>
      </c>
      <c r="AG204" s="7">
        <v>17670.345615483235</v>
      </c>
      <c r="AH204" s="7">
        <v>889.8388344344357</v>
      </c>
      <c r="AI204" s="7">
        <v>-474.6624403548482</v>
      </c>
      <c r="AJ204" s="16">
        <f>AD204-AG204</f>
        <v>0</v>
      </c>
      <c r="AK204" s="16">
        <f>SQRT((AE204-AH204)^2+(AF204-AI204)^2)</f>
        <v>0</v>
      </c>
      <c r="AL204" s="7" t="s">
        <v>190</v>
      </c>
      <c r="AM204" s="7">
        <v>17670.345615483235</v>
      </c>
      <c r="AN204" s="7">
        <v>889.8388344344357</v>
      </c>
      <c r="AO204" s="7">
        <v>-474.6624403548482</v>
      </c>
      <c r="AP204" s="7">
        <v>15275.59368924359</v>
      </c>
      <c r="AQ204" s="7">
        <v>671.8227762913982</v>
      </c>
      <c r="AR204" s="7">
        <v>-360.24121290415496</v>
      </c>
      <c r="AS204" s="7">
        <v>2394.7519262396463</v>
      </c>
      <c r="AT204" s="7">
        <v>218.0160581430376</v>
      </c>
      <c r="AU204" s="7">
        <v>-114.42122745069324</v>
      </c>
    </row>
    <row r="205" spans="1:47" x14ac:dyDescent="0.25">
      <c r="A205" s="7" t="s">
        <v>590</v>
      </c>
      <c r="B205" s="7">
        <v>4</v>
      </c>
      <c r="C205" s="19">
        <v>340</v>
      </c>
      <c r="D205" s="7" t="s">
        <v>591</v>
      </c>
      <c r="E205" s="7" t="s">
        <v>612</v>
      </c>
      <c r="F205" s="20">
        <v>340</v>
      </c>
      <c r="G205" s="7" t="s">
        <v>194</v>
      </c>
      <c r="H205" s="21">
        <v>1.2</v>
      </c>
      <c r="I205" s="11">
        <f>MAX(('Geometry'!$G$13*COS(RADIANS(F205))+'Geometry'!$F$13*SIN(RADIANS(F205))),('Geometry'!$G$14*COS(RADIANS(F205))+'Geometry'!$F$14*SIN(RADIANS(F205))),('Geometry'!$G$15*COS(RADIANS(F205))+'Geometry'!$F$15*SIN(RADIANS(F205))),('Geometry'!$G$16*COS(RADIANS(F205))+'Geometry'!$F$16*SIN(RADIANS(F205))),('Geometry'!$G$17*COS(RADIANS(F205))+'Geometry'!$F$17*SIN(RADIANS(F205))),('Geometry'!$G$18*COS(RADIANS(F205))+'Geometry'!$F$18*SIN(RADIANS(F205))),('Geometry'!$G$19*COS(RADIANS(F205))+'Geometry'!$F$19*SIN(RADIANS(F205))),('Geometry'!$G$20*COS(RADIANS(F205))+'Geometry'!$F$20*SIN(RADIANS(F205))))</f>
        <v>751.9266513006628</v>
      </c>
      <c r="J205" s="11">
        <f>I205-H205*K205</f>
        <v>-1052.6973118209278</v>
      </c>
      <c r="K205" s="11">
        <f>I205-MIN(('Geometry'!$G$13*COS(RADIANS(F205))+'Geometry'!$F$13*SIN(RADIANS(F205))),('Geometry'!$G$14*COS(RADIANS(F205))+'Geometry'!$F$14*SIN(RADIANS(F205))),('Geometry'!$G$15*COS(RADIANS(F205))+'Geometry'!$F$15*SIN(RADIANS(F205))),('Geometry'!$G$16*COS(RADIANS(F205))+'Geometry'!$F$16*SIN(RADIANS(F205))),('Geometry'!$G$17*COS(RADIANS(F205))+'Geometry'!$F$17*SIN(RADIANS(F205))),('Geometry'!$G$18*COS(RADIANS(F205))+'Geometry'!$F$18*SIN(RADIANS(F205))),('Geometry'!$G$19*COS(RADIANS(F205))+'Geometry'!$F$19*SIN(RADIANS(F205))),('Geometry'!$G$20*COS(RADIANS(F205))+'Geometry'!$F$20*SIN(RADIANS(F205))))</f>
        <v>1503.8533026013256</v>
      </c>
      <c r="L205" s="16">
        <f>C_ecu</f>
        <v>0.0033</v>
      </c>
      <c r="M205" s="16">
        <f>0</f>
        <v>0</v>
      </c>
      <c r="N205" s="22">
        <f>IF(ABS(I205-J205)&lt;0.000000000001,0,(L205-M205)/(I205-J205))</f>
        <v>0.0000018286358085879275</v>
      </c>
      <c r="O205" s="16">
        <f>L205-N205*I205</f>
        <v>0.0019249999999999998</v>
      </c>
      <c r="P205" s="22">
        <f>N205*COS(RADIANS(F205))</f>
        <v>0.0000017183555754349485</v>
      </c>
      <c r="Q205" s="22">
        <f>N205*SIN(RADIANS(F205))</f>
        <v>-6.254302813436929e-7</v>
      </c>
      <c r="R205" s="11">
        <f>AP205</f>
        <v>15275.59368924359</v>
      </c>
      <c r="S205" s="11">
        <f>AQ205</f>
        <v>895.7637017218642</v>
      </c>
      <c r="T205" s="11">
        <f>AR205</f>
        <v>-480.32161720553995</v>
      </c>
      <c r="U205" s="11">
        <f>AS205</f>
        <v>2394.7519262396463</v>
      </c>
      <c r="V205" s="11">
        <f>AT205</f>
        <v>290.6880775240502</v>
      </c>
      <c r="W205" s="11">
        <f>AU205</f>
        <v>-152.56163660092432</v>
      </c>
      <c r="X205" s="11">
        <f>AM205</f>
        <v>17670.345615483235</v>
      </c>
      <c r="Y205" s="11">
        <f>AN205</f>
        <v>1186.4517792459142</v>
      </c>
      <c r="Z205" s="11">
        <f>AO205</f>
        <v>-632.8832538064642</v>
      </c>
      <c r="AA205" s="7">
        <v>1</v>
      </c>
      <c r="AB205" s="7">
        <v>1</v>
      </c>
      <c r="AC205" s="7">
        <v>1</v>
      </c>
      <c r="AD205" s="11">
        <f>X205*AA205</f>
        <v>17670.345615483235</v>
      </c>
      <c r="AE205" s="11">
        <f>Y205*AB205</f>
        <v>1186.4517792459142</v>
      </c>
      <c r="AF205" s="11">
        <f>Z205*AC205</f>
        <v>-632.8832538064642</v>
      </c>
      <c r="AG205" s="7">
        <v>17670.345615483235</v>
      </c>
      <c r="AH205" s="7">
        <v>1186.4517792459142</v>
      </c>
      <c r="AI205" s="7">
        <v>-632.8832538064642</v>
      </c>
      <c r="AJ205" s="16">
        <f>AD205-AG205</f>
        <v>0</v>
      </c>
      <c r="AK205" s="16">
        <f>SQRT((AE205-AH205)^2+(AF205-AI205)^2)</f>
        <v>0</v>
      </c>
      <c r="AL205" s="7" t="s">
        <v>190</v>
      </c>
      <c r="AM205" s="7">
        <v>17670.345615483235</v>
      </c>
      <c r="AN205" s="7">
        <v>1186.4517792459142</v>
      </c>
      <c r="AO205" s="7">
        <v>-632.8832538064642</v>
      </c>
      <c r="AP205" s="7">
        <v>15275.59368924359</v>
      </c>
      <c r="AQ205" s="7">
        <v>895.7637017218642</v>
      </c>
      <c r="AR205" s="7">
        <v>-480.32161720553995</v>
      </c>
      <c r="AS205" s="7">
        <v>2394.7519262396463</v>
      </c>
      <c r="AT205" s="7">
        <v>290.6880775240502</v>
      </c>
      <c r="AU205" s="7">
        <v>-152.56163660092432</v>
      </c>
    </row>
    <row r="206" spans="1:47" x14ac:dyDescent="0.25">
      <c r="A206" s="7" t="s">
        <v>592</v>
      </c>
      <c r="B206" s="7">
        <v>5</v>
      </c>
      <c r="C206" s="19">
        <v>340</v>
      </c>
      <c r="D206" s="7" t="s">
        <v>593</v>
      </c>
      <c r="E206" s="7" t="s">
        <v>613</v>
      </c>
      <c r="F206" s="20">
        <v>340</v>
      </c>
      <c r="G206" s="7" t="s">
        <v>194</v>
      </c>
      <c r="H206" s="21">
        <v>1.1</v>
      </c>
      <c r="I206" s="11">
        <f>MAX(('Geometry'!$G$13*COS(RADIANS(F206))+'Geometry'!$F$13*SIN(RADIANS(F206))),('Geometry'!$G$14*COS(RADIANS(F206))+'Geometry'!$F$14*SIN(RADIANS(F206))),('Geometry'!$G$15*COS(RADIANS(F206))+'Geometry'!$F$15*SIN(RADIANS(F206))),('Geometry'!$G$16*COS(RADIANS(F206))+'Geometry'!$F$16*SIN(RADIANS(F206))),('Geometry'!$G$17*COS(RADIANS(F206))+'Geometry'!$F$17*SIN(RADIANS(F206))),('Geometry'!$G$18*COS(RADIANS(F206))+'Geometry'!$F$18*SIN(RADIANS(F206))),('Geometry'!$G$19*COS(RADIANS(F206))+'Geometry'!$F$19*SIN(RADIANS(F206))),('Geometry'!$G$20*COS(RADIANS(F206))+'Geometry'!$F$20*SIN(RADIANS(F206))))</f>
        <v>751.9266513006628</v>
      </c>
      <c r="J206" s="11">
        <f>I206-H206*K206</f>
        <v>-902.3119815607955</v>
      </c>
      <c r="K206" s="11">
        <f>I206-MIN(('Geometry'!$G$13*COS(RADIANS(F206))+'Geometry'!$F$13*SIN(RADIANS(F206))),('Geometry'!$G$14*COS(RADIANS(F206))+'Geometry'!$F$14*SIN(RADIANS(F206))),('Geometry'!$G$15*COS(RADIANS(F206))+'Geometry'!$F$15*SIN(RADIANS(F206))),('Geometry'!$G$16*COS(RADIANS(F206))+'Geometry'!$F$16*SIN(RADIANS(F206))),('Geometry'!$G$17*COS(RADIANS(F206))+'Geometry'!$F$17*SIN(RADIANS(F206))),('Geometry'!$G$18*COS(RADIANS(F206))+'Geometry'!$F$18*SIN(RADIANS(F206))),('Geometry'!$G$19*COS(RADIANS(F206))+'Geometry'!$F$19*SIN(RADIANS(F206))),('Geometry'!$G$20*COS(RADIANS(F206))+'Geometry'!$F$20*SIN(RADIANS(F206))))</f>
        <v>1503.8533026013256</v>
      </c>
      <c r="L206" s="16">
        <f>C_ecu</f>
        <v>0.0033</v>
      </c>
      <c r="M206" s="16">
        <f>0</f>
        <v>0</v>
      </c>
      <c r="N206" s="22">
        <f>IF(ABS(I206-J206)&lt;0.000000000001,0,(L206-M206)/(I206-J206))</f>
        <v>0.000001994875427550466</v>
      </c>
      <c r="O206" s="16">
        <f>L206-N206*I206</f>
        <v>0.0018000000000000002</v>
      </c>
      <c r="P206" s="22">
        <f>N206*COS(RADIANS(F206))</f>
        <v>0.000001874569718656307</v>
      </c>
      <c r="Q206" s="22">
        <f>N206*SIN(RADIANS(F206))</f>
        <v>-6.822875796476649e-7</v>
      </c>
      <c r="R206" s="11">
        <f>AP206</f>
        <v>15275.59368924359</v>
      </c>
      <c r="S206" s="11">
        <f>AQ206</f>
        <v>1119.7046271523304</v>
      </c>
      <c r="T206" s="11">
        <f>AR206</f>
        <v>-600.4020215069249</v>
      </c>
      <c r="U206" s="11">
        <f>AS206</f>
        <v>2394.7519262396463</v>
      </c>
      <c r="V206" s="11">
        <f>AT206</f>
        <v>363.3600969050627</v>
      </c>
      <c r="W206" s="11">
        <f>AU206</f>
        <v>-190.70204575115537</v>
      </c>
      <c r="X206" s="11">
        <f>AM206</f>
        <v>17670.345615483235</v>
      </c>
      <c r="Y206" s="11">
        <f>AN206</f>
        <v>1483.0647240573928</v>
      </c>
      <c r="Z206" s="11">
        <f>AO206</f>
        <v>-791.1040672580802</v>
      </c>
      <c r="AA206" s="7">
        <v>1</v>
      </c>
      <c r="AB206" s="7">
        <v>1</v>
      </c>
      <c r="AC206" s="7">
        <v>1</v>
      </c>
      <c r="AD206" s="11">
        <f>X206*AA206</f>
        <v>17670.345615483235</v>
      </c>
      <c r="AE206" s="11">
        <f>Y206*AB206</f>
        <v>1483.0647240573928</v>
      </c>
      <c r="AF206" s="11">
        <f>Z206*AC206</f>
        <v>-791.1040672580802</v>
      </c>
      <c r="AG206" s="7">
        <v>17670.345615483235</v>
      </c>
      <c r="AH206" s="7">
        <v>1483.0647240573928</v>
      </c>
      <c r="AI206" s="7">
        <v>-791.1040672580802</v>
      </c>
      <c r="AJ206" s="16">
        <f>AD206-AG206</f>
        <v>0</v>
      </c>
      <c r="AK206" s="16">
        <f>SQRT((AE206-AH206)^2+(AF206-AI206)^2)</f>
        <v>0</v>
      </c>
      <c r="AL206" s="7" t="s">
        <v>190</v>
      </c>
      <c r="AM206" s="7">
        <v>17670.345615483235</v>
      </c>
      <c r="AN206" s="7">
        <v>1483.0647240573928</v>
      </c>
      <c r="AO206" s="7">
        <v>-791.1040672580802</v>
      </c>
      <c r="AP206" s="7">
        <v>15275.59368924359</v>
      </c>
      <c r="AQ206" s="7">
        <v>1119.7046271523304</v>
      </c>
      <c r="AR206" s="7">
        <v>-600.4020215069249</v>
      </c>
      <c r="AS206" s="7">
        <v>2394.7519262396463</v>
      </c>
      <c r="AT206" s="7">
        <v>363.3600969050627</v>
      </c>
      <c r="AU206" s="7">
        <v>-190.70204575115537</v>
      </c>
    </row>
    <row r="207" spans="1:47" x14ac:dyDescent="0.25">
      <c r="A207" s="7" t="s">
        <v>594</v>
      </c>
      <c r="B207" s="7">
        <v>6</v>
      </c>
      <c r="C207" s="19">
        <v>340</v>
      </c>
      <c r="D207" s="7" t="s">
        <v>595</v>
      </c>
      <c r="E207" s="7" t="s">
        <v>614</v>
      </c>
      <c r="F207" s="20">
        <v>340</v>
      </c>
      <c r="G207" s="7" t="s">
        <v>194</v>
      </c>
      <c r="H207" s="21">
        <v>1</v>
      </c>
      <c r="I207" s="11">
        <f>MAX(('Geometry'!$G$13*COS(RADIANS(F207))+'Geometry'!$F$13*SIN(RADIANS(F207))),('Geometry'!$G$14*COS(RADIANS(F207))+'Geometry'!$F$14*SIN(RADIANS(F207))),('Geometry'!$G$15*COS(RADIANS(F207))+'Geometry'!$F$15*SIN(RADIANS(F207))),('Geometry'!$G$16*COS(RADIANS(F207))+'Geometry'!$F$16*SIN(RADIANS(F207))),('Geometry'!$G$17*COS(RADIANS(F207))+'Geometry'!$F$17*SIN(RADIANS(F207))),('Geometry'!$G$18*COS(RADIANS(F207))+'Geometry'!$F$18*SIN(RADIANS(F207))),('Geometry'!$G$19*COS(RADIANS(F207))+'Geometry'!$F$19*SIN(RADIANS(F207))),('Geometry'!$G$20*COS(RADIANS(F207))+'Geometry'!$F$20*SIN(RADIANS(F207))))</f>
        <v>751.9266513006628</v>
      </c>
      <c r="J207" s="11">
        <f>I207-H207*K207</f>
        <v>-751.9266513006628</v>
      </c>
      <c r="K207" s="11">
        <f>I207-MIN(('Geometry'!$G$13*COS(RADIANS(F207))+'Geometry'!$F$13*SIN(RADIANS(F207))),('Geometry'!$G$14*COS(RADIANS(F207))+'Geometry'!$F$14*SIN(RADIANS(F207))),('Geometry'!$G$15*COS(RADIANS(F207))+'Geometry'!$F$15*SIN(RADIANS(F207))),('Geometry'!$G$16*COS(RADIANS(F207))+'Geometry'!$F$16*SIN(RADIANS(F207))),('Geometry'!$G$17*COS(RADIANS(F207))+'Geometry'!$F$17*SIN(RADIANS(F207))),('Geometry'!$G$18*COS(RADIANS(F207))+'Geometry'!$F$18*SIN(RADIANS(F207))),('Geometry'!$G$19*COS(RADIANS(F207))+'Geometry'!$F$19*SIN(RADIANS(F207))),('Geometry'!$G$20*COS(RADIANS(F207))+'Geometry'!$F$20*SIN(RADIANS(F207))))</f>
        <v>1503.8533026013256</v>
      </c>
      <c r="L207" s="16">
        <f>C_ecu</f>
        <v>0.0033</v>
      </c>
      <c r="M207" s="16">
        <f>0</f>
        <v>0</v>
      </c>
      <c r="N207" s="22">
        <f>IF(ABS(I207-J207)&lt;0.000000000001,0,(L207-M207)/(I207-J207))</f>
        <v>0.0000021943629703055128</v>
      </c>
      <c r="O207" s="16">
        <f>L207-N207*I207</f>
        <v>0.00165</v>
      </c>
      <c r="P207" s="22">
        <f>N207*COS(RADIANS(F207))</f>
        <v>0.000002062026690521938</v>
      </c>
      <c r="Q207" s="22">
        <f>N207*SIN(RADIANS(F207))</f>
        <v>-7.505163376124313e-7</v>
      </c>
      <c r="R207" s="11">
        <f>AP207</f>
        <v>15275.59368924359</v>
      </c>
      <c r="S207" s="11">
        <f>AQ207</f>
        <v>1343.6455525827964</v>
      </c>
      <c r="T207" s="11">
        <f>AR207</f>
        <v>-720.4824258083099</v>
      </c>
      <c r="U207" s="11">
        <f>AS207</f>
        <v>2394.7519262396463</v>
      </c>
      <c r="V207" s="11">
        <f>AT207</f>
        <v>436.0321162860752</v>
      </c>
      <c r="W207" s="11">
        <f>AU207</f>
        <v>-228.84245490138647</v>
      </c>
      <c r="X207" s="11">
        <f>AM207</f>
        <v>17670.345615483235</v>
      </c>
      <c r="Y207" s="11">
        <f>AN207</f>
        <v>1779.6776688688715</v>
      </c>
      <c r="Z207" s="11">
        <f>AO207</f>
        <v>-949.3248807096963</v>
      </c>
      <c r="AA207" s="7">
        <v>1</v>
      </c>
      <c r="AB207" s="7">
        <v>1</v>
      </c>
      <c r="AC207" s="7">
        <v>1</v>
      </c>
      <c r="AD207" s="11">
        <f>X207*AA207</f>
        <v>17670.345615483235</v>
      </c>
      <c r="AE207" s="11">
        <f>Y207*AB207</f>
        <v>1779.6776688688715</v>
      </c>
      <c r="AF207" s="11">
        <f>Z207*AC207</f>
        <v>-949.3248807096963</v>
      </c>
      <c r="AG207" s="7">
        <v>17670.345615483235</v>
      </c>
      <c r="AH207" s="7">
        <v>1779.6776688688715</v>
      </c>
      <c r="AI207" s="7">
        <v>-949.3248807096963</v>
      </c>
      <c r="AJ207" s="16">
        <f>AD207-AG207</f>
        <v>0</v>
      </c>
      <c r="AK207" s="16">
        <f>SQRT((AE207-AH207)^2+(AF207-AI207)^2)</f>
        <v>0</v>
      </c>
      <c r="AL207" s="7" t="s">
        <v>190</v>
      </c>
      <c r="AM207" s="7">
        <v>17670.345615483235</v>
      </c>
      <c r="AN207" s="7">
        <v>1779.6776688688715</v>
      </c>
      <c r="AO207" s="7">
        <v>-949.3248807096963</v>
      </c>
      <c r="AP207" s="7">
        <v>15275.59368924359</v>
      </c>
      <c r="AQ207" s="7">
        <v>1343.6455525827964</v>
      </c>
      <c r="AR207" s="7">
        <v>-720.4824258083099</v>
      </c>
      <c r="AS207" s="7">
        <v>2394.7519262396463</v>
      </c>
      <c r="AT207" s="7">
        <v>436.0321162860752</v>
      </c>
      <c r="AU207" s="7">
        <v>-228.84245490138647</v>
      </c>
    </row>
    <row r="208" spans="1:47" x14ac:dyDescent="0.25">
      <c r="A208" s="7" t="s">
        <v>596</v>
      </c>
      <c r="B208" s="7">
        <v>1</v>
      </c>
      <c r="C208" s="19">
        <v>350</v>
      </c>
      <c r="D208" s="7" t="s">
        <v>597</v>
      </c>
      <c r="E208" s="7" t="s">
        <v>611</v>
      </c>
      <c r="F208" s="20">
        <v>350</v>
      </c>
      <c r="G208" s="7" t="s">
        <v>194</v>
      </c>
      <c r="H208" s="21">
        <v>1.4999999999999998</v>
      </c>
      <c r="I208" s="11">
        <f>MAX(('Geometry'!$G$13*COS(RADIANS(F208))+'Geometry'!$F$13*SIN(RADIANS(F208))),('Geometry'!$G$14*COS(RADIANS(F208))+'Geometry'!$F$14*SIN(RADIANS(F208))),('Geometry'!$G$15*COS(RADIANS(F208))+'Geometry'!$F$15*SIN(RADIANS(F208))),('Geometry'!$G$16*COS(RADIANS(F208))+'Geometry'!$F$16*SIN(RADIANS(F208))),('Geometry'!$G$17*COS(RADIANS(F208))+'Geometry'!$F$17*SIN(RADIANS(F208))),('Geometry'!$G$18*COS(RADIANS(F208))+'Geometry'!$F$18*SIN(RADIANS(F208))),('Geometry'!$G$19*COS(RADIANS(F208))+'Geometry'!$F$19*SIN(RADIANS(F208))),('Geometry'!$G$20*COS(RADIANS(F208))+'Geometry'!$F$20*SIN(RADIANS(F208))))</f>
        <v>686.391149524137</v>
      </c>
      <c r="J208" s="11">
        <f>I208-H208*K208</f>
        <v>-1372.7822990482734</v>
      </c>
      <c r="K208" s="11">
        <f>I208-MIN(('Geometry'!$G$13*COS(RADIANS(F208))+'Geometry'!$F$13*SIN(RADIANS(F208))),('Geometry'!$G$14*COS(RADIANS(F208))+'Geometry'!$F$14*SIN(RADIANS(F208))),('Geometry'!$G$15*COS(RADIANS(F208))+'Geometry'!$F$15*SIN(RADIANS(F208))),('Geometry'!$G$16*COS(RADIANS(F208))+'Geometry'!$F$16*SIN(RADIANS(F208))),('Geometry'!$G$17*COS(RADIANS(F208))+'Geometry'!$F$17*SIN(RADIANS(F208))),('Geometry'!$G$18*COS(RADIANS(F208))+'Geometry'!$F$18*SIN(RADIANS(F208))),('Geometry'!$G$19*COS(RADIANS(F208))+'Geometry'!$F$19*SIN(RADIANS(F208))),('Geometry'!$G$20*COS(RADIANS(F208))+'Geometry'!$F$20*SIN(RADIANS(F208))))</f>
        <v>1372.782299048274</v>
      </c>
      <c r="L208" s="16">
        <f>C_ecu</f>
        <v>0.003300000000000001</v>
      </c>
      <c r="M208" s="16">
        <f>0</f>
        <v>0</v>
      </c>
      <c r="N208" s="22">
        <f>IF(ABS(I208-J208)&lt;0.000000000001,0,(L208-M208)/(I208-J208))</f>
        <v>0.0000016025847663720771</v>
      </c>
      <c r="O208" s="16">
        <f>L208-N208*I208</f>
        <v>0.0022</v>
      </c>
      <c r="P208" s="22">
        <f>N208*COS(RADIANS(F208))</f>
        <v>0.0000015782379027824798</v>
      </c>
      <c r="Q208" s="22">
        <f>N208*SIN(RADIANS(F208))</f>
        <v>-2.782859242372946e-7</v>
      </c>
      <c r="R208" s="11">
        <f>AP208</f>
        <v>15258.270149570275</v>
      </c>
      <c r="S208" s="11">
        <f>AQ208</f>
        <v>753.5331410914373</v>
      </c>
      <c r="T208" s="11">
        <f>AR208</f>
        <v>-203.90856509794222</v>
      </c>
      <c r="U208" s="11">
        <f>AS208</f>
        <v>2412.0754659129575</v>
      </c>
      <c r="V208" s="11">
        <f>AT208</f>
        <v>247.0756898817811</v>
      </c>
      <c r="W208" s="11">
        <f>AU208</f>
        <v>-60.3043371303018</v>
      </c>
      <c r="X208" s="11">
        <f>AM208</f>
        <v>17670.345615483235</v>
      </c>
      <c r="Y208" s="11">
        <f>AN208</f>
        <v>1000.6088309732183</v>
      </c>
      <c r="Z208" s="11">
        <f>AO208</f>
        <v>-264.212902228244</v>
      </c>
      <c r="AA208" s="7">
        <v>1</v>
      </c>
      <c r="AB208" s="7">
        <v>1</v>
      </c>
      <c r="AC208" s="7">
        <v>1</v>
      </c>
      <c r="AD208" s="11">
        <f>X208*AA208</f>
        <v>17670.345615483235</v>
      </c>
      <c r="AE208" s="11">
        <f>Y208*AB208</f>
        <v>1000.6088309732183</v>
      </c>
      <c r="AF208" s="11">
        <f>Z208*AC208</f>
        <v>-264.212902228244</v>
      </c>
      <c r="AG208" s="7">
        <v>17670.345615483235</v>
      </c>
      <c r="AH208" s="7">
        <v>1000.6088309732183</v>
      </c>
      <c r="AI208" s="7">
        <v>-264.212902228244</v>
      </c>
      <c r="AJ208" s="16">
        <f>AD208-AG208</f>
        <v>0</v>
      </c>
      <c r="AK208" s="16">
        <f>SQRT((AE208-AH208)^2+(AF208-AI208)^2)</f>
        <v>0</v>
      </c>
      <c r="AL208" s="7" t="s">
        <v>190</v>
      </c>
      <c r="AM208" s="7">
        <v>17670.345615483235</v>
      </c>
      <c r="AN208" s="7">
        <v>1000.6088309732183</v>
      </c>
      <c r="AO208" s="7">
        <v>-264.212902228244</v>
      </c>
      <c r="AP208" s="7">
        <v>15258.270149570275</v>
      </c>
      <c r="AQ208" s="7">
        <v>753.5331410914373</v>
      </c>
      <c r="AR208" s="7">
        <v>-203.90856509794222</v>
      </c>
      <c r="AS208" s="7">
        <v>2412.0754659129575</v>
      </c>
      <c r="AT208" s="7">
        <v>247.0756898817811</v>
      </c>
      <c r="AU208" s="7">
        <v>-60.3043371303018</v>
      </c>
    </row>
    <row r="209" spans="1:47" x14ac:dyDescent="0.25">
      <c r="A209" s="7" t="s">
        <v>598</v>
      </c>
      <c r="B209" s="7">
        <v>2</v>
      </c>
      <c r="C209" s="19">
        <v>350</v>
      </c>
      <c r="D209" s="7" t="s">
        <v>599</v>
      </c>
      <c r="E209" s="7" t="s">
        <v>613</v>
      </c>
      <c r="F209" s="20">
        <v>350</v>
      </c>
      <c r="G209" s="7" t="s">
        <v>194</v>
      </c>
      <c r="H209" s="21">
        <v>1.0999999999999999</v>
      </c>
      <c r="I209" s="11">
        <f>MAX(('Geometry'!$G$13*COS(RADIANS(F209))+'Geometry'!$F$13*SIN(RADIANS(F209))),('Geometry'!$G$14*COS(RADIANS(F209))+'Geometry'!$F$14*SIN(RADIANS(F209))),('Geometry'!$G$15*COS(RADIANS(F209))+'Geometry'!$F$15*SIN(RADIANS(F209))),('Geometry'!$G$16*COS(RADIANS(F209))+'Geometry'!$F$16*SIN(RADIANS(F209))),('Geometry'!$G$17*COS(RADIANS(F209))+'Geometry'!$F$17*SIN(RADIANS(F209))),('Geometry'!$G$18*COS(RADIANS(F209))+'Geometry'!$F$18*SIN(RADIANS(F209))),('Geometry'!$G$19*COS(RADIANS(F209))+'Geometry'!$F$19*SIN(RADIANS(F209))),('Geometry'!$G$20*COS(RADIANS(F209))+'Geometry'!$F$20*SIN(RADIANS(F209))))</f>
        <v>686.391149524137</v>
      </c>
      <c r="J209" s="11">
        <f>I209-H209*K209</f>
        <v>-823.6693794289641</v>
      </c>
      <c r="K209" s="11">
        <f>I209-MIN(('Geometry'!$G$13*COS(RADIANS(F209))+'Geometry'!$F$13*SIN(RADIANS(F209))),('Geometry'!$G$14*COS(RADIANS(F209))+'Geometry'!$F$14*SIN(RADIANS(F209))),('Geometry'!$G$15*COS(RADIANS(F209))+'Geometry'!$F$15*SIN(RADIANS(F209))),('Geometry'!$G$16*COS(RADIANS(F209))+'Geometry'!$F$16*SIN(RADIANS(F209))),('Geometry'!$G$17*COS(RADIANS(F209))+'Geometry'!$F$17*SIN(RADIANS(F209))),('Geometry'!$G$18*COS(RADIANS(F209))+'Geometry'!$F$18*SIN(RADIANS(F209))),('Geometry'!$G$19*COS(RADIANS(F209))+'Geometry'!$F$19*SIN(RADIANS(F209))),('Geometry'!$G$20*COS(RADIANS(F209))+'Geometry'!$F$20*SIN(RADIANS(F209))))</f>
        <v>1372.782299048274</v>
      </c>
      <c r="L209" s="16">
        <f>C_ecu</f>
        <v>0.003300000000000001</v>
      </c>
      <c r="M209" s="16">
        <f>0</f>
        <v>0</v>
      </c>
      <c r="N209" s="22">
        <f>IF(ABS(I209-J209)&lt;0.000000000001,0,(L209-M209)/(I209-J209))</f>
        <v>0.0000021853428632346504</v>
      </c>
      <c r="O209" s="16">
        <f>L209-N209*I209</f>
        <v>0.0018000000000000002</v>
      </c>
      <c r="P209" s="22">
        <f>N209*COS(RADIANS(F209))</f>
        <v>0.0000021521425947033815</v>
      </c>
      <c r="Q209" s="22">
        <f>N209*SIN(RADIANS(F209))</f>
        <v>-3.79480805778129e-7</v>
      </c>
      <c r="R209" s="11">
        <f>AP209</f>
        <v>15258.270149570275</v>
      </c>
      <c r="S209" s="11">
        <f>AQ209</f>
        <v>1255.888568485729</v>
      </c>
      <c r="T209" s="11">
        <f>AR209</f>
        <v>-339.84760849657033</v>
      </c>
      <c r="U209" s="11">
        <f>AS209</f>
        <v>2412.0754659129575</v>
      </c>
      <c r="V209" s="11">
        <f>AT209</f>
        <v>411.79281646963517</v>
      </c>
      <c r="W209" s="11">
        <f>AU209</f>
        <v>-100.507228550503</v>
      </c>
      <c r="X209" s="11">
        <f>AM209</f>
        <v>17670.345615483235</v>
      </c>
      <c r="Y209" s="11">
        <f>AN209</f>
        <v>1667.681384955364</v>
      </c>
      <c r="Z209" s="11">
        <f>AO209</f>
        <v>-440.3548370470734</v>
      </c>
      <c r="AA209" s="7">
        <v>1</v>
      </c>
      <c r="AB209" s="7">
        <v>1</v>
      </c>
      <c r="AC209" s="7">
        <v>1</v>
      </c>
      <c r="AD209" s="11">
        <f>X209*AA209</f>
        <v>17670.345615483235</v>
      </c>
      <c r="AE209" s="11">
        <f>Y209*AB209</f>
        <v>1667.681384955364</v>
      </c>
      <c r="AF209" s="11">
        <f>Z209*AC209</f>
        <v>-440.3548370470734</v>
      </c>
      <c r="AG209" s="7">
        <v>17670.345615483235</v>
      </c>
      <c r="AH209" s="7">
        <v>1667.681384955364</v>
      </c>
      <c r="AI209" s="7">
        <v>-440.3548370470734</v>
      </c>
      <c r="AJ209" s="16">
        <f>AD209-AG209</f>
        <v>0</v>
      </c>
      <c r="AK209" s="16">
        <f>SQRT((AE209-AH209)^2+(AF209-AI209)^2)</f>
        <v>0</v>
      </c>
      <c r="AL209" s="7" t="s">
        <v>190</v>
      </c>
      <c r="AM209" s="7">
        <v>17670.345615483235</v>
      </c>
      <c r="AN209" s="7">
        <v>1667.681384955364</v>
      </c>
      <c r="AO209" s="7">
        <v>-440.3548370470734</v>
      </c>
      <c r="AP209" s="7">
        <v>15258.270149570275</v>
      </c>
      <c r="AQ209" s="7">
        <v>1255.888568485729</v>
      </c>
      <c r="AR209" s="7">
        <v>-339.84760849657033</v>
      </c>
      <c r="AS209" s="7">
        <v>2412.0754659129575</v>
      </c>
      <c r="AT209" s="7">
        <v>411.79281646963517</v>
      </c>
      <c r="AU209" s="7">
        <v>-100.507228550503</v>
      </c>
    </row>
    <row r="210" spans="1:47" x14ac:dyDescent="0.25">
      <c r="A210" s="7" t="s">
        <v>600</v>
      </c>
      <c r="B210" s="7">
        <v>3</v>
      </c>
      <c r="C210" s="19">
        <v>350</v>
      </c>
      <c r="D210" s="7" t="s">
        <v>601</v>
      </c>
      <c r="E210" s="7" t="s">
        <v>609</v>
      </c>
      <c r="F210" s="20">
        <v>350</v>
      </c>
      <c r="G210" s="7" t="s">
        <v>194</v>
      </c>
      <c r="H210" s="21">
        <v>2.9999999999999987</v>
      </c>
      <c r="I210" s="11">
        <f>MAX(('Geometry'!$G$13*COS(RADIANS(F210))+'Geometry'!$F$13*SIN(RADIANS(F210))),('Geometry'!$G$14*COS(RADIANS(F210))+'Geometry'!$F$14*SIN(RADIANS(F210))),('Geometry'!$G$15*COS(RADIANS(F210))+'Geometry'!$F$15*SIN(RADIANS(F210))),('Geometry'!$G$16*COS(RADIANS(F210))+'Geometry'!$F$16*SIN(RADIANS(F210))),('Geometry'!$G$17*COS(RADIANS(F210))+'Geometry'!$F$17*SIN(RADIANS(F210))),('Geometry'!$G$18*COS(RADIANS(F210))+'Geometry'!$F$18*SIN(RADIANS(F210))),('Geometry'!$G$19*COS(RADIANS(F210))+'Geometry'!$F$19*SIN(RADIANS(F210))),('Geometry'!$G$20*COS(RADIANS(F210))+'Geometry'!$F$20*SIN(RADIANS(F210))))</f>
        <v>686.391149524137</v>
      </c>
      <c r="J210" s="11">
        <f>I210-H210*K210</f>
        <v>-3431.9557476206833</v>
      </c>
      <c r="K210" s="11">
        <f>I210-MIN(('Geometry'!$G$13*COS(RADIANS(F210))+'Geometry'!$F$13*SIN(RADIANS(F210))),('Geometry'!$G$14*COS(RADIANS(F210))+'Geometry'!$F$14*SIN(RADIANS(F210))),('Geometry'!$G$15*COS(RADIANS(F210))+'Geometry'!$F$15*SIN(RADIANS(F210))),('Geometry'!$G$16*COS(RADIANS(F210))+'Geometry'!$F$16*SIN(RADIANS(F210))),('Geometry'!$G$17*COS(RADIANS(F210))+'Geometry'!$F$17*SIN(RADIANS(F210))),('Geometry'!$G$18*COS(RADIANS(F210))+'Geometry'!$F$18*SIN(RADIANS(F210))),('Geometry'!$G$19*COS(RADIANS(F210))+'Geometry'!$F$19*SIN(RADIANS(F210))),('Geometry'!$G$20*COS(RADIANS(F210))+'Geometry'!$F$20*SIN(RADIANS(F210))))</f>
        <v>1372.782299048274</v>
      </c>
      <c r="L210" s="16">
        <f>C_ecu</f>
        <v>0.0033</v>
      </c>
      <c r="M210" s="16">
        <f>0</f>
        <v>0</v>
      </c>
      <c r="N210" s="22">
        <f>IF(ABS(I210-J210)&lt;0.000000000001,0,(L210-M210)/(I210-J210))</f>
        <v>8.012923831860386e-7</v>
      </c>
      <c r="O210" s="16">
        <f>L210-N210*I210</f>
        <v>0.00275</v>
      </c>
      <c r="P210" s="22">
        <f>N210*COS(RADIANS(F210))</f>
        <v>7.891189513912399e-7</v>
      </c>
      <c r="Q210" s="22">
        <f>N210*SIN(RADIANS(F210))</f>
        <v>-1.391429621186473e-7</v>
      </c>
      <c r="R210" s="11">
        <f>AP210</f>
        <v>15258.270149570275</v>
      </c>
      <c r="S210" s="11">
        <f>AQ210</f>
        <v>251.17771369714575</v>
      </c>
      <c r="T210" s="11">
        <f>AR210</f>
        <v>-67.96952169931406</v>
      </c>
      <c r="U210" s="11">
        <f>AS210</f>
        <v>2412.0754659129575</v>
      </c>
      <c r="V210" s="11">
        <f>AT210</f>
        <v>82.35856329392703</v>
      </c>
      <c r="W210" s="11">
        <f>AU210</f>
        <v>-20.1014457101006</v>
      </c>
      <c r="X210" s="11">
        <f>AM210</f>
        <v>17670.345615483235</v>
      </c>
      <c r="Y210" s="11">
        <f>AN210</f>
        <v>333.5362769910728</v>
      </c>
      <c r="Z210" s="11">
        <f>AO210</f>
        <v>-88.07096740941466</v>
      </c>
      <c r="AA210" s="7">
        <v>1</v>
      </c>
      <c r="AB210" s="7">
        <v>1</v>
      </c>
      <c r="AC210" s="7">
        <v>1</v>
      </c>
      <c r="AD210" s="11">
        <f>X210*AA210</f>
        <v>17670.345615483235</v>
      </c>
      <c r="AE210" s="11">
        <f>Y210*AB210</f>
        <v>333.5362769910728</v>
      </c>
      <c r="AF210" s="11">
        <f>Z210*AC210</f>
        <v>-88.07096740941466</v>
      </c>
      <c r="AG210" s="7">
        <v>17670.345615483235</v>
      </c>
      <c r="AH210" s="7">
        <v>333.5362769910728</v>
      </c>
      <c r="AI210" s="7">
        <v>-88.07096740941466</v>
      </c>
      <c r="AJ210" s="16">
        <f>AD210-AG210</f>
        <v>0</v>
      </c>
      <c r="AK210" s="16">
        <f>SQRT((AE210-AH210)^2+(AF210-AI210)^2)</f>
        <v>0</v>
      </c>
      <c r="AL210" s="7" t="s">
        <v>190</v>
      </c>
      <c r="AM210" s="7">
        <v>17670.345615483235</v>
      </c>
      <c r="AN210" s="7">
        <v>333.5362769910728</v>
      </c>
      <c r="AO210" s="7">
        <v>-88.07096740941466</v>
      </c>
      <c r="AP210" s="7">
        <v>15258.270149570275</v>
      </c>
      <c r="AQ210" s="7">
        <v>251.17771369714575</v>
      </c>
      <c r="AR210" s="7">
        <v>-67.96952169931406</v>
      </c>
      <c r="AS210" s="7">
        <v>2412.0754659129575</v>
      </c>
      <c r="AT210" s="7">
        <v>82.35856329392703</v>
      </c>
      <c r="AU210" s="7">
        <v>-20.1014457101006</v>
      </c>
    </row>
    <row r="211" spans="1:47" x14ac:dyDescent="0.25">
      <c r="A211" s="7" t="s">
        <v>602</v>
      </c>
      <c r="B211" s="7">
        <v>4</v>
      </c>
      <c r="C211" s="19">
        <v>350</v>
      </c>
      <c r="D211" s="7" t="s">
        <v>603</v>
      </c>
      <c r="E211" s="7" t="s">
        <v>610</v>
      </c>
      <c r="F211" s="20">
        <v>350</v>
      </c>
      <c r="G211" s="7" t="s">
        <v>194</v>
      </c>
      <c r="H211" s="21">
        <v>1.9999999999999991</v>
      </c>
      <c r="I211" s="11">
        <f>MAX(('Geometry'!$G$13*COS(RADIANS(F211))+'Geometry'!$F$13*SIN(RADIANS(F211))),('Geometry'!$G$14*COS(RADIANS(F211))+'Geometry'!$F$14*SIN(RADIANS(F211))),('Geometry'!$G$15*COS(RADIANS(F211))+'Geometry'!$F$15*SIN(RADIANS(F211))),('Geometry'!$G$16*COS(RADIANS(F211))+'Geometry'!$F$16*SIN(RADIANS(F211))),('Geometry'!$G$17*COS(RADIANS(F211))+'Geometry'!$F$17*SIN(RADIANS(F211))),('Geometry'!$G$18*COS(RADIANS(F211))+'Geometry'!$F$18*SIN(RADIANS(F211))),('Geometry'!$G$19*COS(RADIANS(F211))+'Geometry'!$F$19*SIN(RADIANS(F211))),('Geometry'!$G$20*COS(RADIANS(F211))+'Geometry'!$F$20*SIN(RADIANS(F211))))</f>
        <v>686.391149524137</v>
      </c>
      <c r="J211" s="11">
        <f>I211-H211*K211</f>
        <v>-2059.1734485724096</v>
      </c>
      <c r="K211" s="11">
        <f>I211-MIN(('Geometry'!$G$13*COS(RADIANS(F211))+'Geometry'!$F$13*SIN(RADIANS(F211))),('Geometry'!$G$14*COS(RADIANS(F211))+'Geometry'!$F$14*SIN(RADIANS(F211))),('Geometry'!$G$15*COS(RADIANS(F211))+'Geometry'!$F$15*SIN(RADIANS(F211))),('Geometry'!$G$16*COS(RADIANS(F211))+'Geometry'!$F$16*SIN(RADIANS(F211))),('Geometry'!$G$17*COS(RADIANS(F211))+'Geometry'!$F$17*SIN(RADIANS(F211))),('Geometry'!$G$18*COS(RADIANS(F211))+'Geometry'!$F$18*SIN(RADIANS(F211))),('Geometry'!$G$19*COS(RADIANS(F211))+'Geometry'!$F$19*SIN(RADIANS(F211))),('Geometry'!$G$20*COS(RADIANS(F211))+'Geometry'!$F$20*SIN(RADIANS(F211))))</f>
        <v>1372.782299048274</v>
      </c>
      <c r="L211" s="16">
        <f>C_ecu</f>
        <v>0.0033</v>
      </c>
      <c r="M211" s="16">
        <f>0</f>
        <v>0</v>
      </c>
      <c r="N211" s="22">
        <f>IF(ABS(I211-J211)&lt;0.000000000001,0,(L211-M211)/(I211-J211))</f>
        <v>0.000001201938574779058</v>
      </c>
      <c r="O211" s="16">
        <f>L211-N211*I211</f>
        <v>0.0024749999999999998</v>
      </c>
      <c r="P211" s="22">
        <f>N211*COS(RADIANS(F211))</f>
        <v>0.00000118367842708686</v>
      </c>
      <c r="Q211" s="22">
        <f>N211*SIN(RADIANS(F211))</f>
        <v>-2.0871444317797098e-7</v>
      </c>
      <c r="R211" s="11">
        <f>AP211</f>
        <v>15258.270149570275</v>
      </c>
      <c r="S211" s="11">
        <f>AQ211</f>
        <v>502.3554273942915</v>
      </c>
      <c r="T211" s="11">
        <f>AR211</f>
        <v>-135.93904339862812</v>
      </c>
      <c r="U211" s="11">
        <f>AS211</f>
        <v>2412.0754659129575</v>
      </c>
      <c r="V211" s="11">
        <f>AT211</f>
        <v>164.71712658785407</v>
      </c>
      <c r="W211" s="11">
        <f>AU211</f>
        <v>-40.2028914202012</v>
      </c>
      <c r="X211" s="11">
        <f>AM211</f>
        <v>17670.345615483235</v>
      </c>
      <c r="Y211" s="11">
        <f>AN211</f>
        <v>667.0725539821456</v>
      </c>
      <c r="Z211" s="11">
        <f>AO211</f>
        <v>-176.14193481882933</v>
      </c>
      <c r="AA211" s="7">
        <v>1</v>
      </c>
      <c r="AB211" s="7">
        <v>1</v>
      </c>
      <c r="AC211" s="7">
        <v>1</v>
      </c>
      <c r="AD211" s="11">
        <f>X211*AA211</f>
        <v>17670.345615483235</v>
      </c>
      <c r="AE211" s="11">
        <f>Y211*AB211</f>
        <v>667.0725539821456</v>
      </c>
      <c r="AF211" s="11">
        <f>Z211*AC211</f>
        <v>-176.14193481882933</v>
      </c>
      <c r="AG211" s="7">
        <v>17670.345615483235</v>
      </c>
      <c r="AH211" s="7">
        <v>667.0725539821456</v>
      </c>
      <c r="AI211" s="7">
        <v>-176.14193481882933</v>
      </c>
      <c r="AJ211" s="16">
        <f>AD211-AG211</f>
        <v>0</v>
      </c>
      <c r="AK211" s="16">
        <f>SQRT((AE211-AH211)^2+(AF211-AI211)^2)</f>
        <v>0</v>
      </c>
      <c r="AL211" s="7" t="s">
        <v>190</v>
      </c>
      <c r="AM211" s="7">
        <v>17670.345615483235</v>
      </c>
      <c r="AN211" s="7">
        <v>667.0725539821456</v>
      </c>
      <c r="AO211" s="7">
        <v>-176.14193481882933</v>
      </c>
      <c r="AP211" s="7">
        <v>15258.270149570275</v>
      </c>
      <c r="AQ211" s="7">
        <v>502.3554273942915</v>
      </c>
      <c r="AR211" s="7">
        <v>-135.93904339862812</v>
      </c>
      <c r="AS211" s="7">
        <v>2412.0754659129575</v>
      </c>
      <c r="AT211" s="7">
        <v>164.71712658785407</v>
      </c>
      <c r="AU211" s="7">
        <v>-40.2028914202012</v>
      </c>
    </row>
    <row r="212" spans="1:47" x14ac:dyDescent="0.25">
      <c r="A212" s="7" t="s">
        <v>604</v>
      </c>
      <c r="B212" s="7">
        <v>5</v>
      </c>
      <c r="C212" s="19">
        <v>350</v>
      </c>
      <c r="D212" s="7" t="s">
        <v>605</v>
      </c>
      <c r="E212" s="7" t="s">
        <v>612</v>
      </c>
      <c r="F212" s="20">
        <v>350</v>
      </c>
      <c r="G212" s="7" t="s">
        <v>194</v>
      </c>
      <c r="H212" s="21">
        <v>1.2</v>
      </c>
      <c r="I212" s="11">
        <f>MAX(('Geometry'!$G$13*COS(RADIANS(F212))+'Geometry'!$F$13*SIN(RADIANS(F212))),('Geometry'!$G$14*COS(RADIANS(F212))+'Geometry'!$F$14*SIN(RADIANS(F212))),('Geometry'!$G$15*COS(RADIANS(F212))+'Geometry'!$F$15*SIN(RADIANS(F212))),('Geometry'!$G$16*COS(RADIANS(F212))+'Geometry'!$F$16*SIN(RADIANS(F212))),('Geometry'!$G$17*COS(RADIANS(F212))+'Geometry'!$F$17*SIN(RADIANS(F212))),('Geometry'!$G$18*COS(RADIANS(F212))+'Geometry'!$F$18*SIN(RADIANS(F212))),('Geometry'!$G$19*COS(RADIANS(F212))+'Geometry'!$F$19*SIN(RADIANS(F212))),('Geometry'!$G$20*COS(RADIANS(F212))+'Geometry'!$F$20*SIN(RADIANS(F212))))</f>
        <v>686.391149524137</v>
      </c>
      <c r="J212" s="11">
        <f>I212-H212*K212</f>
        <v>-960.9476093337914</v>
      </c>
      <c r="K212" s="11">
        <f>I212-MIN(('Geometry'!$G$13*COS(RADIANS(F212))+'Geometry'!$F$13*SIN(RADIANS(F212))),('Geometry'!$G$14*COS(RADIANS(F212))+'Geometry'!$F$14*SIN(RADIANS(F212))),('Geometry'!$G$15*COS(RADIANS(F212))+'Geometry'!$F$15*SIN(RADIANS(F212))),('Geometry'!$G$16*COS(RADIANS(F212))+'Geometry'!$F$16*SIN(RADIANS(F212))),('Geometry'!$G$17*COS(RADIANS(F212))+'Geometry'!$F$17*SIN(RADIANS(F212))),('Geometry'!$G$18*COS(RADIANS(F212))+'Geometry'!$F$18*SIN(RADIANS(F212))),('Geometry'!$G$19*COS(RADIANS(F212))+'Geometry'!$F$19*SIN(RADIANS(F212))),('Geometry'!$G$20*COS(RADIANS(F212))+'Geometry'!$F$20*SIN(RADIANS(F212))))</f>
        <v>1372.782299048274</v>
      </c>
      <c r="L212" s="16">
        <f>C_ecu</f>
        <v>0.003300000000000001</v>
      </c>
      <c r="M212" s="16">
        <f>0</f>
        <v>0</v>
      </c>
      <c r="N212" s="22">
        <f>IF(ABS(I212-J212)&lt;0.000000000001,0,(L212-M212)/(I212-J212))</f>
        <v>0.0000020032309579650963</v>
      </c>
      <c r="O212" s="16">
        <f>L212-N212*I212</f>
        <v>0.001925</v>
      </c>
      <c r="P212" s="22">
        <f>N212*COS(RADIANS(F212))</f>
        <v>0.0000019727973784780997</v>
      </c>
      <c r="Q212" s="22">
        <f>N212*SIN(RADIANS(F212))</f>
        <v>-3.478574052966183e-7</v>
      </c>
      <c r="R212" s="11">
        <f>AP212</f>
        <v>15258.270149570275</v>
      </c>
      <c r="S212" s="11">
        <f>AQ212</f>
        <v>1004.710854788583</v>
      </c>
      <c r="T212" s="11">
        <f>AR212</f>
        <v>-271.87808679725623</v>
      </c>
      <c r="U212" s="11">
        <f>AS212</f>
        <v>2412.0754659129575</v>
      </c>
      <c r="V212" s="11">
        <f>AT212</f>
        <v>329.43425317570814</v>
      </c>
      <c r="W212" s="11">
        <f>AU212</f>
        <v>-80.4057828404024</v>
      </c>
      <c r="X212" s="11">
        <f>AM212</f>
        <v>17670.345615483235</v>
      </c>
      <c r="Y212" s="11">
        <f>AN212</f>
        <v>1334.1451079642911</v>
      </c>
      <c r="Z212" s="11">
        <f>AO212</f>
        <v>-352.28386963765865</v>
      </c>
      <c r="AA212" s="7">
        <v>1</v>
      </c>
      <c r="AB212" s="7">
        <v>1</v>
      </c>
      <c r="AC212" s="7">
        <v>1</v>
      </c>
      <c r="AD212" s="11">
        <f>X212*AA212</f>
        <v>17670.345615483235</v>
      </c>
      <c r="AE212" s="11">
        <f>Y212*AB212</f>
        <v>1334.1451079642911</v>
      </c>
      <c r="AF212" s="11">
        <f>Z212*AC212</f>
        <v>-352.28386963765865</v>
      </c>
      <c r="AG212" s="7">
        <v>17670.345615483235</v>
      </c>
      <c r="AH212" s="7">
        <v>1334.1451079642911</v>
      </c>
      <c r="AI212" s="7">
        <v>-352.28386963765865</v>
      </c>
      <c r="AJ212" s="16">
        <f>AD212-AG212</f>
        <v>0</v>
      </c>
      <c r="AK212" s="16">
        <f>SQRT((AE212-AH212)^2+(AF212-AI212)^2)</f>
        <v>0</v>
      </c>
      <c r="AL212" s="7" t="s">
        <v>190</v>
      </c>
      <c r="AM212" s="7">
        <v>17670.345615483235</v>
      </c>
      <c r="AN212" s="7">
        <v>1334.1451079642911</v>
      </c>
      <c r="AO212" s="7">
        <v>-352.28386963765865</v>
      </c>
      <c r="AP212" s="7">
        <v>15258.270149570275</v>
      </c>
      <c r="AQ212" s="7">
        <v>1004.710854788583</v>
      </c>
      <c r="AR212" s="7">
        <v>-271.87808679725623</v>
      </c>
      <c r="AS212" s="7">
        <v>2412.0754659129575</v>
      </c>
      <c r="AT212" s="7">
        <v>329.43425317570814</v>
      </c>
      <c r="AU212" s="7">
        <v>-80.4057828404024</v>
      </c>
    </row>
  </sheetData>
  <autoFilter ref="A7:AF212"/>
  <mergeCells count="2">
    <mergeCell ref="A1:AU1"/>
    <mergeCell ref="B2:A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A1:R212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10" customWidth="1"/>
    <col min="4" max="4" width="12" customWidth="1"/>
    <col min="5" max="5" width="30" customWidth="1"/>
    <col min="6" max="6" width="14" customWidth="1"/>
    <col min="7" max="7" width="16" customWidth="1"/>
    <col min="8" max="8" width="30" customWidth="1"/>
    <col min="9" max="9" width="14" customWidth="1"/>
    <col min="10" max="11" width="16" customWidth="1"/>
    <col min="12" max="12" width="13" customWidth="1"/>
    <col min="13" max="13" width="18" customWidth="1"/>
    <col min="14" max="15" width="16" customWidth="1"/>
    <col min="16" max="17" width="16" hidden="1" customWidth="1"/>
    <col min="18" max="18" width="14" hidden="1" customWidth="1"/>
  </cols>
  <sheetData>
    <row r="1" ht="22" customHeight="1" spans="1:18" x14ac:dyDescent="0.25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4" customHeight="1" spans="2:18" x14ac:dyDescent="0.25">
      <c r="B2" s="17" t="s">
        <v>616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2:3" x14ac:dyDescent="0.25">
      <c r="B3" t="s">
        <v>617</v>
      </c>
      <c r="C3" s="7" t="s">
        <v>618</v>
      </c>
    </row>
    <row r="4" spans="2:3" x14ac:dyDescent="0.25">
      <c r="B4" t="s">
        <v>619</v>
      </c>
      <c r="C4" s="7" t="s">
        <v>110</v>
      </c>
    </row>
    <row r="5" spans="2:3" x14ac:dyDescent="0.25">
      <c r="B5" t="s">
        <v>136</v>
      </c>
      <c r="C5" s="13">
        <v>17670.345615483235</v>
      </c>
    </row>
    <row r="6" ht="24" customHeight="1" spans="1:5" x14ac:dyDescent="0.25">
      <c r="A6" s="2" t="s">
        <v>1</v>
      </c>
      <c r="B6" s="3" t="s">
        <v>2</v>
      </c>
      <c r="C6" s="4" t="s">
        <v>3</v>
      </c>
      <c r="D6" s="5" t="s">
        <v>4</v>
      </c>
      <c r="E6" s="6" t="s">
        <v>5</v>
      </c>
    </row>
    <row r="7" ht="28" customHeight="1" spans="1:18" x14ac:dyDescent="0.25">
      <c r="A7" s="9" t="s">
        <v>620</v>
      </c>
      <c r="B7" s="9" t="s">
        <v>139</v>
      </c>
      <c r="C7" s="9" t="s">
        <v>140</v>
      </c>
      <c r="D7" s="9" t="s">
        <v>621</v>
      </c>
      <c r="E7" s="9" t="s">
        <v>622</v>
      </c>
      <c r="F7" s="9" t="s">
        <v>623</v>
      </c>
      <c r="G7" s="9" t="s">
        <v>624</v>
      </c>
      <c r="H7" s="9" t="s">
        <v>625</v>
      </c>
      <c r="I7" s="9" t="s">
        <v>626</v>
      </c>
      <c r="J7" s="9" t="s">
        <v>627</v>
      </c>
      <c r="K7" s="9" t="s">
        <v>136</v>
      </c>
      <c r="L7" s="9" t="s">
        <v>628</v>
      </c>
      <c r="M7" s="9" t="s">
        <v>629</v>
      </c>
      <c r="N7" s="9" t="s">
        <v>53</v>
      </c>
      <c r="O7" s="9" t="s">
        <v>54</v>
      </c>
      <c r="P7" s="9" t="s">
        <v>172</v>
      </c>
      <c r="Q7" s="9" t="s">
        <v>173</v>
      </c>
      <c r="R7" s="9" t="s">
        <v>175</v>
      </c>
    </row>
    <row r="8" spans="1:18" x14ac:dyDescent="0.25">
      <c r="A8" s="23">
        <v>1</v>
      </c>
      <c r="B8" s="23" t="s">
        <v>186</v>
      </c>
      <c r="C8" s="23">
        <v>1</v>
      </c>
      <c r="D8" s="24">
        <v>0</v>
      </c>
      <c r="E8" s="25" t="str">
        <f>'FixedP_Lower'!$G$8</f>
        <v>retained ε = constant (not the cap rule)</v>
      </c>
      <c r="F8" s="26">
        <f>'FixedP_Lower'!$H$8</f>
        <v>0.0033</v>
      </c>
      <c r="G8" s="27">
        <f>'FixedP_Lower'!$AD$8</f>
        <v>17670.345615483235</v>
      </c>
      <c r="H8" s="25" t="str">
        <f>'FixedP_Upper'!$G$8</f>
        <v>retained ε = constant (not the cap rule)</v>
      </c>
      <c r="I8" s="26">
        <f>'FixedP_Upper'!$H$8</f>
        <v>0.0033</v>
      </c>
      <c r="J8" s="27">
        <f>'FixedP_Upper'!$AD$8</f>
        <v>17670.345615483235</v>
      </c>
      <c r="K8" s="27">
        <f>Selected_P</f>
        <v>17670.345615483235</v>
      </c>
      <c r="L8" s="26">
        <f>IF(ABS(J8-G8)&lt;0.000000001,0,(K8-G8)/(J8-G8))</f>
        <v>0</v>
      </c>
      <c r="M8" s="25" t="str">
        <f>IF(ABS(J8-G8)&lt;0.000000001,"Exact station",IF(AND(K8&gt;=G8-0.000001,K8&lt;=J8+0.000001),"Interpolated","Outside range"))</f>
        <v>Exact station</v>
      </c>
      <c r="N8" s="28">
        <f>'FixedP_Lower'!$AE$8+L8*('FixedP_Upper'!$AE$8-'FixedP_Lower'!$AE$8)</f>
        <v>0</v>
      </c>
      <c r="O8" s="28">
        <f>'FixedP_Lower'!$AF$8+L8*('FixedP_Upper'!$AF$8-'FixedP_Lower'!$AF$8)</f>
        <v>0</v>
      </c>
      <c r="P8" s="7">
        <v>0</v>
      </c>
      <c r="Q8" s="7">
        <v>0</v>
      </c>
      <c r="R8" s="16">
        <f>SQRT((N8-P8)^2+(O8-Q8)^2)</f>
        <v>0</v>
      </c>
    </row>
    <row r="9" spans="1:18" x14ac:dyDescent="0.25">
      <c r="A9" s="7">
        <v>2</v>
      </c>
      <c r="B9" s="7" t="s">
        <v>191</v>
      </c>
      <c r="C9" s="7">
        <v>2</v>
      </c>
      <c r="D9" s="19">
        <v>0</v>
      </c>
      <c r="E9" s="29" t="str">
        <f>'FixedP_Lower'!$G$9</f>
        <v>retained c/D (not the cap rule)</v>
      </c>
      <c r="F9" s="16">
        <f>'FixedP_Lower'!$H$9</f>
        <v>3</v>
      </c>
      <c r="G9" s="18">
        <f>'FixedP_Lower'!$AD$9</f>
        <v>17670.345615483235</v>
      </c>
      <c r="H9" s="29" t="str">
        <f>'FixedP_Upper'!$G$9</f>
        <v>retained c/D (not the cap rule)</v>
      </c>
      <c r="I9" s="16">
        <f>'FixedP_Upper'!$H$9</f>
        <v>3</v>
      </c>
      <c r="J9" s="18">
        <f>'FixedP_Upper'!$AD$9</f>
        <v>17670.345615483235</v>
      </c>
      <c r="K9" s="18">
        <f>Selected_P</f>
        <v>17670.345615483235</v>
      </c>
      <c r="L9" s="16">
        <f>IF(ABS(J9-G9)&lt;0.000000001,0,(K9-G9)/(J9-G9))</f>
        <v>0</v>
      </c>
      <c r="M9" s="29" t="str">
        <f>IF(ABS(J9-G9)&lt;0.000000001,"Exact station",IF(AND(K9&gt;=G9-0.000001,K9&lt;=J9+0.000001),"Interpolated","Outside range"))</f>
        <v>Exact station</v>
      </c>
      <c r="N9" s="30">
        <f>'FixedP_Lower'!$AE$9+L9*('FixedP_Upper'!$AE$9-'FixedP_Lower'!$AE$9)</f>
        <v>379.38906551746817</v>
      </c>
      <c r="O9" s="30">
        <f>'FixedP_Lower'!$AF$9+L9*('FixedP_Upper'!$AF$9-'FixedP_Lower'!$AF$9)</f>
        <v>0.0021480206476075974</v>
      </c>
      <c r="P9" s="7">
        <v>379.38906551746817</v>
      </c>
      <c r="Q9" s="7">
        <v>0.0021480206476075974</v>
      </c>
      <c r="R9" s="16">
        <f>SQRT((N9-P9)^2+(O9-Q9)^2)</f>
        <v>0</v>
      </c>
    </row>
    <row r="10" spans="1:18" x14ac:dyDescent="0.25">
      <c r="A10" s="23">
        <v>3</v>
      </c>
      <c r="B10" s="23" t="s">
        <v>195</v>
      </c>
      <c r="C10" s="23">
        <v>3</v>
      </c>
      <c r="D10" s="24">
        <v>0</v>
      </c>
      <c r="E10" s="25" t="str">
        <f>'FixedP_Lower'!$G$10</f>
        <v>retained c/D (not the cap rule)</v>
      </c>
      <c r="F10" s="26">
        <f>'FixedP_Lower'!$H$10</f>
        <v>2</v>
      </c>
      <c r="G10" s="27">
        <f>'FixedP_Lower'!$AD$10</f>
        <v>17670.345615483235</v>
      </c>
      <c r="H10" s="25" t="str">
        <f>'FixedP_Upper'!$G$10</f>
        <v>retained c/D (not the cap rule)</v>
      </c>
      <c r="I10" s="26">
        <f>'FixedP_Upper'!$H$10</f>
        <v>2</v>
      </c>
      <c r="J10" s="27">
        <f>'FixedP_Upper'!$AD$10</f>
        <v>17670.345615483235</v>
      </c>
      <c r="K10" s="27">
        <f>Selected_P</f>
        <v>17670.345615483235</v>
      </c>
      <c r="L10" s="26">
        <f>IF(ABS(J10-G10)&lt;0.000000001,0,(K10-G10)/(J10-G10))</f>
        <v>0</v>
      </c>
      <c r="M10" s="25" t="str">
        <f>IF(ABS(J10-G10)&lt;0.000000001,"Exact station",IF(AND(K10&gt;=G10-0.000001,K10&lt;=J10+0.000001),"Interpolated","Outside range"))</f>
        <v>Exact station</v>
      </c>
      <c r="N10" s="28">
        <f>'FixedP_Lower'!$AE$10+L10*('FixedP_Upper'!$AE$10-'FixedP_Lower'!$AE$10)</f>
        <v>758.7781310349363</v>
      </c>
      <c r="O10" s="28">
        <f>'FixedP_Lower'!$AF$10+L10*('FixedP_Upper'!$AF$10-'FixedP_Lower'!$AF$10)</f>
        <v>0.004296041295215195</v>
      </c>
      <c r="P10" s="7">
        <v>758.7781310349363</v>
      </c>
      <c r="Q10" s="7">
        <v>0.004296041295215195</v>
      </c>
      <c r="R10" s="16">
        <f>SQRT((N10-P10)^2+(O10-Q10)^2)</f>
        <v>0</v>
      </c>
    </row>
    <row r="11" spans="1:18" x14ac:dyDescent="0.25">
      <c r="A11" s="7">
        <v>4</v>
      </c>
      <c r="B11" s="7" t="s">
        <v>198</v>
      </c>
      <c r="C11" s="7">
        <v>4</v>
      </c>
      <c r="D11" s="19">
        <v>0</v>
      </c>
      <c r="E11" s="29" t="str">
        <f>'FixedP_Lower'!$G$11</f>
        <v>retained c/D (not the cap rule)</v>
      </c>
      <c r="F11" s="16">
        <f>'FixedP_Lower'!$H$11</f>
        <v>1.4999999999999998</v>
      </c>
      <c r="G11" s="18">
        <f>'FixedP_Lower'!$AD$11</f>
        <v>17670.345615483235</v>
      </c>
      <c r="H11" s="29" t="str">
        <f>'FixedP_Upper'!$G$11</f>
        <v>retained c/D (not the cap rule)</v>
      </c>
      <c r="I11" s="16">
        <f>'FixedP_Upper'!$H$11</f>
        <v>1.4999999999999998</v>
      </c>
      <c r="J11" s="18">
        <f>'FixedP_Upper'!$AD$11</f>
        <v>17670.345615483235</v>
      </c>
      <c r="K11" s="18">
        <f>Selected_P</f>
        <v>17670.345615483235</v>
      </c>
      <c r="L11" s="16">
        <f>IF(ABS(J11-G11)&lt;0.000000001,0,(K11-G11)/(J11-G11))</f>
        <v>0</v>
      </c>
      <c r="M11" s="29" t="str">
        <f>IF(ABS(J11-G11)&lt;0.000000001,"Exact station",IF(AND(K11&gt;=G11-0.000001,K11&lt;=J11+0.000001),"Interpolated","Outside range"))</f>
        <v>Exact station</v>
      </c>
      <c r="N11" s="30">
        <f>'FixedP_Lower'!$AE$11+L11*('FixedP_Upper'!$AE$11-'FixedP_Lower'!$AE$11)</f>
        <v>1138.1671965524047</v>
      </c>
      <c r="O11" s="30">
        <f>'FixedP_Lower'!$AF$11+L11*('FixedP_Upper'!$AF$11-'FixedP_Lower'!$AF$11)</f>
        <v>0.006444061942822793</v>
      </c>
      <c r="P11" s="7">
        <v>1138.1671965524047</v>
      </c>
      <c r="Q11" s="7">
        <v>0.006444061942822793</v>
      </c>
      <c r="R11" s="16">
        <f>SQRT((N11-P11)^2+(O11-Q11)^2)</f>
        <v>0</v>
      </c>
    </row>
    <row r="12" spans="1:18" x14ac:dyDescent="0.25">
      <c r="A12" s="23">
        <v>5</v>
      </c>
      <c r="B12" s="23" t="s">
        <v>201</v>
      </c>
      <c r="C12" s="23">
        <v>5</v>
      </c>
      <c r="D12" s="24">
        <v>0</v>
      </c>
      <c r="E12" s="25" t="str">
        <f>'FixedP_Lower'!$G$12</f>
        <v>retained c/D (not the cap rule)</v>
      </c>
      <c r="F12" s="26">
        <f>'FixedP_Lower'!$H$12</f>
        <v>1.2</v>
      </c>
      <c r="G12" s="27">
        <f>'FixedP_Lower'!$AD$12</f>
        <v>17670.345615483235</v>
      </c>
      <c r="H12" s="25" t="str">
        <f>'FixedP_Upper'!$G$12</f>
        <v>retained c/D (not the cap rule)</v>
      </c>
      <c r="I12" s="26">
        <f>'FixedP_Upper'!$H$12</f>
        <v>1.2</v>
      </c>
      <c r="J12" s="27">
        <f>'FixedP_Upper'!$AD$12</f>
        <v>17670.345615483235</v>
      </c>
      <c r="K12" s="27">
        <f>Selected_P</f>
        <v>17670.345615483235</v>
      </c>
      <c r="L12" s="26">
        <f>IF(ABS(J12-G12)&lt;0.000000001,0,(K12-G12)/(J12-G12))</f>
        <v>0</v>
      </c>
      <c r="M12" s="25" t="str">
        <f>IF(ABS(J12-G12)&lt;0.000000001,"Exact station",IF(AND(K12&gt;=G12-0.000001,K12&lt;=J12+0.000001),"Interpolated","Outside range"))</f>
        <v>Exact station</v>
      </c>
      <c r="N12" s="28">
        <f>'FixedP_Lower'!$AE$12+L12*('FixedP_Upper'!$AE$12-'FixedP_Lower'!$AE$12)</f>
        <v>1517.5562620698727</v>
      </c>
      <c r="O12" s="28">
        <f>'FixedP_Lower'!$AF$12+L12*('FixedP_Upper'!$AF$12-'FixedP_Lower'!$AF$12)</f>
        <v>0.00859208259043039</v>
      </c>
      <c r="P12" s="7">
        <v>1517.5562620698727</v>
      </c>
      <c r="Q12" s="7">
        <v>0.00859208259043039</v>
      </c>
      <c r="R12" s="16">
        <f>SQRT((N12-P12)^2+(O12-Q12)^2)</f>
        <v>0</v>
      </c>
    </row>
    <row r="13" spans="1:18" x14ac:dyDescent="0.25">
      <c r="A13" s="7">
        <v>6</v>
      </c>
      <c r="B13" s="7" t="s">
        <v>204</v>
      </c>
      <c r="C13" s="7">
        <v>6</v>
      </c>
      <c r="D13" s="19">
        <v>0</v>
      </c>
      <c r="E13" s="29" t="str">
        <f>'FixedP_Lower'!$G$13</f>
        <v>retained c/D (not the cap rule)</v>
      </c>
      <c r="F13" s="16">
        <f>'FixedP_Lower'!$H$13</f>
        <v>1.1</v>
      </c>
      <c r="G13" s="18">
        <f>'FixedP_Lower'!$AD$13</f>
        <v>17670.345615483235</v>
      </c>
      <c r="H13" s="29" t="str">
        <f>'FixedP_Upper'!$G$13</f>
        <v>retained c/D (not the cap rule)</v>
      </c>
      <c r="I13" s="16">
        <f>'FixedP_Upper'!$H$13</f>
        <v>1.1</v>
      </c>
      <c r="J13" s="18">
        <f>'FixedP_Upper'!$AD$13</f>
        <v>17670.345615483235</v>
      </c>
      <c r="K13" s="18">
        <f>Selected_P</f>
        <v>17670.345615483235</v>
      </c>
      <c r="L13" s="16">
        <f>IF(ABS(J13-G13)&lt;0.000000001,0,(K13-G13)/(J13-G13))</f>
        <v>0</v>
      </c>
      <c r="M13" s="29" t="str">
        <f>IF(ABS(J13-G13)&lt;0.000000001,"Exact station",IF(AND(K13&gt;=G13-0.000001,K13&lt;=J13+0.000001),"Interpolated","Outside range"))</f>
        <v>Exact station</v>
      </c>
      <c r="N13" s="30">
        <f>'FixedP_Lower'!$AE$13+L13*('FixedP_Upper'!$AE$13-'FixedP_Lower'!$AE$13)</f>
        <v>1896.945327587341</v>
      </c>
      <c r="O13" s="30">
        <f>'FixedP_Lower'!$AF$13+L13*('FixedP_Upper'!$AF$13-'FixedP_Lower'!$AF$13)</f>
        <v>0.010740103238037988</v>
      </c>
      <c r="P13" s="7">
        <v>1896.945327587341</v>
      </c>
      <c r="Q13" s="7">
        <v>0.010740103238037988</v>
      </c>
      <c r="R13" s="16">
        <f>SQRT((N13-P13)^2+(O13-Q13)^2)</f>
        <v>0</v>
      </c>
    </row>
    <row r="14" spans="1:18" x14ac:dyDescent="0.25">
      <c r="A14" s="23">
        <v>7</v>
      </c>
      <c r="B14" s="23" t="s">
        <v>207</v>
      </c>
      <c r="C14" s="23">
        <v>1</v>
      </c>
      <c r="D14" s="24">
        <v>10</v>
      </c>
      <c r="E14" s="25" t="str">
        <f>'FixedP_Lower'!$G$14</f>
        <v>retained c/D (not the cap rule)</v>
      </c>
      <c r="F14" s="26">
        <f>'FixedP_Lower'!$H$14</f>
        <v>3</v>
      </c>
      <c r="G14" s="27">
        <f>'FixedP_Lower'!$AD$14</f>
        <v>17670.345615483235</v>
      </c>
      <c r="H14" s="25" t="str">
        <f>'FixedP_Upper'!$G$14</f>
        <v>retained c/D (not the cap rule)</v>
      </c>
      <c r="I14" s="26">
        <f>'FixedP_Upper'!$H$14</f>
        <v>3</v>
      </c>
      <c r="J14" s="27">
        <f>'FixedP_Upper'!$AD$14</f>
        <v>17670.345615483235</v>
      </c>
      <c r="K14" s="27">
        <f>Selected_P</f>
        <v>17670.345615483235</v>
      </c>
      <c r="L14" s="26">
        <f>IF(ABS(J14-G14)&lt;0.000000001,0,(K14-G14)/(J14-G14))</f>
        <v>0</v>
      </c>
      <c r="M14" s="25" t="str">
        <f>IF(ABS(J14-G14)&lt;0.000000001,"Exact station",IF(AND(K14&gt;=G14-0.000001,K14&lt;=J14+0.000001),"Interpolated","Outside range"))</f>
        <v>Exact station</v>
      </c>
      <c r="N14" s="28">
        <f>'FixedP_Lower'!$AE$14+L14*('FixedP_Upper'!$AE$14-'FixedP_Lower'!$AE$14)</f>
        <v>333.53729351976193</v>
      </c>
      <c r="O14" s="28">
        <f>'FixedP_Lower'!$AF$14+L14*('FixedP_Upper'!$AF$14-'FixedP_Lower'!$AF$14)</f>
        <v>88.07056205731041</v>
      </c>
      <c r="P14" s="7">
        <v>333.53729351976193</v>
      </c>
      <c r="Q14" s="7">
        <v>88.07056205731041</v>
      </c>
      <c r="R14" s="16">
        <f>SQRT((N14-P14)^2+(O14-Q14)^2)</f>
        <v>0</v>
      </c>
    </row>
    <row r="15" spans="1:18" x14ac:dyDescent="0.25">
      <c r="A15" s="7">
        <v>8</v>
      </c>
      <c r="B15" s="7" t="s">
        <v>209</v>
      </c>
      <c r="C15" s="7">
        <v>2</v>
      </c>
      <c r="D15" s="19">
        <v>10</v>
      </c>
      <c r="E15" s="29" t="str">
        <f>'FixedP_Lower'!$G$15</f>
        <v>retained c/D (not the cap rule)</v>
      </c>
      <c r="F15" s="16">
        <f>'FixedP_Lower'!$H$15</f>
        <v>2</v>
      </c>
      <c r="G15" s="18">
        <f>'FixedP_Lower'!$AD$15</f>
        <v>17670.345615483235</v>
      </c>
      <c r="H15" s="29" t="str">
        <f>'FixedP_Upper'!$G$15</f>
        <v>retained c/D (not the cap rule)</v>
      </c>
      <c r="I15" s="16">
        <f>'FixedP_Upper'!$H$15</f>
        <v>2</v>
      </c>
      <c r="J15" s="18">
        <f>'FixedP_Upper'!$AD$15</f>
        <v>17670.345615483235</v>
      </c>
      <c r="K15" s="18">
        <f>Selected_P</f>
        <v>17670.345615483235</v>
      </c>
      <c r="L15" s="16">
        <f>IF(ABS(J15-G15)&lt;0.000000001,0,(K15-G15)/(J15-G15))</f>
        <v>0</v>
      </c>
      <c r="M15" s="29" t="str">
        <f>IF(ABS(J15-G15)&lt;0.000000001,"Exact station",IF(AND(K15&gt;=G15-0.000001,K15&lt;=J15+0.000001),"Interpolated","Outside range"))</f>
        <v>Exact station</v>
      </c>
      <c r="N15" s="30">
        <f>'FixedP_Lower'!$AE$15+L15*('FixedP_Upper'!$AE$15-'FixedP_Lower'!$AE$15)</f>
        <v>667.0745870395239</v>
      </c>
      <c r="O15" s="30">
        <f>'FixedP_Lower'!$AF$15+L15*('FixedP_Upper'!$AF$15-'FixedP_Lower'!$AF$15)</f>
        <v>176.14112411462082</v>
      </c>
      <c r="P15" s="7">
        <v>667.0745870395239</v>
      </c>
      <c r="Q15" s="7">
        <v>176.14112411462082</v>
      </c>
      <c r="R15" s="16">
        <f>SQRT((N15-P15)^2+(O15-Q15)^2)</f>
        <v>0</v>
      </c>
    </row>
    <row r="16" spans="1:18" x14ac:dyDescent="0.25">
      <c r="A16" s="23">
        <v>9</v>
      </c>
      <c r="B16" s="23" t="s">
        <v>211</v>
      </c>
      <c r="C16" s="23">
        <v>3</v>
      </c>
      <c r="D16" s="24">
        <v>10</v>
      </c>
      <c r="E16" s="25" t="str">
        <f>'FixedP_Lower'!$G$16</f>
        <v>retained c/D (not the cap rule)</v>
      </c>
      <c r="F16" s="26">
        <f>'FixedP_Lower'!$H$16</f>
        <v>1.5</v>
      </c>
      <c r="G16" s="27">
        <f>'FixedP_Lower'!$AD$16</f>
        <v>17670.345615483235</v>
      </c>
      <c r="H16" s="25" t="str">
        <f>'FixedP_Upper'!$G$16</f>
        <v>retained c/D (not the cap rule)</v>
      </c>
      <c r="I16" s="26">
        <f>'FixedP_Upper'!$H$16</f>
        <v>1.5</v>
      </c>
      <c r="J16" s="27">
        <f>'FixedP_Upper'!$AD$16</f>
        <v>17670.345615483235</v>
      </c>
      <c r="K16" s="27">
        <f>Selected_P</f>
        <v>17670.345615483235</v>
      </c>
      <c r="L16" s="26">
        <f>IF(ABS(J16-G16)&lt;0.000000001,0,(K16-G16)/(J16-G16))</f>
        <v>0</v>
      </c>
      <c r="M16" s="25" t="str">
        <f>IF(ABS(J16-G16)&lt;0.000000001,"Exact station",IF(AND(K16&gt;=G16-0.000001,K16&lt;=J16+0.000001),"Interpolated","Outside range"))</f>
        <v>Exact station</v>
      </c>
      <c r="N16" s="28">
        <f>'FixedP_Lower'!$AE$16+L16*('FixedP_Upper'!$AE$16-'FixedP_Lower'!$AE$16)</f>
        <v>1000.6118805592857</v>
      </c>
      <c r="O16" s="28">
        <f>'FixedP_Lower'!$AF$16+L16*('FixedP_Upper'!$AF$16-'FixedP_Lower'!$AF$16)</f>
        <v>264.21168617193126</v>
      </c>
      <c r="P16" s="7">
        <v>1000.6118805592857</v>
      </c>
      <c r="Q16" s="7">
        <v>264.21168617193126</v>
      </c>
      <c r="R16" s="16">
        <f>SQRT((N16-P16)^2+(O16-Q16)^2)</f>
        <v>0</v>
      </c>
    </row>
    <row r="17" spans="1:18" x14ac:dyDescent="0.25">
      <c r="A17" s="7">
        <v>10</v>
      </c>
      <c r="B17" s="7" t="s">
        <v>213</v>
      </c>
      <c r="C17" s="7">
        <v>4</v>
      </c>
      <c r="D17" s="19">
        <v>10</v>
      </c>
      <c r="E17" s="29" t="str">
        <f>'FixedP_Lower'!$G$17</f>
        <v>retained c/D (not the cap rule)</v>
      </c>
      <c r="F17" s="16">
        <f>'FixedP_Lower'!$H$17</f>
        <v>1.2000000000000002</v>
      </c>
      <c r="G17" s="18">
        <f>'FixedP_Lower'!$AD$17</f>
        <v>17670.345615483235</v>
      </c>
      <c r="H17" s="29" t="str">
        <f>'FixedP_Upper'!$G$17</f>
        <v>retained c/D (not the cap rule)</v>
      </c>
      <c r="I17" s="16">
        <f>'FixedP_Upper'!$H$17</f>
        <v>1.2000000000000002</v>
      </c>
      <c r="J17" s="18">
        <f>'FixedP_Upper'!$AD$17</f>
        <v>17670.345615483235</v>
      </c>
      <c r="K17" s="18">
        <f>Selected_P</f>
        <v>17670.345615483235</v>
      </c>
      <c r="L17" s="16">
        <f>IF(ABS(J17-G17)&lt;0.000000001,0,(K17-G17)/(J17-G17))</f>
        <v>0</v>
      </c>
      <c r="M17" s="29" t="str">
        <f>IF(ABS(J17-G17)&lt;0.000000001,"Exact station",IF(AND(K17&gt;=G17-0.000001,K17&lt;=J17+0.000001),"Interpolated","Outside range"))</f>
        <v>Exact station</v>
      </c>
      <c r="N17" s="30">
        <f>'FixedP_Lower'!$AE$17+L17*('FixedP_Upper'!$AE$17-'FixedP_Lower'!$AE$17)</f>
        <v>1334.1491740790477</v>
      </c>
      <c r="O17" s="30">
        <f>'FixedP_Lower'!$AF$17+L17*('FixedP_Upper'!$AF$17-'FixedP_Lower'!$AF$17)</f>
        <v>352.28224822924165</v>
      </c>
      <c r="P17" s="7">
        <v>1334.1491740790477</v>
      </c>
      <c r="Q17" s="7">
        <v>352.28224822924165</v>
      </c>
      <c r="R17" s="16">
        <f>SQRT((N17-P17)^2+(O17-Q17)^2)</f>
        <v>0</v>
      </c>
    </row>
    <row r="18" spans="1:18" x14ac:dyDescent="0.25">
      <c r="A18" s="23">
        <v>11</v>
      </c>
      <c r="B18" s="23" t="s">
        <v>215</v>
      </c>
      <c r="C18" s="23">
        <v>5</v>
      </c>
      <c r="D18" s="24">
        <v>10</v>
      </c>
      <c r="E18" s="25" t="str">
        <f>'FixedP_Lower'!$G$18</f>
        <v>retained c/D (not the cap rule)</v>
      </c>
      <c r="F18" s="26">
        <f>'FixedP_Lower'!$H$18</f>
        <v>1.1000000000000003</v>
      </c>
      <c r="G18" s="27">
        <f>'FixedP_Lower'!$AD$18</f>
        <v>17670.345615483235</v>
      </c>
      <c r="H18" s="25" t="str">
        <f>'FixedP_Upper'!$G$18</f>
        <v>retained c/D (not the cap rule)</v>
      </c>
      <c r="I18" s="26">
        <f>'FixedP_Upper'!$H$18</f>
        <v>1.1000000000000003</v>
      </c>
      <c r="J18" s="27">
        <f>'FixedP_Upper'!$AD$18</f>
        <v>17670.345615483235</v>
      </c>
      <c r="K18" s="27">
        <f>Selected_P</f>
        <v>17670.345615483235</v>
      </c>
      <c r="L18" s="26">
        <f>IF(ABS(J18-G18)&lt;0.000000001,0,(K18-G18)/(J18-G18))</f>
        <v>0</v>
      </c>
      <c r="M18" s="25" t="str">
        <f>IF(ABS(J18-G18)&lt;0.000000001,"Exact station",IF(AND(K18&gt;=G18-0.000001,K18&lt;=J18+0.000001),"Interpolated","Outside range"))</f>
        <v>Exact station</v>
      </c>
      <c r="N18" s="28">
        <f>'FixedP_Lower'!$AE$18+L18*('FixedP_Upper'!$AE$18-'FixedP_Lower'!$AE$18)</f>
        <v>1667.6864675988093</v>
      </c>
      <c r="O18" s="28">
        <f>'FixedP_Lower'!$AF$18+L18*('FixedP_Upper'!$AF$18-'FixedP_Lower'!$AF$18)</f>
        <v>440.3528102865521</v>
      </c>
      <c r="P18" s="7">
        <v>1667.6864675988093</v>
      </c>
      <c r="Q18" s="7">
        <v>440.3528102865521</v>
      </c>
      <c r="R18" s="16">
        <f>SQRT((N18-P18)^2+(O18-Q18)^2)</f>
        <v>0</v>
      </c>
    </row>
    <row r="19" spans="1:18" x14ac:dyDescent="0.25">
      <c r="A19" s="7">
        <v>12</v>
      </c>
      <c r="B19" s="7" t="s">
        <v>217</v>
      </c>
      <c r="C19" s="7">
        <v>1</v>
      </c>
      <c r="D19" s="19">
        <v>20</v>
      </c>
      <c r="E19" s="29" t="str">
        <f>'FixedP_Lower'!$G$19</f>
        <v>retained c/D (not the cap rule)</v>
      </c>
      <c r="F19" s="16">
        <f>'FixedP_Lower'!$H$19</f>
        <v>3.0000000000000004</v>
      </c>
      <c r="G19" s="18">
        <f>'FixedP_Lower'!$AD$19</f>
        <v>17670.345615483235</v>
      </c>
      <c r="H19" s="29" t="str">
        <f>'FixedP_Upper'!$G$19</f>
        <v>retained c/D (not the cap rule)</v>
      </c>
      <c r="I19" s="16">
        <f>'FixedP_Upper'!$H$19</f>
        <v>3.0000000000000004</v>
      </c>
      <c r="J19" s="18">
        <f>'FixedP_Upper'!$AD$19</f>
        <v>17670.345615483235</v>
      </c>
      <c r="K19" s="18">
        <f>Selected_P</f>
        <v>17670.345615483235</v>
      </c>
      <c r="L19" s="16">
        <f>IF(ABS(J19-G19)&lt;0.000000001,0,(K19-G19)/(J19-G19))</f>
        <v>0</v>
      </c>
      <c r="M19" s="29" t="str">
        <f>IF(ABS(J19-G19)&lt;0.000000001,"Exact station",IF(AND(K19&gt;=G19-0.000001,K19&lt;=J19+0.000001),"Interpolated","Outside range"))</f>
        <v>Exact station</v>
      </c>
      <c r="N19" s="30">
        <f>'FixedP_Lower'!$AE$19+L19*('FixedP_Upper'!$AE$19-'FixedP_Lower'!$AE$19)</f>
        <v>296.61564862942726</v>
      </c>
      <c r="O19" s="30">
        <f>'FixedP_Lower'!$AF$19+L19*('FixedP_Upper'!$AF$19-'FixedP_Lower'!$AF$19)</f>
        <v>158.22415930571404</v>
      </c>
      <c r="P19" s="7">
        <v>296.61564862942726</v>
      </c>
      <c r="Q19" s="7">
        <v>158.22415930571404</v>
      </c>
      <c r="R19" s="16">
        <f>SQRT((N19-P19)^2+(O19-Q19)^2)</f>
        <v>0</v>
      </c>
    </row>
    <row r="20" spans="1:18" x14ac:dyDescent="0.25">
      <c r="A20" s="23">
        <v>13</v>
      </c>
      <c r="B20" s="23" t="s">
        <v>219</v>
      </c>
      <c r="C20" s="23">
        <v>2</v>
      </c>
      <c r="D20" s="24">
        <v>20</v>
      </c>
      <c r="E20" s="25" t="str">
        <f>'FixedP_Lower'!$G$20</f>
        <v>retained c/D (not the cap rule)</v>
      </c>
      <c r="F20" s="26">
        <f>'FixedP_Lower'!$H$20</f>
        <v>2</v>
      </c>
      <c r="G20" s="27">
        <f>'FixedP_Lower'!$AD$20</f>
        <v>17670.345615483235</v>
      </c>
      <c r="H20" s="25" t="str">
        <f>'FixedP_Upper'!$G$20</f>
        <v>retained c/D (not the cap rule)</v>
      </c>
      <c r="I20" s="26">
        <f>'FixedP_Upper'!$H$20</f>
        <v>2</v>
      </c>
      <c r="J20" s="27">
        <f>'FixedP_Upper'!$AD$20</f>
        <v>17670.345615483235</v>
      </c>
      <c r="K20" s="27">
        <f>Selected_P</f>
        <v>17670.345615483235</v>
      </c>
      <c r="L20" s="26">
        <f>IF(ABS(J20-G20)&lt;0.000000001,0,(K20-G20)/(J20-G20))</f>
        <v>0</v>
      </c>
      <c r="M20" s="25" t="str">
        <f>IF(ABS(J20-G20)&lt;0.000000001,"Exact station",IF(AND(K20&gt;=G20-0.000001,K20&lt;=J20+0.000001),"Interpolated","Outside range"))</f>
        <v>Exact station</v>
      </c>
      <c r="N20" s="28">
        <f>'FixedP_Lower'!$AE$20+L20*('FixedP_Upper'!$AE$20-'FixedP_Lower'!$AE$20)</f>
        <v>593.2312972588545</v>
      </c>
      <c r="O20" s="28">
        <f>'FixedP_Lower'!$AF$20+L20*('FixedP_Upper'!$AF$20-'FixedP_Lower'!$AF$20)</f>
        <v>316.4483186114281</v>
      </c>
      <c r="P20" s="7">
        <v>593.2312972588545</v>
      </c>
      <c r="Q20" s="7">
        <v>316.4483186114281</v>
      </c>
      <c r="R20" s="16">
        <f>SQRT((N20-P20)^2+(O20-Q20)^2)</f>
        <v>0</v>
      </c>
    </row>
    <row r="21" spans="1:18" x14ac:dyDescent="0.25">
      <c r="A21" s="7">
        <v>14</v>
      </c>
      <c r="B21" s="7" t="s">
        <v>221</v>
      </c>
      <c r="C21" s="7">
        <v>3</v>
      </c>
      <c r="D21" s="19">
        <v>20</v>
      </c>
      <c r="E21" s="29" t="str">
        <f>'FixedP_Lower'!$G$21</f>
        <v>retained c/D (not the cap rule)</v>
      </c>
      <c r="F21" s="16">
        <f>'FixedP_Lower'!$H$21</f>
        <v>1.5</v>
      </c>
      <c r="G21" s="18">
        <f>'FixedP_Lower'!$AD$21</f>
        <v>17670.345615483235</v>
      </c>
      <c r="H21" s="29" t="str">
        <f>'FixedP_Upper'!$G$21</f>
        <v>retained c/D (not the cap rule)</v>
      </c>
      <c r="I21" s="16">
        <f>'FixedP_Upper'!$H$21</f>
        <v>1.5</v>
      </c>
      <c r="J21" s="18">
        <f>'FixedP_Upper'!$AD$21</f>
        <v>17670.345615483235</v>
      </c>
      <c r="K21" s="18">
        <f>Selected_P</f>
        <v>17670.345615483235</v>
      </c>
      <c r="L21" s="16">
        <f>IF(ABS(J21-G21)&lt;0.000000001,0,(K21-G21)/(J21-G21))</f>
        <v>0</v>
      </c>
      <c r="M21" s="29" t="str">
        <f>IF(ABS(J21-G21)&lt;0.000000001,"Exact station",IF(AND(K21&gt;=G21-0.000001,K21&lt;=J21+0.000001),"Interpolated","Outside range"))</f>
        <v>Exact station</v>
      </c>
      <c r="N21" s="30">
        <f>'FixedP_Lower'!$AE$21+L21*('FixedP_Upper'!$AE$21-'FixedP_Lower'!$AE$21)</f>
        <v>889.8469458882817</v>
      </c>
      <c r="O21" s="30">
        <f>'FixedP_Lower'!$AF$21+L21*('FixedP_Upper'!$AF$21-'FixedP_Lower'!$AF$21)</f>
        <v>474.6724779171421</v>
      </c>
      <c r="P21" s="7">
        <v>889.8469458882817</v>
      </c>
      <c r="Q21" s="7">
        <v>474.6724779171421</v>
      </c>
      <c r="R21" s="16">
        <f>SQRT((N21-P21)^2+(O21-Q21)^2)</f>
        <v>0</v>
      </c>
    </row>
    <row r="22" spans="1:18" x14ac:dyDescent="0.25">
      <c r="A22" s="23">
        <v>15</v>
      </c>
      <c r="B22" s="23" t="s">
        <v>223</v>
      </c>
      <c r="C22" s="23">
        <v>4</v>
      </c>
      <c r="D22" s="24">
        <v>20</v>
      </c>
      <c r="E22" s="25" t="str">
        <f>'FixedP_Lower'!$G$22</f>
        <v>retained c/D (not the cap rule)</v>
      </c>
      <c r="F22" s="26">
        <f>'FixedP_Lower'!$H$22</f>
        <v>1.2</v>
      </c>
      <c r="G22" s="27">
        <f>'FixedP_Lower'!$AD$22</f>
        <v>17670.345615483235</v>
      </c>
      <c r="H22" s="25" t="str">
        <f>'FixedP_Upper'!$G$22</f>
        <v>retained c/D (not the cap rule)</v>
      </c>
      <c r="I22" s="26">
        <f>'FixedP_Upper'!$H$22</f>
        <v>1.2</v>
      </c>
      <c r="J22" s="27">
        <f>'FixedP_Upper'!$AD$22</f>
        <v>17670.345615483235</v>
      </c>
      <c r="K22" s="27">
        <f>Selected_P</f>
        <v>17670.345615483235</v>
      </c>
      <c r="L22" s="26">
        <f>IF(ABS(J22-G22)&lt;0.000000001,0,(K22-G22)/(J22-G22))</f>
        <v>0</v>
      </c>
      <c r="M22" s="25" t="str">
        <f>IF(ABS(J22-G22)&lt;0.000000001,"Exact station",IF(AND(K22&gt;=G22-0.000001,K22&lt;=J22+0.000001),"Interpolated","Outside range"))</f>
        <v>Exact station</v>
      </c>
      <c r="N22" s="28">
        <f>'FixedP_Lower'!$AE$22+L22*('FixedP_Upper'!$AE$22-'FixedP_Lower'!$AE$22)</f>
        <v>1186.462594517709</v>
      </c>
      <c r="O22" s="28">
        <f>'FixedP_Lower'!$AF$22+L22*('FixedP_Upper'!$AF$22-'FixedP_Lower'!$AF$22)</f>
        <v>632.8966372228562</v>
      </c>
      <c r="P22" s="7">
        <v>1186.462594517709</v>
      </c>
      <c r="Q22" s="7">
        <v>632.8966372228562</v>
      </c>
      <c r="R22" s="16">
        <f>SQRT((N22-P22)^2+(O22-Q22)^2)</f>
        <v>0</v>
      </c>
    </row>
    <row r="23" spans="1:18" x14ac:dyDescent="0.25">
      <c r="A23" s="7">
        <v>16</v>
      </c>
      <c r="B23" s="7" t="s">
        <v>225</v>
      </c>
      <c r="C23" s="7">
        <v>5</v>
      </c>
      <c r="D23" s="19">
        <v>20</v>
      </c>
      <c r="E23" s="29" t="str">
        <f>'FixedP_Lower'!$G$23</f>
        <v>retained c/D (not the cap rule)</v>
      </c>
      <c r="F23" s="16">
        <f>'FixedP_Lower'!$H$23</f>
        <v>1.1</v>
      </c>
      <c r="G23" s="18">
        <f>'FixedP_Lower'!$AD$23</f>
        <v>17670.345615483235</v>
      </c>
      <c r="H23" s="29" t="str">
        <f>'FixedP_Upper'!$G$23</f>
        <v>retained c/D (not the cap rule)</v>
      </c>
      <c r="I23" s="16">
        <f>'FixedP_Upper'!$H$23</f>
        <v>1.1</v>
      </c>
      <c r="J23" s="18">
        <f>'FixedP_Upper'!$AD$23</f>
        <v>17670.345615483235</v>
      </c>
      <c r="K23" s="18">
        <f>Selected_P</f>
        <v>17670.345615483235</v>
      </c>
      <c r="L23" s="16">
        <f>IF(ABS(J23-G23)&lt;0.000000001,0,(K23-G23)/(J23-G23))</f>
        <v>0</v>
      </c>
      <c r="M23" s="29" t="str">
        <f>IF(ABS(J23-G23)&lt;0.000000001,"Exact station",IF(AND(K23&gt;=G23-0.000001,K23&lt;=J23+0.000001),"Interpolated","Outside range"))</f>
        <v>Exact station</v>
      </c>
      <c r="N23" s="30">
        <f>'FixedP_Lower'!$AE$23+L23*('FixedP_Upper'!$AE$23-'FixedP_Lower'!$AE$23)</f>
        <v>1483.0782431471362</v>
      </c>
      <c r="O23" s="30">
        <f>'FixedP_Lower'!$AF$23+L23*('FixedP_Upper'!$AF$23-'FixedP_Lower'!$AF$23)</f>
        <v>791.1207965285702</v>
      </c>
      <c r="P23" s="7">
        <v>1483.0782431471362</v>
      </c>
      <c r="Q23" s="7">
        <v>791.1207965285702</v>
      </c>
      <c r="R23" s="16">
        <f>SQRT((N23-P23)^2+(O23-Q23)^2)</f>
        <v>0</v>
      </c>
    </row>
    <row r="24" spans="1:18" x14ac:dyDescent="0.25">
      <c r="A24" s="23">
        <v>17</v>
      </c>
      <c r="B24" s="23" t="s">
        <v>227</v>
      </c>
      <c r="C24" s="23">
        <v>6</v>
      </c>
      <c r="D24" s="24">
        <v>20</v>
      </c>
      <c r="E24" s="25" t="str">
        <f>'FixedP_Lower'!$G$24</f>
        <v>retained c/D (not the cap rule)</v>
      </c>
      <c r="F24" s="26">
        <f>'FixedP_Lower'!$H$24</f>
        <v>1</v>
      </c>
      <c r="G24" s="27">
        <f>'FixedP_Lower'!$AD$24</f>
        <v>17670.345615483235</v>
      </c>
      <c r="H24" s="25" t="str">
        <f>'FixedP_Upper'!$G$24</f>
        <v>retained c/D (not the cap rule)</v>
      </c>
      <c r="I24" s="26">
        <f>'FixedP_Upper'!$H$24</f>
        <v>1</v>
      </c>
      <c r="J24" s="27">
        <f>'FixedP_Upper'!$AD$24</f>
        <v>17670.345615483235</v>
      </c>
      <c r="K24" s="27">
        <f>Selected_P</f>
        <v>17670.345615483235</v>
      </c>
      <c r="L24" s="26">
        <f>IF(ABS(J24-G24)&lt;0.000000001,0,(K24-G24)/(J24-G24))</f>
        <v>0</v>
      </c>
      <c r="M24" s="25" t="str">
        <f>IF(ABS(J24-G24)&lt;0.000000001,"Exact station",IF(AND(K24&gt;=G24-0.000001,K24&lt;=J24+0.000001),"Interpolated","Outside range"))</f>
        <v>Exact station</v>
      </c>
      <c r="N24" s="28">
        <f>'FixedP_Lower'!$AE$24+L24*('FixedP_Upper'!$AE$24-'FixedP_Lower'!$AE$24)</f>
        <v>1779.6938917765633</v>
      </c>
      <c r="O24" s="28">
        <f>'FixedP_Lower'!$AF$24+L24*('FixedP_Upper'!$AF$24-'FixedP_Lower'!$AF$24)</f>
        <v>949.3449558342842</v>
      </c>
      <c r="P24" s="7">
        <v>1779.6938917765633</v>
      </c>
      <c r="Q24" s="7">
        <v>949.3449558342842</v>
      </c>
      <c r="R24" s="16">
        <f>SQRT((N24-P24)^2+(O24-Q24)^2)</f>
        <v>0</v>
      </c>
    </row>
    <row r="25" spans="1:18" x14ac:dyDescent="0.25">
      <c r="A25" s="7">
        <v>18</v>
      </c>
      <c r="B25" s="7" t="s">
        <v>230</v>
      </c>
      <c r="C25" s="7">
        <v>1</v>
      </c>
      <c r="D25" s="19">
        <v>30</v>
      </c>
      <c r="E25" s="29" t="str">
        <f>'FixedP_Lower'!$G$25</f>
        <v>retained c/D (not the cap rule)</v>
      </c>
      <c r="F25" s="16">
        <f>'FixedP_Lower'!$H$25</f>
        <v>3</v>
      </c>
      <c r="G25" s="18">
        <f>'FixedP_Lower'!$AD$25</f>
        <v>17670.345615483235</v>
      </c>
      <c r="H25" s="29" t="str">
        <f>'FixedP_Upper'!$G$25</f>
        <v>retained c/D (not the cap rule)</v>
      </c>
      <c r="I25" s="16">
        <f>'FixedP_Upper'!$H$25</f>
        <v>3</v>
      </c>
      <c r="J25" s="18">
        <f>'FixedP_Upper'!$AD$25</f>
        <v>17670.345615483235</v>
      </c>
      <c r="K25" s="18">
        <f>Selected_P</f>
        <v>17670.345615483235</v>
      </c>
      <c r="L25" s="16">
        <f>IF(ABS(J25-G25)&lt;0.000000001,0,(K25-G25)/(J25-G25))</f>
        <v>0</v>
      </c>
      <c r="M25" s="29" t="str">
        <f>IF(ABS(J25-G25)&lt;0.000000001,"Exact station",IF(AND(K25&gt;=G25-0.000001,K25&lt;=J25+0.000001),"Interpolated","Outside range"))</f>
        <v>Exact station</v>
      </c>
      <c r="N25" s="30">
        <f>'FixedP_Lower'!$AE$25+L25*('FixedP_Upper'!$AE$25-'FixedP_Lower'!$AE$25)</f>
        <v>264.9464608173741</v>
      </c>
      <c r="O25" s="30">
        <f>'FixedP_Lower'!$AF$25+L25*('FixedP_Upper'!$AF$25-'FixedP_Lower'!$AF$25)</f>
        <v>216.45758252362307</v>
      </c>
      <c r="P25" s="7">
        <v>264.9464608173741</v>
      </c>
      <c r="Q25" s="7">
        <v>216.45758252362307</v>
      </c>
      <c r="R25" s="16">
        <f>SQRT((N25-P25)^2+(O25-Q25)^2)</f>
        <v>0</v>
      </c>
    </row>
    <row r="26" spans="1:18" x14ac:dyDescent="0.25">
      <c r="A26" s="23">
        <v>19</v>
      </c>
      <c r="B26" s="23" t="s">
        <v>232</v>
      </c>
      <c r="C26" s="23">
        <v>2</v>
      </c>
      <c r="D26" s="24">
        <v>30</v>
      </c>
      <c r="E26" s="25" t="str">
        <f>'FixedP_Lower'!$G$26</f>
        <v>retained c/D (not the cap rule)</v>
      </c>
      <c r="F26" s="26">
        <f>'FixedP_Lower'!$H$26</f>
        <v>2</v>
      </c>
      <c r="G26" s="27">
        <f>'FixedP_Lower'!$AD$26</f>
        <v>17670.345615483235</v>
      </c>
      <c r="H26" s="25" t="str">
        <f>'FixedP_Upper'!$G$26</f>
        <v>retained c/D (not the cap rule)</v>
      </c>
      <c r="I26" s="26">
        <f>'FixedP_Upper'!$H$26</f>
        <v>2</v>
      </c>
      <c r="J26" s="27">
        <f>'FixedP_Upper'!$AD$26</f>
        <v>17670.345615483235</v>
      </c>
      <c r="K26" s="27">
        <f>Selected_P</f>
        <v>17670.345615483235</v>
      </c>
      <c r="L26" s="26">
        <f>IF(ABS(J26-G26)&lt;0.000000001,0,(K26-G26)/(J26-G26))</f>
        <v>0</v>
      </c>
      <c r="M26" s="25" t="str">
        <f>IF(ABS(J26-G26)&lt;0.000000001,"Exact station",IF(AND(K26&gt;=G26-0.000001,K26&lt;=J26+0.000001),"Interpolated","Outside range"))</f>
        <v>Exact station</v>
      </c>
      <c r="N26" s="28">
        <f>'FixedP_Lower'!$AE$26+L26*('FixedP_Upper'!$AE$26-'FixedP_Lower'!$AE$26)</f>
        <v>529.8929216347482</v>
      </c>
      <c r="O26" s="28">
        <f>'FixedP_Lower'!$AF$26+L26*('FixedP_Upper'!$AF$26-'FixedP_Lower'!$AF$26)</f>
        <v>432.91516504724615</v>
      </c>
      <c r="P26" s="7">
        <v>529.8929216347482</v>
      </c>
      <c r="Q26" s="7">
        <v>432.91516504724615</v>
      </c>
      <c r="R26" s="16">
        <f>SQRT((N26-P26)^2+(O26-Q26)^2)</f>
        <v>0</v>
      </c>
    </row>
    <row r="27" spans="1:18" x14ac:dyDescent="0.25">
      <c r="A27" s="7">
        <v>20</v>
      </c>
      <c r="B27" s="7" t="s">
        <v>234</v>
      </c>
      <c r="C27" s="7">
        <v>3</v>
      </c>
      <c r="D27" s="19">
        <v>30</v>
      </c>
      <c r="E27" s="29" t="str">
        <f>'FixedP_Lower'!$G$27</f>
        <v>retained c/D (not the cap rule)</v>
      </c>
      <c r="F27" s="16">
        <f>'FixedP_Lower'!$H$27</f>
        <v>1.5000000000000002</v>
      </c>
      <c r="G27" s="18">
        <f>'FixedP_Lower'!$AD$27</f>
        <v>17670.345615483235</v>
      </c>
      <c r="H27" s="29" t="str">
        <f>'FixedP_Upper'!$G$27</f>
        <v>retained c/D (not the cap rule)</v>
      </c>
      <c r="I27" s="16">
        <f>'FixedP_Upper'!$H$27</f>
        <v>1.5000000000000002</v>
      </c>
      <c r="J27" s="18">
        <f>'FixedP_Upper'!$AD$27</f>
        <v>17670.345615483235</v>
      </c>
      <c r="K27" s="18">
        <f>Selected_P</f>
        <v>17670.345615483235</v>
      </c>
      <c r="L27" s="16">
        <f>IF(ABS(J27-G27)&lt;0.000000001,0,(K27-G27)/(J27-G27))</f>
        <v>0</v>
      </c>
      <c r="M27" s="29" t="str">
        <f>IF(ABS(J27-G27)&lt;0.000000001,"Exact station",IF(AND(K27&gt;=G27-0.000001,K27&lt;=J27+0.000001),"Interpolated","Outside range"))</f>
        <v>Exact station</v>
      </c>
      <c r="N27" s="30">
        <f>'FixedP_Lower'!$AE$27+L27*('FixedP_Upper'!$AE$27-'FixedP_Lower'!$AE$27)</f>
        <v>794.8393824521222</v>
      </c>
      <c r="O27" s="30">
        <f>'FixedP_Lower'!$AF$27+L27*('FixedP_Upper'!$AF$27-'FixedP_Lower'!$AF$27)</f>
        <v>649.3727475708693</v>
      </c>
      <c r="P27" s="7">
        <v>794.8393824521222</v>
      </c>
      <c r="Q27" s="7">
        <v>649.3727475708693</v>
      </c>
      <c r="R27" s="16">
        <f>SQRT((N27-P27)^2+(O27-Q27)^2)</f>
        <v>0</v>
      </c>
    </row>
    <row r="28" spans="1:18" x14ac:dyDescent="0.25">
      <c r="A28" s="23">
        <v>21</v>
      </c>
      <c r="B28" s="23" t="s">
        <v>236</v>
      </c>
      <c r="C28" s="23">
        <v>4</v>
      </c>
      <c r="D28" s="24">
        <v>30</v>
      </c>
      <c r="E28" s="25" t="str">
        <f>'FixedP_Lower'!$G$28</f>
        <v>retained c/D (not the cap rule)</v>
      </c>
      <c r="F28" s="26">
        <f>'FixedP_Lower'!$H$28</f>
        <v>1.2</v>
      </c>
      <c r="G28" s="27">
        <f>'FixedP_Lower'!$AD$28</f>
        <v>17670.345615483235</v>
      </c>
      <c r="H28" s="25" t="str">
        <f>'FixedP_Upper'!$G$28</f>
        <v>retained c/D (not the cap rule)</v>
      </c>
      <c r="I28" s="26">
        <f>'FixedP_Upper'!$H$28</f>
        <v>1.2</v>
      </c>
      <c r="J28" s="27">
        <f>'FixedP_Upper'!$AD$28</f>
        <v>17670.345615483235</v>
      </c>
      <c r="K28" s="27">
        <f>Selected_P</f>
        <v>17670.345615483235</v>
      </c>
      <c r="L28" s="26">
        <f>IF(ABS(J28-G28)&lt;0.000000001,0,(K28-G28)/(J28-G28))</f>
        <v>0</v>
      </c>
      <c r="M28" s="25" t="str">
        <f>IF(ABS(J28-G28)&lt;0.000000001,"Exact station",IF(AND(K28&gt;=G28-0.000001,K28&lt;=J28+0.000001),"Interpolated","Outside range"))</f>
        <v>Exact station</v>
      </c>
      <c r="N28" s="28">
        <f>'FixedP_Lower'!$AE$28+L28*('FixedP_Upper'!$AE$28-'FixedP_Lower'!$AE$28)</f>
        <v>1059.7858432694964</v>
      </c>
      <c r="O28" s="28">
        <f>'FixedP_Lower'!$AF$28+L28*('FixedP_Upper'!$AF$28-'FixedP_Lower'!$AF$28)</f>
        <v>865.8303300944923</v>
      </c>
      <c r="P28" s="7">
        <v>1059.7858432694964</v>
      </c>
      <c r="Q28" s="7">
        <v>865.8303300944923</v>
      </c>
      <c r="R28" s="16">
        <f>SQRT((N28-P28)^2+(O28-Q28)^2)</f>
        <v>0</v>
      </c>
    </row>
    <row r="29" spans="1:18" x14ac:dyDescent="0.25">
      <c r="A29" s="7">
        <v>22</v>
      </c>
      <c r="B29" s="7" t="s">
        <v>238</v>
      </c>
      <c r="C29" s="7">
        <v>5</v>
      </c>
      <c r="D29" s="19">
        <v>30</v>
      </c>
      <c r="E29" s="29" t="str">
        <f>'FixedP_Lower'!$G$29</f>
        <v>retained c/D (not the cap rule)</v>
      </c>
      <c r="F29" s="16">
        <f>'FixedP_Lower'!$H$29</f>
        <v>1.1</v>
      </c>
      <c r="G29" s="18">
        <f>'FixedP_Lower'!$AD$29</f>
        <v>17670.345615483235</v>
      </c>
      <c r="H29" s="29" t="str">
        <f>'FixedP_Upper'!$G$29</f>
        <v>retained c/D (not the cap rule)</v>
      </c>
      <c r="I29" s="16">
        <f>'FixedP_Upper'!$H$29</f>
        <v>1.1</v>
      </c>
      <c r="J29" s="18">
        <f>'FixedP_Upper'!$AD$29</f>
        <v>17670.345615483235</v>
      </c>
      <c r="K29" s="18">
        <f>Selected_P</f>
        <v>17670.345615483235</v>
      </c>
      <c r="L29" s="16">
        <f>IF(ABS(J29-G29)&lt;0.000000001,0,(K29-G29)/(J29-G29))</f>
        <v>0</v>
      </c>
      <c r="M29" s="29" t="str">
        <f>IF(ABS(J29-G29)&lt;0.000000001,"Exact station",IF(AND(K29&gt;=G29-0.000001,K29&lt;=J29+0.000001),"Interpolated","Outside range"))</f>
        <v>Exact station</v>
      </c>
      <c r="N29" s="30">
        <f>'FixedP_Lower'!$AE$29+L29*('FixedP_Upper'!$AE$29-'FixedP_Lower'!$AE$29)</f>
        <v>1324.7323040868705</v>
      </c>
      <c r="O29" s="30">
        <f>'FixedP_Lower'!$AF$29+L29*('FixedP_Upper'!$AF$29-'FixedP_Lower'!$AF$29)</f>
        <v>1082.2879126181153</v>
      </c>
      <c r="P29" s="7">
        <v>1324.7323040868705</v>
      </c>
      <c r="Q29" s="7">
        <v>1082.2879126181153</v>
      </c>
      <c r="R29" s="16">
        <f>SQRT((N29-P29)^2+(O29-Q29)^2)</f>
        <v>0</v>
      </c>
    </row>
    <row r="30" spans="1:18" x14ac:dyDescent="0.25">
      <c r="A30" s="23">
        <v>23</v>
      </c>
      <c r="B30" s="23" t="s">
        <v>240</v>
      </c>
      <c r="C30" s="23">
        <v>6</v>
      </c>
      <c r="D30" s="24">
        <v>30</v>
      </c>
      <c r="E30" s="25" t="str">
        <f>'FixedP_Lower'!$G$30</f>
        <v>retained c/D (not the cap rule)</v>
      </c>
      <c r="F30" s="26">
        <f>'FixedP_Lower'!$H$30</f>
        <v>1</v>
      </c>
      <c r="G30" s="27">
        <f>'FixedP_Lower'!$AD$30</f>
        <v>17670.345615483235</v>
      </c>
      <c r="H30" s="25" t="str">
        <f>'FixedP_Upper'!$G$30</f>
        <v>retained c/D (not the cap rule)</v>
      </c>
      <c r="I30" s="26">
        <f>'FixedP_Upper'!$H$30</f>
        <v>1</v>
      </c>
      <c r="J30" s="27">
        <f>'FixedP_Upper'!$AD$30</f>
        <v>17670.345615483235</v>
      </c>
      <c r="K30" s="27">
        <f>Selected_P</f>
        <v>17670.345615483235</v>
      </c>
      <c r="L30" s="26">
        <f>IF(ABS(J30-G30)&lt;0.000000001,0,(K30-G30)/(J30-G30))</f>
        <v>0</v>
      </c>
      <c r="M30" s="25" t="str">
        <f>IF(ABS(J30-G30)&lt;0.000000001,"Exact station",IF(AND(K30&gt;=G30-0.000001,K30&lt;=J30+0.000001),"Interpolated","Outside range"))</f>
        <v>Exact station</v>
      </c>
      <c r="N30" s="28">
        <f>'FixedP_Lower'!$AE$30+L30*('FixedP_Upper'!$AE$30-'FixedP_Lower'!$AE$30)</f>
        <v>1589.6787649042444</v>
      </c>
      <c r="O30" s="28">
        <f>'FixedP_Lower'!$AF$30+L30*('FixedP_Upper'!$AF$30-'FixedP_Lower'!$AF$30)</f>
        <v>1298.7454951417385</v>
      </c>
      <c r="P30" s="7">
        <v>1589.6787649042444</v>
      </c>
      <c r="Q30" s="7">
        <v>1298.7454951417385</v>
      </c>
      <c r="R30" s="16">
        <f>SQRT((N30-P30)^2+(O30-Q30)^2)</f>
        <v>0</v>
      </c>
    </row>
    <row r="31" spans="1:18" x14ac:dyDescent="0.25">
      <c r="A31" s="7">
        <v>24</v>
      </c>
      <c r="B31" s="7" t="s">
        <v>242</v>
      </c>
      <c r="C31" s="7">
        <v>1</v>
      </c>
      <c r="D31" s="19">
        <v>40</v>
      </c>
      <c r="E31" s="29" t="str">
        <f>'FixedP_Lower'!$G$31</f>
        <v>retained c/D (not the cap rule)</v>
      </c>
      <c r="F31" s="16">
        <f>'FixedP_Lower'!$H$31</f>
        <v>3.0000000000000004</v>
      </c>
      <c r="G31" s="18">
        <f>'FixedP_Lower'!$AD$31</f>
        <v>17670.345615483235</v>
      </c>
      <c r="H31" s="29" t="str">
        <f>'FixedP_Upper'!$G$31</f>
        <v>retained c/D (not the cap rule)</v>
      </c>
      <c r="I31" s="16">
        <f>'FixedP_Upper'!$H$31</f>
        <v>3.0000000000000004</v>
      </c>
      <c r="J31" s="18">
        <f>'FixedP_Upper'!$AD$31</f>
        <v>17670.345615483235</v>
      </c>
      <c r="K31" s="18">
        <f>Selected_P</f>
        <v>17670.345615483235</v>
      </c>
      <c r="L31" s="16">
        <f>IF(ABS(J31-G31)&lt;0.000000001,0,(K31-G31)/(J31-G31))</f>
        <v>0</v>
      </c>
      <c r="M31" s="29" t="str">
        <f>IF(ABS(J31-G31)&lt;0.000000001,"Exact station",IF(AND(K31&gt;=G31-0.000001,K31&lt;=J31+0.000001),"Interpolated","Outside range"))</f>
        <v>Exact station</v>
      </c>
      <c r="N31" s="30">
        <f>'FixedP_Lower'!$AE$31+L31*('FixedP_Upper'!$AE$31-'FixedP_Lower'!$AE$31)</f>
        <v>233.7534702222955</v>
      </c>
      <c r="O31" s="30">
        <f>'FixedP_Lower'!$AF$31+L31*('FixedP_Upper'!$AF$31-'FixedP_Lower'!$AF$31)</f>
        <v>268.5369626513711</v>
      </c>
      <c r="P31" s="7">
        <v>233.7534702222955</v>
      </c>
      <c r="Q31" s="7">
        <v>268.5369626513711</v>
      </c>
      <c r="R31" s="16">
        <f>SQRT((N31-P31)^2+(O31-Q31)^2)</f>
        <v>0</v>
      </c>
    </row>
    <row r="32" spans="1:18" x14ac:dyDescent="0.25">
      <c r="A32" s="23">
        <v>25</v>
      </c>
      <c r="B32" s="23" t="s">
        <v>244</v>
      </c>
      <c r="C32" s="23">
        <v>2</v>
      </c>
      <c r="D32" s="24">
        <v>40</v>
      </c>
      <c r="E32" s="25" t="str">
        <f>'FixedP_Lower'!$G$32</f>
        <v>retained c/D (not the cap rule)</v>
      </c>
      <c r="F32" s="26">
        <f>'FixedP_Lower'!$H$32</f>
        <v>2</v>
      </c>
      <c r="G32" s="27">
        <f>'FixedP_Lower'!$AD$32</f>
        <v>17670.345615483235</v>
      </c>
      <c r="H32" s="25" t="str">
        <f>'FixedP_Upper'!$G$32</f>
        <v>retained c/D (not the cap rule)</v>
      </c>
      <c r="I32" s="26">
        <f>'FixedP_Upper'!$H$32</f>
        <v>2</v>
      </c>
      <c r="J32" s="27">
        <f>'FixedP_Upper'!$AD$32</f>
        <v>17670.345615483235</v>
      </c>
      <c r="K32" s="27">
        <f>Selected_P</f>
        <v>17670.345615483235</v>
      </c>
      <c r="L32" s="26">
        <f>IF(ABS(J32-G32)&lt;0.000000001,0,(K32-G32)/(J32-G32))</f>
        <v>0</v>
      </c>
      <c r="M32" s="25" t="str">
        <f>IF(ABS(J32-G32)&lt;0.000000001,"Exact station",IF(AND(K32&gt;=G32-0.000001,K32&lt;=J32+0.000001),"Interpolated","Outside range"))</f>
        <v>Exact station</v>
      </c>
      <c r="N32" s="28">
        <f>'FixedP_Lower'!$AE$32+L32*('FixedP_Upper'!$AE$32-'FixedP_Lower'!$AE$32)</f>
        <v>467.506940444591</v>
      </c>
      <c r="O32" s="28">
        <f>'FixedP_Lower'!$AF$32+L32*('FixedP_Upper'!$AF$32-'FixedP_Lower'!$AF$32)</f>
        <v>537.0739253027422</v>
      </c>
      <c r="P32" s="7">
        <v>467.506940444591</v>
      </c>
      <c r="Q32" s="7">
        <v>537.0739253027422</v>
      </c>
      <c r="R32" s="16">
        <f>SQRT((N32-P32)^2+(O32-Q32)^2)</f>
        <v>0</v>
      </c>
    </row>
    <row r="33" spans="1:18" x14ac:dyDescent="0.25">
      <c r="A33" s="7">
        <v>26</v>
      </c>
      <c r="B33" s="7" t="s">
        <v>246</v>
      </c>
      <c r="C33" s="7">
        <v>3</v>
      </c>
      <c r="D33" s="19">
        <v>40</v>
      </c>
      <c r="E33" s="29" t="str">
        <f>'FixedP_Lower'!$G$33</f>
        <v>retained c/D (not the cap rule)</v>
      </c>
      <c r="F33" s="16">
        <f>'FixedP_Lower'!$H$33</f>
        <v>1.5000000000000002</v>
      </c>
      <c r="G33" s="18">
        <f>'FixedP_Lower'!$AD$33</f>
        <v>17670.345615483235</v>
      </c>
      <c r="H33" s="29" t="str">
        <f>'FixedP_Upper'!$G$33</f>
        <v>retained c/D (not the cap rule)</v>
      </c>
      <c r="I33" s="16">
        <f>'FixedP_Upper'!$H$33</f>
        <v>1.5000000000000002</v>
      </c>
      <c r="J33" s="18">
        <f>'FixedP_Upper'!$AD$33</f>
        <v>17670.345615483235</v>
      </c>
      <c r="K33" s="18">
        <f>Selected_P</f>
        <v>17670.345615483235</v>
      </c>
      <c r="L33" s="16">
        <f>IF(ABS(J33-G33)&lt;0.000000001,0,(K33-G33)/(J33-G33))</f>
        <v>0</v>
      </c>
      <c r="M33" s="29" t="str">
        <f>IF(ABS(J33-G33)&lt;0.000000001,"Exact station",IF(AND(K33&gt;=G33-0.000001,K33&lt;=J33+0.000001),"Interpolated","Outside range"))</f>
        <v>Exact station</v>
      </c>
      <c r="N33" s="30">
        <f>'FixedP_Lower'!$AE$33+L33*('FixedP_Upper'!$AE$33-'FixedP_Lower'!$AE$33)</f>
        <v>701.2604106668864</v>
      </c>
      <c r="O33" s="30">
        <f>'FixedP_Lower'!$AF$33+L33*('FixedP_Upper'!$AF$33-'FixedP_Lower'!$AF$33)</f>
        <v>805.6108879541132</v>
      </c>
      <c r="P33" s="7">
        <v>701.2604106668864</v>
      </c>
      <c r="Q33" s="7">
        <v>805.6108879541132</v>
      </c>
      <c r="R33" s="16">
        <f>SQRT((N33-P33)^2+(O33-Q33)^2)</f>
        <v>0</v>
      </c>
    </row>
    <row r="34" spans="1:18" x14ac:dyDescent="0.25">
      <c r="A34" s="23">
        <v>27</v>
      </c>
      <c r="B34" s="23" t="s">
        <v>248</v>
      </c>
      <c r="C34" s="23">
        <v>4</v>
      </c>
      <c r="D34" s="24">
        <v>40</v>
      </c>
      <c r="E34" s="25" t="str">
        <f>'FixedP_Lower'!$G$34</f>
        <v>retained c/D (not the cap rule)</v>
      </c>
      <c r="F34" s="26">
        <f>'FixedP_Lower'!$H$34</f>
        <v>1.2</v>
      </c>
      <c r="G34" s="27">
        <f>'FixedP_Lower'!$AD$34</f>
        <v>17670.345615483235</v>
      </c>
      <c r="H34" s="25" t="str">
        <f>'FixedP_Upper'!$G$34</f>
        <v>retained c/D (not the cap rule)</v>
      </c>
      <c r="I34" s="26">
        <f>'FixedP_Upper'!$H$34</f>
        <v>1.2</v>
      </c>
      <c r="J34" s="27">
        <f>'FixedP_Upper'!$AD$34</f>
        <v>17670.345615483235</v>
      </c>
      <c r="K34" s="27">
        <f>Selected_P</f>
        <v>17670.345615483235</v>
      </c>
      <c r="L34" s="26">
        <f>IF(ABS(J34-G34)&lt;0.000000001,0,(K34-G34)/(J34-G34))</f>
        <v>0</v>
      </c>
      <c r="M34" s="25" t="str">
        <f>IF(ABS(J34-G34)&lt;0.000000001,"Exact station",IF(AND(K34&gt;=G34-0.000001,K34&lt;=J34+0.000001),"Interpolated","Outside range"))</f>
        <v>Exact station</v>
      </c>
      <c r="N34" s="28">
        <f>'FixedP_Lower'!$AE$34+L34*('FixedP_Upper'!$AE$34-'FixedP_Lower'!$AE$34)</f>
        <v>935.013880889182</v>
      </c>
      <c r="O34" s="28">
        <f>'FixedP_Lower'!$AF$34+L34*('FixedP_Upper'!$AF$34-'FixedP_Lower'!$AF$34)</f>
        <v>1074.1478506054843</v>
      </c>
      <c r="P34" s="7">
        <v>935.013880889182</v>
      </c>
      <c r="Q34" s="7">
        <v>1074.1478506054843</v>
      </c>
      <c r="R34" s="16">
        <f>SQRT((N34-P34)^2+(O34-Q34)^2)</f>
        <v>0</v>
      </c>
    </row>
    <row r="35" spans="1:18" x14ac:dyDescent="0.25">
      <c r="A35" s="7">
        <v>28</v>
      </c>
      <c r="B35" s="7" t="s">
        <v>250</v>
      </c>
      <c r="C35" s="7">
        <v>5</v>
      </c>
      <c r="D35" s="19">
        <v>40</v>
      </c>
      <c r="E35" s="29" t="str">
        <f>'FixedP_Lower'!$G$35</f>
        <v>retained c/D (not the cap rule)</v>
      </c>
      <c r="F35" s="16">
        <f>'FixedP_Lower'!$H$35</f>
        <v>1.1</v>
      </c>
      <c r="G35" s="18">
        <f>'FixedP_Lower'!$AD$35</f>
        <v>17670.345615483235</v>
      </c>
      <c r="H35" s="29" t="str">
        <f>'FixedP_Upper'!$G$35</f>
        <v>retained c/D (not the cap rule)</v>
      </c>
      <c r="I35" s="16">
        <f>'FixedP_Upper'!$H$35</f>
        <v>1.1</v>
      </c>
      <c r="J35" s="18">
        <f>'FixedP_Upper'!$AD$35</f>
        <v>17670.345615483235</v>
      </c>
      <c r="K35" s="18">
        <f>Selected_P</f>
        <v>17670.345615483235</v>
      </c>
      <c r="L35" s="16">
        <f>IF(ABS(J35-G35)&lt;0.000000001,0,(K35-G35)/(J35-G35))</f>
        <v>0</v>
      </c>
      <c r="M35" s="29" t="str">
        <f>IF(ABS(J35-G35)&lt;0.000000001,"Exact station",IF(AND(K35&gt;=G35-0.000001,K35&lt;=J35+0.000001),"Interpolated","Outside range"))</f>
        <v>Exact station</v>
      </c>
      <c r="N35" s="30">
        <f>'FixedP_Lower'!$AE$35+L35*('FixedP_Upper'!$AE$35-'FixedP_Lower'!$AE$35)</f>
        <v>1168.7673511114776</v>
      </c>
      <c r="O35" s="30">
        <f>'FixedP_Lower'!$AF$35+L35*('FixedP_Upper'!$AF$35-'FixedP_Lower'!$AF$35)</f>
        <v>1342.6848132568555</v>
      </c>
      <c r="P35" s="7">
        <v>1168.7673511114776</v>
      </c>
      <c r="Q35" s="7">
        <v>1342.6848132568555</v>
      </c>
      <c r="R35" s="16">
        <f>SQRT((N35-P35)^2+(O35-Q35)^2)</f>
        <v>0</v>
      </c>
    </row>
    <row r="36" spans="1:18" x14ac:dyDescent="0.25">
      <c r="A36" s="23">
        <v>29</v>
      </c>
      <c r="B36" s="23" t="s">
        <v>252</v>
      </c>
      <c r="C36" s="23">
        <v>6</v>
      </c>
      <c r="D36" s="24">
        <v>40</v>
      </c>
      <c r="E36" s="25" t="str">
        <f>'FixedP_Lower'!$G$36</f>
        <v>retained c/D (not the cap rule)</v>
      </c>
      <c r="F36" s="26">
        <f>'FixedP_Lower'!$H$36</f>
        <v>1.0000000000000002</v>
      </c>
      <c r="G36" s="27">
        <f>'FixedP_Lower'!$AD$36</f>
        <v>17670.345615483235</v>
      </c>
      <c r="H36" s="25" t="str">
        <f>'FixedP_Upper'!$G$36</f>
        <v>retained c/D (not the cap rule)</v>
      </c>
      <c r="I36" s="26">
        <f>'FixedP_Upper'!$H$36</f>
        <v>1.0000000000000002</v>
      </c>
      <c r="J36" s="27">
        <f>'FixedP_Upper'!$AD$36</f>
        <v>17670.345615483235</v>
      </c>
      <c r="K36" s="27">
        <f>Selected_P</f>
        <v>17670.345615483235</v>
      </c>
      <c r="L36" s="26">
        <f>IF(ABS(J36-G36)&lt;0.000000001,0,(K36-G36)/(J36-G36))</f>
        <v>0</v>
      </c>
      <c r="M36" s="25" t="str">
        <f>IF(ABS(J36-G36)&lt;0.000000001,"Exact station",IF(AND(K36&gt;=G36-0.000001,K36&lt;=J36+0.000001),"Interpolated","Outside range"))</f>
        <v>Exact station</v>
      </c>
      <c r="N36" s="28">
        <f>'FixedP_Lower'!$AE$36+L36*('FixedP_Upper'!$AE$36-'FixedP_Lower'!$AE$36)</f>
        <v>1402.5208213337728</v>
      </c>
      <c r="O36" s="28">
        <f>'FixedP_Lower'!$AF$36+L36*('FixedP_Upper'!$AF$36-'FixedP_Lower'!$AF$36)</f>
        <v>1611.2217759082264</v>
      </c>
      <c r="P36" s="7">
        <v>1402.5208213337728</v>
      </c>
      <c r="Q36" s="7">
        <v>1611.2217759082264</v>
      </c>
      <c r="R36" s="16">
        <f>SQRT((N36-P36)^2+(O36-Q36)^2)</f>
        <v>0</v>
      </c>
    </row>
    <row r="37" spans="1:18" x14ac:dyDescent="0.25">
      <c r="A37" s="7">
        <v>30</v>
      </c>
      <c r="B37" s="7" t="s">
        <v>254</v>
      </c>
      <c r="C37" s="7">
        <v>1</v>
      </c>
      <c r="D37" s="19">
        <v>50</v>
      </c>
      <c r="E37" s="29" t="str">
        <f>'FixedP_Lower'!$G$37</f>
        <v>retained c/D (not the cap rule)</v>
      </c>
      <c r="F37" s="16">
        <f>'FixedP_Lower'!$H$37</f>
        <v>2.9999999999999996</v>
      </c>
      <c r="G37" s="18">
        <f>'FixedP_Lower'!$AD$37</f>
        <v>17670.345615483235</v>
      </c>
      <c r="H37" s="29" t="str">
        <f>'FixedP_Upper'!$G$37</f>
        <v>retained c/D (not the cap rule)</v>
      </c>
      <c r="I37" s="16">
        <f>'FixedP_Upper'!$H$37</f>
        <v>2.9999999999999996</v>
      </c>
      <c r="J37" s="18">
        <f>'FixedP_Upper'!$AD$37</f>
        <v>17670.345615483235</v>
      </c>
      <c r="K37" s="18">
        <f>Selected_P</f>
        <v>17670.345615483235</v>
      </c>
      <c r="L37" s="16">
        <f>IF(ABS(J37-G37)&lt;0.000000001,0,(K37-G37)/(J37-G37))</f>
        <v>0</v>
      </c>
      <c r="M37" s="29" t="str">
        <f>IF(ABS(J37-G37)&lt;0.000000001,"Exact station",IF(AND(K37&gt;=G37-0.000001,K37&lt;=J37+0.000001),"Interpolated","Outside range"))</f>
        <v>Exact station</v>
      </c>
      <c r="N37" s="30">
        <f>'FixedP_Lower'!$AE$37+L37*('FixedP_Upper'!$AE$37-'FixedP_Lower'!$AE$37)</f>
        <v>193.7020602340273</v>
      </c>
      <c r="O37" s="30">
        <f>'FixedP_Lower'!$AF$37+L37*('FixedP_Upper'!$AF$37-'FixedP_Lower'!$AF$37)</f>
        <v>306.7272800176986</v>
      </c>
      <c r="P37" s="7">
        <v>193.7020602340273</v>
      </c>
      <c r="Q37" s="7">
        <v>306.7272800176986</v>
      </c>
      <c r="R37" s="16">
        <f>SQRT((N37-P37)^2+(O37-Q37)^2)</f>
        <v>0</v>
      </c>
    </row>
    <row r="38" spans="1:18" x14ac:dyDescent="0.25">
      <c r="A38" s="23">
        <v>31</v>
      </c>
      <c r="B38" s="23" t="s">
        <v>256</v>
      </c>
      <c r="C38" s="23">
        <v>2</v>
      </c>
      <c r="D38" s="24">
        <v>50</v>
      </c>
      <c r="E38" s="25" t="str">
        <f>'FixedP_Lower'!$G$38</f>
        <v>retained c/D (not the cap rule)</v>
      </c>
      <c r="F38" s="26">
        <f>'FixedP_Lower'!$H$38</f>
        <v>2</v>
      </c>
      <c r="G38" s="27">
        <f>'FixedP_Lower'!$AD$38</f>
        <v>17670.345615483235</v>
      </c>
      <c r="H38" s="25" t="str">
        <f>'FixedP_Upper'!$G$38</f>
        <v>retained c/D (not the cap rule)</v>
      </c>
      <c r="I38" s="26">
        <f>'FixedP_Upper'!$H$38</f>
        <v>2</v>
      </c>
      <c r="J38" s="27">
        <f>'FixedP_Upper'!$AD$38</f>
        <v>17670.345615483235</v>
      </c>
      <c r="K38" s="27">
        <f>Selected_P</f>
        <v>17670.345615483235</v>
      </c>
      <c r="L38" s="26">
        <f>IF(ABS(J38-G38)&lt;0.000000001,0,(K38-G38)/(J38-G38))</f>
        <v>0</v>
      </c>
      <c r="M38" s="25" t="str">
        <f>IF(ABS(J38-G38)&lt;0.000000001,"Exact station",IF(AND(K38&gt;=G38-0.000001,K38&lt;=J38+0.000001),"Interpolated","Outside range"))</f>
        <v>Exact station</v>
      </c>
      <c r="N38" s="28">
        <f>'FixedP_Lower'!$AE$38+L38*('FixedP_Upper'!$AE$38-'FixedP_Lower'!$AE$38)</f>
        <v>387.4041204680546</v>
      </c>
      <c r="O38" s="28">
        <f>'FixedP_Lower'!$AF$38+L38*('FixedP_Upper'!$AF$38-'FixedP_Lower'!$AF$38)</f>
        <v>613.4545600353972</v>
      </c>
      <c r="P38" s="7">
        <v>387.4041204680546</v>
      </c>
      <c r="Q38" s="7">
        <v>613.4545600353972</v>
      </c>
      <c r="R38" s="16">
        <f>SQRT((N38-P38)^2+(O38-Q38)^2)</f>
        <v>0</v>
      </c>
    </row>
    <row r="39" spans="1:18" x14ac:dyDescent="0.25">
      <c r="A39" s="7">
        <v>32</v>
      </c>
      <c r="B39" s="7" t="s">
        <v>258</v>
      </c>
      <c r="C39" s="7">
        <v>3</v>
      </c>
      <c r="D39" s="19">
        <v>50</v>
      </c>
      <c r="E39" s="29" t="str">
        <f>'FixedP_Lower'!$G$39</f>
        <v>retained c/D (not the cap rule)</v>
      </c>
      <c r="F39" s="16">
        <f>'FixedP_Lower'!$H$39</f>
        <v>1.4999999999999998</v>
      </c>
      <c r="G39" s="18">
        <f>'FixedP_Lower'!$AD$39</f>
        <v>17670.345615483235</v>
      </c>
      <c r="H39" s="29" t="str">
        <f>'FixedP_Upper'!$G$39</f>
        <v>retained c/D (not the cap rule)</v>
      </c>
      <c r="I39" s="16">
        <f>'FixedP_Upper'!$H$39</f>
        <v>1.4999999999999998</v>
      </c>
      <c r="J39" s="18">
        <f>'FixedP_Upper'!$AD$39</f>
        <v>17670.345615483235</v>
      </c>
      <c r="K39" s="18">
        <f>Selected_P</f>
        <v>17670.345615483235</v>
      </c>
      <c r="L39" s="16">
        <f>IF(ABS(J39-G39)&lt;0.000000001,0,(K39-G39)/(J39-G39))</f>
        <v>0</v>
      </c>
      <c r="M39" s="29" t="str">
        <f>IF(ABS(J39-G39)&lt;0.000000001,"Exact station",IF(AND(K39&gt;=G39-0.000001,K39&lt;=J39+0.000001),"Interpolated","Outside range"))</f>
        <v>Exact station</v>
      </c>
      <c r="N39" s="30">
        <f>'FixedP_Lower'!$AE$39+L39*('FixedP_Upper'!$AE$39-'FixedP_Lower'!$AE$39)</f>
        <v>581.106180702082</v>
      </c>
      <c r="O39" s="30">
        <f>'FixedP_Lower'!$AF$39+L39*('FixedP_Upper'!$AF$39-'FixedP_Lower'!$AF$39)</f>
        <v>920.1818400530958</v>
      </c>
      <c r="P39" s="7">
        <v>581.106180702082</v>
      </c>
      <c r="Q39" s="7">
        <v>920.1818400530958</v>
      </c>
      <c r="R39" s="16">
        <f>SQRT((N39-P39)^2+(O39-Q39)^2)</f>
        <v>0</v>
      </c>
    </row>
    <row r="40" spans="1:18" x14ac:dyDescent="0.25">
      <c r="A40" s="23">
        <v>33</v>
      </c>
      <c r="B40" s="23" t="s">
        <v>260</v>
      </c>
      <c r="C40" s="23">
        <v>4</v>
      </c>
      <c r="D40" s="24">
        <v>50</v>
      </c>
      <c r="E40" s="25" t="str">
        <f>'FixedP_Lower'!$G$40</f>
        <v>retained c/D (not the cap rule)</v>
      </c>
      <c r="F40" s="26">
        <f>'FixedP_Lower'!$H$40</f>
        <v>1.2</v>
      </c>
      <c r="G40" s="27">
        <f>'FixedP_Lower'!$AD$40</f>
        <v>17670.345615483235</v>
      </c>
      <c r="H40" s="25" t="str">
        <f>'FixedP_Upper'!$G$40</f>
        <v>retained c/D (not the cap rule)</v>
      </c>
      <c r="I40" s="26">
        <f>'FixedP_Upper'!$H$40</f>
        <v>1.2</v>
      </c>
      <c r="J40" s="27">
        <f>'FixedP_Upper'!$AD$40</f>
        <v>17670.345615483235</v>
      </c>
      <c r="K40" s="27">
        <f>Selected_P</f>
        <v>17670.345615483235</v>
      </c>
      <c r="L40" s="26">
        <f>IF(ABS(J40-G40)&lt;0.000000001,0,(K40-G40)/(J40-G40))</f>
        <v>0</v>
      </c>
      <c r="M40" s="25" t="str">
        <f>IF(ABS(J40-G40)&lt;0.000000001,"Exact station",IF(AND(K40&gt;=G40-0.000001,K40&lt;=J40+0.000001),"Interpolated","Outside range"))</f>
        <v>Exact station</v>
      </c>
      <c r="N40" s="28">
        <f>'FixedP_Lower'!$AE$40+L40*('FixedP_Upper'!$AE$40-'FixedP_Lower'!$AE$40)</f>
        <v>774.8082409361092</v>
      </c>
      <c r="O40" s="28">
        <f>'FixedP_Lower'!$AF$40+L40*('FixedP_Upper'!$AF$40-'FixedP_Lower'!$AF$40)</f>
        <v>1226.9091200707944</v>
      </c>
      <c r="P40" s="7">
        <v>774.8082409361092</v>
      </c>
      <c r="Q40" s="7">
        <v>1226.9091200707944</v>
      </c>
      <c r="R40" s="16">
        <f>SQRT((N40-P40)^2+(O40-Q40)^2)</f>
        <v>0</v>
      </c>
    </row>
    <row r="41" spans="1:18" x14ac:dyDescent="0.25">
      <c r="A41" s="7">
        <v>34</v>
      </c>
      <c r="B41" s="7" t="s">
        <v>262</v>
      </c>
      <c r="C41" s="7">
        <v>5</v>
      </c>
      <c r="D41" s="19">
        <v>50</v>
      </c>
      <c r="E41" s="29" t="str">
        <f>'FixedP_Lower'!$G$41</f>
        <v>retained c/D (not the cap rule)</v>
      </c>
      <c r="F41" s="16">
        <f>'FixedP_Lower'!$H$41</f>
        <v>1.1000000000000003</v>
      </c>
      <c r="G41" s="18">
        <f>'FixedP_Lower'!$AD$41</f>
        <v>17670.345615483235</v>
      </c>
      <c r="H41" s="29" t="str">
        <f>'FixedP_Upper'!$G$41</f>
        <v>retained c/D (not the cap rule)</v>
      </c>
      <c r="I41" s="16">
        <f>'FixedP_Upper'!$H$41</f>
        <v>1.1000000000000003</v>
      </c>
      <c r="J41" s="18">
        <f>'FixedP_Upper'!$AD$41</f>
        <v>17670.345615483235</v>
      </c>
      <c r="K41" s="18">
        <f>Selected_P</f>
        <v>17670.345615483235</v>
      </c>
      <c r="L41" s="16">
        <f>IF(ABS(J41-G41)&lt;0.000000001,0,(K41-G41)/(J41-G41))</f>
        <v>0</v>
      </c>
      <c r="M41" s="29" t="str">
        <f>IF(ABS(J41-G41)&lt;0.000000001,"Exact station",IF(AND(K41&gt;=G41-0.000001,K41&lt;=J41+0.000001),"Interpolated","Outside range"))</f>
        <v>Exact station</v>
      </c>
      <c r="N41" s="30">
        <f>'FixedP_Lower'!$AE$41+L41*('FixedP_Upper'!$AE$41-'FixedP_Lower'!$AE$41)</f>
        <v>968.5103011701367</v>
      </c>
      <c r="O41" s="30">
        <f>'FixedP_Lower'!$AF$41+L41*('FixedP_Upper'!$AF$41-'FixedP_Lower'!$AF$41)</f>
        <v>1533.636400088493</v>
      </c>
      <c r="P41" s="7">
        <v>968.5103011701367</v>
      </c>
      <c r="Q41" s="7">
        <v>1533.636400088493</v>
      </c>
      <c r="R41" s="16">
        <f>SQRT((N41-P41)^2+(O41-Q41)^2)</f>
        <v>0</v>
      </c>
    </row>
    <row r="42" spans="1:18" x14ac:dyDescent="0.25">
      <c r="A42" s="23">
        <v>35</v>
      </c>
      <c r="B42" s="23" t="s">
        <v>264</v>
      </c>
      <c r="C42" s="23">
        <v>6</v>
      </c>
      <c r="D42" s="24">
        <v>50</v>
      </c>
      <c r="E42" s="25" t="str">
        <f>'FixedP_Lower'!$G$42</f>
        <v>retained c/D (not the cap rule)</v>
      </c>
      <c r="F42" s="26">
        <f>'FixedP_Lower'!$H$42</f>
        <v>1</v>
      </c>
      <c r="G42" s="27">
        <f>'FixedP_Lower'!$AD$42</f>
        <v>17670.345615483235</v>
      </c>
      <c r="H42" s="25" t="str">
        <f>'FixedP_Upper'!$G$42</f>
        <v>retained c/D (not the cap rule)</v>
      </c>
      <c r="I42" s="26">
        <f>'FixedP_Upper'!$H$42</f>
        <v>1</v>
      </c>
      <c r="J42" s="27">
        <f>'FixedP_Upper'!$AD$42</f>
        <v>17670.345615483235</v>
      </c>
      <c r="K42" s="27">
        <f>Selected_P</f>
        <v>17670.345615483235</v>
      </c>
      <c r="L42" s="26">
        <f>IF(ABS(J42-G42)&lt;0.000000001,0,(K42-G42)/(J42-G42))</f>
        <v>0</v>
      </c>
      <c r="M42" s="25" t="str">
        <f>IF(ABS(J42-G42)&lt;0.000000001,"Exact station",IF(AND(K42&gt;=G42-0.000001,K42&lt;=J42+0.000001),"Interpolated","Outside range"))</f>
        <v>Exact station</v>
      </c>
      <c r="N42" s="28">
        <f>'FixedP_Lower'!$AE$42+L42*('FixedP_Upper'!$AE$42-'FixedP_Lower'!$AE$42)</f>
        <v>1162.212361404164</v>
      </c>
      <c r="O42" s="28">
        <f>'FixedP_Lower'!$AF$42+L42*('FixedP_Upper'!$AF$42-'FixedP_Lower'!$AF$42)</f>
        <v>1840.3636801061916</v>
      </c>
      <c r="P42" s="7">
        <v>1162.212361404164</v>
      </c>
      <c r="Q42" s="7">
        <v>1840.3636801061916</v>
      </c>
      <c r="R42" s="16">
        <f>SQRT((N42-P42)^2+(O42-Q42)^2)</f>
        <v>0</v>
      </c>
    </row>
    <row r="43" spans="1:18" x14ac:dyDescent="0.25">
      <c r="A43" s="7">
        <v>36</v>
      </c>
      <c r="B43" s="7" t="s">
        <v>266</v>
      </c>
      <c r="C43" s="7">
        <v>1</v>
      </c>
      <c r="D43" s="19">
        <v>60</v>
      </c>
      <c r="E43" s="29" t="str">
        <f>'FixedP_Lower'!$G$43</f>
        <v>retained c/D (not the cap rule)</v>
      </c>
      <c r="F43" s="16">
        <f>'FixedP_Lower'!$H$43</f>
        <v>3</v>
      </c>
      <c r="G43" s="18">
        <f>'FixedP_Lower'!$AD$43</f>
        <v>17670.345615483235</v>
      </c>
      <c r="H43" s="29" t="str">
        <f>'FixedP_Upper'!$G$43</f>
        <v>retained c/D (not the cap rule)</v>
      </c>
      <c r="I43" s="16">
        <f>'FixedP_Upper'!$H$43</f>
        <v>3</v>
      </c>
      <c r="J43" s="18">
        <f>'FixedP_Upper'!$AD$43</f>
        <v>17670.345615483235</v>
      </c>
      <c r="K43" s="18">
        <f>Selected_P</f>
        <v>17670.345615483235</v>
      </c>
      <c r="L43" s="16">
        <f>IF(ABS(J43-G43)&lt;0.000000001,0,(K43-G43)/(J43-G43))</f>
        <v>0</v>
      </c>
      <c r="M43" s="29" t="str">
        <f>IF(ABS(J43-G43)&lt;0.000000001,"Exact station",IF(AND(K43&gt;=G43-0.000001,K43&lt;=J43+0.000001),"Interpolated","Outside range"))</f>
        <v>Exact station</v>
      </c>
      <c r="N43" s="30">
        <f>'FixedP_Lower'!$AE$43+L43*('FixedP_Upper'!$AE$43-'FixedP_Lower'!$AE$43)</f>
        <v>148.85327640537727</v>
      </c>
      <c r="O43" s="30">
        <f>'FixedP_Lower'!$AF$43+L43*('FixedP_Upper'!$AF$43-'FixedP_Lower'!$AF$43)</f>
        <v>336.62963865998745</v>
      </c>
      <c r="P43" s="7">
        <v>148.85327640537727</v>
      </c>
      <c r="Q43" s="7">
        <v>336.62963865998745</v>
      </c>
      <c r="R43" s="16">
        <f>SQRT((N43-P43)^2+(O43-Q43)^2)</f>
        <v>0</v>
      </c>
    </row>
    <row r="44" spans="1:18" x14ac:dyDescent="0.25">
      <c r="A44" s="23">
        <v>37</v>
      </c>
      <c r="B44" s="23" t="s">
        <v>268</v>
      </c>
      <c r="C44" s="23">
        <v>2</v>
      </c>
      <c r="D44" s="24">
        <v>60</v>
      </c>
      <c r="E44" s="25" t="str">
        <f>'FixedP_Lower'!$G$44</f>
        <v>retained c/D (not the cap rule)</v>
      </c>
      <c r="F44" s="26">
        <f>'FixedP_Lower'!$H$44</f>
        <v>1.9999999999999998</v>
      </c>
      <c r="G44" s="27">
        <f>'FixedP_Lower'!$AD$44</f>
        <v>17670.345615483235</v>
      </c>
      <c r="H44" s="25" t="str">
        <f>'FixedP_Upper'!$G$44</f>
        <v>retained c/D (not the cap rule)</v>
      </c>
      <c r="I44" s="26">
        <f>'FixedP_Upper'!$H$44</f>
        <v>1.9999999999999998</v>
      </c>
      <c r="J44" s="27">
        <f>'FixedP_Upper'!$AD$44</f>
        <v>17670.345615483235</v>
      </c>
      <c r="K44" s="27">
        <f>Selected_P</f>
        <v>17670.345615483235</v>
      </c>
      <c r="L44" s="26">
        <f>IF(ABS(J44-G44)&lt;0.000000001,0,(K44-G44)/(J44-G44))</f>
        <v>0</v>
      </c>
      <c r="M44" s="25" t="str">
        <f>IF(ABS(J44-G44)&lt;0.000000001,"Exact station",IF(AND(K44&gt;=G44-0.000001,K44&lt;=J44+0.000001),"Interpolated","Outside range"))</f>
        <v>Exact station</v>
      </c>
      <c r="N44" s="28">
        <f>'FixedP_Lower'!$AE$44+L44*('FixedP_Upper'!$AE$44-'FixedP_Lower'!$AE$44)</f>
        <v>297.70655281075454</v>
      </c>
      <c r="O44" s="28">
        <f>'FixedP_Lower'!$AF$44+L44*('FixedP_Upper'!$AF$44-'FixedP_Lower'!$AF$44)</f>
        <v>673.2592773199749</v>
      </c>
      <c r="P44" s="7">
        <v>297.70655281075454</v>
      </c>
      <c r="Q44" s="7">
        <v>673.2592773199749</v>
      </c>
      <c r="R44" s="16">
        <f>SQRT((N44-P44)^2+(O44-Q44)^2)</f>
        <v>0</v>
      </c>
    </row>
    <row r="45" spans="1:18" x14ac:dyDescent="0.25">
      <c r="A45" s="7">
        <v>38</v>
      </c>
      <c r="B45" s="7" t="s">
        <v>270</v>
      </c>
      <c r="C45" s="7">
        <v>3</v>
      </c>
      <c r="D45" s="19">
        <v>60</v>
      </c>
      <c r="E45" s="29" t="str">
        <f>'FixedP_Lower'!$G$45</f>
        <v>retained c/D (not the cap rule)</v>
      </c>
      <c r="F45" s="16">
        <f>'FixedP_Lower'!$H$45</f>
        <v>1.5</v>
      </c>
      <c r="G45" s="18">
        <f>'FixedP_Lower'!$AD$45</f>
        <v>17670.345615483235</v>
      </c>
      <c r="H45" s="29" t="str">
        <f>'FixedP_Upper'!$G$45</f>
        <v>retained c/D (not the cap rule)</v>
      </c>
      <c r="I45" s="16">
        <f>'FixedP_Upper'!$H$45</f>
        <v>1.5</v>
      </c>
      <c r="J45" s="18">
        <f>'FixedP_Upper'!$AD$45</f>
        <v>17670.345615483235</v>
      </c>
      <c r="K45" s="18">
        <f>Selected_P</f>
        <v>17670.345615483235</v>
      </c>
      <c r="L45" s="16">
        <f>IF(ABS(J45-G45)&lt;0.000000001,0,(K45-G45)/(J45-G45))</f>
        <v>0</v>
      </c>
      <c r="M45" s="29" t="str">
        <f>IF(ABS(J45-G45)&lt;0.000000001,"Exact station",IF(AND(K45&gt;=G45-0.000001,K45&lt;=J45+0.000001),"Interpolated","Outside range"))</f>
        <v>Exact station</v>
      </c>
      <c r="N45" s="30">
        <f>'FixedP_Lower'!$AE$45+L45*('FixedP_Upper'!$AE$45-'FixedP_Lower'!$AE$45)</f>
        <v>446.5598292161318</v>
      </c>
      <c r="O45" s="30">
        <f>'FixedP_Lower'!$AF$45+L45*('FixedP_Upper'!$AF$45-'FixedP_Lower'!$AF$45)</f>
        <v>1009.8889159799625</v>
      </c>
      <c r="P45" s="7">
        <v>446.5598292161318</v>
      </c>
      <c r="Q45" s="7">
        <v>1009.8889159799625</v>
      </c>
      <c r="R45" s="16">
        <f>SQRT((N45-P45)^2+(O45-Q45)^2)</f>
        <v>0</v>
      </c>
    </row>
    <row r="46" spans="1:18" x14ac:dyDescent="0.25">
      <c r="A46" s="23">
        <v>39</v>
      </c>
      <c r="B46" s="23" t="s">
        <v>272</v>
      </c>
      <c r="C46" s="23">
        <v>4</v>
      </c>
      <c r="D46" s="24">
        <v>60</v>
      </c>
      <c r="E46" s="25" t="str">
        <f>'FixedP_Lower'!$G$46</f>
        <v>retained c/D (not the cap rule)</v>
      </c>
      <c r="F46" s="26">
        <f>'FixedP_Lower'!$H$46</f>
        <v>1.2</v>
      </c>
      <c r="G46" s="27">
        <f>'FixedP_Lower'!$AD$46</f>
        <v>17670.345615483235</v>
      </c>
      <c r="H46" s="25" t="str">
        <f>'FixedP_Upper'!$G$46</f>
        <v>retained c/D (not the cap rule)</v>
      </c>
      <c r="I46" s="26">
        <f>'FixedP_Upper'!$H$46</f>
        <v>1.2</v>
      </c>
      <c r="J46" s="27">
        <f>'FixedP_Upper'!$AD$46</f>
        <v>17670.345615483235</v>
      </c>
      <c r="K46" s="27">
        <f>Selected_P</f>
        <v>17670.345615483235</v>
      </c>
      <c r="L46" s="26">
        <f>IF(ABS(J46-G46)&lt;0.000000001,0,(K46-G46)/(J46-G46))</f>
        <v>0</v>
      </c>
      <c r="M46" s="25" t="str">
        <f>IF(ABS(J46-G46)&lt;0.000000001,"Exact station",IF(AND(K46&gt;=G46-0.000001,K46&lt;=J46+0.000001),"Interpolated","Outside range"))</f>
        <v>Exact station</v>
      </c>
      <c r="N46" s="28">
        <f>'FixedP_Lower'!$AE$46+L46*('FixedP_Upper'!$AE$46-'FixedP_Lower'!$AE$46)</f>
        <v>595.4131056215091</v>
      </c>
      <c r="O46" s="28">
        <f>'FixedP_Lower'!$AF$46+L46*('FixedP_Upper'!$AF$46-'FixedP_Lower'!$AF$46)</f>
        <v>1346.5185546399498</v>
      </c>
      <c r="P46" s="7">
        <v>595.4131056215091</v>
      </c>
      <c r="Q46" s="7">
        <v>1346.5185546399498</v>
      </c>
      <c r="R46" s="16">
        <f>SQRT((N46-P46)^2+(O46-Q46)^2)</f>
        <v>0</v>
      </c>
    </row>
    <row r="47" spans="1:18" x14ac:dyDescent="0.25">
      <c r="A47" s="7">
        <v>40</v>
      </c>
      <c r="B47" s="7" t="s">
        <v>274</v>
      </c>
      <c r="C47" s="7">
        <v>5</v>
      </c>
      <c r="D47" s="19">
        <v>60</v>
      </c>
      <c r="E47" s="29" t="str">
        <f>'FixedP_Lower'!$G$47</f>
        <v>retained c/D (not the cap rule)</v>
      </c>
      <c r="F47" s="16">
        <f>'FixedP_Lower'!$H$47</f>
        <v>1.1</v>
      </c>
      <c r="G47" s="18">
        <f>'FixedP_Lower'!$AD$47</f>
        <v>17670.345615483235</v>
      </c>
      <c r="H47" s="29" t="str">
        <f>'FixedP_Upper'!$G$47</f>
        <v>retained c/D (not the cap rule)</v>
      </c>
      <c r="I47" s="16">
        <f>'FixedP_Upper'!$H$47</f>
        <v>1.1</v>
      </c>
      <c r="J47" s="18">
        <f>'FixedP_Upper'!$AD$47</f>
        <v>17670.345615483235</v>
      </c>
      <c r="K47" s="18">
        <f>Selected_P</f>
        <v>17670.345615483235</v>
      </c>
      <c r="L47" s="16">
        <f>IF(ABS(J47-G47)&lt;0.000000001,0,(K47-G47)/(J47-G47))</f>
        <v>0</v>
      </c>
      <c r="M47" s="29" t="str">
        <f>IF(ABS(J47-G47)&lt;0.000000001,"Exact station",IF(AND(K47&gt;=G47-0.000001,K47&lt;=J47+0.000001),"Interpolated","Outside range"))</f>
        <v>Exact station</v>
      </c>
      <c r="N47" s="30">
        <f>'FixedP_Lower'!$AE$47+L47*('FixedP_Upper'!$AE$47-'FixedP_Lower'!$AE$47)</f>
        <v>744.2663820268864</v>
      </c>
      <c r="O47" s="30">
        <f>'FixedP_Lower'!$AF$47+L47*('FixedP_Upper'!$AF$47-'FixedP_Lower'!$AF$47)</f>
        <v>1683.1481932999375</v>
      </c>
      <c r="P47" s="7">
        <v>744.2663820268864</v>
      </c>
      <c r="Q47" s="7">
        <v>1683.1481932999375</v>
      </c>
      <c r="R47" s="16">
        <f>SQRT((N47-P47)^2+(O47-Q47)^2)</f>
        <v>0</v>
      </c>
    </row>
    <row r="48" spans="1:18" x14ac:dyDescent="0.25">
      <c r="A48" s="23">
        <v>41</v>
      </c>
      <c r="B48" s="23" t="s">
        <v>276</v>
      </c>
      <c r="C48" s="23">
        <v>6</v>
      </c>
      <c r="D48" s="24">
        <v>60</v>
      </c>
      <c r="E48" s="25" t="str">
        <f>'FixedP_Lower'!$G$48</f>
        <v>retained c/D (not the cap rule)</v>
      </c>
      <c r="F48" s="26">
        <f>'FixedP_Lower'!$H$48</f>
        <v>0.9999999999999999</v>
      </c>
      <c r="G48" s="27">
        <f>'FixedP_Lower'!$AD$48</f>
        <v>17670.345615483235</v>
      </c>
      <c r="H48" s="25" t="str">
        <f>'FixedP_Upper'!$G$48</f>
        <v>retained c/D (not the cap rule)</v>
      </c>
      <c r="I48" s="26">
        <f>'FixedP_Upper'!$H$48</f>
        <v>0.9999999999999999</v>
      </c>
      <c r="J48" s="27">
        <f>'FixedP_Upper'!$AD$48</f>
        <v>17670.345615483235</v>
      </c>
      <c r="K48" s="27">
        <f>Selected_P</f>
        <v>17670.345615483235</v>
      </c>
      <c r="L48" s="26">
        <f>IF(ABS(J48-G48)&lt;0.000000001,0,(K48-G48)/(J48-G48))</f>
        <v>0</v>
      </c>
      <c r="M48" s="25" t="str">
        <f>IF(ABS(J48-G48)&lt;0.000000001,"Exact station",IF(AND(K48&gt;=G48-0.000001,K48&lt;=J48+0.000001),"Interpolated","Outside range"))</f>
        <v>Exact station</v>
      </c>
      <c r="N48" s="28">
        <f>'FixedP_Lower'!$AE$48+L48*('FixedP_Upper'!$AE$48-'FixedP_Lower'!$AE$48)</f>
        <v>893.1196584322636</v>
      </c>
      <c r="O48" s="28">
        <f>'FixedP_Lower'!$AF$48+L48*('FixedP_Upper'!$AF$48-'FixedP_Lower'!$AF$48)</f>
        <v>2019.777831959925</v>
      </c>
      <c r="P48" s="7">
        <v>893.1196584322636</v>
      </c>
      <c r="Q48" s="7">
        <v>2019.777831959925</v>
      </c>
      <c r="R48" s="16">
        <f>SQRT((N48-P48)^2+(O48-Q48)^2)</f>
        <v>0</v>
      </c>
    </row>
    <row r="49" spans="1:18" x14ac:dyDescent="0.25">
      <c r="A49" s="7">
        <v>42</v>
      </c>
      <c r="B49" s="7" t="s">
        <v>278</v>
      </c>
      <c r="C49" s="7">
        <v>1</v>
      </c>
      <c r="D49" s="19">
        <v>70</v>
      </c>
      <c r="E49" s="29" t="str">
        <f>'FixedP_Lower'!$G$49</f>
        <v>retained c/D (not the cap rule)</v>
      </c>
      <c r="F49" s="16">
        <f>'FixedP_Lower'!$H$49</f>
        <v>3.0000000000000004</v>
      </c>
      <c r="G49" s="18">
        <f>'FixedP_Lower'!$AD$49</f>
        <v>17670.345615483235</v>
      </c>
      <c r="H49" s="29" t="str">
        <f>'FixedP_Upper'!$G$49</f>
        <v>retained c/D (not the cap rule)</v>
      </c>
      <c r="I49" s="16">
        <f>'FixedP_Upper'!$H$49</f>
        <v>3.0000000000000004</v>
      </c>
      <c r="J49" s="18">
        <f>'FixedP_Upper'!$AD$49</f>
        <v>17670.345615483235</v>
      </c>
      <c r="K49" s="18">
        <f>Selected_P</f>
        <v>17670.345615483235</v>
      </c>
      <c r="L49" s="16">
        <f>IF(ABS(J49-G49)&lt;0.000000001,0,(K49-G49)/(J49-G49))</f>
        <v>0</v>
      </c>
      <c r="M49" s="29" t="str">
        <f>IF(ABS(J49-G49)&lt;0.000000001,"Exact station",IF(AND(K49&gt;=G49-0.000001,K49&lt;=J49+0.000001),"Interpolated","Outside range"))</f>
        <v>Exact station</v>
      </c>
      <c r="N49" s="30">
        <f>'FixedP_Lower'!$AE$49+L49*('FixedP_Upper'!$AE$49-'FixedP_Lower'!$AE$49)</f>
        <v>103.69493585424533</v>
      </c>
      <c r="O49" s="30">
        <f>'FixedP_Lower'!$AF$49+L49*('FixedP_Upper'!$AF$49-'FixedP_Lower'!$AF$49)</f>
        <v>367.68732286770336</v>
      </c>
      <c r="P49" s="7">
        <v>103.69493585424533</v>
      </c>
      <c r="Q49" s="7">
        <v>367.68732286770336</v>
      </c>
      <c r="R49" s="16">
        <f>SQRT((N49-P49)^2+(O49-Q49)^2)</f>
        <v>0</v>
      </c>
    </row>
    <row r="50" spans="1:18" x14ac:dyDescent="0.25">
      <c r="A50" s="23">
        <v>43</v>
      </c>
      <c r="B50" s="23" t="s">
        <v>280</v>
      </c>
      <c r="C50" s="23">
        <v>2</v>
      </c>
      <c r="D50" s="24">
        <v>70</v>
      </c>
      <c r="E50" s="25" t="str">
        <f>'FixedP_Lower'!$G$50</f>
        <v>retained c/D (not the cap rule)</v>
      </c>
      <c r="F50" s="26">
        <f>'FixedP_Lower'!$H$50</f>
        <v>2.0000000000000004</v>
      </c>
      <c r="G50" s="27">
        <f>'FixedP_Lower'!$AD$50</f>
        <v>17670.345615483235</v>
      </c>
      <c r="H50" s="25" t="str">
        <f>'FixedP_Upper'!$G$50</f>
        <v>retained c/D (not the cap rule)</v>
      </c>
      <c r="I50" s="26">
        <f>'FixedP_Upper'!$H$50</f>
        <v>2.0000000000000004</v>
      </c>
      <c r="J50" s="27">
        <f>'FixedP_Upper'!$AD$50</f>
        <v>17670.345615483235</v>
      </c>
      <c r="K50" s="27">
        <f>Selected_P</f>
        <v>17670.345615483235</v>
      </c>
      <c r="L50" s="26">
        <f>IF(ABS(J50-G50)&lt;0.000000001,0,(K50-G50)/(J50-G50))</f>
        <v>0</v>
      </c>
      <c r="M50" s="25" t="str">
        <f>IF(ABS(J50-G50)&lt;0.000000001,"Exact station",IF(AND(K50&gt;=G50-0.000001,K50&lt;=J50+0.000001),"Interpolated","Outside range"))</f>
        <v>Exact station</v>
      </c>
      <c r="N50" s="28">
        <f>'FixedP_Lower'!$AE$50+L50*('FixedP_Upper'!$AE$50-'FixedP_Lower'!$AE$50)</f>
        <v>207.38987170849066</v>
      </c>
      <c r="O50" s="28">
        <f>'FixedP_Lower'!$AF$50+L50*('FixedP_Upper'!$AF$50-'FixedP_Lower'!$AF$50)</f>
        <v>735.3746457354067</v>
      </c>
      <c r="P50" s="7">
        <v>207.38987170849066</v>
      </c>
      <c r="Q50" s="7">
        <v>735.3746457354067</v>
      </c>
      <c r="R50" s="16">
        <f>SQRT((N50-P50)^2+(O50-Q50)^2)</f>
        <v>0</v>
      </c>
    </row>
    <row r="51" spans="1:18" x14ac:dyDescent="0.25">
      <c r="A51" s="7">
        <v>44</v>
      </c>
      <c r="B51" s="7" t="s">
        <v>282</v>
      </c>
      <c r="C51" s="7">
        <v>3</v>
      </c>
      <c r="D51" s="19">
        <v>70</v>
      </c>
      <c r="E51" s="29" t="str">
        <f>'FixedP_Lower'!$G$51</f>
        <v>retained c/D (not the cap rule)</v>
      </c>
      <c r="F51" s="16">
        <f>'FixedP_Lower'!$H$51</f>
        <v>1.5</v>
      </c>
      <c r="G51" s="18">
        <f>'FixedP_Lower'!$AD$51</f>
        <v>17670.345615483235</v>
      </c>
      <c r="H51" s="29" t="str">
        <f>'FixedP_Upper'!$G$51</f>
        <v>retained c/D (not the cap rule)</v>
      </c>
      <c r="I51" s="16">
        <f>'FixedP_Upper'!$H$51</f>
        <v>1.5</v>
      </c>
      <c r="J51" s="18">
        <f>'FixedP_Upper'!$AD$51</f>
        <v>17670.345615483235</v>
      </c>
      <c r="K51" s="18">
        <f>Selected_P</f>
        <v>17670.345615483235</v>
      </c>
      <c r="L51" s="16">
        <f>IF(ABS(J51-G51)&lt;0.000000001,0,(K51-G51)/(J51-G51))</f>
        <v>0</v>
      </c>
      <c r="M51" s="29" t="str">
        <f>IF(ABS(J51-G51)&lt;0.000000001,"Exact station",IF(AND(K51&gt;=G51-0.000001,K51&lt;=J51+0.000001),"Interpolated","Outside range"))</f>
        <v>Exact station</v>
      </c>
      <c r="N51" s="30">
        <f>'FixedP_Lower'!$AE$51+L51*('FixedP_Upper'!$AE$51-'FixedP_Lower'!$AE$51)</f>
        <v>311.084807562736</v>
      </c>
      <c r="O51" s="30">
        <f>'FixedP_Lower'!$AF$51+L51*('FixedP_Upper'!$AF$51-'FixedP_Lower'!$AF$51)</f>
        <v>1103.0619686031098</v>
      </c>
      <c r="P51" s="7">
        <v>311.084807562736</v>
      </c>
      <c r="Q51" s="7">
        <v>1103.0619686031098</v>
      </c>
      <c r="R51" s="16">
        <f>SQRT((N51-P51)^2+(O51-Q51)^2)</f>
        <v>0</v>
      </c>
    </row>
    <row r="52" spans="1:18" x14ac:dyDescent="0.25">
      <c r="A52" s="23">
        <v>45</v>
      </c>
      <c r="B52" s="23" t="s">
        <v>284</v>
      </c>
      <c r="C52" s="23">
        <v>4</v>
      </c>
      <c r="D52" s="24">
        <v>70</v>
      </c>
      <c r="E52" s="25" t="str">
        <f>'FixedP_Lower'!$G$52</f>
        <v>retained c/D (not the cap rule)</v>
      </c>
      <c r="F52" s="26">
        <f>'FixedP_Lower'!$H$52</f>
        <v>1.2</v>
      </c>
      <c r="G52" s="27">
        <f>'FixedP_Lower'!$AD$52</f>
        <v>17670.345615483235</v>
      </c>
      <c r="H52" s="25" t="str">
        <f>'FixedP_Upper'!$G$52</f>
        <v>retained c/D (not the cap rule)</v>
      </c>
      <c r="I52" s="26">
        <f>'FixedP_Upper'!$H$52</f>
        <v>1.2</v>
      </c>
      <c r="J52" s="27">
        <f>'FixedP_Upper'!$AD$52</f>
        <v>17670.345615483235</v>
      </c>
      <c r="K52" s="27">
        <f>Selected_P</f>
        <v>17670.345615483235</v>
      </c>
      <c r="L52" s="26">
        <f>IF(ABS(J52-G52)&lt;0.000000001,0,(K52-G52)/(J52-G52))</f>
        <v>0</v>
      </c>
      <c r="M52" s="25" t="str">
        <f>IF(ABS(J52-G52)&lt;0.000000001,"Exact station",IF(AND(K52&gt;=G52-0.000001,K52&lt;=J52+0.000001),"Interpolated","Outside range"))</f>
        <v>Exact station</v>
      </c>
      <c r="N52" s="28">
        <f>'FixedP_Lower'!$AE$52+L52*('FixedP_Upper'!$AE$52-'FixedP_Lower'!$AE$52)</f>
        <v>414.7797434169813</v>
      </c>
      <c r="O52" s="28">
        <f>'FixedP_Lower'!$AF$52+L52*('FixedP_Upper'!$AF$52-'FixedP_Lower'!$AF$52)</f>
        <v>1470.7492914708134</v>
      </c>
      <c r="P52" s="7">
        <v>414.7797434169813</v>
      </c>
      <c r="Q52" s="7">
        <v>1470.7492914708134</v>
      </c>
      <c r="R52" s="16">
        <f>SQRT((N52-P52)^2+(O52-Q52)^2)</f>
        <v>0</v>
      </c>
    </row>
    <row r="53" spans="1:18" x14ac:dyDescent="0.25">
      <c r="A53" s="7">
        <v>46</v>
      </c>
      <c r="B53" s="7" t="s">
        <v>286</v>
      </c>
      <c r="C53" s="7">
        <v>5</v>
      </c>
      <c r="D53" s="19">
        <v>70</v>
      </c>
      <c r="E53" s="29" t="str">
        <f>'FixedP_Lower'!$G$53</f>
        <v>retained c/D (not the cap rule)</v>
      </c>
      <c r="F53" s="16">
        <f>'FixedP_Lower'!$H$53</f>
        <v>1.1000000000000003</v>
      </c>
      <c r="G53" s="18">
        <f>'FixedP_Lower'!$AD$53</f>
        <v>17670.345615483235</v>
      </c>
      <c r="H53" s="29" t="str">
        <f>'FixedP_Upper'!$G$53</f>
        <v>retained c/D (not the cap rule)</v>
      </c>
      <c r="I53" s="16">
        <f>'FixedP_Upper'!$H$53</f>
        <v>1.1000000000000003</v>
      </c>
      <c r="J53" s="18">
        <f>'FixedP_Upper'!$AD$53</f>
        <v>17670.345615483235</v>
      </c>
      <c r="K53" s="18">
        <f>Selected_P</f>
        <v>17670.345615483235</v>
      </c>
      <c r="L53" s="16">
        <f>IF(ABS(J53-G53)&lt;0.000000001,0,(K53-G53)/(J53-G53))</f>
        <v>0</v>
      </c>
      <c r="M53" s="29" t="str">
        <f>IF(ABS(J53-G53)&lt;0.000000001,"Exact station",IF(AND(K53&gt;=G53-0.000001,K53&lt;=J53+0.000001),"Interpolated","Outside range"))</f>
        <v>Exact station</v>
      </c>
      <c r="N53" s="30">
        <f>'FixedP_Lower'!$AE$53+L53*('FixedP_Upper'!$AE$53-'FixedP_Lower'!$AE$53)</f>
        <v>518.4746792712266</v>
      </c>
      <c r="O53" s="30">
        <f>'FixedP_Lower'!$AF$53+L53*('FixedP_Upper'!$AF$53-'FixedP_Lower'!$AF$53)</f>
        <v>1838.4366143385164</v>
      </c>
      <c r="P53" s="7">
        <v>518.4746792712266</v>
      </c>
      <c r="Q53" s="7">
        <v>1838.4366143385164</v>
      </c>
      <c r="R53" s="16">
        <f>SQRT((N53-P53)^2+(O53-Q53)^2)</f>
        <v>0</v>
      </c>
    </row>
    <row r="54" spans="1:18" x14ac:dyDescent="0.25">
      <c r="A54" s="23">
        <v>47</v>
      </c>
      <c r="B54" s="23" t="s">
        <v>288</v>
      </c>
      <c r="C54" s="23">
        <v>6</v>
      </c>
      <c r="D54" s="24">
        <v>70</v>
      </c>
      <c r="E54" s="25" t="str">
        <f>'FixedP_Lower'!$G$54</f>
        <v>retained c/D (not the cap rule)</v>
      </c>
      <c r="F54" s="26">
        <f>'FixedP_Lower'!$H$54</f>
        <v>1.0000000000000002</v>
      </c>
      <c r="G54" s="27">
        <f>'FixedP_Lower'!$AD$54</f>
        <v>17670.345615483235</v>
      </c>
      <c r="H54" s="25" t="str">
        <f>'FixedP_Upper'!$G$54</f>
        <v>retained c/D (not the cap rule)</v>
      </c>
      <c r="I54" s="26">
        <f>'FixedP_Upper'!$H$54</f>
        <v>1.0000000000000002</v>
      </c>
      <c r="J54" s="27">
        <f>'FixedP_Upper'!$AD$54</f>
        <v>17670.345615483235</v>
      </c>
      <c r="K54" s="27">
        <f>Selected_P</f>
        <v>17670.345615483235</v>
      </c>
      <c r="L54" s="26">
        <f>IF(ABS(J54-G54)&lt;0.000000001,0,(K54-G54)/(J54-G54))</f>
        <v>0</v>
      </c>
      <c r="M54" s="25" t="str">
        <f>IF(ABS(J54-G54)&lt;0.000000001,"Exact station",IF(AND(K54&gt;=G54-0.000001,K54&lt;=J54+0.000001),"Interpolated","Outside range"))</f>
        <v>Exact station</v>
      </c>
      <c r="N54" s="28">
        <f>'FixedP_Lower'!$AE$54+L54*('FixedP_Upper'!$AE$54-'FixedP_Lower'!$AE$54)</f>
        <v>622.169615125472</v>
      </c>
      <c r="O54" s="28">
        <f>'FixedP_Lower'!$AF$54+L54*('FixedP_Upper'!$AF$54-'FixedP_Lower'!$AF$54)</f>
        <v>2206.1239372062196</v>
      </c>
      <c r="P54" s="7">
        <v>622.169615125472</v>
      </c>
      <c r="Q54" s="7">
        <v>2206.1239372062196</v>
      </c>
      <c r="R54" s="16">
        <f>SQRT((N54-P54)^2+(O54-Q54)^2)</f>
        <v>0</v>
      </c>
    </row>
    <row r="55" spans="1:18" x14ac:dyDescent="0.25">
      <c r="A55" s="7">
        <v>48</v>
      </c>
      <c r="B55" s="7" t="s">
        <v>290</v>
      </c>
      <c r="C55" s="7">
        <v>1</v>
      </c>
      <c r="D55" s="19">
        <v>80</v>
      </c>
      <c r="E55" s="29" t="str">
        <f>'FixedP_Lower'!$G$55</f>
        <v>retained c/D (not the cap rule)</v>
      </c>
      <c r="F55" s="16">
        <f>'FixedP_Lower'!$H$55</f>
        <v>3</v>
      </c>
      <c r="G55" s="18">
        <f>'FixedP_Lower'!$AD$55</f>
        <v>17670.345615483235</v>
      </c>
      <c r="H55" s="29" t="str">
        <f>'FixedP_Upper'!$G$55</f>
        <v>retained c/D (not the cap rule)</v>
      </c>
      <c r="I55" s="16">
        <f>'FixedP_Upper'!$H$55</f>
        <v>3</v>
      </c>
      <c r="J55" s="18">
        <f>'FixedP_Upper'!$AD$55</f>
        <v>17670.345615483235</v>
      </c>
      <c r="K55" s="18">
        <f>Selected_P</f>
        <v>17670.345615483235</v>
      </c>
      <c r="L55" s="16">
        <f>IF(ABS(J55-G55)&lt;0.000000001,0,(K55-G55)/(J55-G55))</f>
        <v>0</v>
      </c>
      <c r="M55" s="29" t="str">
        <f>IF(ABS(J55-G55)&lt;0.000000001,"Exact station",IF(AND(K55&gt;=G55-0.000001,K55&lt;=J55+0.000001),"Interpolated","Outside range"))</f>
        <v>Exact station</v>
      </c>
      <c r="N55" s="30">
        <f>'FixedP_Lower'!$AE$55+L55*('FixedP_Upper'!$AE$55-'FixedP_Lower'!$AE$55)</f>
        <v>55.30257766052902</v>
      </c>
      <c r="O55" s="30">
        <f>'FixedP_Lower'!$AF$55+L55*('FixedP_Upper'!$AF$55-'FixedP_Lower'!$AF$55)</f>
        <v>400.55478476973116</v>
      </c>
      <c r="P55" s="7">
        <v>55.30257766052902</v>
      </c>
      <c r="Q55" s="7">
        <v>400.55478476973116</v>
      </c>
      <c r="R55" s="16">
        <f>SQRT((N55-P55)^2+(O55-Q55)^2)</f>
        <v>0</v>
      </c>
    </row>
    <row r="56" spans="1:18" x14ac:dyDescent="0.25">
      <c r="A56" s="23">
        <v>49</v>
      </c>
      <c r="B56" s="23" t="s">
        <v>292</v>
      </c>
      <c r="C56" s="23">
        <v>2</v>
      </c>
      <c r="D56" s="24">
        <v>80</v>
      </c>
      <c r="E56" s="25" t="str">
        <f>'FixedP_Lower'!$G$56</f>
        <v>retained c/D (not the cap rule)</v>
      </c>
      <c r="F56" s="26">
        <f>'FixedP_Lower'!$H$56</f>
        <v>2</v>
      </c>
      <c r="G56" s="27">
        <f>'FixedP_Lower'!$AD$56</f>
        <v>17670.345615483235</v>
      </c>
      <c r="H56" s="25" t="str">
        <f>'FixedP_Upper'!$G$56</f>
        <v>retained c/D (not the cap rule)</v>
      </c>
      <c r="I56" s="26">
        <f>'FixedP_Upper'!$H$56</f>
        <v>2</v>
      </c>
      <c r="J56" s="27">
        <f>'FixedP_Upper'!$AD$56</f>
        <v>17670.345615483235</v>
      </c>
      <c r="K56" s="27">
        <f>Selected_P</f>
        <v>17670.345615483235</v>
      </c>
      <c r="L56" s="26">
        <f>IF(ABS(J56-G56)&lt;0.000000001,0,(K56-G56)/(J56-G56))</f>
        <v>0</v>
      </c>
      <c r="M56" s="25" t="str">
        <f>IF(ABS(J56-G56)&lt;0.000000001,"Exact station",IF(AND(K56&gt;=G56-0.000001,K56&lt;=J56+0.000001),"Interpolated","Outside range"))</f>
        <v>Exact station</v>
      </c>
      <c r="N56" s="28">
        <f>'FixedP_Lower'!$AE$56+L56*('FixedP_Upper'!$AE$56-'FixedP_Lower'!$AE$56)</f>
        <v>110.60515532105804</v>
      </c>
      <c r="O56" s="28">
        <f>'FixedP_Lower'!$AF$56+L56*('FixedP_Upper'!$AF$56-'FixedP_Lower'!$AF$56)</f>
        <v>801.1095695394623</v>
      </c>
      <c r="P56" s="7">
        <v>110.60515532105804</v>
      </c>
      <c r="Q56" s="7">
        <v>801.1095695394623</v>
      </c>
      <c r="R56" s="16">
        <f>SQRT((N56-P56)^2+(O56-Q56)^2)</f>
        <v>0</v>
      </c>
    </row>
    <row r="57" spans="1:18" x14ac:dyDescent="0.25">
      <c r="A57" s="7">
        <v>50</v>
      </c>
      <c r="B57" s="7" t="s">
        <v>294</v>
      </c>
      <c r="C57" s="7">
        <v>3</v>
      </c>
      <c r="D57" s="19">
        <v>80</v>
      </c>
      <c r="E57" s="29" t="str">
        <f>'FixedP_Lower'!$G$57</f>
        <v>retained c/D (not the cap rule)</v>
      </c>
      <c r="F57" s="16">
        <f>'FixedP_Lower'!$H$57</f>
        <v>1.5</v>
      </c>
      <c r="G57" s="18">
        <f>'FixedP_Lower'!$AD$57</f>
        <v>17670.345615483235</v>
      </c>
      <c r="H57" s="29" t="str">
        <f>'FixedP_Upper'!$G$57</f>
        <v>retained c/D (not the cap rule)</v>
      </c>
      <c r="I57" s="16">
        <f>'FixedP_Upper'!$H$57</f>
        <v>1.5</v>
      </c>
      <c r="J57" s="18">
        <f>'FixedP_Upper'!$AD$57</f>
        <v>17670.345615483235</v>
      </c>
      <c r="K57" s="18">
        <f>Selected_P</f>
        <v>17670.345615483235</v>
      </c>
      <c r="L57" s="16">
        <f>IF(ABS(J57-G57)&lt;0.000000001,0,(K57-G57)/(J57-G57))</f>
        <v>0</v>
      </c>
      <c r="M57" s="29" t="str">
        <f>IF(ABS(J57-G57)&lt;0.000000001,"Exact station",IF(AND(K57&gt;=G57-0.000001,K57&lt;=J57+0.000001),"Interpolated","Outside range"))</f>
        <v>Exact station</v>
      </c>
      <c r="N57" s="30">
        <f>'FixedP_Lower'!$AE$57+L57*('FixedP_Upper'!$AE$57-'FixedP_Lower'!$AE$57)</f>
        <v>165.90773298158706</v>
      </c>
      <c r="O57" s="30">
        <f>'FixedP_Lower'!$AF$57+L57*('FixedP_Upper'!$AF$57-'FixedP_Lower'!$AF$57)</f>
        <v>1201.6643543091936</v>
      </c>
      <c r="P57" s="7">
        <v>165.90773298158706</v>
      </c>
      <c r="Q57" s="7">
        <v>1201.6643543091936</v>
      </c>
      <c r="R57" s="16">
        <f>SQRT((N57-P57)^2+(O57-Q57)^2)</f>
        <v>0</v>
      </c>
    </row>
    <row r="58" spans="1:18" x14ac:dyDescent="0.25">
      <c r="A58" s="23">
        <v>51</v>
      </c>
      <c r="B58" s="23" t="s">
        <v>296</v>
      </c>
      <c r="C58" s="23">
        <v>4</v>
      </c>
      <c r="D58" s="24">
        <v>80</v>
      </c>
      <c r="E58" s="25" t="str">
        <f>'FixedP_Lower'!$G$58</f>
        <v>retained c/D (not the cap rule)</v>
      </c>
      <c r="F58" s="26">
        <f>'FixedP_Lower'!$H$58</f>
        <v>1.2000000000000002</v>
      </c>
      <c r="G58" s="27">
        <f>'FixedP_Lower'!$AD$58</f>
        <v>17670.345615483235</v>
      </c>
      <c r="H58" s="25" t="str">
        <f>'FixedP_Upper'!$G$58</f>
        <v>retained c/D (not the cap rule)</v>
      </c>
      <c r="I58" s="26">
        <f>'FixedP_Upper'!$H$58</f>
        <v>1.2000000000000002</v>
      </c>
      <c r="J58" s="27">
        <f>'FixedP_Upper'!$AD$58</f>
        <v>17670.345615483235</v>
      </c>
      <c r="K58" s="27">
        <f>Selected_P</f>
        <v>17670.345615483235</v>
      </c>
      <c r="L58" s="26">
        <f>IF(ABS(J58-G58)&lt;0.000000001,0,(K58-G58)/(J58-G58))</f>
        <v>0</v>
      </c>
      <c r="M58" s="25" t="str">
        <f>IF(ABS(J58-G58)&lt;0.000000001,"Exact station",IF(AND(K58&gt;=G58-0.000001,K58&lt;=J58+0.000001),"Interpolated","Outside range"))</f>
        <v>Exact station</v>
      </c>
      <c r="N58" s="28">
        <f>'FixedP_Lower'!$AE$58+L58*('FixedP_Upper'!$AE$58-'FixedP_Lower'!$AE$58)</f>
        <v>221.21031064211607</v>
      </c>
      <c r="O58" s="28">
        <f>'FixedP_Lower'!$AF$58+L58*('FixedP_Upper'!$AF$58-'FixedP_Lower'!$AF$58)</f>
        <v>1602.2191390789246</v>
      </c>
      <c r="P58" s="7">
        <v>221.21031064211607</v>
      </c>
      <c r="Q58" s="7">
        <v>1602.2191390789246</v>
      </c>
      <c r="R58" s="16">
        <f>SQRT((N58-P58)^2+(O58-Q58)^2)</f>
        <v>0</v>
      </c>
    </row>
    <row r="59" spans="1:18" x14ac:dyDescent="0.25">
      <c r="A59" s="7">
        <v>52</v>
      </c>
      <c r="B59" s="7" t="s">
        <v>298</v>
      </c>
      <c r="C59" s="7">
        <v>5</v>
      </c>
      <c r="D59" s="19">
        <v>80</v>
      </c>
      <c r="E59" s="29" t="str">
        <f>'FixedP_Lower'!$G$59</f>
        <v>retained c/D (not the cap rule)</v>
      </c>
      <c r="F59" s="16">
        <f>'FixedP_Lower'!$H$59</f>
        <v>1.1</v>
      </c>
      <c r="G59" s="18">
        <f>'FixedP_Lower'!$AD$59</f>
        <v>17670.345615483235</v>
      </c>
      <c r="H59" s="29" t="str">
        <f>'FixedP_Upper'!$G$59</f>
        <v>retained c/D (not the cap rule)</v>
      </c>
      <c r="I59" s="16">
        <f>'FixedP_Upper'!$H$59</f>
        <v>1.1</v>
      </c>
      <c r="J59" s="18">
        <f>'FixedP_Upper'!$AD$59</f>
        <v>17670.345615483235</v>
      </c>
      <c r="K59" s="18">
        <f>Selected_P</f>
        <v>17670.345615483235</v>
      </c>
      <c r="L59" s="16">
        <f>IF(ABS(J59-G59)&lt;0.000000001,0,(K59-G59)/(J59-G59))</f>
        <v>0</v>
      </c>
      <c r="M59" s="29" t="str">
        <f>IF(ABS(J59-G59)&lt;0.000000001,"Exact station",IF(AND(K59&gt;=G59-0.000001,K59&lt;=J59+0.000001),"Interpolated","Outside range"))</f>
        <v>Exact station</v>
      </c>
      <c r="N59" s="30">
        <f>'FixedP_Lower'!$AE$59+L59*('FixedP_Upper'!$AE$59-'FixedP_Lower'!$AE$59)</f>
        <v>276.5128883026451</v>
      </c>
      <c r="O59" s="30">
        <f>'FixedP_Lower'!$AF$59+L59*('FixedP_Upper'!$AF$59-'FixedP_Lower'!$AF$59)</f>
        <v>2002.773923848656</v>
      </c>
      <c r="P59" s="7">
        <v>276.5128883026451</v>
      </c>
      <c r="Q59" s="7">
        <v>2002.773923848656</v>
      </c>
      <c r="R59" s="16">
        <f>SQRT((N59-P59)^2+(O59-Q59)^2)</f>
        <v>0</v>
      </c>
    </row>
    <row r="60" spans="1:18" x14ac:dyDescent="0.25">
      <c r="A60" s="23">
        <v>53</v>
      </c>
      <c r="B60" s="23" t="s">
        <v>300</v>
      </c>
      <c r="C60" s="23">
        <v>1</v>
      </c>
      <c r="D60" s="24">
        <v>90</v>
      </c>
      <c r="E60" s="25" t="str">
        <f>'FixedP_Lower'!$G$60</f>
        <v>retained c/D (not the cap rule)</v>
      </c>
      <c r="F60" s="26">
        <f>'FixedP_Lower'!$H$60</f>
        <v>3</v>
      </c>
      <c r="G60" s="27">
        <f>'FixedP_Lower'!$AD$60</f>
        <v>17670.345615483235</v>
      </c>
      <c r="H60" s="25" t="str">
        <f>'FixedP_Upper'!$G$60</f>
        <v>retained c/D (not the cap rule)</v>
      </c>
      <c r="I60" s="26">
        <f>'FixedP_Upper'!$H$60</f>
        <v>3</v>
      </c>
      <c r="J60" s="27">
        <f>'FixedP_Upper'!$AD$60</f>
        <v>17670.345615483235</v>
      </c>
      <c r="K60" s="27">
        <f>Selected_P</f>
        <v>17670.345615483235</v>
      </c>
      <c r="L60" s="26">
        <f>IF(ABS(J60-G60)&lt;0.000000001,0,(K60-G60)/(J60-G60))</f>
        <v>0</v>
      </c>
      <c r="M60" s="25" t="str">
        <f>IF(ABS(J60-G60)&lt;0.000000001,"Exact station",IF(AND(K60&gt;=G60-0.000001,K60&lt;=J60+0.000001),"Interpolated","Outside range"))</f>
        <v>Exact station</v>
      </c>
      <c r="N60" s="28">
        <f>'FixedP_Lower'!$AE$60+L60*('FixedP_Upper'!$AE$60-'FixedP_Lower'!$AE$60)</f>
        <v>0.0003143670583599867</v>
      </c>
      <c r="O60" s="28">
        <f>'FixedP_Lower'!$AF$60+L60*('FixedP_Upper'!$AF$60-'FixedP_Lower'!$AF$60)</f>
        <v>435.08909724599596</v>
      </c>
      <c r="P60" s="7">
        <v>0.0003143670583599867</v>
      </c>
      <c r="Q60" s="7">
        <v>435.08909724599596</v>
      </c>
      <c r="R60" s="16">
        <f>SQRT((N60-P60)^2+(O60-Q60)^2)</f>
        <v>0</v>
      </c>
    </row>
    <row r="61" spans="1:18" x14ac:dyDescent="0.25">
      <c r="A61" s="7">
        <v>54</v>
      </c>
      <c r="B61" s="7" t="s">
        <v>302</v>
      </c>
      <c r="C61" s="7">
        <v>2</v>
      </c>
      <c r="D61" s="19">
        <v>90</v>
      </c>
      <c r="E61" s="29" t="str">
        <f>'FixedP_Lower'!$G$61</f>
        <v>retained c/D (not the cap rule)</v>
      </c>
      <c r="F61" s="16">
        <f>'FixedP_Lower'!$H$61</f>
        <v>1.9999999999999998</v>
      </c>
      <c r="G61" s="18">
        <f>'FixedP_Lower'!$AD$61</f>
        <v>17670.345615483235</v>
      </c>
      <c r="H61" s="29" t="str">
        <f>'FixedP_Upper'!$G$61</f>
        <v>retained c/D (not the cap rule)</v>
      </c>
      <c r="I61" s="16">
        <f>'FixedP_Upper'!$H$61</f>
        <v>1.9999999999999998</v>
      </c>
      <c r="J61" s="18">
        <f>'FixedP_Upper'!$AD$61</f>
        <v>17670.345615483235</v>
      </c>
      <c r="K61" s="18">
        <f>Selected_P</f>
        <v>17670.345615483235</v>
      </c>
      <c r="L61" s="16">
        <f>IF(ABS(J61-G61)&lt;0.000000001,0,(K61-G61)/(J61-G61))</f>
        <v>0</v>
      </c>
      <c r="M61" s="29" t="str">
        <f>IF(ABS(J61-G61)&lt;0.000000001,"Exact station",IF(AND(K61&gt;=G61-0.000001,K61&lt;=J61+0.000001),"Interpolated","Outside range"))</f>
        <v>Exact station</v>
      </c>
      <c r="N61" s="30">
        <f>'FixedP_Lower'!$AE$61+L61*('FixedP_Upper'!$AE$61-'FixedP_Lower'!$AE$61)</f>
        <v>0.0006287341167199734</v>
      </c>
      <c r="O61" s="30">
        <f>'FixedP_Lower'!$AF$61+L61*('FixedP_Upper'!$AF$61-'FixedP_Lower'!$AF$61)</f>
        <v>870.1781944919919</v>
      </c>
      <c r="P61" s="7">
        <v>0.0006287341167199734</v>
      </c>
      <c r="Q61" s="7">
        <v>870.1781944919919</v>
      </c>
      <c r="R61" s="16">
        <f>SQRT((N61-P61)^2+(O61-Q61)^2)</f>
        <v>0</v>
      </c>
    </row>
    <row r="62" spans="1:18" x14ac:dyDescent="0.25">
      <c r="A62" s="23">
        <v>55</v>
      </c>
      <c r="B62" s="23" t="s">
        <v>304</v>
      </c>
      <c r="C62" s="23">
        <v>3</v>
      </c>
      <c r="D62" s="24">
        <v>90</v>
      </c>
      <c r="E62" s="25" t="str">
        <f>'FixedP_Lower'!$G$62</f>
        <v>retained c/D (not the cap rule)</v>
      </c>
      <c r="F62" s="26">
        <f>'FixedP_Lower'!$H$62</f>
        <v>1.5</v>
      </c>
      <c r="G62" s="27">
        <f>'FixedP_Lower'!$AD$62</f>
        <v>17670.345615483235</v>
      </c>
      <c r="H62" s="25" t="str">
        <f>'FixedP_Upper'!$G$62</f>
        <v>retained c/D (not the cap rule)</v>
      </c>
      <c r="I62" s="26">
        <f>'FixedP_Upper'!$H$62</f>
        <v>1.5</v>
      </c>
      <c r="J62" s="27">
        <f>'FixedP_Upper'!$AD$62</f>
        <v>17670.345615483235</v>
      </c>
      <c r="K62" s="27">
        <f>Selected_P</f>
        <v>17670.345615483235</v>
      </c>
      <c r="L62" s="26">
        <f>IF(ABS(J62-G62)&lt;0.000000001,0,(K62-G62)/(J62-G62))</f>
        <v>0</v>
      </c>
      <c r="M62" s="25" t="str">
        <f>IF(ABS(J62-G62)&lt;0.000000001,"Exact station",IF(AND(K62&gt;=G62-0.000001,K62&lt;=J62+0.000001),"Interpolated","Outside range"))</f>
        <v>Exact station</v>
      </c>
      <c r="N62" s="28">
        <f>'FixedP_Lower'!$AE$62+L62*('FixedP_Upper'!$AE$62-'FixedP_Lower'!$AE$62)</f>
        <v>0.00094310117507996</v>
      </c>
      <c r="O62" s="28">
        <f>'FixedP_Lower'!$AF$62+L62*('FixedP_Upper'!$AF$62-'FixedP_Lower'!$AF$62)</f>
        <v>1305.2672917379878</v>
      </c>
      <c r="P62" s="7">
        <v>0.00094310117507996</v>
      </c>
      <c r="Q62" s="7">
        <v>1305.2672917379878</v>
      </c>
      <c r="R62" s="16">
        <f>SQRT((N62-P62)^2+(O62-Q62)^2)</f>
        <v>0</v>
      </c>
    </row>
    <row r="63" spans="1:18" x14ac:dyDescent="0.25">
      <c r="A63" s="7">
        <v>56</v>
      </c>
      <c r="B63" s="7" t="s">
        <v>306</v>
      </c>
      <c r="C63" s="7">
        <v>4</v>
      </c>
      <c r="D63" s="19">
        <v>90</v>
      </c>
      <c r="E63" s="29" t="str">
        <f>'FixedP_Lower'!$G$63</f>
        <v>retained c/D (not the cap rule)</v>
      </c>
      <c r="F63" s="16">
        <f>'FixedP_Lower'!$H$63</f>
        <v>1.2</v>
      </c>
      <c r="G63" s="18">
        <f>'FixedP_Lower'!$AD$63</f>
        <v>17670.345615483235</v>
      </c>
      <c r="H63" s="29" t="str">
        <f>'FixedP_Upper'!$G$63</f>
        <v>retained c/D (not the cap rule)</v>
      </c>
      <c r="I63" s="16">
        <f>'FixedP_Upper'!$H$63</f>
        <v>1.2</v>
      </c>
      <c r="J63" s="18">
        <f>'FixedP_Upper'!$AD$63</f>
        <v>17670.345615483235</v>
      </c>
      <c r="K63" s="18">
        <f>Selected_P</f>
        <v>17670.345615483235</v>
      </c>
      <c r="L63" s="16">
        <f>IF(ABS(J63-G63)&lt;0.000000001,0,(K63-G63)/(J63-G63))</f>
        <v>0</v>
      </c>
      <c r="M63" s="29" t="str">
        <f>IF(ABS(J63-G63)&lt;0.000000001,"Exact station",IF(AND(K63&gt;=G63-0.000001,K63&lt;=J63+0.000001),"Interpolated","Outside range"))</f>
        <v>Exact station</v>
      </c>
      <c r="N63" s="30">
        <f>'FixedP_Lower'!$AE$63+L63*('FixedP_Upper'!$AE$63-'FixedP_Lower'!$AE$63)</f>
        <v>0.0012574682334399467</v>
      </c>
      <c r="O63" s="30">
        <f>'FixedP_Lower'!$AF$63+L63*('FixedP_Upper'!$AF$63-'FixedP_Lower'!$AF$63)</f>
        <v>1740.3563889839838</v>
      </c>
      <c r="P63" s="7">
        <v>0.0012574682334399467</v>
      </c>
      <c r="Q63" s="7">
        <v>1740.3563889839838</v>
      </c>
      <c r="R63" s="16">
        <f>SQRT((N63-P63)^2+(O63-Q63)^2)</f>
        <v>0</v>
      </c>
    </row>
    <row r="64" spans="1:18" x14ac:dyDescent="0.25">
      <c r="A64" s="23">
        <v>57</v>
      </c>
      <c r="B64" s="23" t="s">
        <v>308</v>
      </c>
      <c r="C64" s="23">
        <v>5</v>
      </c>
      <c r="D64" s="24">
        <v>90</v>
      </c>
      <c r="E64" s="25" t="str">
        <f>'FixedP_Lower'!$G$64</f>
        <v>retained c/D (not the cap rule)</v>
      </c>
      <c r="F64" s="26">
        <f>'FixedP_Lower'!$H$64</f>
        <v>1.1</v>
      </c>
      <c r="G64" s="27">
        <f>'FixedP_Lower'!$AD$64</f>
        <v>17670.345615483235</v>
      </c>
      <c r="H64" s="25" t="str">
        <f>'FixedP_Upper'!$G$64</f>
        <v>retained c/D (not the cap rule)</v>
      </c>
      <c r="I64" s="26">
        <f>'FixedP_Upper'!$H$64</f>
        <v>1.1</v>
      </c>
      <c r="J64" s="27">
        <f>'FixedP_Upper'!$AD$64</f>
        <v>17670.345615483235</v>
      </c>
      <c r="K64" s="27">
        <f>Selected_P</f>
        <v>17670.345615483235</v>
      </c>
      <c r="L64" s="26">
        <f>IF(ABS(J64-G64)&lt;0.000000001,0,(K64-G64)/(J64-G64))</f>
        <v>0</v>
      </c>
      <c r="M64" s="25" t="str">
        <f>IF(ABS(J64-G64)&lt;0.000000001,"Exact station",IF(AND(K64&gt;=G64-0.000001,K64&lt;=J64+0.000001),"Interpolated","Outside range"))</f>
        <v>Exact station</v>
      </c>
      <c r="N64" s="28">
        <f>'FixedP_Lower'!$AE$64+L64*('FixedP_Upper'!$AE$64-'FixedP_Lower'!$AE$64)</f>
        <v>0.0015718352917999333</v>
      </c>
      <c r="O64" s="28">
        <f>'FixedP_Lower'!$AF$64+L64*('FixedP_Upper'!$AF$64-'FixedP_Lower'!$AF$64)</f>
        <v>2175.4454862299795</v>
      </c>
      <c r="P64" s="7">
        <v>0.0015718352917999333</v>
      </c>
      <c r="Q64" s="7">
        <v>2175.4454862299795</v>
      </c>
      <c r="R64" s="16">
        <f>SQRT((N64-P64)^2+(O64-Q64)^2)</f>
        <v>0</v>
      </c>
    </row>
    <row r="65" spans="1:18" x14ac:dyDescent="0.25">
      <c r="A65" s="7">
        <v>58</v>
      </c>
      <c r="B65" s="7" t="s">
        <v>310</v>
      </c>
      <c r="C65" s="7">
        <v>1</v>
      </c>
      <c r="D65" s="19">
        <v>100</v>
      </c>
      <c r="E65" s="29" t="str">
        <f>'FixedP_Lower'!$G$65</f>
        <v>retained c/D (not the cap rule)</v>
      </c>
      <c r="F65" s="16">
        <f>'FixedP_Lower'!$H$65</f>
        <v>3</v>
      </c>
      <c r="G65" s="18">
        <f>'FixedP_Lower'!$AD$65</f>
        <v>17670.345615483235</v>
      </c>
      <c r="H65" s="29" t="str">
        <f>'FixedP_Upper'!$G$65</f>
        <v>retained c/D (not the cap rule)</v>
      </c>
      <c r="I65" s="16">
        <f>'FixedP_Upper'!$H$65</f>
        <v>3</v>
      </c>
      <c r="J65" s="18">
        <f>'FixedP_Upper'!$AD$65</f>
        <v>17670.345615483235</v>
      </c>
      <c r="K65" s="18">
        <f>Selected_P</f>
        <v>17670.345615483235</v>
      </c>
      <c r="L65" s="16">
        <f>IF(ABS(J65-G65)&lt;0.000000001,0,(K65-G65)/(J65-G65))</f>
        <v>0</v>
      </c>
      <c r="M65" s="29" t="str">
        <f>IF(ABS(J65-G65)&lt;0.000000001,"Exact station",IF(AND(K65&gt;=G65-0.000001,K65&lt;=J65+0.000001),"Interpolated","Outside range"))</f>
        <v>Exact station</v>
      </c>
      <c r="N65" s="30">
        <f>'FixedP_Lower'!$AE$65+L65*('FixedP_Upper'!$AE$65-'FixedP_Lower'!$AE$65)</f>
        <v>-55.30091918530923</v>
      </c>
      <c r="O65" s="30">
        <f>'FixedP_Lower'!$AF$65+L65*('FixedP_Upper'!$AF$65-'FixedP_Lower'!$AF$65)</f>
        <v>400.5529359040365</v>
      </c>
      <c r="P65" s="7">
        <v>-55.30091918530923</v>
      </c>
      <c r="Q65" s="7">
        <v>400.5529359040365</v>
      </c>
      <c r="R65" s="16">
        <f>SQRT((N65-P65)^2+(O65-Q65)^2)</f>
        <v>0</v>
      </c>
    </row>
    <row r="66" spans="1:18" x14ac:dyDescent="0.25">
      <c r="A66" s="23">
        <v>59</v>
      </c>
      <c r="B66" s="23" t="s">
        <v>312</v>
      </c>
      <c r="C66" s="23">
        <v>2</v>
      </c>
      <c r="D66" s="24">
        <v>100</v>
      </c>
      <c r="E66" s="25" t="str">
        <f>'FixedP_Lower'!$G$66</f>
        <v>retained c/D (not the cap rule)</v>
      </c>
      <c r="F66" s="26">
        <f>'FixedP_Lower'!$H$66</f>
        <v>2.0000000000000004</v>
      </c>
      <c r="G66" s="27">
        <f>'FixedP_Lower'!$AD$66</f>
        <v>17670.345615483235</v>
      </c>
      <c r="H66" s="25" t="str">
        <f>'FixedP_Upper'!$G$66</f>
        <v>retained c/D (not the cap rule)</v>
      </c>
      <c r="I66" s="26">
        <f>'FixedP_Upper'!$H$66</f>
        <v>2.0000000000000004</v>
      </c>
      <c r="J66" s="27">
        <f>'FixedP_Upper'!$AD$66</f>
        <v>17670.345615483235</v>
      </c>
      <c r="K66" s="27">
        <f>Selected_P</f>
        <v>17670.345615483235</v>
      </c>
      <c r="L66" s="26">
        <f>IF(ABS(J66-G66)&lt;0.000000001,0,(K66-G66)/(J66-G66))</f>
        <v>0</v>
      </c>
      <c r="M66" s="25" t="str">
        <f>IF(ABS(J66-G66)&lt;0.000000001,"Exact station",IF(AND(K66&gt;=G66-0.000001,K66&lt;=J66+0.000001),"Interpolated","Outside range"))</f>
        <v>Exact station</v>
      </c>
      <c r="N66" s="28">
        <f>'FixedP_Lower'!$AE$66+L66*('FixedP_Upper'!$AE$66-'FixedP_Lower'!$AE$66)</f>
        <v>-110.60183837061847</v>
      </c>
      <c r="O66" s="28">
        <f>'FixedP_Lower'!$AF$66+L66*('FixedP_Upper'!$AF$66-'FixedP_Lower'!$AF$66)</f>
        <v>801.105871808073</v>
      </c>
      <c r="P66" s="7">
        <v>-110.60183837061847</v>
      </c>
      <c r="Q66" s="7">
        <v>801.105871808073</v>
      </c>
      <c r="R66" s="16">
        <f>SQRT((N66-P66)^2+(O66-Q66)^2)</f>
        <v>0</v>
      </c>
    </row>
    <row r="67" spans="1:18" x14ac:dyDescent="0.25">
      <c r="A67" s="7">
        <v>60</v>
      </c>
      <c r="B67" s="7" t="s">
        <v>314</v>
      </c>
      <c r="C67" s="7">
        <v>3</v>
      </c>
      <c r="D67" s="19">
        <v>100</v>
      </c>
      <c r="E67" s="29" t="str">
        <f>'FixedP_Lower'!$G$67</f>
        <v>retained c/D (not the cap rule)</v>
      </c>
      <c r="F67" s="16">
        <f>'FixedP_Lower'!$H$67</f>
        <v>1.5</v>
      </c>
      <c r="G67" s="18">
        <f>'FixedP_Lower'!$AD$67</f>
        <v>17670.345615483235</v>
      </c>
      <c r="H67" s="29" t="str">
        <f>'FixedP_Upper'!$G$67</f>
        <v>retained c/D (not the cap rule)</v>
      </c>
      <c r="I67" s="16">
        <f>'FixedP_Upper'!$H$67</f>
        <v>1.5</v>
      </c>
      <c r="J67" s="18">
        <f>'FixedP_Upper'!$AD$67</f>
        <v>17670.345615483235</v>
      </c>
      <c r="K67" s="18">
        <f>Selected_P</f>
        <v>17670.345615483235</v>
      </c>
      <c r="L67" s="16">
        <f>IF(ABS(J67-G67)&lt;0.000000001,0,(K67-G67)/(J67-G67))</f>
        <v>0</v>
      </c>
      <c r="M67" s="29" t="str">
        <f>IF(ABS(J67-G67)&lt;0.000000001,"Exact station",IF(AND(K67&gt;=G67-0.000001,K67&lt;=J67+0.000001),"Interpolated","Outside range"))</f>
        <v>Exact station</v>
      </c>
      <c r="N67" s="30">
        <f>'FixedP_Lower'!$AE$67+L67*('FixedP_Upper'!$AE$67-'FixedP_Lower'!$AE$67)</f>
        <v>-165.90275755592774</v>
      </c>
      <c r="O67" s="30">
        <f>'FixedP_Lower'!$AF$67+L67*('FixedP_Upper'!$AF$67-'FixedP_Lower'!$AF$67)</f>
        <v>1201.6588077121096</v>
      </c>
      <c r="P67" s="7">
        <v>-165.90275755592774</v>
      </c>
      <c r="Q67" s="7">
        <v>1201.6588077121096</v>
      </c>
      <c r="R67" s="16">
        <f>SQRT((N67-P67)^2+(O67-Q67)^2)</f>
        <v>0</v>
      </c>
    </row>
    <row r="68" spans="1:18" x14ac:dyDescent="0.25">
      <c r="A68" s="23">
        <v>61</v>
      </c>
      <c r="B68" s="23" t="s">
        <v>316</v>
      </c>
      <c r="C68" s="23">
        <v>4</v>
      </c>
      <c r="D68" s="24">
        <v>100</v>
      </c>
      <c r="E68" s="25" t="str">
        <f>'FixedP_Lower'!$G$68</f>
        <v>retained c/D (not the cap rule)</v>
      </c>
      <c r="F68" s="26">
        <f>'FixedP_Lower'!$H$68</f>
        <v>1.2</v>
      </c>
      <c r="G68" s="27">
        <f>'FixedP_Lower'!$AD$68</f>
        <v>17670.345615483235</v>
      </c>
      <c r="H68" s="25" t="str">
        <f>'FixedP_Upper'!$G$68</f>
        <v>retained c/D (not the cap rule)</v>
      </c>
      <c r="I68" s="26">
        <f>'FixedP_Upper'!$H$68</f>
        <v>1.2</v>
      </c>
      <c r="J68" s="27">
        <f>'FixedP_Upper'!$AD$68</f>
        <v>17670.345615483235</v>
      </c>
      <c r="K68" s="27">
        <f>Selected_P</f>
        <v>17670.345615483235</v>
      </c>
      <c r="L68" s="26">
        <f>IF(ABS(J68-G68)&lt;0.000000001,0,(K68-G68)/(J68-G68))</f>
        <v>0</v>
      </c>
      <c r="M68" s="25" t="str">
        <f>IF(ABS(J68-G68)&lt;0.000000001,"Exact station",IF(AND(K68&gt;=G68-0.000001,K68&lt;=J68+0.000001),"Interpolated","Outside range"))</f>
        <v>Exact station</v>
      </c>
      <c r="N68" s="28">
        <f>'FixedP_Lower'!$AE$68+L68*('FixedP_Upper'!$AE$68-'FixedP_Lower'!$AE$68)</f>
        <v>-221.20367674123693</v>
      </c>
      <c r="O68" s="28">
        <f>'FixedP_Lower'!$AF$68+L68*('FixedP_Upper'!$AF$68-'FixedP_Lower'!$AF$68)</f>
        <v>1602.211743616146</v>
      </c>
      <c r="P68" s="7">
        <v>-221.20367674123693</v>
      </c>
      <c r="Q68" s="7">
        <v>1602.211743616146</v>
      </c>
      <c r="R68" s="16">
        <f>SQRT((N68-P68)^2+(O68-Q68)^2)</f>
        <v>0</v>
      </c>
    </row>
    <row r="69" spans="1:18" x14ac:dyDescent="0.25">
      <c r="A69" s="7">
        <v>62</v>
      </c>
      <c r="B69" s="7" t="s">
        <v>318</v>
      </c>
      <c r="C69" s="7">
        <v>5</v>
      </c>
      <c r="D69" s="19">
        <v>100</v>
      </c>
      <c r="E69" s="29" t="str">
        <f>'FixedP_Lower'!$G$69</f>
        <v>retained c/D (not the cap rule)</v>
      </c>
      <c r="F69" s="16">
        <f>'FixedP_Lower'!$H$69</f>
        <v>1.1000000000000003</v>
      </c>
      <c r="G69" s="18">
        <f>'FixedP_Lower'!$AD$69</f>
        <v>17670.345615483235</v>
      </c>
      <c r="H69" s="29" t="str">
        <f>'FixedP_Upper'!$G$69</f>
        <v>retained c/D (not the cap rule)</v>
      </c>
      <c r="I69" s="16">
        <f>'FixedP_Upper'!$H$69</f>
        <v>1.1000000000000003</v>
      </c>
      <c r="J69" s="18">
        <f>'FixedP_Upper'!$AD$69</f>
        <v>17670.345615483235</v>
      </c>
      <c r="K69" s="18">
        <f>Selected_P</f>
        <v>17670.345615483235</v>
      </c>
      <c r="L69" s="16">
        <f>IF(ABS(J69-G69)&lt;0.000000001,0,(K69-G69)/(J69-G69))</f>
        <v>0</v>
      </c>
      <c r="M69" s="29" t="str">
        <f>IF(ABS(J69-G69)&lt;0.000000001,"Exact station",IF(AND(K69&gt;=G69-0.000001,K69&lt;=J69+0.000001),"Interpolated","Outside range"))</f>
        <v>Exact station</v>
      </c>
      <c r="N69" s="30">
        <f>'FixedP_Lower'!$AE$69+L69*('FixedP_Upper'!$AE$69-'FixedP_Lower'!$AE$69)</f>
        <v>-276.50459592654613</v>
      </c>
      <c r="O69" s="30">
        <f>'FixedP_Lower'!$AF$69+L69*('FixedP_Upper'!$AF$69-'FixedP_Lower'!$AF$69)</f>
        <v>2002.7646795201827</v>
      </c>
      <c r="P69" s="7">
        <v>-276.50459592654613</v>
      </c>
      <c r="Q69" s="7">
        <v>2002.7646795201827</v>
      </c>
      <c r="R69" s="16">
        <f>SQRT((N69-P69)^2+(O69-Q69)^2)</f>
        <v>0</v>
      </c>
    </row>
    <row r="70" spans="1:18" x14ac:dyDescent="0.25">
      <c r="A70" s="23">
        <v>63</v>
      </c>
      <c r="B70" s="23" t="s">
        <v>320</v>
      </c>
      <c r="C70" s="23">
        <v>1</v>
      </c>
      <c r="D70" s="24">
        <v>110</v>
      </c>
      <c r="E70" s="25" t="str">
        <f>'FixedP_Lower'!$G$70</f>
        <v>retained c/D (not the cap rule)</v>
      </c>
      <c r="F70" s="26">
        <f>'FixedP_Lower'!$H$70</f>
        <v>3</v>
      </c>
      <c r="G70" s="27">
        <f>'FixedP_Lower'!$AD$70</f>
        <v>17670.345615483235</v>
      </c>
      <c r="H70" s="25" t="str">
        <f>'FixedP_Upper'!$G$70</f>
        <v>retained c/D (not the cap rule)</v>
      </c>
      <c r="I70" s="26">
        <f>'FixedP_Upper'!$H$70</f>
        <v>3</v>
      </c>
      <c r="J70" s="27">
        <f>'FixedP_Upper'!$AD$70</f>
        <v>17670.345615483235</v>
      </c>
      <c r="K70" s="27">
        <f>Selected_P</f>
        <v>17670.345615483235</v>
      </c>
      <c r="L70" s="26">
        <f>IF(ABS(J70-G70)&lt;0.000000001,0,(K70-G70)/(J70-G70))</f>
        <v>0</v>
      </c>
      <c r="M70" s="25" t="str">
        <f>IF(ABS(J70-G70)&lt;0.000000001,"Exact station",IF(AND(K70&gt;=G70-0.000001,K70&lt;=J70+0.000001),"Interpolated","Outside range"))</f>
        <v>Exact station</v>
      </c>
      <c r="N70" s="28">
        <f>'FixedP_Lower'!$AE$70+L70*('FixedP_Upper'!$AE$70-'FixedP_Lower'!$AE$70)</f>
        <v>-103.696741862814</v>
      </c>
      <c r="O70" s="28">
        <f>'FixedP_Lower'!$AF$70+L70*('FixedP_Upper'!$AF$70-'FixedP_Lower'!$AF$70)</f>
        <v>367.6925050067442</v>
      </c>
      <c r="P70" s="7">
        <v>-103.696741862814</v>
      </c>
      <c r="Q70" s="7">
        <v>367.6925050067442</v>
      </c>
      <c r="R70" s="16">
        <f>SQRT((N70-P70)^2+(O70-Q70)^2)</f>
        <v>0</v>
      </c>
    </row>
    <row r="71" spans="1:18" x14ac:dyDescent="0.25">
      <c r="A71" s="7">
        <v>64</v>
      </c>
      <c r="B71" s="7" t="s">
        <v>322</v>
      </c>
      <c r="C71" s="7">
        <v>2</v>
      </c>
      <c r="D71" s="19">
        <v>110</v>
      </c>
      <c r="E71" s="29" t="str">
        <f>'FixedP_Lower'!$G$71</f>
        <v>retained c/D (not the cap rule)</v>
      </c>
      <c r="F71" s="16">
        <f>'FixedP_Lower'!$H$71</f>
        <v>1.9999999999999998</v>
      </c>
      <c r="G71" s="18">
        <f>'FixedP_Lower'!$AD$71</f>
        <v>17670.345615483235</v>
      </c>
      <c r="H71" s="29" t="str">
        <f>'FixedP_Upper'!$G$71</f>
        <v>retained c/D (not the cap rule)</v>
      </c>
      <c r="I71" s="16">
        <f>'FixedP_Upper'!$H$71</f>
        <v>1.9999999999999998</v>
      </c>
      <c r="J71" s="18">
        <f>'FixedP_Upper'!$AD$71</f>
        <v>17670.345615483235</v>
      </c>
      <c r="K71" s="18">
        <f>Selected_P</f>
        <v>17670.345615483235</v>
      </c>
      <c r="L71" s="16">
        <f>IF(ABS(J71-G71)&lt;0.000000001,0,(K71-G71)/(J71-G71))</f>
        <v>0</v>
      </c>
      <c r="M71" s="29" t="str">
        <f>IF(ABS(J71-G71)&lt;0.000000001,"Exact station",IF(AND(K71&gt;=G71-0.000001,K71&lt;=J71+0.000001),"Interpolated","Outside range"))</f>
        <v>Exact station</v>
      </c>
      <c r="N71" s="30">
        <f>'FixedP_Lower'!$AE$71+L71*('FixedP_Upper'!$AE$71-'FixedP_Lower'!$AE$71)</f>
        <v>-207.393483725628</v>
      </c>
      <c r="O71" s="30">
        <f>'FixedP_Lower'!$AF$71+L71*('FixedP_Upper'!$AF$71-'FixedP_Lower'!$AF$71)</f>
        <v>735.3850100134885</v>
      </c>
      <c r="P71" s="7">
        <v>-207.393483725628</v>
      </c>
      <c r="Q71" s="7">
        <v>735.3850100134885</v>
      </c>
      <c r="R71" s="16">
        <f>SQRT((N71-P71)^2+(O71-Q71)^2)</f>
        <v>0</v>
      </c>
    </row>
    <row r="72" spans="1:18" x14ac:dyDescent="0.25">
      <c r="A72" s="23">
        <v>65</v>
      </c>
      <c r="B72" s="23" t="s">
        <v>324</v>
      </c>
      <c r="C72" s="23">
        <v>3</v>
      </c>
      <c r="D72" s="24">
        <v>110</v>
      </c>
      <c r="E72" s="25" t="str">
        <f>'FixedP_Lower'!$G$72</f>
        <v>retained c/D (not the cap rule)</v>
      </c>
      <c r="F72" s="26">
        <f>'FixedP_Lower'!$H$72</f>
        <v>1.2</v>
      </c>
      <c r="G72" s="27">
        <f>'FixedP_Lower'!$AD$72</f>
        <v>17670.345615483235</v>
      </c>
      <c r="H72" s="25" t="str">
        <f>'FixedP_Upper'!$G$72</f>
        <v>retained c/D (not the cap rule)</v>
      </c>
      <c r="I72" s="26">
        <f>'FixedP_Upper'!$H$72</f>
        <v>1.2</v>
      </c>
      <c r="J72" s="27">
        <f>'FixedP_Upper'!$AD$72</f>
        <v>17670.345615483235</v>
      </c>
      <c r="K72" s="27">
        <f>Selected_P</f>
        <v>17670.345615483235</v>
      </c>
      <c r="L72" s="26">
        <f>IF(ABS(J72-G72)&lt;0.000000001,0,(K72-G72)/(J72-G72))</f>
        <v>0</v>
      </c>
      <c r="M72" s="25" t="str">
        <f>IF(ABS(J72-G72)&lt;0.000000001,"Exact station",IF(AND(K72&gt;=G72-0.000001,K72&lt;=J72+0.000001),"Interpolated","Outside range"))</f>
        <v>Exact station</v>
      </c>
      <c r="N72" s="28">
        <f>'FixedP_Lower'!$AE$72+L72*('FixedP_Upper'!$AE$72-'FixedP_Lower'!$AE$72)</f>
        <v>-414.786967451256</v>
      </c>
      <c r="O72" s="28">
        <f>'FixedP_Lower'!$AF$72+L72*('FixedP_Upper'!$AF$72-'FixedP_Lower'!$AF$72)</f>
        <v>1470.770020026977</v>
      </c>
      <c r="P72" s="7">
        <v>-414.786967451256</v>
      </c>
      <c r="Q72" s="7">
        <v>1470.770020026977</v>
      </c>
      <c r="R72" s="16">
        <f>SQRT((N72-P72)^2+(O72-Q72)^2)</f>
        <v>0</v>
      </c>
    </row>
    <row r="73" spans="1:18" x14ac:dyDescent="0.25">
      <c r="A73" s="7">
        <v>66</v>
      </c>
      <c r="B73" s="7" t="s">
        <v>326</v>
      </c>
      <c r="C73" s="7">
        <v>4</v>
      </c>
      <c r="D73" s="19">
        <v>110</v>
      </c>
      <c r="E73" s="29" t="str">
        <f>'FixedP_Lower'!$G$73</f>
        <v>retained c/D (not the cap rule)</v>
      </c>
      <c r="F73" s="16">
        <f>'FixedP_Lower'!$H$73</f>
        <v>1.1</v>
      </c>
      <c r="G73" s="18">
        <f>'FixedP_Lower'!$AD$73</f>
        <v>17670.345615483235</v>
      </c>
      <c r="H73" s="29" t="str">
        <f>'FixedP_Upper'!$G$73</f>
        <v>retained c/D (not the cap rule)</v>
      </c>
      <c r="I73" s="16">
        <f>'FixedP_Upper'!$H$73</f>
        <v>1.1</v>
      </c>
      <c r="J73" s="18">
        <f>'FixedP_Upper'!$AD$73</f>
        <v>17670.345615483235</v>
      </c>
      <c r="K73" s="18">
        <f>Selected_P</f>
        <v>17670.345615483235</v>
      </c>
      <c r="L73" s="16">
        <f>IF(ABS(J73-G73)&lt;0.000000001,0,(K73-G73)/(J73-G73))</f>
        <v>0</v>
      </c>
      <c r="M73" s="29" t="str">
        <f>IF(ABS(J73-G73)&lt;0.000000001,"Exact station",IF(AND(K73&gt;=G73-0.000001,K73&lt;=J73+0.000001),"Interpolated","Outside range"))</f>
        <v>Exact station</v>
      </c>
      <c r="N73" s="30">
        <f>'FixedP_Lower'!$AE$73+L73*('FixedP_Upper'!$AE$73-'FixedP_Lower'!$AE$73)</f>
        <v>-518.48370931407</v>
      </c>
      <c r="O73" s="30">
        <f>'FixedP_Lower'!$AF$73+L73*('FixedP_Upper'!$AF$73-'FixedP_Lower'!$AF$73)</f>
        <v>1838.462525033721</v>
      </c>
      <c r="P73" s="7">
        <v>-518.48370931407</v>
      </c>
      <c r="Q73" s="7">
        <v>1838.462525033721</v>
      </c>
      <c r="R73" s="16">
        <f>SQRT((N73-P73)^2+(O73-Q73)^2)</f>
        <v>0</v>
      </c>
    </row>
    <row r="74" spans="1:18" x14ac:dyDescent="0.25">
      <c r="A74" s="23">
        <v>67</v>
      </c>
      <c r="B74" s="23" t="s">
        <v>328</v>
      </c>
      <c r="C74" s="23">
        <v>5</v>
      </c>
      <c r="D74" s="24">
        <v>110</v>
      </c>
      <c r="E74" s="25" t="str">
        <f>'FixedP_Lower'!$G$74</f>
        <v>retained c/D (not the cap rule)</v>
      </c>
      <c r="F74" s="26">
        <f>'FixedP_Lower'!$H$74</f>
        <v>1.5</v>
      </c>
      <c r="G74" s="27">
        <f>'FixedP_Lower'!$AD$74</f>
        <v>17670.345615483235</v>
      </c>
      <c r="H74" s="25" t="str">
        <f>'FixedP_Upper'!$G$74</f>
        <v>retained c/D (not the cap rule)</v>
      </c>
      <c r="I74" s="26">
        <f>'FixedP_Upper'!$H$74</f>
        <v>1.5</v>
      </c>
      <c r="J74" s="27">
        <f>'FixedP_Upper'!$AD$74</f>
        <v>17670.345615483235</v>
      </c>
      <c r="K74" s="27">
        <f>Selected_P</f>
        <v>17670.345615483235</v>
      </c>
      <c r="L74" s="26">
        <f>IF(ABS(J74-G74)&lt;0.000000001,0,(K74-G74)/(J74-G74))</f>
        <v>0</v>
      </c>
      <c r="M74" s="25" t="str">
        <f>IF(ABS(J74-G74)&lt;0.000000001,"Exact station",IF(AND(K74&gt;=G74-0.000001,K74&lt;=J74+0.000001),"Interpolated","Outside range"))</f>
        <v>Exact station</v>
      </c>
      <c r="N74" s="28">
        <f>'FixedP_Lower'!$AE$74+L74*('FixedP_Upper'!$AE$74-'FixedP_Lower'!$AE$74)</f>
        <v>-311.09022558844197</v>
      </c>
      <c r="O74" s="28">
        <f>'FixedP_Lower'!$AF$74+L74*('FixedP_Upper'!$AF$74-'FixedP_Lower'!$AF$74)</f>
        <v>1103.0775150202323</v>
      </c>
      <c r="P74" s="7">
        <v>-311.09022558844197</v>
      </c>
      <c r="Q74" s="7">
        <v>1103.0775150202323</v>
      </c>
      <c r="R74" s="16">
        <f>SQRT((N74-P74)^2+(O74-Q74)^2)</f>
        <v>0</v>
      </c>
    </row>
    <row r="75" spans="1:18" x14ac:dyDescent="0.25">
      <c r="A75" s="7">
        <v>68</v>
      </c>
      <c r="B75" s="7" t="s">
        <v>330</v>
      </c>
      <c r="C75" s="7">
        <v>6</v>
      </c>
      <c r="D75" s="19">
        <v>110</v>
      </c>
      <c r="E75" s="29" t="str">
        <f>'FixedP_Lower'!$G$75</f>
        <v>retained c/D (not the cap rule)</v>
      </c>
      <c r="F75" s="16">
        <f>'FixedP_Lower'!$H$75</f>
        <v>1</v>
      </c>
      <c r="G75" s="18">
        <f>'FixedP_Lower'!$AD$75</f>
        <v>17670.345615483235</v>
      </c>
      <c r="H75" s="29" t="str">
        <f>'FixedP_Upper'!$G$75</f>
        <v>retained c/D (not the cap rule)</v>
      </c>
      <c r="I75" s="16">
        <f>'FixedP_Upper'!$H$75</f>
        <v>1</v>
      </c>
      <c r="J75" s="18">
        <f>'FixedP_Upper'!$AD$75</f>
        <v>17670.345615483235</v>
      </c>
      <c r="K75" s="18">
        <f>Selected_P</f>
        <v>17670.345615483235</v>
      </c>
      <c r="L75" s="16">
        <f>IF(ABS(J75-G75)&lt;0.000000001,0,(K75-G75)/(J75-G75))</f>
        <v>0</v>
      </c>
      <c r="M75" s="29" t="str">
        <f>IF(ABS(J75-G75)&lt;0.000000001,"Exact station",IF(AND(K75&gt;=G75-0.000001,K75&lt;=J75+0.000001),"Interpolated","Outside range"))</f>
        <v>Exact station</v>
      </c>
      <c r="N75" s="30">
        <f>'FixedP_Lower'!$AE$75+L75*('FixedP_Upper'!$AE$75-'FixedP_Lower'!$AE$75)</f>
        <v>-622.1804511768839</v>
      </c>
      <c r="O75" s="30">
        <f>'FixedP_Lower'!$AF$75+L75*('FixedP_Upper'!$AF$75-'FixedP_Lower'!$AF$75)</f>
        <v>2206.1550300404647</v>
      </c>
      <c r="P75" s="7">
        <v>-622.1804511768839</v>
      </c>
      <c r="Q75" s="7">
        <v>2206.1550300404647</v>
      </c>
      <c r="R75" s="16">
        <f>SQRT((N75-P75)^2+(O75-Q75)^2)</f>
        <v>0</v>
      </c>
    </row>
    <row r="76" spans="1:18" x14ac:dyDescent="0.25">
      <c r="A76" s="23">
        <v>69</v>
      </c>
      <c r="B76" s="23" t="s">
        <v>332</v>
      </c>
      <c r="C76" s="23">
        <v>1</v>
      </c>
      <c r="D76" s="24">
        <v>120</v>
      </c>
      <c r="E76" s="25" t="str">
        <f>'FixedP_Lower'!$G$76</f>
        <v>retained c/D (not the cap rule)</v>
      </c>
      <c r="F76" s="26">
        <f>'FixedP_Lower'!$H$76</f>
        <v>2.9999999999999996</v>
      </c>
      <c r="G76" s="27">
        <f>'FixedP_Lower'!$AD$76</f>
        <v>17670.345615483235</v>
      </c>
      <c r="H76" s="25" t="str">
        <f>'FixedP_Upper'!$G$76</f>
        <v>retained c/D (not the cap rule)</v>
      </c>
      <c r="I76" s="26">
        <f>'FixedP_Upper'!$H$76</f>
        <v>2.9999999999999996</v>
      </c>
      <c r="J76" s="27">
        <f>'FixedP_Upper'!$AD$76</f>
        <v>17670.345615483235</v>
      </c>
      <c r="K76" s="27">
        <f>Selected_P</f>
        <v>17670.345615483235</v>
      </c>
      <c r="L76" s="26">
        <f>IF(ABS(J76-G76)&lt;0.000000001,0,(K76-G76)/(J76-G76))</f>
        <v>0</v>
      </c>
      <c r="M76" s="25" t="str">
        <f>IF(ABS(J76-G76)&lt;0.000000001,"Exact station",IF(AND(K76&gt;=G76-0.000001,K76&lt;=J76+0.000001),"Interpolated","Outside range"))</f>
        <v>Exact station</v>
      </c>
      <c r="N76" s="28">
        <f>'FixedP_Lower'!$AE$76+L76*('FixedP_Upper'!$AE$76-'FixedP_Lower'!$AE$76)</f>
        <v>-148.86222203658235</v>
      </c>
      <c r="O76" s="28">
        <f>'FixedP_Lower'!$AF$76+L76*('FixedP_Upper'!$AF$76-'FixedP_Lower'!$AF$76)</f>
        <v>336.6498167483451</v>
      </c>
      <c r="P76" s="7">
        <v>-148.86222203658235</v>
      </c>
      <c r="Q76" s="7">
        <v>336.6498167483451</v>
      </c>
      <c r="R76" s="16">
        <f>SQRT((N76-P76)^2+(O76-Q76)^2)</f>
        <v>0</v>
      </c>
    </row>
    <row r="77" spans="1:18" x14ac:dyDescent="0.25">
      <c r="A77" s="7">
        <v>70</v>
      </c>
      <c r="B77" s="7" t="s">
        <v>334</v>
      </c>
      <c r="C77" s="7">
        <v>2</v>
      </c>
      <c r="D77" s="19">
        <v>120</v>
      </c>
      <c r="E77" s="29" t="str">
        <f>'FixedP_Lower'!$G$77</f>
        <v>retained c/D (not the cap rule)</v>
      </c>
      <c r="F77" s="16">
        <f>'FixedP_Lower'!$H$77</f>
        <v>2</v>
      </c>
      <c r="G77" s="18">
        <f>'FixedP_Lower'!$AD$77</f>
        <v>17670.345615483235</v>
      </c>
      <c r="H77" s="29" t="str">
        <f>'FixedP_Upper'!$G$77</f>
        <v>retained c/D (not the cap rule)</v>
      </c>
      <c r="I77" s="16">
        <f>'FixedP_Upper'!$H$77</f>
        <v>2</v>
      </c>
      <c r="J77" s="18">
        <f>'FixedP_Upper'!$AD$77</f>
        <v>17670.345615483235</v>
      </c>
      <c r="K77" s="18">
        <f>Selected_P</f>
        <v>17670.345615483235</v>
      </c>
      <c r="L77" s="16">
        <f>IF(ABS(J77-G77)&lt;0.000000001,0,(K77-G77)/(J77-G77))</f>
        <v>0</v>
      </c>
      <c r="M77" s="29" t="str">
        <f>IF(ABS(J77-G77)&lt;0.000000001,"Exact station",IF(AND(K77&gt;=G77-0.000001,K77&lt;=J77+0.000001),"Interpolated","Outside range"))</f>
        <v>Exact station</v>
      </c>
      <c r="N77" s="30">
        <f>'FixedP_Lower'!$AE$77+L77*('FixedP_Upper'!$AE$77-'FixedP_Lower'!$AE$77)</f>
        <v>-297.7244440731647</v>
      </c>
      <c r="O77" s="30">
        <f>'FixedP_Lower'!$AF$77+L77*('FixedP_Upper'!$AF$77-'FixedP_Lower'!$AF$77)</f>
        <v>673.2996334966901</v>
      </c>
      <c r="P77" s="7">
        <v>-297.7244440731647</v>
      </c>
      <c r="Q77" s="7">
        <v>673.2996334966901</v>
      </c>
      <c r="R77" s="16">
        <f>SQRT((N77-P77)^2+(O77-Q77)^2)</f>
        <v>0</v>
      </c>
    </row>
    <row r="78" spans="1:18" x14ac:dyDescent="0.25">
      <c r="A78" s="23">
        <v>71</v>
      </c>
      <c r="B78" s="23" t="s">
        <v>336</v>
      </c>
      <c r="C78" s="23">
        <v>3</v>
      </c>
      <c r="D78" s="24">
        <v>120</v>
      </c>
      <c r="E78" s="25" t="str">
        <f>'FixedP_Lower'!$G$78</f>
        <v>retained c/D (not the cap rule)</v>
      </c>
      <c r="F78" s="26">
        <f>'FixedP_Lower'!$H$78</f>
        <v>1.4999999999999998</v>
      </c>
      <c r="G78" s="27">
        <f>'FixedP_Lower'!$AD$78</f>
        <v>17670.345615483235</v>
      </c>
      <c r="H78" s="25" t="str">
        <f>'FixedP_Upper'!$G$78</f>
        <v>retained c/D (not the cap rule)</v>
      </c>
      <c r="I78" s="26">
        <f>'FixedP_Upper'!$H$78</f>
        <v>1.4999999999999998</v>
      </c>
      <c r="J78" s="27">
        <f>'FixedP_Upper'!$AD$78</f>
        <v>17670.345615483235</v>
      </c>
      <c r="K78" s="27">
        <f>Selected_P</f>
        <v>17670.345615483235</v>
      </c>
      <c r="L78" s="26">
        <f>IF(ABS(J78-G78)&lt;0.000000001,0,(K78-G78)/(J78-G78))</f>
        <v>0</v>
      </c>
      <c r="M78" s="25" t="str">
        <f>IF(ABS(J78-G78)&lt;0.000000001,"Exact station",IF(AND(K78&gt;=G78-0.000001,K78&lt;=J78+0.000001),"Interpolated","Outside range"))</f>
        <v>Exact station</v>
      </c>
      <c r="N78" s="28">
        <f>'FixedP_Lower'!$AE$78+L78*('FixedP_Upper'!$AE$78-'FixedP_Lower'!$AE$78)</f>
        <v>-446.586666109747</v>
      </c>
      <c r="O78" s="28">
        <f>'FixedP_Lower'!$AF$78+L78*('FixedP_Upper'!$AF$78-'FixedP_Lower'!$AF$78)</f>
        <v>1009.9494502450353</v>
      </c>
      <c r="P78" s="7">
        <v>-446.586666109747</v>
      </c>
      <c r="Q78" s="7">
        <v>1009.9494502450353</v>
      </c>
      <c r="R78" s="16">
        <f>SQRT((N78-P78)^2+(O78-Q78)^2)</f>
        <v>0</v>
      </c>
    </row>
    <row r="79" spans="1:18" x14ac:dyDescent="0.25">
      <c r="A79" s="7">
        <v>72</v>
      </c>
      <c r="B79" s="7" t="s">
        <v>338</v>
      </c>
      <c r="C79" s="7">
        <v>4</v>
      </c>
      <c r="D79" s="19">
        <v>120</v>
      </c>
      <c r="E79" s="29" t="str">
        <f>'FixedP_Lower'!$G$79</f>
        <v>retained c/D (not the cap rule)</v>
      </c>
      <c r="F79" s="16">
        <f>'FixedP_Lower'!$H$79</f>
        <v>1.1999999999999997</v>
      </c>
      <c r="G79" s="18">
        <f>'FixedP_Lower'!$AD$79</f>
        <v>17670.345615483235</v>
      </c>
      <c r="H79" s="29" t="str">
        <f>'FixedP_Upper'!$G$79</f>
        <v>retained c/D (not the cap rule)</v>
      </c>
      <c r="I79" s="16">
        <f>'FixedP_Upper'!$H$79</f>
        <v>1.1999999999999997</v>
      </c>
      <c r="J79" s="18">
        <f>'FixedP_Upper'!$AD$79</f>
        <v>17670.345615483235</v>
      </c>
      <c r="K79" s="18">
        <f>Selected_P</f>
        <v>17670.345615483235</v>
      </c>
      <c r="L79" s="16">
        <f>IF(ABS(J79-G79)&lt;0.000000001,0,(K79-G79)/(J79-G79))</f>
        <v>0</v>
      </c>
      <c r="M79" s="29" t="str">
        <f>IF(ABS(J79-G79)&lt;0.000000001,"Exact station",IF(AND(K79&gt;=G79-0.000001,K79&lt;=J79+0.000001),"Interpolated","Outside range"))</f>
        <v>Exact station</v>
      </c>
      <c r="N79" s="30">
        <f>'FixedP_Lower'!$AE$79+L79*('FixedP_Upper'!$AE$79-'FixedP_Lower'!$AE$79)</f>
        <v>-595.4488881463294</v>
      </c>
      <c r="O79" s="30">
        <f>'FixedP_Lower'!$AF$79+L79*('FixedP_Upper'!$AF$79-'FixedP_Lower'!$AF$79)</f>
        <v>1346.5992669933803</v>
      </c>
      <c r="P79" s="7">
        <v>-595.4488881463294</v>
      </c>
      <c r="Q79" s="7">
        <v>1346.5992669933803</v>
      </c>
      <c r="R79" s="16">
        <f>SQRT((N79-P79)^2+(O79-Q79)^2)</f>
        <v>0</v>
      </c>
    </row>
    <row r="80" spans="1:18" x14ac:dyDescent="0.25">
      <c r="A80" s="23">
        <v>73</v>
      </c>
      <c r="B80" s="23" t="s">
        <v>340</v>
      </c>
      <c r="C80" s="23">
        <v>5</v>
      </c>
      <c r="D80" s="24">
        <v>120</v>
      </c>
      <c r="E80" s="25" t="str">
        <f>'FixedP_Lower'!$G$80</f>
        <v>retained c/D (not the cap rule)</v>
      </c>
      <c r="F80" s="26">
        <f>'FixedP_Lower'!$H$80</f>
        <v>1.1</v>
      </c>
      <c r="G80" s="27">
        <f>'FixedP_Lower'!$AD$80</f>
        <v>17670.345615483235</v>
      </c>
      <c r="H80" s="25" t="str">
        <f>'FixedP_Upper'!$G$80</f>
        <v>retained c/D (not the cap rule)</v>
      </c>
      <c r="I80" s="26">
        <f>'FixedP_Upper'!$H$80</f>
        <v>1.1</v>
      </c>
      <c r="J80" s="27">
        <f>'FixedP_Upper'!$AD$80</f>
        <v>17670.345615483235</v>
      </c>
      <c r="K80" s="27">
        <f>Selected_P</f>
        <v>17670.345615483235</v>
      </c>
      <c r="L80" s="26">
        <f>IF(ABS(J80-G80)&lt;0.000000001,0,(K80-G80)/(J80-G80))</f>
        <v>0</v>
      </c>
      <c r="M80" s="25" t="str">
        <f>IF(ABS(J80-G80)&lt;0.000000001,"Exact station",IF(AND(K80&gt;=G80-0.000001,K80&lt;=J80+0.000001),"Interpolated","Outside range"))</f>
        <v>Exact station</v>
      </c>
      <c r="N80" s="28">
        <f>'FixedP_Lower'!$AE$80+L80*('FixedP_Upper'!$AE$80-'FixedP_Lower'!$AE$80)</f>
        <v>-744.3111101829118</v>
      </c>
      <c r="O80" s="28">
        <f>'FixedP_Lower'!$AF$80+L80*('FixedP_Upper'!$AF$80-'FixedP_Lower'!$AF$80)</f>
        <v>1683.2490837417256</v>
      </c>
      <c r="P80" s="7">
        <v>-744.3111101829118</v>
      </c>
      <c r="Q80" s="7">
        <v>1683.2490837417256</v>
      </c>
      <c r="R80" s="16">
        <f>SQRT((N80-P80)^2+(O80-Q80)^2)</f>
        <v>0</v>
      </c>
    </row>
    <row r="81" spans="1:18" x14ac:dyDescent="0.25">
      <c r="A81" s="7">
        <v>74</v>
      </c>
      <c r="B81" s="7" t="s">
        <v>342</v>
      </c>
      <c r="C81" s="7">
        <v>6</v>
      </c>
      <c r="D81" s="19">
        <v>120</v>
      </c>
      <c r="E81" s="29" t="str">
        <f>'FixedP_Lower'!$G$81</f>
        <v>retained c/D (not the cap rule)</v>
      </c>
      <c r="F81" s="16">
        <f>'FixedP_Lower'!$H$81</f>
        <v>1</v>
      </c>
      <c r="G81" s="18">
        <f>'FixedP_Lower'!$AD$81</f>
        <v>17670.345615483235</v>
      </c>
      <c r="H81" s="29" t="str">
        <f>'FixedP_Upper'!$G$81</f>
        <v>retained c/D (not the cap rule)</v>
      </c>
      <c r="I81" s="16">
        <f>'FixedP_Upper'!$H$81</f>
        <v>1</v>
      </c>
      <c r="J81" s="18">
        <f>'FixedP_Upper'!$AD$81</f>
        <v>17670.345615483235</v>
      </c>
      <c r="K81" s="18">
        <f>Selected_P</f>
        <v>17670.345615483235</v>
      </c>
      <c r="L81" s="16">
        <f>IF(ABS(J81-G81)&lt;0.000000001,0,(K81-G81)/(J81-G81))</f>
        <v>0</v>
      </c>
      <c r="M81" s="29" t="str">
        <f>IF(ABS(J81-G81)&lt;0.000000001,"Exact station",IF(AND(K81&gt;=G81-0.000001,K81&lt;=J81+0.000001),"Interpolated","Outside range"))</f>
        <v>Exact station</v>
      </c>
      <c r="N81" s="30">
        <f>'FixedP_Lower'!$AE$81+L81*('FixedP_Upper'!$AE$81-'FixedP_Lower'!$AE$81)</f>
        <v>-893.173332219494</v>
      </c>
      <c r="O81" s="30">
        <f>'FixedP_Lower'!$AF$81+L81*('FixedP_Upper'!$AF$81-'FixedP_Lower'!$AF$81)</f>
        <v>2019.8989004900707</v>
      </c>
      <c r="P81" s="7">
        <v>-893.173332219494</v>
      </c>
      <c r="Q81" s="7">
        <v>2019.8989004900707</v>
      </c>
      <c r="R81" s="16">
        <f>SQRT((N81-P81)^2+(O81-Q81)^2)</f>
        <v>0</v>
      </c>
    </row>
    <row r="82" spans="1:18" x14ac:dyDescent="0.25">
      <c r="A82" s="23">
        <v>75</v>
      </c>
      <c r="B82" s="23" t="s">
        <v>344</v>
      </c>
      <c r="C82" s="23">
        <v>1</v>
      </c>
      <c r="D82" s="24">
        <v>130</v>
      </c>
      <c r="E82" s="25" t="str">
        <f>'FixedP_Lower'!$G$82</f>
        <v>retained c/D (not the cap rule)</v>
      </c>
      <c r="F82" s="26">
        <f>'FixedP_Lower'!$H$82</f>
        <v>2.9999999999999996</v>
      </c>
      <c r="G82" s="27">
        <f>'FixedP_Lower'!$AD$82</f>
        <v>17670.345615483235</v>
      </c>
      <c r="H82" s="25" t="str">
        <f>'FixedP_Upper'!$G$82</f>
        <v>retained c/D (not the cap rule)</v>
      </c>
      <c r="I82" s="26">
        <f>'FixedP_Upper'!$H$82</f>
        <v>2.9999999999999996</v>
      </c>
      <c r="J82" s="27">
        <f>'FixedP_Upper'!$AD$82</f>
        <v>17670.345615483235</v>
      </c>
      <c r="K82" s="27">
        <f>Selected_P</f>
        <v>17670.345615483235</v>
      </c>
      <c r="L82" s="26">
        <f>IF(ABS(J82-G82)&lt;0.000000001,0,(K82-G82)/(J82-G82))</f>
        <v>0</v>
      </c>
      <c r="M82" s="25" t="str">
        <f>IF(ABS(J82-G82)&lt;0.000000001,"Exact station",IF(AND(K82&gt;=G82-0.000001,K82&lt;=J82+0.000001),"Interpolated","Outside range"))</f>
        <v>Exact station</v>
      </c>
      <c r="N82" s="28">
        <f>'FixedP_Lower'!$AE$82+L82*('FixedP_Upper'!$AE$82-'FixedP_Lower'!$AE$82)</f>
        <v>-193.6983610663702</v>
      </c>
      <c r="O82" s="28">
        <f>'FixedP_Lower'!$AF$82+L82*('FixedP_Upper'!$AF$82-'FixedP_Lower'!$AF$82)</f>
        <v>306.7618498086173</v>
      </c>
      <c r="P82" s="7">
        <v>-193.6983610663702</v>
      </c>
      <c r="Q82" s="7">
        <v>306.7618498086173</v>
      </c>
      <c r="R82" s="16">
        <f>SQRT((N82-P82)^2+(O82-Q82)^2)</f>
        <v>0</v>
      </c>
    </row>
    <row r="83" spans="1:18" x14ac:dyDescent="0.25">
      <c r="A83" s="7">
        <v>76</v>
      </c>
      <c r="B83" s="7" t="s">
        <v>346</v>
      </c>
      <c r="C83" s="7">
        <v>2</v>
      </c>
      <c r="D83" s="19">
        <v>130</v>
      </c>
      <c r="E83" s="29" t="str">
        <f>'FixedP_Lower'!$G$83</f>
        <v>retained c/D (not the cap rule)</v>
      </c>
      <c r="F83" s="16">
        <f>'FixedP_Lower'!$H$83</f>
        <v>2</v>
      </c>
      <c r="G83" s="18">
        <f>'FixedP_Lower'!$AD$83</f>
        <v>17670.345615483235</v>
      </c>
      <c r="H83" s="29" t="str">
        <f>'FixedP_Upper'!$G$83</f>
        <v>retained c/D (not the cap rule)</v>
      </c>
      <c r="I83" s="16">
        <f>'FixedP_Upper'!$H$83</f>
        <v>2</v>
      </c>
      <c r="J83" s="18">
        <f>'FixedP_Upper'!$AD$83</f>
        <v>17670.345615483235</v>
      </c>
      <c r="K83" s="18">
        <f>Selected_P</f>
        <v>17670.345615483235</v>
      </c>
      <c r="L83" s="16">
        <f>IF(ABS(J83-G83)&lt;0.000000001,0,(K83-G83)/(J83-G83))</f>
        <v>0</v>
      </c>
      <c r="M83" s="29" t="str">
        <f>IF(ABS(J83-G83)&lt;0.000000001,"Exact station",IF(AND(K83&gt;=G83-0.000001,K83&lt;=J83+0.000001),"Interpolated","Outside range"))</f>
        <v>Exact station</v>
      </c>
      <c r="N83" s="30">
        <f>'FixedP_Lower'!$AE$83+L83*('FixedP_Upper'!$AE$83-'FixedP_Lower'!$AE$83)</f>
        <v>-387.3967221327404</v>
      </c>
      <c r="O83" s="30">
        <f>'FixedP_Lower'!$AF$83+L83*('FixedP_Upper'!$AF$83-'FixedP_Lower'!$AF$83)</f>
        <v>613.5236996172346</v>
      </c>
      <c r="P83" s="7">
        <v>-387.3967221327404</v>
      </c>
      <c r="Q83" s="7">
        <v>613.5236996172346</v>
      </c>
      <c r="R83" s="16">
        <f>SQRT((N83-P83)^2+(O83-Q83)^2)</f>
        <v>0</v>
      </c>
    </row>
    <row r="84" spans="1:18" x14ac:dyDescent="0.25">
      <c r="A84" s="23">
        <v>77</v>
      </c>
      <c r="B84" s="23" t="s">
        <v>348</v>
      </c>
      <c r="C84" s="23">
        <v>3</v>
      </c>
      <c r="D84" s="24">
        <v>130</v>
      </c>
      <c r="E84" s="25" t="str">
        <f>'FixedP_Lower'!$G$84</f>
        <v>retained c/D (not the cap rule)</v>
      </c>
      <c r="F84" s="26">
        <f>'FixedP_Lower'!$H$84</f>
        <v>1.4999999999999998</v>
      </c>
      <c r="G84" s="27">
        <f>'FixedP_Lower'!$AD$84</f>
        <v>17670.345615483235</v>
      </c>
      <c r="H84" s="25" t="str">
        <f>'FixedP_Upper'!$G$84</f>
        <v>retained c/D (not the cap rule)</v>
      </c>
      <c r="I84" s="26">
        <f>'FixedP_Upper'!$H$84</f>
        <v>1.4999999999999998</v>
      </c>
      <c r="J84" s="27">
        <f>'FixedP_Upper'!$AD$84</f>
        <v>17670.345615483235</v>
      </c>
      <c r="K84" s="27">
        <f>Selected_P</f>
        <v>17670.345615483235</v>
      </c>
      <c r="L84" s="26">
        <f>IF(ABS(J84-G84)&lt;0.000000001,0,(K84-G84)/(J84-G84))</f>
        <v>0</v>
      </c>
      <c r="M84" s="25" t="str">
        <f>IF(ABS(J84-G84)&lt;0.000000001,"Exact station",IF(AND(K84&gt;=G84-0.000001,K84&lt;=J84+0.000001),"Interpolated","Outside range"))</f>
        <v>Exact station</v>
      </c>
      <c r="N84" s="28">
        <f>'FixedP_Lower'!$AE$84+L84*('FixedP_Upper'!$AE$84-'FixedP_Lower'!$AE$84)</f>
        <v>-581.0950831991106</v>
      </c>
      <c r="O84" s="28">
        <f>'FixedP_Lower'!$AF$84+L84*('FixedP_Upper'!$AF$84-'FixedP_Lower'!$AF$84)</f>
        <v>920.285549425852</v>
      </c>
      <c r="P84" s="7">
        <v>-581.0950831991106</v>
      </c>
      <c r="Q84" s="7">
        <v>920.285549425852</v>
      </c>
      <c r="R84" s="16">
        <f>SQRT((N84-P84)^2+(O84-Q84)^2)</f>
        <v>0</v>
      </c>
    </row>
    <row r="85" spans="1:18" x14ac:dyDescent="0.25">
      <c r="A85" s="7">
        <v>78</v>
      </c>
      <c r="B85" s="7" t="s">
        <v>350</v>
      </c>
      <c r="C85" s="7">
        <v>4</v>
      </c>
      <c r="D85" s="19">
        <v>130</v>
      </c>
      <c r="E85" s="29" t="str">
        <f>'FixedP_Lower'!$G$85</f>
        <v>retained c/D (not the cap rule)</v>
      </c>
      <c r="F85" s="16">
        <f>'FixedP_Lower'!$H$85</f>
        <v>1.2</v>
      </c>
      <c r="G85" s="18">
        <f>'FixedP_Lower'!$AD$85</f>
        <v>17670.345615483235</v>
      </c>
      <c r="H85" s="29" t="str">
        <f>'FixedP_Upper'!$G$85</f>
        <v>retained c/D (not the cap rule)</v>
      </c>
      <c r="I85" s="16">
        <f>'FixedP_Upper'!$H$85</f>
        <v>1.2</v>
      </c>
      <c r="J85" s="18">
        <f>'FixedP_Upper'!$AD$85</f>
        <v>17670.345615483235</v>
      </c>
      <c r="K85" s="18">
        <f>Selected_P</f>
        <v>17670.345615483235</v>
      </c>
      <c r="L85" s="16">
        <f>IF(ABS(J85-G85)&lt;0.000000001,0,(K85-G85)/(J85-G85))</f>
        <v>0</v>
      </c>
      <c r="M85" s="29" t="str">
        <f>IF(ABS(J85-G85)&lt;0.000000001,"Exact station",IF(AND(K85&gt;=G85-0.000001,K85&lt;=J85+0.000001),"Interpolated","Outside range"))</f>
        <v>Exact station</v>
      </c>
      <c r="N85" s="30">
        <f>'FixedP_Lower'!$AE$85+L85*('FixedP_Upper'!$AE$85-'FixedP_Lower'!$AE$85)</f>
        <v>-774.7934442654808</v>
      </c>
      <c r="O85" s="30">
        <f>'FixedP_Lower'!$AF$85+L85*('FixedP_Upper'!$AF$85-'FixedP_Lower'!$AF$85)</f>
        <v>1227.0473992344691</v>
      </c>
      <c r="P85" s="7">
        <v>-774.7934442654808</v>
      </c>
      <c r="Q85" s="7">
        <v>1227.0473992344691</v>
      </c>
      <c r="R85" s="16">
        <f>SQRT((N85-P85)^2+(O85-Q85)^2)</f>
        <v>0</v>
      </c>
    </row>
    <row r="86" spans="1:18" x14ac:dyDescent="0.25">
      <c r="A86" s="23">
        <v>79</v>
      </c>
      <c r="B86" s="23" t="s">
        <v>352</v>
      </c>
      <c r="C86" s="23">
        <v>5</v>
      </c>
      <c r="D86" s="24">
        <v>130</v>
      </c>
      <c r="E86" s="25" t="str">
        <f>'FixedP_Lower'!$G$86</f>
        <v>retained c/D (not the cap rule)</v>
      </c>
      <c r="F86" s="26">
        <f>'FixedP_Lower'!$H$86</f>
        <v>1.1000000000000003</v>
      </c>
      <c r="G86" s="27">
        <f>'FixedP_Lower'!$AD$86</f>
        <v>17670.345615483235</v>
      </c>
      <c r="H86" s="25" t="str">
        <f>'FixedP_Upper'!$G$86</f>
        <v>retained c/D (not the cap rule)</v>
      </c>
      <c r="I86" s="26">
        <f>'FixedP_Upper'!$H$86</f>
        <v>1.1000000000000003</v>
      </c>
      <c r="J86" s="27">
        <f>'FixedP_Upper'!$AD$86</f>
        <v>17670.345615483235</v>
      </c>
      <c r="K86" s="27">
        <f>Selected_P</f>
        <v>17670.345615483235</v>
      </c>
      <c r="L86" s="26">
        <f>IF(ABS(J86-G86)&lt;0.000000001,0,(K86-G86)/(J86-G86))</f>
        <v>0</v>
      </c>
      <c r="M86" s="25" t="str">
        <f>IF(ABS(J86-G86)&lt;0.000000001,"Exact station",IF(AND(K86&gt;=G86-0.000001,K86&lt;=J86+0.000001),"Interpolated","Outside range"))</f>
        <v>Exact station</v>
      </c>
      <c r="N86" s="28">
        <f>'FixedP_Lower'!$AE$86+L86*('FixedP_Upper'!$AE$86-'FixedP_Lower'!$AE$86)</f>
        <v>-968.491805331851</v>
      </c>
      <c r="O86" s="28">
        <f>'FixedP_Lower'!$AF$86+L86*('FixedP_Upper'!$AF$86-'FixedP_Lower'!$AF$86)</f>
        <v>1533.8092490430865</v>
      </c>
      <c r="P86" s="7">
        <v>-968.491805331851</v>
      </c>
      <c r="Q86" s="7">
        <v>1533.8092490430865</v>
      </c>
      <c r="R86" s="16">
        <f>SQRT((N86-P86)^2+(O86-Q86)^2)</f>
        <v>0</v>
      </c>
    </row>
    <row r="87" spans="1:18" x14ac:dyDescent="0.25">
      <c r="A87" s="7">
        <v>80</v>
      </c>
      <c r="B87" s="7" t="s">
        <v>354</v>
      </c>
      <c r="C87" s="7">
        <v>6</v>
      </c>
      <c r="D87" s="19">
        <v>130</v>
      </c>
      <c r="E87" s="29" t="str">
        <f>'FixedP_Lower'!$G$87</f>
        <v>retained c/D (not the cap rule)</v>
      </c>
      <c r="F87" s="16">
        <f>'FixedP_Lower'!$H$87</f>
        <v>1</v>
      </c>
      <c r="G87" s="18">
        <f>'FixedP_Lower'!$AD$87</f>
        <v>17670.345615483235</v>
      </c>
      <c r="H87" s="29" t="str">
        <f>'FixedP_Upper'!$G$87</f>
        <v>retained c/D (not the cap rule)</v>
      </c>
      <c r="I87" s="16">
        <f>'FixedP_Upper'!$H$87</f>
        <v>1</v>
      </c>
      <c r="J87" s="18">
        <f>'FixedP_Upper'!$AD$87</f>
        <v>17670.345615483235</v>
      </c>
      <c r="K87" s="18">
        <f>Selected_P</f>
        <v>17670.345615483235</v>
      </c>
      <c r="L87" s="16">
        <f>IF(ABS(J87-G87)&lt;0.000000001,0,(K87-G87)/(J87-G87))</f>
        <v>0</v>
      </c>
      <c r="M87" s="29" t="str">
        <f>IF(ABS(J87-G87)&lt;0.000000001,"Exact station",IF(AND(K87&gt;=G87-0.000001,K87&lt;=J87+0.000001),"Interpolated","Outside range"))</f>
        <v>Exact station</v>
      </c>
      <c r="N87" s="30">
        <f>'FixedP_Lower'!$AE$87+L87*('FixedP_Upper'!$AE$87-'FixedP_Lower'!$AE$87)</f>
        <v>-1162.1901663982212</v>
      </c>
      <c r="O87" s="30">
        <f>'FixedP_Lower'!$AF$87+L87*('FixedP_Upper'!$AF$87-'FixedP_Lower'!$AF$87)</f>
        <v>1840.571098851704</v>
      </c>
      <c r="P87" s="7">
        <v>-1162.1901663982212</v>
      </c>
      <c r="Q87" s="7">
        <v>1840.571098851704</v>
      </c>
      <c r="R87" s="16">
        <f>SQRT((N87-P87)^2+(O87-Q87)^2)</f>
        <v>0</v>
      </c>
    </row>
    <row r="88" spans="1:18" x14ac:dyDescent="0.25">
      <c r="A88" s="23">
        <v>81</v>
      </c>
      <c r="B88" s="23" t="s">
        <v>356</v>
      </c>
      <c r="C88" s="23">
        <v>1</v>
      </c>
      <c r="D88" s="24">
        <v>140</v>
      </c>
      <c r="E88" s="25" t="str">
        <f>'FixedP_Lower'!$G$88</f>
        <v>retained c/D (not the cap rule)</v>
      </c>
      <c r="F88" s="26">
        <f>'FixedP_Lower'!$H$88</f>
        <v>3.0000000000000004</v>
      </c>
      <c r="G88" s="27">
        <f>'FixedP_Lower'!$AD$88</f>
        <v>17670.345615483235</v>
      </c>
      <c r="H88" s="25" t="str">
        <f>'FixedP_Upper'!$G$88</f>
        <v>retained c/D (not the cap rule)</v>
      </c>
      <c r="I88" s="26">
        <f>'FixedP_Upper'!$H$88</f>
        <v>3.0000000000000004</v>
      </c>
      <c r="J88" s="27">
        <f>'FixedP_Upper'!$AD$88</f>
        <v>17670.345615483235</v>
      </c>
      <c r="K88" s="27">
        <f>Selected_P</f>
        <v>17670.345615483235</v>
      </c>
      <c r="L88" s="26">
        <f>IF(ABS(J88-G88)&lt;0.000000001,0,(K88-G88)/(J88-G88))</f>
        <v>0</v>
      </c>
      <c r="M88" s="25" t="str">
        <f>IF(ABS(J88-G88)&lt;0.000000001,"Exact station",IF(AND(K88&gt;=G88-0.000001,K88&lt;=J88+0.000001),"Interpolated","Outside range"))</f>
        <v>Exact station</v>
      </c>
      <c r="N88" s="28">
        <f>'FixedP_Lower'!$AE$88+L88*('FixedP_Upper'!$AE$88-'FixedP_Lower'!$AE$88)</f>
        <v>-233.74681837008927</v>
      </c>
      <c r="O88" s="28">
        <f>'FixedP_Lower'!$AF$88+L88*('FixedP_Upper'!$AF$88-'FixedP_Lower'!$AF$88)</f>
        <v>268.56632651856415</v>
      </c>
      <c r="P88" s="7">
        <v>-233.74681837008927</v>
      </c>
      <c r="Q88" s="7">
        <v>268.56632651856415</v>
      </c>
      <c r="R88" s="16">
        <f>SQRT((N88-P88)^2+(O88-Q88)^2)</f>
        <v>0</v>
      </c>
    </row>
    <row r="89" spans="1:18" x14ac:dyDescent="0.25">
      <c r="A89" s="7">
        <v>82</v>
      </c>
      <c r="B89" s="7" t="s">
        <v>358</v>
      </c>
      <c r="C89" s="7">
        <v>2</v>
      </c>
      <c r="D89" s="19">
        <v>140</v>
      </c>
      <c r="E89" s="29" t="str">
        <f>'FixedP_Lower'!$G$89</f>
        <v>retained c/D (not the cap rule)</v>
      </c>
      <c r="F89" s="16">
        <f>'FixedP_Lower'!$H$89</f>
        <v>2</v>
      </c>
      <c r="G89" s="18">
        <f>'FixedP_Lower'!$AD$89</f>
        <v>17670.345615483235</v>
      </c>
      <c r="H89" s="29" t="str">
        <f>'FixedP_Upper'!$G$89</f>
        <v>retained c/D (not the cap rule)</v>
      </c>
      <c r="I89" s="16">
        <f>'FixedP_Upper'!$H$89</f>
        <v>2</v>
      </c>
      <c r="J89" s="18">
        <f>'FixedP_Upper'!$AD$89</f>
        <v>17670.345615483235</v>
      </c>
      <c r="K89" s="18">
        <f>Selected_P</f>
        <v>17670.345615483235</v>
      </c>
      <c r="L89" s="16">
        <f>IF(ABS(J89-G89)&lt;0.000000001,0,(K89-G89)/(J89-G89))</f>
        <v>0</v>
      </c>
      <c r="M89" s="29" t="str">
        <f>IF(ABS(J89-G89)&lt;0.000000001,"Exact station",IF(AND(K89&gt;=G89-0.000001,K89&lt;=J89+0.000001),"Interpolated","Outside range"))</f>
        <v>Exact station</v>
      </c>
      <c r="N89" s="30">
        <f>'FixedP_Lower'!$AE$89+L89*('FixedP_Upper'!$AE$89-'FixedP_Lower'!$AE$89)</f>
        <v>-467.49363674017854</v>
      </c>
      <c r="O89" s="30">
        <f>'FixedP_Lower'!$AF$89+L89*('FixedP_Upper'!$AF$89-'FixedP_Lower'!$AF$89)</f>
        <v>537.1326530371283</v>
      </c>
      <c r="P89" s="7">
        <v>-467.49363674017854</v>
      </c>
      <c r="Q89" s="7">
        <v>537.1326530371283</v>
      </c>
      <c r="R89" s="16">
        <f>SQRT((N89-P89)^2+(O89-Q89)^2)</f>
        <v>0</v>
      </c>
    </row>
    <row r="90" spans="1:18" x14ac:dyDescent="0.25">
      <c r="A90" s="23">
        <v>83</v>
      </c>
      <c r="B90" s="23" t="s">
        <v>360</v>
      </c>
      <c r="C90" s="23">
        <v>3</v>
      </c>
      <c r="D90" s="24">
        <v>140</v>
      </c>
      <c r="E90" s="25" t="str">
        <f>'FixedP_Lower'!$G$90</f>
        <v>retained c/D (not the cap rule)</v>
      </c>
      <c r="F90" s="26">
        <f>'FixedP_Lower'!$H$90</f>
        <v>1.5000000000000002</v>
      </c>
      <c r="G90" s="27">
        <f>'FixedP_Lower'!$AD$90</f>
        <v>17670.345615483235</v>
      </c>
      <c r="H90" s="25" t="str">
        <f>'FixedP_Upper'!$G$90</f>
        <v>retained c/D (not the cap rule)</v>
      </c>
      <c r="I90" s="26">
        <f>'FixedP_Upper'!$H$90</f>
        <v>1.5000000000000002</v>
      </c>
      <c r="J90" s="27">
        <f>'FixedP_Upper'!$AD$90</f>
        <v>17670.345615483235</v>
      </c>
      <c r="K90" s="27">
        <f>Selected_P</f>
        <v>17670.345615483235</v>
      </c>
      <c r="L90" s="26">
        <f>IF(ABS(J90-G90)&lt;0.000000001,0,(K90-G90)/(J90-G90))</f>
        <v>0</v>
      </c>
      <c r="M90" s="25" t="str">
        <f>IF(ABS(J90-G90)&lt;0.000000001,"Exact station",IF(AND(K90&gt;=G90-0.000001,K90&lt;=J90+0.000001),"Interpolated","Outside range"))</f>
        <v>Exact station</v>
      </c>
      <c r="N90" s="28">
        <f>'FixedP_Lower'!$AE$90+L90*('FixedP_Upper'!$AE$90-'FixedP_Lower'!$AE$90)</f>
        <v>-701.2404551102679</v>
      </c>
      <c r="O90" s="28">
        <f>'FixedP_Lower'!$AF$90+L90*('FixedP_Upper'!$AF$90-'FixedP_Lower'!$AF$90)</f>
        <v>805.6989795556925</v>
      </c>
      <c r="P90" s="7">
        <v>-701.2404551102679</v>
      </c>
      <c r="Q90" s="7">
        <v>805.6989795556925</v>
      </c>
      <c r="R90" s="16">
        <f>SQRT((N90-P90)^2+(O90-Q90)^2)</f>
        <v>0</v>
      </c>
    </row>
    <row r="91" spans="1:18" x14ac:dyDescent="0.25">
      <c r="A91" s="7">
        <v>84</v>
      </c>
      <c r="B91" s="7" t="s">
        <v>362</v>
      </c>
      <c r="C91" s="7">
        <v>4</v>
      </c>
      <c r="D91" s="19">
        <v>140</v>
      </c>
      <c r="E91" s="29" t="str">
        <f>'FixedP_Lower'!$G$91</f>
        <v>retained c/D (not the cap rule)</v>
      </c>
      <c r="F91" s="16">
        <f>'FixedP_Lower'!$H$91</f>
        <v>1.2</v>
      </c>
      <c r="G91" s="18">
        <f>'FixedP_Lower'!$AD$91</f>
        <v>17670.345615483235</v>
      </c>
      <c r="H91" s="29" t="str">
        <f>'FixedP_Upper'!$G$91</f>
        <v>retained c/D (not the cap rule)</v>
      </c>
      <c r="I91" s="16">
        <f>'FixedP_Upper'!$H$91</f>
        <v>1.2</v>
      </c>
      <c r="J91" s="18">
        <f>'FixedP_Upper'!$AD$91</f>
        <v>17670.345615483235</v>
      </c>
      <c r="K91" s="18">
        <f>Selected_P</f>
        <v>17670.345615483235</v>
      </c>
      <c r="L91" s="16">
        <f>IF(ABS(J91-G91)&lt;0.000000001,0,(K91-G91)/(J91-G91))</f>
        <v>0</v>
      </c>
      <c r="M91" s="29" t="str">
        <f>IF(ABS(J91-G91)&lt;0.000000001,"Exact station",IF(AND(K91&gt;=G91-0.000001,K91&lt;=J91+0.000001),"Interpolated","Outside range"))</f>
        <v>Exact station</v>
      </c>
      <c r="N91" s="30">
        <f>'FixedP_Lower'!$AE$91+L91*('FixedP_Upper'!$AE$91-'FixedP_Lower'!$AE$91)</f>
        <v>-934.9872734803571</v>
      </c>
      <c r="O91" s="30">
        <f>'FixedP_Lower'!$AF$91+L91*('FixedP_Upper'!$AF$91-'FixedP_Lower'!$AF$91)</f>
        <v>1074.2653060742566</v>
      </c>
      <c r="P91" s="7">
        <v>-934.9872734803571</v>
      </c>
      <c r="Q91" s="7">
        <v>1074.2653060742566</v>
      </c>
      <c r="R91" s="16">
        <f>SQRT((N91-P91)^2+(O91-Q91)^2)</f>
        <v>0</v>
      </c>
    </row>
    <row r="92" spans="1:18" x14ac:dyDescent="0.25">
      <c r="A92" s="23">
        <v>85</v>
      </c>
      <c r="B92" s="23" t="s">
        <v>364</v>
      </c>
      <c r="C92" s="23">
        <v>5</v>
      </c>
      <c r="D92" s="24">
        <v>140</v>
      </c>
      <c r="E92" s="25" t="str">
        <f>'FixedP_Lower'!$G$92</f>
        <v>retained c/D (not the cap rule)</v>
      </c>
      <c r="F92" s="26">
        <f>'FixedP_Lower'!$H$92</f>
        <v>1.1</v>
      </c>
      <c r="G92" s="27">
        <f>'FixedP_Lower'!$AD$92</f>
        <v>17670.345615483235</v>
      </c>
      <c r="H92" s="25" t="str">
        <f>'FixedP_Upper'!$G$92</f>
        <v>retained c/D (not the cap rule)</v>
      </c>
      <c r="I92" s="26">
        <f>'FixedP_Upper'!$H$92</f>
        <v>1.1</v>
      </c>
      <c r="J92" s="27">
        <f>'FixedP_Upper'!$AD$92</f>
        <v>17670.345615483235</v>
      </c>
      <c r="K92" s="27">
        <f>Selected_P</f>
        <v>17670.345615483235</v>
      </c>
      <c r="L92" s="26">
        <f>IF(ABS(J92-G92)&lt;0.000000001,0,(K92-G92)/(J92-G92))</f>
        <v>0</v>
      </c>
      <c r="M92" s="25" t="str">
        <f>IF(ABS(J92-G92)&lt;0.000000001,"Exact station",IF(AND(K92&gt;=G92-0.000001,K92&lt;=J92+0.000001),"Interpolated","Outside range"))</f>
        <v>Exact station</v>
      </c>
      <c r="N92" s="28">
        <f>'FixedP_Lower'!$AE$92+L92*('FixedP_Upper'!$AE$92-'FixedP_Lower'!$AE$92)</f>
        <v>-1168.7340918504465</v>
      </c>
      <c r="O92" s="28">
        <f>'FixedP_Lower'!$AF$92+L92*('FixedP_Upper'!$AF$92-'FixedP_Lower'!$AF$92)</f>
        <v>1342.8316325928208</v>
      </c>
      <c r="P92" s="7">
        <v>-1168.7340918504465</v>
      </c>
      <c r="Q92" s="7">
        <v>1342.8316325928208</v>
      </c>
      <c r="R92" s="16">
        <f>SQRT((N92-P92)^2+(O92-Q92)^2)</f>
        <v>0</v>
      </c>
    </row>
    <row r="93" spans="1:18" x14ac:dyDescent="0.25">
      <c r="A93" s="7">
        <v>86</v>
      </c>
      <c r="B93" s="7" t="s">
        <v>366</v>
      </c>
      <c r="C93" s="7">
        <v>6</v>
      </c>
      <c r="D93" s="19">
        <v>140</v>
      </c>
      <c r="E93" s="29" t="str">
        <f>'FixedP_Lower'!$G$93</f>
        <v>retained c/D (not the cap rule)</v>
      </c>
      <c r="F93" s="16">
        <f>'FixedP_Lower'!$H$93</f>
        <v>1.0000000000000002</v>
      </c>
      <c r="G93" s="18">
        <f>'FixedP_Lower'!$AD$93</f>
        <v>17670.345615483235</v>
      </c>
      <c r="H93" s="29" t="str">
        <f>'FixedP_Upper'!$G$93</f>
        <v>retained c/D (not the cap rule)</v>
      </c>
      <c r="I93" s="16">
        <f>'FixedP_Upper'!$H$93</f>
        <v>1.0000000000000002</v>
      </c>
      <c r="J93" s="18">
        <f>'FixedP_Upper'!$AD$93</f>
        <v>17670.345615483235</v>
      </c>
      <c r="K93" s="18">
        <f>Selected_P</f>
        <v>17670.345615483235</v>
      </c>
      <c r="L93" s="16">
        <f>IF(ABS(J93-G93)&lt;0.000000001,0,(K93-G93)/(J93-G93))</f>
        <v>0</v>
      </c>
      <c r="M93" s="29" t="str">
        <f>IF(ABS(J93-G93)&lt;0.000000001,"Exact station",IF(AND(K93&gt;=G93-0.000001,K93&lt;=J93+0.000001),"Interpolated","Outside range"))</f>
        <v>Exact station</v>
      </c>
      <c r="N93" s="30">
        <f>'FixedP_Lower'!$AE$93+L93*('FixedP_Upper'!$AE$93-'FixedP_Lower'!$AE$93)</f>
        <v>-1402.4809102205359</v>
      </c>
      <c r="O93" s="30">
        <f>'FixedP_Lower'!$AF$93+L93*('FixedP_Upper'!$AF$93-'FixedP_Lower'!$AF$93)</f>
        <v>1611.397959111385</v>
      </c>
      <c r="P93" s="7">
        <v>-1402.4809102205359</v>
      </c>
      <c r="Q93" s="7">
        <v>1611.397959111385</v>
      </c>
      <c r="R93" s="16">
        <f>SQRT((N93-P93)^2+(O93-Q93)^2)</f>
        <v>0</v>
      </c>
    </row>
    <row r="94" spans="1:18" x14ac:dyDescent="0.25">
      <c r="A94" s="23">
        <v>87</v>
      </c>
      <c r="B94" s="23" t="s">
        <v>368</v>
      </c>
      <c r="C94" s="23">
        <v>1</v>
      </c>
      <c r="D94" s="24">
        <v>150</v>
      </c>
      <c r="E94" s="25" t="str">
        <f>'FixedP_Lower'!$G$94</f>
        <v>retained c/D (not the cap rule)</v>
      </c>
      <c r="F94" s="26">
        <f>'FixedP_Lower'!$H$94</f>
        <v>3</v>
      </c>
      <c r="G94" s="27">
        <f>'FixedP_Lower'!$AD$94</f>
        <v>17670.345615483235</v>
      </c>
      <c r="H94" s="25" t="str">
        <f>'FixedP_Upper'!$G$94</f>
        <v>retained c/D (not the cap rule)</v>
      </c>
      <c r="I94" s="26">
        <f>'FixedP_Upper'!$H$94</f>
        <v>3</v>
      </c>
      <c r="J94" s="27">
        <f>'FixedP_Upper'!$AD$94</f>
        <v>17670.345615483235</v>
      </c>
      <c r="K94" s="27">
        <f>Selected_P</f>
        <v>17670.345615483235</v>
      </c>
      <c r="L94" s="26">
        <f>IF(ABS(J94-G94)&lt;0.000000001,0,(K94-G94)/(J94-G94))</f>
        <v>0</v>
      </c>
      <c r="M94" s="25" t="str">
        <f>IF(ABS(J94-G94)&lt;0.000000001,"Exact station",IF(AND(K94&gt;=G94-0.000001,K94&lt;=J94+0.000001),"Interpolated","Outside range"))</f>
        <v>Exact station</v>
      </c>
      <c r="N94" s="28">
        <f>'FixedP_Lower'!$AE$94+L94*('FixedP_Upper'!$AE$94-'FixedP_Lower'!$AE$94)</f>
        <v>-264.94124125471706</v>
      </c>
      <c r="O94" s="28">
        <f>'FixedP_Lower'!$AF$94+L94*('FixedP_Upper'!$AF$94-'FixedP_Lower'!$AF$94)</f>
        <v>216.4274612222522</v>
      </c>
      <c r="P94" s="7">
        <v>-264.94124125471706</v>
      </c>
      <c r="Q94" s="7">
        <v>216.4274612222522</v>
      </c>
      <c r="R94" s="16">
        <f>SQRT((N94-P94)^2+(O94-Q94)^2)</f>
        <v>0</v>
      </c>
    </row>
    <row r="95" spans="1:18" x14ac:dyDescent="0.25">
      <c r="A95" s="7">
        <v>88</v>
      </c>
      <c r="B95" s="7" t="s">
        <v>370</v>
      </c>
      <c r="C95" s="7">
        <v>2</v>
      </c>
      <c r="D95" s="19">
        <v>150</v>
      </c>
      <c r="E95" s="29" t="str">
        <f>'FixedP_Lower'!$G$95</f>
        <v>retained c/D (not the cap rule)</v>
      </c>
      <c r="F95" s="16">
        <f>'FixedP_Lower'!$H$95</f>
        <v>2</v>
      </c>
      <c r="G95" s="18">
        <f>'FixedP_Lower'!$AD$95</f>
        <v>17670.345615483235</v>
      </c>
      <c r="H95" s="29" t="str">
        <f>'FixedP_Upper'!$G$95</f>
        <v>retained c/D (not the cap rule)</v>
      </c>
      <c r="I95" s="16">
        <f>'FixedP_Upper'!$H$95</f>
        <v>2</v>
      </c>
      <c r="J95" s="18">
        <f>'FixedP_Upper'!$AD$95</f>
        <v>17670.345615483235</v>
      </c>
      <c r="K95" s="18">
        <f>Selected_P</f>
        <v>17670.345615483235</v>
      </c>
      <c r="L95" s="16">
        <f>IF(ABS(J95-G95)&lt;0.000000001,0,(K95-G95)/(J95-G95))</f>
        <v>0</v>
      </c>
      <c r="M95" s="29" t="str">
        <f>IF(ABS(J95-G95)&lt;0.000000001,"Exact station",IF(AND(K95&gt;=G95-0.000001,K95&lt;=J95+0.000001),"Interpolated","Outside range"))</f>
        <v>Exact station</v>
      </c>
      <c r="N95" s="30">
        <f>'FixedP_Lower'!$AE$95+L95*('FixedP_Upper'!$AE$95-'FixedP_Lower'!$AE$95)</f>
        <v>-529.8824825094341</v>
      </c>
      <c r="O95" s="30">
        <f>'FixedP_Lower'!$AF$95+L95*('FixedP_Upper'!$AF$95-'FixedP_Lower'!$AF$95)</f>
        <v>432.8549224445044</v>
      </c>
      <c r="P95" s="7">
        <v>-529.8824825094341</v>
      </c>
      <c r="Q95" s="7">
        <v>432.8549224445044</v>
      </c>
      <c r="R95" s="16">
        <f>SQRT((N95-P95)^2+(O95-Q95)^2)</f>
        <v>0</v>
      </c>
    </row>
    <row r="96" spans="1:18" x14ac:dyDescent="0.25">
      <c r="A96" s="23">
        <v>89</v>
      </c>
      <c r="B96" s="23" t="s">
        <v>372</v>
      </c>
      <c r="C96" s="23">
        <v>3</v>
      </c>
      <c r="D96" s="24">
        <v>150</v>
      </c>
      <c r="E96" s="25" t="str">
        <f>'FixedP_Lower'!$G$96</f>
        <v>retained c/D (not the cap rule)</v>
      </c>
      <c r="F96" s="26">
        <f>'FixedP_Lower'!$H$96</f>
        <v>1.5000000000000002</v>
      </c>
      <c r="G96" s="27">
        <f>'FixedP_Lower'!$AD$96</f>
        <v>17670.345615483235</v>
      </c>
      <c r="H96" s="25" t="str">
        <f>'FixedP_Upper'!$G$96</f>
        <v>retained c/D (not the cap rule)</v>
      </c>
      <c r="I96" s="26">
        <f>'FixedP_Upper'!$H$96</f>
        <v>1.5000000000000002</v>
      </c>
      <c r="J96" s="27">
        <f>'FixedP_Upper'!$AD$96</f>
        <v>17670.345615483235</v>
      </c>
      <c r="K96" s="27">
        <f>Selected_P</f>
        <v>17670.345615483235</v>
      </c>
      <c r="L96" s="26">
        <f>IF(ABS(J96-G96)&lt;0.000000001,0,(K96-G96)/(J96-G96))</f>
        <v>0</v>
      </c>
      <c r="M96" s="25" t="str">
        <f>IF(ABS(J96-G96)&lt;0.000000001,"Exact station",IF(AND(K96&gt;=G96-0.000001,K96&lt;=J96+0.000001),"Interpolated","Outside range"))</f>
        <v>Exact station</v>
      </c>
      <c r="N96" s="28">
        <f>'FixedP_Lower'!$AE$96+L96*('FixedP_Upper'!$AE$96-'FixedP_Lower'!$AE$96)</f>
        <v>-794.8237237641512</v>
      </c>
      <c r="O96" s="28">
        <f>'FixedP_Lower'!$AF$96+L96*('FixedP_Upper'!$AF$96-'FixedP_Lower'!$AF$96)</f>
        <v>649.2823836667565</v>
      </c>
      <c r="P96" s="7">
        <v>-794.8237237641512</v>
      </c>
      <c r="Q96" s="7">
        <v>649.2823836667565</v>
      </c>
      <c r="R96" s="16">
        <f>SQRT((N96-P96)^2+(O96-Q96)^2)</f>
        <v>0</v>
      </c>
    </row>
    <row r="97" spans="1:18" x14ac:dyDescent="0.25">
      <c r="A97" s="7">
        <v>90</v>
      </c>
      <c r="B97" s="7" t="s">
        <v>374</v>
      </c>
      <c r="C97" s="7">
        <v>4</v>
      </c>
      <c r="D97" s="19">
        <v>150</v>
      </c>
      <c r="E97" s="29" t="str">
        <f>'FixedP_Lower'!$G$97</f>
        <v>retained c/D (not the cap rule)</v>
      </c>
      <c r="F97" s="16">
        <f>'FixedP_Lower'!$H$97</f>
        <v>1.2000000000000002</v>
      </c>
      <c r="G97" s="18">
        <f>'FixedP_Lower'!$AD$97</f>
        <v>17670.345615483235</v>
      </c>
      <c r="H97" s="29" t="str">
        <f>'FixedP_Upper'!$G$97</f>
        <v>retained c/D (not the cap rule)</v>
      </c>
      <c r="I97" s="16">
        <f>'FixedP_Upper'!$H$97</f>
        <v>1.2000000000000002</v>
      </c>
      <c r="J97" s="18">
        <f>'FixedP_Upper'!$AD$97</f>
        <v>17670.345615483235</v>
      </c>
      <c r="K97" s="18">
        <f>Selected_P</f>
        <v>17670.345615483235</v>
      </c>
      <c r="L97" s="16">
        <f>IF(ABS(J97-G97)&lt;0.000000001,0,(K97-G97)/(J97-G97))</f>
        <v>0</v>
      </c>
      <c r="M97" s="29" t="str">
        <f>IF(ABS(J97-G97)&lt;0.000000001,"Exact station",IF(AND(K97&gt;=G97-0.000001,K97&lt;=J97+0.000001),"Interpolated","Outside range"))</f>
        <v>Exact station</v>
      </c>
      <c r="N97" s="30">
        <f>'FixedP_Lower'!$AE$97+L97*('FixedP_Upper'!$AE$97-'FixedP_Lower'!$AE$97)</f>
        <v>-1059.7649650188682</v>
      </c>
      <c r="O97" s="30">
        <f>'FixedP_Lower'!$AF$97+L97*('FixedP_Upper'!$AF$97-'FixedP_Lower'!$AF$97)</f>
        <v>865.7098448890088</v>
      </c>
      <c r="P97" s="7">
        <v>-1059.7649650188682</v>
      </c>
      <c r="Q97" s="7">
        <v>865.7098448890088</v>
      </c>
      <c r="R97" s="16">
        <f>SQRT((N97-P97)^2+(O97-Q97)^2)</f>
        <v>0</v>
      </c>
    </row>
    <row r="98" spans="1:18" x14ac:dyDescent="0.25">
      <c r="A98" s="23">
        <v>91</v>
      </c>
      <c r="B98" s="23" t="s">
        <v>376</v>
      </c>
      <c r="C98" s="23">
        <v>5</v>
      </c>
      <c r="D98" s="24">
        <v>150</v>
      </c>
      <c r="E98" s="25" t="str">
        <f>'FixedP_Lower'!$G$98</f>
        <v>retained c/D (not the cap rule)</v>
      </c>
      <c r="F98" s="26">
        <f>'FixedP_Lower'!$H$98</f>
        <v>1.1000000000000003</v>
      </c>
      <c r="G98" s="27">
        <f>'FixedP_Lower'!$AD$98</f>
        <v>17670.345615483235</v>
      </c>
      <c r="H98" s="25" t="str">
        <f>'FixedP_Upper'!$G$98</f>
        <v>retained c/D (not the cap rule)</v>
      </c>
      <c r="I98" s="26">
        <f>'FixedP_Upper'!$H$98</f>
        <v>1.1000000000000003</v>
      </c>
      <c r="J98" s="27">
        <f>'FixedP_Upper'!$AD$98</f>
        <v>17670.345615483235</v>
      </c>
      <c r="K98" s="27">
        <f>Selected_P</f>
        <v>17670.345615483235</v>
      </c>
      <c r="L98" s="26">
        <f>IF(ABS(J98-G98)&lt;0.000000001,0,(K98-G98)/(J98-G98))</f>
        <v>0</v>
      </c>
      <c r="M98" s="25" t="str">
        <f>IF(ABS(J98-G98)&lt;0.000000001,"Exact station",IF(AND(K98&gt;=G98-0.000001,K98&lt;=J98+0.000001),"Interpolated","Outside range"))</f>
        <v>Exact station</v>
      </c>
      <c r="N98" s="28">
        <f>'FixedP_Lower'!$AE$98+L98*('FixedP_Upper'!$AE$98-'FixedP_Lower'!$AE$98)</f>
        <v>-1324.7062062735854</v>
      </c>
      <c r="O98" s="28">
        <f>'FixedP_Lower'!$AF$98+L98*('FixedP_Upper'!$AF$98-'FixedP_Lower'!$AF$98)</f>
        <v>1082.1373061112608</v>
      </c>
      <c r="P98" s="7">
        <v>-1324.7062062735854</v>
      </c>
      <c r="Q98" s="7">
        <v>1082.1373061112608</v>
      </c>
      <c r="R98" s="16">
        <f>SQRT((N98-P98)^2+(O98-Q98)^2)</f>
        <v>0</v>
      </c>
    </row>
    <row r="99" spans="1:18" x14ac:dyDescent="0.25">
      <c r="A99" s="7">
        <v>92</v>
      </c>
      <c r="B99" s="7" t="s">
        <v>378</v>
      </c>
      <c r="C99" s="7">
        <v>6</v>
      </c>
      <c r="D99" s="19">
        <v>150</v>
      </c>
      <c r="E99" s="29" t="str">
        <f>'FixedP_Lower'!$G$99</f>
        <v>retained c/D (not the cap rule)</v>
      </c>
      <c r="F99" s="16">
        <f>'FixedP_Lower'!$H$99</f>
        <v>1</v>
      </c>
      <c r="G99" s="18">
        <f>'FixedP_Lower'!$AD$99</f>
        <v>17670.345615483235</v>
      </c>
      <c r="H99" s="29" t="str">
        <f>'FixedP_Upper'!$G$99</f>
        <v>retained c/D (not the cap rule)</v>
      </c>
      <c r="I99" s="16">
        <f>'FixedP_Upper'!$H$99</f>
        <v>1</v>
      </c>
      <c r="J99" s="18">
        <f>'FixedP_Upper'!$AD$99</f>
        <v>17670.345615483235</v>
      </c>
      <c r="K99" s="18">
        <f>Selected_P</f>
        <v>17670.345615483235</v>
      </c>
      <c r="L99" s="16">
        <f>IF(ABS(J99-G99)&lt;0.000000001,0,(K99-G99)/(J99-G99))</f>
        <v>0</v>
      </c>
      <c r="M99" s="29" t="str">
        <f>IF(ABS(J99-G99)&lt;0.000000001,"Exact station",IF(AND(K99&gt;=G99-0.000001,K99&lt;=J99+0.000001),"Interpolated","Outside range"))</f>
        <v>Exact station</v>
      </c>
      <c r="N99" s="30">
        <f>'FixedP_Lower'!$AE$99+L99*('FixedP_Upper'!$AE$99-'FixedP_Lower'!$AE$99)</f>
        <v>-1589.6474475283023</v>
      </c>
      <c r="O99" s="30">
        <f>'FixedP_Lower'!$AF$99+L99*('FixedP_Upper'!$AF$99-'FixedP_Lower'!$AF$99)</f>
        <v>1298.564767333513</v>
      </c>
      <c r="P99" s="7">
        <v>-1589.6474475283023</v>
      </c>
      <c r="Q99" s="7">
        <v>1298.564767333513</v>
      </c>
      <c r="R99" s="16">
        <f>SQRT((N99-P99)^2+(O99-Q99)^2)</f>
        <v>0</v>
      </c>
    </row>
    <row r="100" spans="1:18" x14ac:dyDescent="0.25">
      <c r="A100" s="23">
        <v>93</v>
      </c>
      <c r="B100" s="23" t="s">
        <v>380</v>
      </c>
      <c r="C100" s="23">
        <v>1</v>
      </c>
      <c r="D100" s="24">
        <v>160</v>
      </c>
      <c r="E100" s="25" t="str">
        <f>'FixedP_Lower'!$G$100</f>
        <v>retained c/D (not the cap rule)</v>
      </c>
      <c r="F100" s="26">
        <f>'FixedP_Lower'!$H$100</f>
        <v>2.9999999999999996</v>
      </c>
      <c r="G100" s="27">
        <f>'FixedP_Lower'!$AD$100</f>
        <v>17670.345615483235</v>
      </c>
      <c r="H100" s="25" t="str">
        <f>'FixedP_Upper'!$G$100</f>
        <v>retained c/D (not the cap rule)</v>
      </c>
      <c r="I100" s="26">
        <f>'FixedP_Upper'!$H$100</f>
        <v>2.9999999999999996</v>
      </c>
      <c r="J100" s="27">
        <f>'FixedP_Upper'!$AD$100</f>
        <v>17670.345615483235</v>
      </c>
      <c r="K100" s="27">
        <f>Selected_P</f>
        <v>17670.345615483235</v>
      </c>
      <c r="L100" s="26">
        <f>IF(ABS(J100-G100)&lt;0.000000001,0,(K100-G100)/(J100-G100))</f>
        <v>0</v>
      </c>
      <c r="M100" s="25" t="str">
        <f>IF(ABS(J100-G100)&lt;0.000000001,"Exact station",IF(AND(K100&gt;=G100-0.000001,K100&lt;=J100+0.000001),"Interpolated","Outside range"))</f>
        <v>Exact station</v>
      </c>
      <c r="N100" s="28">
        <f>'FixedP_Lower'!$AE$100+L100*('FixedP_Upper'!$AE$100-'FixedP_Lower'!$AE$100)</f>
        <v>-296.609007081369</v>
      </c>
      <c r="O100" s="28">
        <f>'FixedP_Lower'!$AF$100+L100*('FixedP_Upper'!$AF$100-'FixedP_Lower'!$AF$100)</f>
        <v>158.21740092415035</v>
      </c>
      <c r="P100" s="7">
        <v>-296.609007081369</v>
      </c>
      <c r="Q100" s="7">
        <v>158.21740092415035</v>
      </c>
      <c r="R100" s="16">
        <f>SQRT((N100-P100)^2+(O100-Q100)^2)</f>
        <v>0</v>
      </c>
    </row>
    <row r="101" spans="1:18" x14ac:dyDescent="0.25">
      <c r="A101" s="7">
        <v>94</v>
      </c>
      <c r="B101" s="7" t="s">
        <v>382</v>
      </c>
      <c r="C101" s="7">
        <v>2</v>
      </c>
      <c r="D101" s="19">
        <v>160</v>
      </c>
      <c r="E101" s="29" t="str">
        <f>'FixedP_Lower'!$G$101</f>
        <v>retained c/D (not the cap rule)</v>
      </c>
      <c r="F101" s="16">
        <f>'FixedP_Lower'!$H$101</f>
        <v>2</v>
      </c>
      <c r="G101" s="18">
        <f>'FixedP_Lower'!$AD$101</f>
        <v>17670.345615483235</v>
      </c>
      <c r="H101" s="29" t="str">
        <f>'FixedP_Upper'!$G$101</f>
        <v>retained c/D (not the cap rule)</v>
      </c>
      <c r="I101" s="16">
        <f>'FixedP_Upper'!$H$101</f>
        <v>2</v>
      </c>
      <c r="J101" s="18">
        <f>'FixedP_Upper'!$AD$101</f>
        <v>17670.345615483235</v>
      </c>
      <c r="K101" s="18">
        <f>Selected_P</f>
        <v>17670.345615483235</v>
      </c>
      <c r="L101" s="16">
        <f>IF(ABS(J101-G101)&lt;0.000000001,0,(K101-G101)/(J101-G101))</f>
        <v>0</v>
      </c>
      <c r="M101" s="29" t="str">
        <f>IF(ABS(J101-G101)&lt;0.000000001,"Exact station",IF(AND(K101&gt;=G101-0.000001,K101&lt;=J101+0.000001),"Interpolated","Outside range"))</f>
        <v>Exact station</v>
      </c>
      <c r="N101" s="30">
        <f>'FixedP_Lower'!$AE$101+L101*('FixedP_Upper'!$AE$101-'FixedP_Lower'!$AE$101)</f>
        <v>-593.218014162738</v>
      </c>
      <c r="O101" s="30">
        <f>'FixedP_Lower'!$AF$101+L101*('FixedP_Upper'!$AF$101-'FixedP_Lower'!$AF$101)</f>
        <v>316.4348018483007</v>
      </c>
      <c r="P101" s="7">
        <v>-593.218014162738</v>
      </c>
      <c r="Q101" s="7">
        <v>316.4348018483007</v>
      </c>
      <c r="R101" s="16">
        <f>SQRT((N101-P101)^2+(O101-Q101)^2)</f>
        <v>0</v>
      </c>
    </row>
    <row r="102" spans="1:18" x14ac:dyDescent="0.25">
      <c r="A102" s="23">
        <v>95</v>
      </c>
      <c r="B102" s="23" t="s">
        <v>384</v>
      </c>
      <c r="C102" s="23">
        <v>3</v>
      </c>
      <c r="D102" s="24">
        <v>160</v>
      </c>
      <c r="E102" s="25" t="str">
        <f>'FixedP_Lower'!$G$102</f>
        <v>retained c/D (not the cap rule)</v>
      </c>
      <c r="F102" s="26">
        <f>'FixedP_Lower'!$H$102</f>
        <v>1.4999999999999998</v>
      </c>
      <c r="G102" s="27">
        <f>'FixedP_Lower'!$AD$102</f>
        <v>17670.345615483235</v>
      </c>
      <c r="H102" s="25" t="str">
        <f>'FixedP_Upper'!$G$102</f>
        <v>retained c/D (not the cap rule)</v>
      </c>
      <c r="I102" s="26">
        <f>'FixedP_Upper'!$H$102</f>
        <v>1.4999999999999998</v>
      </c>
      <c r="J102" s="27">
        <f>'FixedP_Upper'!$AD$102</f>
        <v>17670.345615483235</v>
      </c>
      <c r="K102" s="27">
        <f>Selected_P</f>
        <v>17670.345615483235</v>
      </c>
      <c r="L102" s="26">
        <f>IF(ABS(J102-G102)&lt;0.000000001,0,(K102-G102)/(J102-G102))</f>
        <v>0</v>
      </c>
      <c r="M102" s="25" t="str">
        <f>IF(ABS(J102-G102)&lt;0.000000001,"Exact station",IF(AND(K102&gt;=G102-0.000001,K102&lt;=J102+0.000001),"Interpolated","Outside range"))</f>
        <v>Exact station</v>
      </c>
      <c r="N102" s="28">
        <f>'FixedP_Lower'!$AE$102+L102*('FixedP_Upper'!$AE$102-'FixedP_Lower'!$AE$102)</f>
        <v>-889.8270212441068</v>
      </c>
      <c r="O102" s="28">
        <f>'FixedP_Lower'!$AF$102+L102*('FixedP_Upper'!$AF$102-'FixedP_Lower'!$AF$102)</f>
        <v>474.65220277245106</v>
      </c>
      <c r="P102" s="7">
        <v>-889.8270212441068</v>
      </c>
      <c r="Q102" s="7">
        <v>474.65220277245106</v>
      </c>
      <c r="R102" s="16">
        <f>SQRT((N102-P102)^2+(O102-Q102)^2)</f>
        <v>0</v>
      </c>
    </row>
    <row r="103" spans="1:18" x14ac:dyDescent="0.25">
      <c r="A103" s="7">
        <v>96</v>
      </c>
      <c r="B103" s="7" t="s">
        <v>386</v>
      </c>
      <c r="C103" s="7">
        <v>4</v>
      </c>
      <c r="D103" s="19">
        <v>160</v>
      </c>
      <c r="E103" s="29" t="str">
        <f>'FixedP_Lower'!$G$103</f>
        <v>retained c/D (not the cap rule)</v>
      </c>
      <c r="F103" s="16">
        <f>'FixedP_Lower'!$H$103</f>
        <v>1.2</v>
      </c>
      <c r="G103" s="18">
        <f>'FixedP_Lower'!$AD$103</f>
        <v>17670.345615483235</v>
      </c>
      <c r="H103" s="29" t="str">
        <f>'FixedP_Upper'!$G$103</f>
        <v>retained c/D (not the cap rule)</v>
      </c>
      <c r="I103" s="16">
        <f>'FixedP_Upper'!$H$103</f>
        <v>1.2</v>
      </c>
      <c r="J103" s="18">
        <f>'FixedP_Upper'!$AD$103</f>
        <v>17670.345615483235</v>
      </c>
      <c r="K103" s="18">
        <f>Selected_P</f>
        <v>17670.345615483235</v>
      </c>
      <c r="L103" s="16">
        <f>IF(ABS(J103-G103)&lt;0.000000001,0,(K103-G103)/(J103-G103))</f>
        <v>0</v>
      </c>
      <c r="M103" s="29" t="str">
        <f>IF(ABS(J103-G103)&lt;0.000000001,"Exact station",IF(AND(K103&gt;=G103-0.000001,K103&lt;=J103+0.000001),"Interpolated","Outside range"))</f>
        <v>Exact station</v>
      </c>
      <c r="N103" s="30">
        <f>'FixedP_Lower'!$AE$103+L103*('FixedP_Upper'!$AE$103-'FixedP_Lower'!$AE$103)</f>
        <v>-1186.436028325476</v>
      </c>
      <c r="O103" s="30">
        <f>'FixedP_Lower'!$AF$103+L103*('FixedP_Upper'!$AF$103-'FixedP_Lower'!$AF$103)</f>
        <v>632.8696036966014</v>
      </c>
      <c r="P103" s="7">
        <v>-1186.436028325476</v>
      </c>
      <c r="Q103" s="7">
        <v>632.8696036966014</v>
      </c>
      <c r="R103" s="16">
        <f>SQRT((N103-P103)^2+(O103-Q103)^2)</f>
        <v>0</v>
      </c>
    </row>
    <row r="104" spans="1:18" x14ac:dyDescent="0.25">
      <c r="A104" s="23">
        <v>97</v>
      </c>
      <c r="B104" s="23" t="s">
        <v>388</v>
      </c>
      <c r="C104" s="23">
        <v>5</v>
      </c>
      <c r="D104" s="24">
        <v>160</v>
      </c>
      <c r="E104" s="25" t="str">
        <f>'FixedP_Lower'!$G$104</f>
        <v>retained c/D (not the cap rule)</v>
      </c>
      <c r="F104" s="26">
        <f>'FixedP_Lower'!$H$104</f>
        <v>1.1</v>
      </c>
      <c r="G104" s="27">
        <f>'FixedP_Lower'!$AD$104</f>
        <v>17670.345615483235</v>
      </c>
      <c r="H104" s="25" t="str">
        <f>'FixedP_Upper'!$G$104</f>
        <v>retained c/D (not the cap rule)</v>
      </c>
      <c r="I104" s="26">
        <f>'FixedP_Upper'!$H$104</f>
        <v>1.1</v>
      </c>
      <c r="J104" s="27">
        <f>'FixedP_Upper'!$AD$104</f>
        <v>17670.345615483235</v>
      </c>
      <c r="K104" s="27">
        <f>Selected_P</f>
        <v>17670.345615483235</v>
      </c>
      <c r="L104" s="26">
        <f>IF(ABS(J104-G104)&lt;0.000000001,0,(K104-G104)/(J104-G104))</f>
        <v>0</v>
      </c>
      <c r="M104" s="25" t="str">
        <f>IF(ABS(J104-G104)&lt;0.000000001,"Exact station",IF(AND(K104&gt;=G104-0.000001,K104&lt;=J104+0.000001),"Interpolated","Outside range"))</f>
        <v>Exact station</v>
      </c>
      <c r="N104" s="28">
        <f>'FixedP_Lower'!$AE$104+L104*('FixedP_Upper'!$AE$104-'FixedP_Lower'!$AE$104)</f>
        <v>-1483.0450354068448</v>
      </c>
      <c r="O104" s="28">
        <f>'FixedP_Lower'!$AF$104+L104*('FixedP_Upper'!$AF$104-'FixedP_Lower'!$AF$104)</f>
        <v>791.0870046207517</v>
      </c>
      <c r="P104" s="7">
        <v>-1483.0450354068448</v>
      </c>
      <c r="Q104" s="7">
        <v>791.0870046207517</v>
      </c>
      <c r="R104" s="16">
        <f>SQRT((N104-P104)^2+(O104-Q104)^2)</f>
        <v>0</v>
      </c>
    </row>
    <row r="105" spans="1:18" x14ac:dyDescent="0.25">
      <c r="A105" s="7">
        <v>98</v>
      </c>
      <c r="B105" s="7" t="s">
        <v>390</v>
      </c>
      <c r="C105" s="7">
        <v>6</v>
      </c>
      <c r="D105" s="19">
        <v>160</v>
      </c>
      <c r="E105" s="29" t="str">
        <f>'FixedP_Lower'!$G$105</f>
        <v>retained c/D (not the cap rule)</v>
      </c>
      <c r="F105" s="16">
        <f>'FixedP_Lower'!$H$105</f>
        <v>1</v>
      </c>
      <c r="G105" s="18">
        <f>'FixedP_Lower'!$AD$105</f>
        <v>17670.345615483235</v>
      </c>
      <c r="H105" s="29" t="str">
        <f>'FixedP_Upper'!$G$105</f>
        <v>retained c/D (not the cap rule)</v>
      </c>
      <c r="I105" s="16">
        <f>'FixedP_Upper'!$H$105</f>
        <v>1</v>
      </c>
      <c r="J105" s="18">
        <f>'FixedP_Upper'!$AD$105</f>
        <v>17670.345615483235</v>
      </c>
      <c r="K105" s="18">
        <f>Selected_P</f>
        <v>17670.345615483235</v>
      </c>
      <c r="L105" s="16">
        <f>IF(ABS(J105-G105)&lt;0.000000001,0,(K105-G105)/(J105-G105))</f>
        <v>0</v>
      </c>
      <c r="M105" s="29" t="str">
        <f>IF(ABS(J105-G105)&lt;0.000000001,"Exact station",IF(AND(K105&gt;=G105-0.000001,K105&lt;=J105+0.000001),"Interpolated","Outside range"))</f>
        <v>Exact station</v>
      </c>
      <c r="N105" s="30">
        <f>'FixedP_Lower'!$AE$105+L105*('FixedP_Upper'!$AE$105-'FixedP_Lower'!$AE$105)</f>
        <v>-1779.6540424882137</v>
      </c>
      <c r="O105" s="30">
        <f>'FixedP_Lower'!$AF$105+L105*('FixedP_Upper'!$AF$105-'FixedP_Lower'!$AF$105)</f>
        <v>949.3044055449021</v>
      </c>
      <c r="P105" s="7">
        <v>-1779.6540424882137</v>
      </c>
      <c r="Q105" s="7">
        <v>949.3044055449021</v>
      </c>
      <c r="R105" s="16">
        <f>SQRT((N105-P105)^2+(O105-Q105)^2)</f>
        <v>0</v>
      </c>
    </row>
    <row r="106" spans="1:18" x14ac:dyDescent="0.25">
      <c r="A106" s="23">
        <v>99</v>
      </c>
      <c r="B106" s="23" t="s">
        <v>392</v>
      </c>
      <c r="C106" s="23">
        <v>1</v>
      </c>
      <c r="D106" s="24">
        <v>170</v>
      </c>
      <c r="E106" s="25" t="str">
        <f>'FixedP_Lower'!$G$106</f>
        <v>retained c/D (not the cap rule)</v>
      </c>
      <c r="F106" s="26">
        <f>'FixedP_Lower'!$H$106</f>
        <v>3</v>
      </c>
      <c r="G106" s="27">
        <f>'FixedP_Lower'!$AD$106</f>
        <v>17670.345615483235</v>
      </c>
      <c r="H106" s="25" t="str">
        <f>'FixedP_Upper'!$G$106</f>
        <v>retained c/D (not the cap rule)</v>
      </c>
      <c r="I106" s="26">
        <f>'FixedP_Upper'!$H$106</f>
        <v>3</v>
      </c>
      <c r="J106" s="27">
        <f>'FixedP_Upper'!$AD$106</f>
        <v>17670.345615483235</v>
      </c>
      <c r="K106" s="27">
        <f>Selected_P</f>
        <v>17670.345615483235</v>
      </c>
      <c r="L106" s="26">
        <f>IF(ABS(J106-G106)&lt;0.000000001,0,(K106-G106)/(J106-G106))</f>
        <v>0</v>
      </c>
      <c r="M106" s="25" t="str">
        <f>IF(ABS(J106-G106)&lt;0.000000001,"Exact station",IF(AND(K106&gt;=G106-0.000001,K106&lt;=J106+0.000001),"Interpolated","Outside range"))</f>
        <v>Exact station</v>
      </c>
      <c r="N106" s="28">
        <f>'FixedP_Lower'!$AE$106+L106*('FixedP_Upper'!$AE$106-'FixedP_Lower'!$AE$106)</f>
        <v>-333.537088648665</v>
      </c>
      <c r="O106" s="28">
        <f>'FixedP_Lower'!$AF$106+L106*('FixedP_Upper'!$AF$106-'FixedP_Lower'!$AF$106)</f>
        <v>88.07146669722685</v>
      </c>
      <c r="P106" s="7">
        <v>-333.537088648665</v>
      </c>
      <c r="Q106" s="7">
        <v>88.07146669722685</v>
      </c>
      <c r="R106" s="16">
        <f>SQRT((N106-P106)^2+(O106-Q106)^2)</f>
        <v>0</v>
      </c>
    </row>
    <row r="107" spans="1:18" x14ac:dyDescent="0.25">
      <c r="A107" s="7">
        <v>100</v>
      </c>
      <c r="B107" s="7" t="s">
        <v>394</v>
      </c>
      <c r="C107" s="7">
        <v>2</v>
      </c>
      <c r="D107" s="19">
        <v>170</v>
      </c>
      <c r="E107" s="29" t="str">
        <f>'FixedP_Lower'!$G$107</f>
        <v>retained c/D (not the cap rule)</v>
      </c>
      <c r="F107" s="16">
        <f>'FixedP_Lower'!$H$107</f>
        <v>2</v>
      </c>
      <c r="G107" s="18">
        <f>'FixedP_Lower'!$AD$107</f>
        <v>17670.345615483235</v>
      </c>
      <c r="H107" s="29" t="str">
        <f>'FixedP_Upper'!$G$107</f>
        <v>retained c/D (not the cap rule)</v>
      </c>
      <c r="I107" s="16">
        <f>'FixedP_Upper'!$H$107</f>
        <v>2</v>
      </c>
      <c r="J107" s="18">
        <f>'FixedP_Upper'!$AD$107</f>
        <v>17670.345615483235</v>
      </c>
      <c r="K107" s="18">
        <f>Selected_P</f>
        <v>17670.345615483235</v>
      </c>
      <c r="L107" s="16">
        <f>IF(ABS(J107-G107)&lt;0.000000001,0,(K107-G107)/(J107-G107))</f>
        <v>0</v>
      </c>
      <c r="M107" s="29" t="str">
        <f>IF(ABS(J107-G107)&lt;0.000000001,"Exact station",IF(AND(K107&gt;=G107-0.000001,K107&lt;=J107+0.000001),"Interpolated","Outside range"))</f>
        <v>Exact station</v>
      </c>
      <c r="N107" s="30">
        <f>'FixedP_Lower'!$AE$107+L107*('FixedP_Upper'!$AE$107-'FixedP_Lower'!$AE$107)</f>
        <v>-667.07417729733</v>
      </c>
      <c r="O107" s="30">
        <f>'FixedP_Lower'!$AF$107+L107*('FixedP_Upper'!$AF$107-'FixedP_Lower'!$AF$107)</f>
        <v>176.1429333944537</v>
      </c>
      <c r="P107" s="7">
        <v>-667.07417729733</v>
      </c>
      <c r="Q107" s="7">
        <v>176.1429333944537</v>
      </c>
      <c r="R107" s="16">
        <f>SQRT((N107-P107)^2+(O107-Q107)^2)</f>
        <v>0</v>
      </c>
    </row>
    <row r="108" spans="1:18" x14ac:dyDescent="0.25">
      <c r="A108" s="23">
        <v>101</v>
      </c>
      <c r="B108" s="23" t="s">
        <v>396</v>
      </c>
      <c r="C108" s="23">
        <v>3</v>
      </c>
      <c r="D108" s="24">
        <v>170</v>
      </c>
      <c r="E108" s="25" t="str">
        <f>'FixedP_Lower'!$G$108</f>
        <v>retained c/D (not the cap rule)</v>
      </c>
      <c r="F108" s="26">
        <f>'FixedP_Lower'!$H$108</f>
        <v>1.5</v>
      </c>
      <c r="G108" s="27">
        <f>'FixedP_Lower'!$AD$108</f>
        <v>17670.345615483235</v>
      </c>
      <c r="H108" s="25" t="str">
        <f>'FixedP_Upper'!$G$108</f>
        <v>retained c/D (not the cap rule)</v>
      </c>
      <c r="I108" s="26">
        <f>'FixedP_Upper'!$H$108</f>
        <v>1.5</v>
      </c>
      <c r="J108" s="27">
        <f>'FixedP_Upper'!$AD$108</f>
        <v>17670.345615483235</v>
      </c>
      <c r="K108" s="27">
        <f>Selected_P</f>
        <v>17670.345615483235</v>
      </c>
      <c r="L108" s="26">
        <f>IF(ABS(J108-G108)&lt;0.000000001,0,(K108-G108)/(J108-G108))</f>
        <v>0</v>
      </c>
      <c r="M108" s="25" t="str">
        <f>IF(ABS(J108-G108)&lt;0.000000001,"Exact station",IF(AND(K108&gt;=G108-0.000001,K108&lt;=J108+0.000001),"Interpolated","Outside range"))</f>
        <v>Exact station</v>
      </c>
      <c r="N108" s="28">
        <f>'FixedP_Lower'!$AE$108+L108*('FixedP_Upper'!$AE$108-'FixedP_Lower'!$AE$108)</f>
        <v>-1000.6112659459951</v>
      </c>
      <c r="O108" s="28">
        <f>'FixedP_Lower'!$AF$108+L108*('FixedP_Upper'!$AF$108-'FixedP_Lower'!$AF$108)</f>
        <v>264.21440009168055</v>
      </c>
      <c r="P108" s="7">
        <v>-1000.6112659459951</v>
      </c>
      <c r="Q108" s="7">
        <v>264.21440009168055</v>
      </c>
      <c r="R108" s="16">
        <f>SQRT((N108-P108)^2+(O108-Q108)^2)</f>
        <v>0</v>
      </c>
    </row>
    <row r="109" spans="1:18" x14ac:dyDescent="0.25">
      <c r="A109" s="7">
        <v>102</v>
      </c>
      <c r="B109" s="7" t="s">
        <v>398</v>
      </c>
      <c r="C109" s="7">
        <v>4</v>
      </c>
      <c r="D109" s="19">
        <v>170</v>
      </c>
      <c r="E109" s="29" t="str">
        <f>'FixedP_Lower'!$G$109</f>
        <v>retained c/D (not the cap rule)</v>
      </c>
      <c r="F109" s="16">
        <f>'FixedP_Lower'!$H$109</f>
        <v>1.2000000000000002</v>
      </c>
      <c r="G109" s="18">
        <f>'FixedP_Lower'!$AD$109</f>
        <v>17670.345615483235</v>
      </c>
      <c r="H109" s="29" t="str">
        <f>'FixedP_Upper'!$G$109</f>
        <v>retained c/D (not the cap rule)</v>
      </c>
      <c r="I109" s="16">
        <f>'FixedP_Upper'!$H$109</f>
        <v>1.2000000000000002</v>
      </c>
      <c r="J109" s="18">
        <f>'FixedP_Upper'!$AD$109</f>
        <v>17670.345615483235</v>
      </c>
      <c r="K109" s="18">
        <f>Selected_P</f>
        <v>17670.345615483235</v>
      </c>
      <c r="L109" s="16">
        <f>IF(ABS(J109-G109)&lt;0.000000001,0,(K109-G109)/(J109-G109))</f>
        <v>0</v>
      </c>
      <c r="M109" s="29" t="str">
        <f>IF(ABS(J109-G109)&lt;0.000000001,"Exact station",IF(AND(K109&gt;=G109-0.000001,K109&lt;=J109+0.000001),"Interpolated","Outside range"))</f>
        <v>Exact station</v>
      </c>
      <c r="N109" s="30">
        <f>'FixedP_Lower'!$AE$109+L109*('FixedP_Upper'!$AE$109-'FixedP_Lower'!$AE$109)</f>
        <v>-1334.14835459466</v>
      </c>
      <c r="O109" s="30">
        <f>'FixedP_Lower'!$AF$109+L109*('FixedP_Upper'!$AF$109-'FixedP_Lower'!$AF$109)</f>
        <v>352.2858667889074</v>
      </c>
      <c r="P109" s="7">
        <v>-1334.14835459466</v>
      </c>
      <c r="Q109" s="7">
        <v>352.2858667889074</v>
      </c>
      <c r="R109" s="16">
        <f>SQRT((N109-P109)^2+(O109-Q109)^2)</f>
        <v>0</v>
      </c>
    </row>
    <row r="110" spans="1:18" x14ac:dyDescent="0.25">
      <c r="A110" s="23">
        <v>103</v>
      </c>
      <c r="B110" s="23" t="s">
        <v>400</v>
      </c>
      <c r="C110" s="23">
        <v>5</v>
      </c>
      <c r="D110" s="24">
        <v>170</v>
      </c>
      <c r="E110" s="25" t="str">
        <f>'FixedP_Lower'!$G$110</f>
        <v>retained c/D (not the cap rule)</v>
      </c>
      <c r="F110" s="26">
        <f>'FixedP_Lower'!$H$110</f>
        <v>1.1000000000000003</v>
      </c>
      <c r="G110" s="27">
        <f>'FixedP_Lower'!$AD$110</f>
        <v>17670.345615483235</v>
      </c>
      <c r="H110" s="25" t="str">
        <f>'FixedP_Upper'!$G$110</f>
        <v>retained c/D (not the cap rule)</v>
      </c>
      <c r="I110" s="26">
        <f>'FixedP_Upper'!$H$110</f>
        <v>1.1000000000000003</v>
      </c>
      <c r="J110" s="27">
        <f>'FixedP_Upper'!$AD$110</f>
        <v>17670.345615483235</v>
      </c>
      <c r="K110" s="27">
        <f>Selected_P</f>
        <v>17670.345615483235</v>
      </c>
      <c r="L110" s="26">
        <f>IF(ABS(J110-G110)&lt;0.000000001,0,(K110-G110)/(J110-G110))</f>
        <v>0</v>
      </c>
      <c r="M110" s="25" t="str">
        <f>IF(ABS(J110-G110)&lt;0.000000001,"Exact station",IF(AND(K110&gt;=G110-0.000001,K110&lt;=J110+0.000001),"Interpolated","Outside range"))</f>
        <v>Exact station</v>
      </c>
      <c r="N110" s="28">
        <f>'FixedP_Lower'!$AE$110+L110*('FixedP_Upper'!$AE$110-'FixedP_Lower'!$AE$110)</f>
        <v>-1667.6854432433252</v>
      </c>
      <c r="O110" s="28">
        <f>'FixedP_Lower'!$AF$110+L110*('FixedP_Upper'!$AF$110-'FixedP_Lower'!$AF$110)</f>
        <v>440.3573334861343</v>
      </c>
      <c r="P110" s="7">
        <v>-1667.6854432433252</v>
      </c>
      <c r="Q110" s="7">
        <v>440.3573334861343</v>
      </c>
      <c r="R110" s="16">
        <f>SQRT((N110-P110)^2+(O110-Q110)^2)</f>
        <v>0</v>
      </c>
    </row>
    <row r="111" spans="1:18" x14ac:dyDescent="0.25">
      <c r="A111" s="7">
        <v>104</v>
      </c>
      <c r="B111" s="7" t="s">
        <v>402</v>
      </c>
      <c r="C111" s="7">
        <v>1</v>
      </c>
      <c r="D111" s="19">
        <v>180</v>
      </c>
      <c r="E111" s="29" t="str">
        <f>'FixedP_Lower'!$G$111</f>
        <v>retained c/D (not the cap rule)</v>
      </c>
      <c r="F111" s="16">
        <f>'FixedP_Lower'!$H$111</f>
        <v>3</v>
      </c>
      <c r="G111" s="18">
        <f>'FixedP_Lower'!$AD$111</f>
        <v>17670.345615483235</v>
      </c>
      <c r="H111" s="29" t="str">
        <f>'FixedP_Upper'!$G$111</f>
        <v>retained c/D (not the cap rule)</v>
      </c>
      <c r="I111" s="16">
        <f>'FixedP_Upper'!$H$111</f>
        <v>3</v>
      </c>
      <c r="J111" s="18">
        <f>'FixedP_Upper'!$AD$111</f>
        <v>17670.345615483235</v>
      </c>
      <c r="K111" s="18">
        <f>Selected_P</f>
        <v>17670.345615483235</v>
      </c>
      <c r="L111" s="16">
        <f>IF(ABS(J111-G111)&lt;0.000000001,0,(K111-G111)/(J111-G111))</f>
        <v>0</v>
      </c>
      <c r="M111" s="29" t="str">
        <f>IF(ABS(J111-G111)&lt;0.000000001,"Exact station",IF(AND(K111&gt;=G111-0.000001,K111&lt;=J111+0.000001),"Interpolated","Outside range"))</f>
        <v>Exact station</v>
      </c>
      <c r="N111" s="30">
        <f>'FixedP_Lower'!$AE$111+L111*('FixedP_Upper'!$AE$111-'FixedP_Lower'!$AE$111)</f>
        <v>-379.39001171733474</v>
      </c>
      <c r="O111" s="30">
        <f>'FixedP_Lower'!$AF$111+L111*('FixedP_Upper'!$AF$111-'FixedP_Lower'!$AF$111)</f>
        <v>-0.0018100921237106003</v>
      </c>
      <c r="P111" s="7">
        <v>-379.39001171733474</v>
      </c>
      <c r="Q111" s="7">
        <v>-0.0018100921237106003</v>
      </c>
      <c r="R111" s="16">
        <f>SQRT((N111-P111)^2+(O111-Q111)^2)</f>
        <v>0</v>
      </c>
    </row>
    <row r="112" spans="1:18" x14ac:dyDescent="0.25">
      <c r="A112" s="23">
        <v>105</v>
      </c>
      <c r="B112" s="23" t="s">
        <v>404</v>
      </c>
      <c r="C112" s="23">
        <v>2</v>
      </c>
      <c r="D112" s="24">
        <v>180</v>
      </c>
      <c r="E112" s="25" t="str">
        <f>'FixedP_Lower'!$G$112</f>
        <v>retained c/D (not the cap rule)</v>
      </c>
      <c r="F112" s="26">
        <f>'FixedP_Lower'!$H$112</f>
        <v>2</v>
      </c>
      <c r="G112" s="27">
        <f>'FixedP_Lower'!$AD$112</f>
        <v>17670.345615483235</v>
      </c>
      <c r="H112" s="25" t="str">
        <f>'FixedP_Upper'!$G$112</f>
        <v>retained c/D (not the cap rule)</v>
      </c>
      <c r="I112" s="26">
        <f>'FixedP_Upper'!$H$112</f>
        <v>2</v>
      </c>
      <c r="J112" s="27">
        <f>'FixedP_Upper'!$AD$112</f>
        <v>17670.345615483235</v>
      </c>
      <c r="K112" s="27">
        <f>Selected_P</f>
        <v>17670.345615483235</v>
      </c>
      <c r="L112" s="26">
        <f>IF(ABS(J112-G112)&lt;0.000000001,0,(K112-G112)/(J112-G112))</f>
        <v>0</v>
      </c>
      <c r="M112" s="25" t="str">
        <f>IF(ABS(J112-G112)&lt;0.000000001,"Exact station",IF(AND(K112&gt;=G112-0.000001,K112&lt;=J112+0.000001),"Interpolated","Outside range"))</f>
        <v>Exact station</v>
      </c>
      <c r="N112" s="28">
        <f>'FixedP_Lower'!$AE$112+L112*('FixedP_Upper'!$AE$112-'FixedP_Lower'!$AE$112)</f>
        <v>-758.7800234346695</v>
      </c>
      <c r="O112" s="28">
        <f>'FixedP_Lower'!$AF$112+L112*('FixedP_Upper'!$AF$112-'FixedP_Lower'!$AF$112)</f>
        <v>-0.0036201842474212005</v>
      </c>
      <c r="P112" s="7">
        <v>-758.7800234346695</v>
      </c>
      <c r="Q112" s="7">
        <v>-0.0036201842474212005</v>
      </c>
      <c r="R112" s="16">
        <f>SQRT((N112-P112)^2+(O112-Q112)^2)</f>
        <v>0</v>
      </c>
    </row>
    <row r="113" spans="1:18" x14ac:dyDescent="0.25">
      <c r="A113" s="7">
        <v>106</v>
      </c>
      <c r="B113" s="7" t="s">
        <v>406</v>
      </c>
      <c r="C113" s="7">
        <v>3</v>
      </c>
      <c r="D113" s="19">
        <v>180</v>
      </c>
      <c r="E113" s="29" t="str">
        <f>'FixedP_Lower'!$G$113</f>
        <v>retained c/D (not the cap rule)</v>
      </c>
      <c r="F113" s="16">
        <f>'FixedP_Lower'!$H$113</f>
        <v>1.5</v>
      </c>
      <c r="G113" s="18">
        <f>'FixedP_Lower'!$AD$113</f>
        <v>17670.345615483235</v>
      </c>
      <c r="H113" s="29" t="str">
        <f>'FixedP_Upper'!$G$113</f>
        <v>retained c/D (not the cap rule)</v>
      </c>
      <c r="I113" s="16">
        <f>'FixedP_Upper'!$H$113</f>
        <v>1.5</v>
      </c>
      <c r="J113" s="18">
        <f>'FixedP_Upper'!$AD$113</f>
        <v>17670.345615483235</v>
      </c>
      <c r="K113" s="18">
        <f>Selected_P</f>
        <v>17670.345615483235</v>
      </c>
      <c r="L113" s="16">
        <f>IF(ABS(J113-G113)&lt;0.000000001,0,(K113-G113)/(J113-G113))</f>
        <v>0</v>
      </c>
      <c r="M113" s="29" t="str">
        <f>IF(ABS(J113-G113)&lt;0.000000001,"Exact station",IF(AND(K113&gt;=G113-0.000001,K113&lt;=J113+0.000001),"Interpolated","Outside range"))</f>
        <v>Exact station</v>
      </c>
      <c r="N113" s="30">
        <f>'FixedP_Lower'!$AE$113+L113*('FixedP_Upper'!$AE$113-'FixedP_Lower'!$AE$113)</f>
        <v>-1138.1700351520042</v>
      </c>
      <c r="O113" s="30">
        <f>'FixedP_Lower'!$AF$113+L113*('FixedP_Upper'!$AF$113-'FixedP_Lower'!$AF$113)</f>
        <v>-0.0054302763711318</v>
      </c>
      <c r="P113" s="7">
        <v>-1138.1700351520042</v>
      </c>
      <c r="Q113" s="7">
        <v>-0.0054302763711318</v>
      </c>
      <c r="R113" s="16">
        <f>SQRT((N113-P113)^2+(O113-Q113)^2)</f>
        <v>0</v>
      </c>
    </row>
    <row r="114" spans="1:18" x14ac:dyDescent="0.25">
      <c r="A114" s="23">
        <v>107</v>
      </c>
      <c r="B114" s="23" t="s">
        <v>408</v>
      </c>
      <c r="C114" s="23">
        <v>4</v>
      </c>
      <c r="D114" s="24">
        <v>180</v>
      </c>
      <c r="E114" s="25" t="str">
        <f>'FixedP_Lower'!$G$114</f>
        <v>retained c/D (not the cap rule)</v>
      </c>
      <c r="F114" s="26">
        <f>'FixedP_Lower'!$H$114</f>
        <v>1.2000000000000002</v>
      </c>
      <c r="G114" s="27">
        <f>'FixedP_Lower'!$AD$114</f>
        <v>17670.345615483235</v>
      </c>
      <c r="H114" s="25" t="str">
        <f>'FixedP_Upper'!$G$114</f>
        <v>retained c/D (not the cap rule)</v>
      </c>
      <c r="I114" s="26">
        <f>'FixedP_Upper'!$H$114</f>
        <v>1.2000000000000002</v>
      </c>
      <c r="J114" s="27">
        <f>'FixedP_Upper'!$AD$114</f>
        <v>17670.345615483235</v>
      </c>
      <c r="K114" s="27">
        <f>Selected_P</f>
        <v>17670.345615483235</v>
      </c>
      <c r="L114" s="26">
        <f>IF(ABS(J114-G114)&lt;0.000000001,0,(K114-G114)/(J114-G114))</f>
        <v>0</v>
      </c>
      <c r="M114" s="25" t="str">
        <f>IF(ABS(J114-G114)&lt;0.000000001,"Exact station",IF(AND(K114&gt;=G114-0.000001,K114&lt;=J114+0.000001),"Interpolated","Outside range"))</f>
        <v>Exact station</v>
      </c>
      <c r="N114" s="28">
        <f>'FixedP_Lower'!$AE$114+L114*('FixedP_Upper'!$AE$114-'FixedP_Lower'!$AE$114)</f>
        <v>-1517.560046869339</v>
      </c>
      <c r="O114" s="28">
        <f>'FixedP_Lower'!$AF$114+L114*('FixedP_Upper'!$AF$114-'FixedP_Lower'!$AF$114)</f>
        <v>-0.007240368494842401</v>
      </c>
      <c r="P114" s="7">
        <v>-1517.560046869339</v>
      </c>
      <c r="Q114" s="7">
        <v>-0.007240368494842401</v>
      </c>
      <c r="R114" s="16">
        <f>SQRT((N114-P114)^2+(O114-Q114)^2)</f>
        <v>0</v>
      </c>
    </row>
    <row r="115" spans="1:18" x14ac:dyDescent="0.25">
      <c r="A115" s="7">
        <v>108</v>
      </c>
      <c r="B115" s="7" t="s">
        <v>410</v>
      </c>
      <c r="C115" s="7">
        <v>5</v>
      </c>
      <c r="D115" s="19">
        <v>180</v>
      </c>
      <c r="E115" s="29" t="str">
        <f>'FixedP_Lower'!$G$115</f>
        <v>retained c/D (not the cap rule)</v>
      </c>
      <c r="F115" s="16">
        <f>'FixedP_Lower'!$H$115</f>
        <v>1.1</v>
      </c>
      <c r="G115" s="18">
        <f>'FixedP_Lower'!$AD$115</f>
        <v>17670.345615483235</v>
      </c>
      <c r="H115" s="29" t="str">
        <f>'FixedP_Upper'!$G$115</f>
        <v>retained c/D (not the cap rule)</v>
      </c>
      <c r="I115" s="16">
        <f>'FixedP_Upper'!$H$115</f>
        <v>1.1</v>
      </c>
      <c r="J115" s="18">
        <f>'FixedP_Upper'!$AD$115</f>
        <v>17670.345615483235</v>
      </c>
      <c r="K115" s="18">
        <f>Selected_P</f>
        <v>17670.345615483235</v>
      </c>
      <c r="L115" s="16">
        <f>IF(ABS(J115-G115)&lt;0.000000001,0,(K115-G115)/(J115-G115))</f>
        <v>0</v>
      </c>
      <c r="M115" s="29" t="str">
        <f>IF(ABS(J115-G115)&lt;0.000000001,"Exact station",IF(AND(K115&gt;=G115-0.000001,K115&lt;=J115+0.000001),"Interpolated","Outside range"))</f>
        <v>Exact station</v>
      </c>
      <c r="N115" s="30">
        <f>'FixedP_Lower'!$AE$115+L115*('FixedP_Upper'!$AE$115-'FixedP_Lower'!$AE$115)</f>
        <v>-1896.9500585866738</v>
      </c>
      <c r="O115" s="30">
        <f>'FixedP_Lower'!$AF$115+L115*('FixedP_Upper'!$AF$115-'FixedP_Lower'!$AF$115)</f>
        <v>-0.009050460618553</v>
      </c>
      <c r="P115" s="7">
        <v>-1896.9500585866738</v>
      </c>
      <c r="Q115" s="7">
        <v>-0.009050460618553</v>
      </c>
      <c r="R115" s="16">
        <f>SQRT((N115-P115)^2+(O115-Q115)^2)</f>
        <v>0</v>
      </c>
    </row>
    <row r="116" spans="1:18" x14ac:dyDescent="0.25">
      <c r="A116" s="23">
        <v>109</v>
      </c>
      <c r="B116" s="23" t="s">
        <v>412</v>
      </c>
      <c r="C116" s="23">
        <v>1</v>
      </c>
      <c r="D116" s="24">
        <v>190</v>
      </c>
      <c r="E116" s="25" t="str">
        <f>'FixedP_Lower'!$G$116</f>
        <v>retained c/D (not the cap rule)</v>
      </c>
      <c r="F116" s="26">
        <f>'FixedP_Lower'!$H$116</f>
        <v>2.9999999999999996</v>
      </c>
      <c r="G116" s="27">
        <f>'FixedP_Lower'!$AD$116</f>
        <v>17670.345615483235</v>
      </c>
      <c r="H116" s="25" t="str">
        <f>'FixedP_Upper'!$G$116</f>
        <v>retained c/D (not the cap rule)</v>
      </c>
      <c r="I116" s="26">
        <f>'FixedP_Upper'!$H$116</f>
        <v>2.9999999999999996</v>
      </c>
      <c r="J116" s="27">
        <f>'FixedP_Upper'!$AD$116</f>
        <v>17670.345615483235</v>
      </c>
      <c r="K116" s="27">
        <f>Selected_P</f>
        <v>17670.345615483235</v>
      </c>
      <c r="L116" s="26">
        <f>IF(ABS(J116-G116)&lt;0.000000001,0,(K116-G116)/(J116-G116))</f>
        <v>0</v>
      </c>
      <c r="M116" s="25" t="str">
        <f>IF(ABS(J116-G116)&lt;0.000000001,"Exact station",IF(AND(K116&gt;=G116-0.000001,K116&lt;=J116+0.000001),"Interpolated","Outside range"))</f>
        <v>Exact station</v>
      </c>
      <c r="N116" s="28">
        <f>'FixedP_Lower'!$AE$116+L116*('FixedP_Upper'!$AE$116-'FixedP_Lower'!$AE$116)</f>
        <v>-333.5379277927719</v>
      </c>
      <c r="O116" s="28">
        <f>'FixedP_Lower'!$AF$116+L116*('FixedP_Upper'!$AF$116-'FixedP_Lower'!$AF$116)</f>
        <v>-88.0704884925549</v>
      </c>
      <c r="P116" s="7">
        <v>-333.5379277927719</v>
      </c>
      <c r="Q116" s="7">
        <v>-88.0704884925549</v>
      </c>
      <c r="R116" s="16">
        <f>SQRT((N116-P116)^2+(O116-Q116)^2)</f>
        <v>0</v>
      </c>
    </row>
    <row r="117" spans="1:18" x14ac:dyDescent="0.25">
      <c r="A117" s="7">
        <v>110</v>
      </c>
      <c r="B117" s="7" t="s">
        <v>414</v>
      </c>
      <c r="C117" s="7">
        <v>2</v>
      </c>
      <c r="D117" s="19">
        <v>190</v>
      </c>
      <c r="E117" s="29" t="str">
        <f>'FixedP_Lower'!$G$117</f>
        <v>retained c/D (not the cap rule)</v>
      </c>
      <c r="F117" s="16">
        <f>'FixedP_Lower'!$H$117</f>
        <v>2</v>
      </c>
      <c r="G117" s="18">
        <f>'FixedP_Lower'!$AD$117</f>
        <v>17670.345615483235</v>
      </c>
      <c r="H117" s="29" t="str">
        <f>'FixedP_Upper'!$G$117</f>
        <v>retained c/D (not the cap rule)</v>
      </c>
      <c r="I117" s="16">
        <f>'FixedP_Upper'!$H$117</f>
        <v>2</v>
      </c>
      <c r="J117" s="18">
        <f>'FixedP_Upper'!$AD$117</f>
        <v>17670.345615483235</v>
      </c>
      <c r="K117" s="18">
        <f>Selected_P</f>
        <v>17670.345615483235</v>
      </c>
      <c r="L117" s="16">
        <f>IF(ABS(J117-G117)&lt;0.000000001,0,(K117-G117)/(J117-G117))</f>
        <v>0</v>
      </c>
      <c r="M117" s="29" t="str">
        <f>IF(ABS(J117-G117)&lt;0.000000001,"Exact station",IF(AND(K117&gt;=G117-0.000001,K117&lt;=J117+0.000001),"Interpolated","Outside range"))</f>
        <v>Exact station</v>
      </c>
      <c r="N117" s="30">
        <f>'FixedP_Lower'!$AE$117+L117*('FixedP_Upper'!$AE$117-'FixedP_Lower'!$AE$117)</f>
        <v>-667.0758555855438</v>
      </c>
      <c r="O117" s="30">
        <f>'FixedP_Lower'!$AF$117+L117*('FixedP_Upper'!$AF$117-'FixedP_Lower'!$AF$117)</f>
        <v>-176.1409769851098</v>
      </c>
      <c r="P117" s="7">
        <v>-667.0758555855438</v>
      </c>
      <c r="Q117" s="7">
        <v>-176.1409769851098</v>
      </c>
      <c r="R117" s="16">
        <f>SQRT((N117-P117)^2+(O117-Q117)^2)</f>
        <v>0</v>
      </c>
    </row>
    <row r="118" spans="1:18" x14ac:dyDescent="0.25">
      <c r="A118" s="23">
        <v>111</v>
      </c>
      <c r="B118" s="23" t="s">
        <v>416</v>
      </c>
      <c r="C118" s="23">
        <v>3</v>
      </c>
      <c r="D118" s="24">
        <v>190</v>
      </c>
      <c r="E118" s="25" t="str">
        <f>'FixedP_Lower'!$G$118</f>
        <v>retained c/D (not the cap rule)</v>
      </c>
      <c r="F118" s="26">
        <f>'FixedP_Lower'!$H$118</f>
        <v>1.4999999999999998</v>
      </c>
      <c r="G118" s="27">
        <f>'FixedP_Lower'!$AD$118</f>
        <v>17670.345615483235</v>
      </c>
      <c r="H118" s="25" t="str">
        <f>'FixedP_Upper'!$G$118</f>
        <v>retained c/D (not the cap rule)</v>
      </c>
      <c r="I118" s="26">
        <f>'FixedP_Upper'!$H$118</f>
        <v>1.4999999999999998</v>
      </c>
      <c r="J118" s="27">
        <f>'FixedP_Upper'!$AD$118</f>
        <v>17670.345615483235</v>
      </c>
      <c r="K118" s="27">
        <f>Selected_P</f>
        <v>17670.345615483235</v>
      </c>
      <c r="L118" s="26">
        <f>IF(ABS(J118-G118)&lt;0.000000001,0,(K118-G118)/(J118-G118))</f>
        <v>0</v>
      </c>
      <c r="M118" s="25" t="str">
        <f>IF(ABS(J118-G118)&lt;0.000000001,"Exact station",IF(AND(K118&gt;=G118-0.000001,K118&lt;=J118+0.000001),"Interpolated","Outside range"))</f>
        <v>Exact station</v>
      </c>
      <c r="N118" s="28">
        <f>'FixedP_Lower'!$AE$118+L118*('FixedP_Upper'!$AE$118-'FixedP_Lower'!$AE$118)</f>
        <v>-1000.6137833783156</v>
      </c>
      <c r="O118" s="28">
        <f>'FixedP_Lower'!$AF$118+L118*('FixedP_Upper'!$AF$118-'FixedP_Lower'!$AF$118)</f>
        <v>-264.2114654776647</v>
      </c>
      <c r="P118" s="7">
        <v>-1000.6137833783156</v>
      </c>
      <c r="Q118" s="7">
        <v>-264.2114654776647</v>
      </c>
      <c r="R118" s="16">
        <f>SQRT((N118-P118)^2+(O118-Q118)^2)</f>
        <v>0</v>
      </c>
    </row>
    <row r="119" spans="1:18" x14ac:dyDescent="0.25">
      <c r="A119" s="7">
        <v>112</v>
      </c>
      <c r="B119" s="7" t="s">
        <v>418</v>
      </c>
      <c r="C119" s="7">
        <v>4</v>
      </c>
      <c r="D119" s="19">
        <v>190</v>
      </c>
      <c r="E119" s="29" t="str">
        <f>'FixedP_Lower'!$G$119</f>
        <v>retained c/D (not the cap rule)</v>
      </c>
      <c r="F119" s="16">
        <f>'FixedP_Lower'!$H$119</f>
        <v>1.2</v>
      </c>
      <c r="G119" s="18">
        <f>'FixedP_Lower'!$AD$119</f>
        <v>17670.345615483235</v>
      </c>
      <c r="H119" s="29" t="str">
        <f>'FixedP_Upper'!$G$119</f>
        <v>retained c/D (not the cap rule)</v>
      </c>
      <c r="I119" s="16">
        <f>'FixedP_Upper'!$H$119</f>
        <v>1.2</v>
      </c>
      <c r="J119" s="18">
        <f>'FixedP_Upper'!$AD$119</f>
        <v>17670.345615483235</v>
      </c>
      <c r="K119" s="18">
        <f>Selected_P</f>
        <v>17670.345615483235</v>
      </c>
      <c r="L119" s="16">
        <f>IF(ABS(J119-G119)&lt;0.000000001,0,(K119-G119)/(J119-G119))</f>
        <v>0</v>
      </c>
      <c r="M119" s="29" t="str">
        <f>IF(ABS(J119-G119)&lt;0.000000001,"Exact station",IF(AND(K119&gt;=G119-0.000001,K119&lt;=J119+0.000001),"Interpolated","Outside range"))</f>
        <v>Exact station</v>
      </c>
      <c r="N119" s="30">
        <f>'FixedP_Lower'!$AE$119+L119*('FixedP_Upper'!$AE$119-'FixedP_Lower'!$AE$119)</f>
        <v>-1334.1517111710875</v>
      </c>
      <c r="O119" s="30">
        <f>'FixedP_Lower'!$AF$119+L119*('FixedP_Upper'!$AF$119-'FixedP_Lower'!$AF$119)</f>
        <v>-352.2819539702196</v>
      </c>
      <c r="P119" s="7">
        <v>-1334.1517111710875</v>
      </c>
      <c r="Q119" s="7">
        <v>-352.2819539702196</v>
      </c>
      <c r="R119" s="16">
        <f>SQRT((N119-P119)^2+(O119-Q119)^2)</f>
        <v>0</v>
      </c>
    </row>
    <row r="120" spans="1:18" x14ac:dyDescent="0.25">
      <c r="A120" s="23">
        <v>113</v>
      </c>
      <c r="B120" s="23" t="s">
        <v>420</v>
      </c>
      <c r="C120" s="23">
        <v>5</v>
      </c>
      <c r="D120" s="24">
        <v>190</v>
      </c>
      <c r="E120" s="25" t="str">
        <f>'FixedP_Lower'!$G$120</f>
        <v>retained c/D (not the cap rule)</v>
      </c>
      <c r="F120" s="26">
        <f>'FixedP_Lower'!$H$120</f>
        <v>1.1</v>
      </c>
      <c r="G120" s="27">
        <f>'FixedP_Lower'!$AD$120</f>
        <v>17670.345615483235</v>
      </c>
      <c r="H120" s="25" t="str">
        <f>'FixedP_Upper'!$G$120</f>
        <v>retained c/D (not the cap rule)</v>
      </c>
      <c r="I120" s="26">
        <f>'FixedP_Upper'!$H$120</f>
        <v>1.1</v>
      </c>
      <c r="J120" s="27">
        <f>'FixedP_Upper'!$AD$120</f>
        <v>17670.345615483235</v>
      </c>
      <c r="K120" s="27">
        <f>Selected_P</f>
        <v>17670.345615483235</v>
      </c>
      <c r="L120" s="26">
        <f>IF(ABS(J120-G120)&lt;0.000000001,0,(K120-G120)/(J120-G120))</f>
        <v>0</v>
      </c>
      <c r="M120" s="25" t="str">
        <f>IF(ABS(J120-G120)&lt;0.000000001,"Exact station",IF(AND(K120&gt;=G120-0.000001,K120&lt;=J120+0.000001),"Interpolated","Outside range"))</f>
        <v>Exact station</v>
      </c>
      <c r="N120" s="28">
        <f>'FixedP_Lower'!$AE$120+L120*('FixedP_Upper'!$AE$120-'FixedP_Lower'!$AE$120)</f>
        <v>-1667.6896389638591</v>
      </c>
      <c r="O120" s="28">
        <f>'FixedP_Lower'!$AF$120+L120*('FixedP_Upper'!$AF$120-'FixedP_Lower'!$AF$120)</f>
        <v>-440.35244246277443</v>
      </c>
      <c r="P120" s="7">
        <v>-1667.6896389638591</v>
      </c>
      <c r="Q120" s="7">
        <v>-440.35244246277443</v>
      </c>
      <c r="R120" s="16">
        <f>SQRT((N120-P120)^2+(O120-Q120)^2)</f>
        <v>0</v>
      </c>
    </row>
    <row r="121" spans="1:18" x14ac:dyDescent="0.25">
      <c r="A121" s="7">
        <v>114</v>
      </c>
      <c r="B121" s="7" t="s">
        <v>422</v>
      </c>
      <c r="C121" s="7">
        <v>1</v>
      </c>
      <c r="D121" s="19">
        <v>200</v>
      </c>
      <c r="E121" s="29" t="str">
        <f>'FixedP_Lower'!$G$121</f>
        <v>retained c/D (not the cap rule)</v>
      </c>
      <c r="F121" s="16">
        <f>'FixedP_Lower'!$H$121</f>
        <v>3.0000000000000004</v>
      </c>
      <c r="G121" s="18">
        <f>'FixedP_Lower'!$AD$121</f>
        <v>17670.345615483235</v>
      </c>
      <c r="H121" s="29" t="str">
        <f>'FixedP_Upper'!$G$121</f>
        <v>retained c/D (not the cap rule)</v>
      </c>
      <c r="I121" s="16">
        <f>'FixedP_Upper'!$H$121</f>
        <v>3.0000000000000004</v>
      </c>
      <c r="J121" s="18">
        <f>'FixedP_Upper'!$AD$121</f>
        <v>17670.345615483235</v>
      </c>
      <c r="K121" s="18">
        <f>Selected_P</f>
        <v>17670.345615483235</v>
      </c>
      <c r="L121" s="16">
        <f>IF(ABS(J121-G121)&lt;0.000000001,0,(K121-G121)/(J121-G121))</f>
        <v>0</v>
      </c>
      <c r="M121" s="29" t="str">
        <f>IF(ABS(J121-G121)&lt;0.000000001,"Exact station",IF(AND(K121&gt;=G121-0.000001,K121&lt;=J121+0.000001),"Interpolated","Outside range"))</f>
        <v>Exact station</v>
      </c>
      <c r="N121" s="30">
        <f>'FixedP_Lower'!$AE$121+L121*('FixedP_Upper'!$AE$121-'FixedP_Lower'!$AE$121)</f>
        <v>-296.614150643108</v>
      </c>
      <c r="O121" s="30">
        <f>'FixedP_Lower'!$AF$121+L121*('FixedP_Upper'!$AF$121-'FixedP_Lower'!$AF$121)</f>
        <v>-158.2225064316606</v>
      </c>
      <c r="P121" s="7">
        <v>-296.614150643108</v>
      </c>
      <c r="Q121" s="7">
        <v>-158.2225064316606</v>
      </c>
      <c r="R121" s="16">
        <f>SQRT((N121-P121)^2+(O121-Q121)^2)</f>
        <v>0</v>
      </c>
    </row>
    <row r="122" spans="1:18" x14ac:dyDescent="0.25">
      <c r="A122" s="23">
        <v>115</v>
      </c>
      <c r="B122" s="23" t="s">
        <v>424</v>
      </c>
      <c r="C122" s="23">
        <v>2</v>
      </c>
      <c r="D122" s="24">
        <v>200</v>
      </c>
      <c r="E122" s="25" t="str">
        <f>'FixedP_Lower'!$G$122</f>
        <v>retained c/D (not the cap rule)</v>
      </c>
      <c r="F122" s="26">
        <f>'FixedP_Lower'!$H$122</f>
        <v>2.0000000000000004</v>
      </c>
      <c r="G122" s="27">
        <f>'FixedP_Lower'!$AD$122</f>
        <v>17670.345615483235</v>
      </c>
      <c r="H122" s="25" t="str">
        <f>'FixedP_Upper'!$G$122</f>
        <v>retained c/D (not the cap rule)</v>
      </c>
      <c r="I122" s="26">
        <f>'FixedP_Upper'!$H$122</f>
        <v>2.0000000000000004</v>
      </c>
      <c r="J122" s="27">
        <f>'FixedP_Upper'!$AD$122</f>
        <v>17670.345615483235</v>
      </c>
      <c r="K122" s="27">
        <f>Selected_P</f>
        <v>17670.345615483235</v>
      </c>
      <c r="L122" s="26">
        <f>IF(ABS(J122-G122)&lt;0.000000001,0,(K122-G122)/(J122-G122))</f>
        <v>0</v>
      </c>
      <c r="M122" s="25" t="str">
        <f>IF(ABS(J122-G122)&lt;0.000000001,"Exact station",IF(AND(K122&gt;=G122-0.000001,K122&lt;=J122+0.000001),"Interpolated","Outside range"))</f>
        <v>Exact station</v>
      </c>
      <c r="N122" s="28">
        <f>'FixedP_Lower'!$AE$122+L122*('FixedP_Upper'!$AE$122-'FixedP_Lower'!$AE$122)</f>
        <v>-593.228301286216</v>
      </c>
      <c r="O122" s="28">
        <f>'FixedP_Lower'!$AF$122+L122*('FixedP_Upper'!$AF$122-'FixedP_Lower'!$AF$122)</f>
        <v>-316.4450128633212</v>
      </c>
      <c r="P122" s="7">
        <v>-593.228301286216</v>
      </c>
      <c r="Q122" s="7">
        <v>-316.4450128633212</v>
      </c>
      <c r="R122" s="16">
        <f>SQRT((N122-P122)^2+(O122-Q122)^2)</f>
        <v>0</v>
      </c>
    </row>
    <row r="123" spans="1:18" x14ac:dyDescent="0.25">
      <c r="A123" s="7">
        <v>116</v>
      </c>
      <c r="B123" s="7" t="s">
        <v>426</v>
      </c>
      <c r="C123" s="7">
        <v>3</v>
      </c>
      <c r="D123" s="19">
        <v>200</v>
      </c>
      <c r="E123" s="29" t="str">
        <f>'FixedP_Lower'!$G$123</f>
        <v>retained c/D (not the cap rule)</v>
      </c>
      <c r="F123" s="16">
        <f>'FixedP_Lower'!$H$123</f>
        <v>1.5000000000000002</v>
      </c>
      <c r="G123" s="18">
        <f>'FixedP_Lower'!$AD$123</f>
        <v>17670.345615483235</v>
      </c>
      <c r="H123" s="29" t="str">
        <f>'FixedP_Upper'!$G$123</f>
        <v>retained c/D (not the cap rule)</v>
      </c>
      <c r="I123" s="16">
        <f>'FixedP_Upper'!$H$123</f>
        <v>1.5000000000000002</v>
      </c>
      <c r="J123" s="18">
        <f>'FixedP_Upper'!$AD$123</f>
        <v>17670.345615483235</v>
      </c>
      <c r="K123" s="18">
        <f>Selected_P</f>
        <v>17670.345615483235</v>
      </c>
      <c r="L123" s="16">
        <f>IF(ABS(J123-G123)&lt;0.000000001,0,(K123-G123)/(J123-G123))</f>
        <v>0</v>
      </c>
      <c r="M123" s="29" t="str">
        <f>IF(ABS(J123-G123)&lt;0.000000001,"Exact station",IF(AND(K123&gt;=G123-0.000001,K123&lt;=J123+0.000001),"Interpolated","Outside range"))</f>
        <v>Exact station</v>
      </c>
      <c r="N123" s="30">
        <f>'FixedP_Lower'!$AE$123+L123*('FixedP_Upper'!$AE$123-'FixedP_Lower'!$AE$123)</f>
        <v>-889.8424519293239</v>
      </c>
      <c r="O123" s="30">
        <f>'FixedP_Lower'!$AF$123+L123*('FixedP_Upper'!$AF$123-'FixedP_Lower'!$AF$123)</f>
        <v>-474.6675192949818</v>
      </c>
      <c r="P123" s="7">
        <v>-889.8424519293239</v>
      </c>
      <c r="Q123" s="7">
        <v>-474.6675192949818</v>
      </c>
      <c r="R123" s="16">
        <f>SQRT((N123-P123)^2+(O123-Q123)^2)</f>
        <v>0</v>
      </c>
    </row>
    <row r="124" spans="1:18" x14ac:dyDescent="0.25">
      <c r="A124" s="23">
        <v>117</v>
      </c>
      <c r="B124" s="23" t="s">
        <v>428</v>
      </c>
      <c r="C124" s="23">
        <v>4</v>
      </c>
      <c r="D124" s="24">
        <v>200</v>
      </c>
      <c r="E124" s="25" t="str">
        <f>'FixedP_Lower'!$G$124</f>
        <v>retained c/D (not the cap rule)</v>
      </c>
      <c r="F124" s="26">
        <f>'FixedP_Lower'!$H$124</f>
        <v>1.2</v>
      </c>
      <c r="G124" s="27">
        <f>'FixedP_Lower'!$AD$124</f>
        <v>17670.345615483235</v>
      </c>
      <c r="H124" s="25" t="str">
        <f>'FixedP_Upper'!$G$124</f>
        <v>retained c/D (not the cap rule)</v>
      </c>
      <c r="I124" s="26">
        <f>'FixedP_Upper'!$H$124</f>
        <v>1.2</v>
      </c>
      <c r="J124" s="27">
        <f>'FixedP_Upper'!$AD$124</f>
        <v>17670.345615483235</v>
      </c>
      <c r="K124" s="27">
        <f>Selected_P</f>
        <v>17670.345615483235</v>
      </c>
      <c r="L124" s="26">
        <f>IF(ABS(J124-G124)&lt;0.000000001,0,(K124-G124)/(J124-G124))</f>
        <v>0</v>
      </c>
      <c r="M124" s="25" t="str">
        <f>IF(ABS(J124-G124)&lt;0.000000001,"Exact station",IF(AND(K124&gt;=G124-0.000001,K124&lt;=J124+0.000001),"Interpolated","Outside range"))</f>
        <v>Exact station</v>
      </c>
      <c r="N124" s="28">
        <f>'FixedP_Lower'!$AE$124+L124*('FixedP_Upper'!$AE$124-'FixedP_Lower'!$AE$124)</f>
        <v>-1186.456602572432</v>
      </c>
      <c r="O124" s="28">
        <f>'FixedP_Lower'!$AF$124+L124*('FixedP_Upper'!$AF$124-'FixedP_Lower'!$AF$124)</f>
        <v>-632.8900257266424</v>
      </c>
      <c r="P124" s="7">
        <v>-1186.456602572432</v>
      </c>
      <c r="Q124" s="7">
        <v>-632.8900257266424</v>
      </c>
      <c r="R124" s="16">
        <f>SQRT((N124-P124)^2+(O124-Q124)^2)</f>
        <v>0</v>
      </c>
    </row>
    <row r="125" spans="1:18" x14ac:dyDescent="0.25">
      <c r="A125" s="7">
        <v>118</v>
      </c>
      <c r="B125" s="7" t="s">
        <v>430</v>
      </c>
      <c r="C125" s="7">
        <v>5</v>
      </c>
      <c r="D125" s="19">
        <v>200</v>
      </c>
      <c r="E125" s="29" t="str">
        <f>'FixedP_Lower'!$G$125</f>
        <v>retained c/D (not the cap rule)</v>
      </c>
      <c r="F125" s="16">
        <f>'FixedP_Lower'!$H$125</f>
        <v>1.1</v>
      </c>
      <c r="G125" s="18">
        <f>'FixedP_Lower'!$AD$125</f>
        <v>17670.345615483235</v>
      </c>
      <c r="H125" s="29" t="str">
        <f>'FixedP_Upper'!$G$125</f>
        <v>retained c/D (not the cap rule)</v>
      </c>
      <c r="I125" s="16">
        <f>'FixedP_Upper'!$H$125</f>
        <v>1.1</v>
      </c>
      <c r="J125" s="18">
        <f>'FixedP_Upper'!$AD$125</f>
        <v>17670.345615483235</v>
      </c>
      <c r="K125" s="18">
        <f>Selected_P</f>
        <v>17670.345615483235</v>
      </c>
      <c r="L125" s="16">
        <f>IF(ABS(J125-G125)&lt;0.000000001,0,(K125-G125)/(J125-G125))</f>
        <v>0</v>
      </c>
      <c r="M125" s="29" t="str">
        <f>IF(ABS(J125-G125)&lt;0.000000001,"Exact station",IF(AND(K125&gt;=G125-0.000001,K125&lt;=J125+0.000001),"Interpolated","Outside range"))</f>
        <v>Exact station</v>
      </c>
      <c r="N125" s="30">
        <f>'FixedP_Lower'!$AE$125+L125*('FixedP_Upper'!$AE$125-'FixedP_Lower'!$AE$125)</f>
        <v>-1483.07075321554</v>
      </c>
      <c r="O125" s="30">
        <f>'FixedP_Lower'!$AF$125+L125*('FixedP_Upper'!$AF$125-'FixedP_Lower'!$AF$125)</f>
        <v>-791.1125321583029</v>
      </c>
      <c r="P125" s="7">
        <v>-1483.07075321554</v>
      </c>
      <c r="Q125" s="7">
        <v>-791.1125321583029</v>
      </c>
      <c r="R125" s="16">
        <f>SQRT((N125-P125)^2+(O125-Q125)^2)</f>
        <v>0</v>
      </c>
    </row>
    <row r="126" spans="1:18" x14ac:dyDescent="0.25">
      <c r="A126" s="23">
        <v>119</v>
      </c>
      <c r="B126" s="23" t="s">
        <v>432</v>
      </c>
      <c r="C126" s="23">
        <v>6</v>
      </c>
      <c r="D126" s="24">
        <v>200</v>
      </c>
      <c r="E126" s="25" t="str">
        <f>'FixedP_Lower'!$G$126</f>
        <v>retained c/D (not the cap rule)</v>
      </c>
      <c r="F126" s="26">
        <f>'FixedP_Lower'!$H$126</f>
        <v>1.0000000000000002</v>
      </c>
      <c r="G126" s="27">
        <f>'FixedP_Lower'!$AD$126</f>
        <v>17670.345615483235</v>
      </c>
      <c r="H126" s="25" t="str">
        <f>'FixedP_Upper'!$G$126</f>
        <v>retained c/D (not the cap rule)</v>
      </c>
      <c r="I126" s="26">
        <f>'FixedP_Upper'!$H$126</f>
        <v>1.0000000000000002</v>
      </c>
      <c r="J126" s="27">
        <f>'FixedP_Upper'!$AD$126</f>
        <v>17670.345615483235</v>
      </c>
      <c r="K126" s="27">
        <f>Selected_P</f>
        <v>17670.345615483235</v>
      </c>
      <c r="L126" s="26">
        <f>IF(ABS(J126-G126)&lt;0.000000001,0,(K126-G126)/(J126-G126))</f>
        <v>0</v>
      </c>
      <c r="M126" s="25" t="str">
        <f>IF(ABS(J126-G126)&lt;0.000000001,"Exact station",IF(AND(K126&gt;=G126-0.000001,K126&lt;=J126+0.000001),"Interpolated","Outside range"))</f>
        <v>Exact station</v>
      </c>
      <c r="N126" s="28">
        <f>'FixedP_Lower'!$AE$126+L126*('FixedP_Upper'!$AE$126-'FixedP_Lower'!$AE$126)</f>
        <v>-1779.6849038586479</v>
      </c>
      <c r="O126" s="28">
        <f>'FixedP_Lower'!$AF$126+L126*('FixedP_Upper'!$AF$126-'FixedP_Lower'!$AF$126)</f>
        <v>-949.3350385899636</v>
      </c>
      <c r="P126" s="7">
        <v>-1779.6849038586479</v>
      </c>
      <c r="Q126" s="7">
        <v>-949.3350385899636</v>
      </c>
      <c r="R126" s="16">
        <f>SQRT((N126-P126)^2+(O126-Q126)^2)</f>
        <v>0</v>
      </c>
    </row>
    <row r="127" spans="1:18" x14ac:dyDescent="0.25">
      <c r="A127" s="7">
        <v>120</v>
      </c>
      <c r="B127" s="7" t="s">
        <v>434</v>
      </c>
      <c r="C127" s="7">
        <v>1</v>
      </c>
      <c r="D127" s="19">
        <v>210</v>
      </c>
      <c r="E127" s="29" t="str">
        <f>'FixedP_Lower'!$G$127</f>
        <v>retained c/D (not the cap rule)</v>
      </c>
      <c r="F127" s="16">
        <f>'FixedP_Lower'!$H$127</f>
        <v>3</v>
      </c>
      <c r="G127" s="18">
        <f>'FixedP_Lower'!$AD$127</f>
        <v>17670.345615483235</v>
      </c>
      <c r="H127" s="29" t="str">
        <f>'FixedP_Upper'!$G$127</f>
        <v>retained c/D (not the cap rule)</v>
      </c>
      <c r="I127" s="16">
        <f>'FixedP_Upper'!$H$127</f>
        <v>3</v>
      </c>
      <c r="J127" s="18">
        <f>'FixedP_Upper'!$AD$127</f>
        <v>17670.345615483235</v>
      </c>
      <c r="K127" s="18">
        <f>Selected_P</f>
        <v>17670.345615483235</v>
      </c>
      <c r="L127" s="16">
        <f>IF(ABS(J127-G127)&lt;0.000000001,0,(K127-G127)/(J127-G127))</f>
        <v>0</v>
      </c>
      <c r="M127" s="29" t="str">
        <f>IF(ABS(J127-G127)&lt;0.000000001,"Exact station",IF(AND(K127&gt;=G127-0.000001,K127&lt;=J127+0.000001),"Interpolated","Outside range"))</f>
        <v>Exact station</v>
      </c>
      <c r="N127" s="30">
        <f>'FixedP_Lower'!$AE$127+L127*('FixedP_Upper'!$AE$127-'FixedP_Lower'!$AE$127)</f>
        <v>-264.9465905882582</v>
      </c>
      <c r="O127" s="30">
        <f>'FixedP_Lower'!$AF$127+L127*('FixedP_Upper'!$AF$127-'FixedP_Lower'!$AF$127)</f>
        <v>-216.4567109080415</v>
      </c>
      <c r="P127" s="7">
        <v>-264.9465905882582</v>
      </c>
      <c r="Q127" s="7">
        <v>-216.4567109080415</v>
      </c>
      <c r="R127" s="16">
        <f>SQRT((N127-P127)^2+(O127-Q127)^2)</f>
        <v>0</v>
      </c>
    </row>
    <row r="128" spans="1:18" x14ac:dyDescent="0.25">
      <c r="A128" s="23">
        <v>121</v>
      </c>
      <c r="B128" s="23" t="s">
        <v>436</v>
      </c>
      <c r="C128" s="23">
        <v>2</v>
      </c>
      <c r="D128" s="24">
        <v>210</v>
      </c>
      <c r="E128" s="25" t="str">
        <f>'FixedP_Lower'!$G$128</f>
        <v>retained c/D (not the cap rule)</v>
      </c>
      <c r="F128" s="26">
        <f>'FixedP_Lower'!$H$128</f>
        <v>2</v>
      </c>
      <c r="G128" s="27">
        <f>'FixedP_Lower'!$AD$128</f>
        <v>17670.345615483235</v>
      </c>
      <c r="H128" s="25" t="str">
        <f>'FixedP_Upper'!$G$128</f>
        <v>retained c/D (not the cap rule)</v>
      </c>
      <c r="I128" s="26">
        <f>'FixedP_Upper'!$H$128</f>
        <v>2</v>
      </c>
      <c r="J128" s="27">
        <f>'FixedP_Upper'!$AD$128</f>
        <v>17670.345615483235</v>
      </c>
      <c r="K128" s="27">
        <f>Selected_P</f>
        <v>17670.345615483235</v>
      </c>
      <c r="L128" s="26">
        <f>IF(ABS(J128-G128)&lt;0.000000001,0,(K128-G128)/(J128-G128))</f>
        <v>0</v>
      </c>
      <c r="M128" s="25" t="str">
        <f>IF(ABS(J128-G128)&lt;0.000000001,"Exact station",IF(AND(K128&gt;=G128-0.000001,K128&lt;=J128+0.000001),"Interpolated","Outside range"))</f>
        <v>Exact station</v>
      </c>
      <c r="N128" s="28">
        <f>'FixedP_Lower'!$AE$128+L128*('FixedP_Upper'!$AE$128-'FixedP_Lower'!$AE$128)</f>
        <v>-529.8931811765164</v>
      </c>
      <c r="O128" s="28">
        <f>'FixedP_Lower'!$AF$128+L128*('FixedP_Upper'!$AF$128-'FixedP_Lower'!$AF$128)</f>
        <v>-432.913421816083</v>
      </c>
      <c r="P128" s="7">
        <v>-529.8931811765164</v>
      </c>
      <c r="Q128" s="7">
        <v>-432.913421816083</v>
      </c>
      <c r="R128" s="16">
        <f>SQRT((N128-P128)^2+(O128-Q128)^2)</f>
        <v>0</v>
      </c>
    </row>
    <row r="129" spans="1:18" x14ac:dyDescent="0.25">
      <c r="A129" s="7">
        <v>122</v>
      </c>
      <c r="B129" s="7" t="s">
        <v>438</v>
      </c>
      <c r="C129" s="7">
        <v>3</v>
      </c>
      <c r="D129" s="19">
        <v>210</v>
      </c>
      <c r="E129" s="29" t="str">
        <f>'FixedP_Lower'!$G$129</f>
        <v>retained c/D (not the cap rule)</v>
      </c>
      <c r="F129" s="16">
        <f>'FixedP_Lower'!$H$129</f>
        <v>1.5000000000000002</v>
      </c>
      <c r="G129" s="18">
        <f>'FixedP_Lower'!$AD$129</f>
        <v>17670.345615483235</v>
      </c>
      <c r="H129" s="29" t="str">
        <f>'FixedP_Upper'!$G$129</f>
        <v>retained c/D (not the cap rule)</v>
      </c>
      <c r="I129" s="16">
        <f>'FixedP_Upper'!$H$129</f>
        <v>1.5000000000000002</v>
      </c>
      <c r="J129" s="18">
        <f>'FixedP_Upper'!$AD$129</f>
        <v>17670.345615483235</v>
      </c>
      <c r="K129" s="18">
        <f>Selected_P</f>
        <v>17670.345615483235</v>
      </c>
      <c r="L129" s="16">
        <f>IF(ABS(J129-G129)&lt;0.000000001,0,(K129-G129)/(J129-G129))</f>
        <v>0</v>
      </c>
      <c r="M129" s="29" t="str">
        <f>IF(ABS(J129-G129)&lt;0.000000001,"Exact station",IF(AND(K129&gt;=G129-0.000001,K129&lt;=J129+0.000001),"Interpolated","Outside range"))</f>
        <v>Exact station</v>
      </c>
      <c r="N129" s="30">
        <f>'FixedP_Lower'!$AE$129+L129*('FixedP_Upper'!$AE$129-'FixedP_Lower'!$AE$129)</f>
        <v>-794.8397717647745</v>
      </c>
      <c r="O129" s="30">
        <f>'FixedP_Lower'!$AF$129+L129*('FixedP_Upper'!$AF$129-'FixedP_Lower'!$AF$129)</f>
        <v>-649.3701327241245</v>
      </c>
      <c r="P129" s="7">
        <v>-794.8397717647745</v>
      </c>
      <c r="Q129" s="7">
        <v>-649.3701327241245</v>
      </c>
      <c r="R129" s="16">
        <f>SQRT((N129-P129)^2+(O129-Q129)^2)</f>
        <v>0</v>
      </c>
    </row>
    <row r="130" spans="1:18" x14ac:dyDescent="0.25">
      <c r="A130" s="23">
        <v>123</v>
      </c>
      <c r="B130" s="23" t="s">
        <v>440</v>
      </c>
      <c r="C130" s="23">
        <v>4</v>
      </c>
      <c r="D130" s="24">
        <v>210</v>
      </c>
      <c r="E130" s="25" t="str">
        <f>'FixedP_Lower'!$G$130</f>
        <v>retained c/D (not the cap rule)</v>
      </c>
      <c r="F130" s="26">
        <f>'FixedP_Lower'!$H$130</f>
        <v>1.2</v>
      </c>
      <c r="G130" s="27">
        <f>'FixedP_Lower'!$AD$130</f>
        <v>17670.345615483235</v>
      </c>
      <c r="H130" s="25" t="str">
        <f>'FixedP_Upper'!$G$130</f>
        <v>retained c/D (not the cap rule)</v>
      </c>
      <c r="I130" s="26">
        <f>'FixedP_Upper'!$H$130</f>
        <v>1.2</v>
      </c>
      <c r="J130" s="27">
        <f>'FixedP_Upper'!$AD$130</f>
        <v>17670.345615483235</v>
      </c>
      <c r="K130" s="27">
        <f>Selected_P</f>
        <v>17670.345615483235</v>
      </c>
      <c r="L130" s="26">
        <f>IF(ABS(J130-G130)&lt;0.000000001,0,(K130-G130)/(J130-G130))</f>
        <v>0</v>
      </c>
      <c r="M130" s="25" t="str">
        <f>IF(ABS(J130-G130)&lt;0.000000001,"Exact station",IF(AND(K130&gt;=G130-0.000001,K130&lt;=J130+0.000001),"Interpolated","Outside range"))</f>
        <v>Exact station</v>
      </c>
      <c r="N130" s="28">
        <f>'FixedP_Lower'!$AE$130+L130*('FixedP_Upper'!$AE$130-'FixedP_Lower'!$AE$130)</f>
        <v>-1059.7863623530327</v>
      </c>
      <c r="O130" s="28">
        <f>'FixedP_Lower'!$AF$130+L130*('FixedP_Upper'!$AF$130-'FixedP_Lower'!$AF$130)</f>
        <v>-865.826843632166</v>
      </c>
      <c r="P130" s="7">
        <v>-1059.7863623530327</v>
      </c>
      <c r="Q130" s="7">
        <v>-865.826843632166</v>
      </c>
      <c r="R130" s="16">
        <f>SQRT((N130-P130)^2+(O130-Q130)^2)</f>
        <v>0</v>
      </c>
    </row>
    <row r="131" spans="1:18" x14ac:dyDescent="0.25">
      <c r="A131" s="7">
        <v>124</v>
      </c>
      <c r="B131" s="7" t="s">
        <v>442</v>
      </c>
      <c r="C131" s="7">
        <v>5</v>
      </c>
      <c r="D131" s="19">
        <v>210</v>
      </c>
      <c r="E131" s="29" t="str">
        <f>'FixedP_Lower'!$G$131</f>
        <v>retained c/D (not the cap rule)</v>
      </c>
      <c r="F131" s="16">
        <f>'FixedP_Lower'!$H$131</f>
        <v>1.1</v>
      </c>
      <c r="G131" s="18">
        <f>'FixedP_Lower'!$AD$131</f>
        <v>17670.345615483235</v>
      </c>
      <c r="H131" s="29" t="str">
        <f>'FixedP_Upper'!$G$131</f>
        <v>retained c/D (not the cap rule)</v>
      </c>
      <c r="I131" s="16">
        <f>'FixedP_Upper'!$H$131</f>
        <v>1.1</v>
      </c>
      <c r="J131" s="18">
        <f>'FixedP_Upper'!$AD$131</f>
        <v>17670.345615483235</v>
      </c>
      <c r="K131" s="18">
        <f>Selected_P</f>
        <v>17670.345615483235</v>
      </c>
      <c r="L131" s="16">
        <f>IF(ABS(J131-G131)&lt;0.000000001,0,(K131-G131)/(J131-G131))</f>
        <v>0</v>
      </c>
      <c r="M131" s="29" t="str">
        <f>IF(ABS(J131-G131)&lt;0.000000001,"Exact station",IF(AND(K131&gt;=G131-0.000001,K131&lt;=J131+0.000001),"Interpolated","Outside range"))</f>
        <v>Exact station</v>
      </c>
      <c r="N131" s="30">
        <f>'FixedP_Lower'!$AE$131+L131*('FixedP_Upper'!$AE$131-'FixedP_Lower'!$AE$131)</f>
        <v>-1324.7329529412907</v>
      </c>
      <c r="O131" s="30">
        <f>'FixedP_Lower'!$AF$131+L131*('FixedP_Upper'!$AF$131-'FixedP_Lower'!$AF$131)</f>
        <v>-1082.2835545402074</v>
      </c>
      <c r="P131" s="7">
        <v>-1324.7329529412907</v>
      </c>
      <c r="Q131" s="7">
        <v>-1082.2835545402074</v>
      </c>
      <c r="R131" s="16">
        <f>SQRT((N131-P131)^2+(O131-Q131)^2)</f>
        <v>0</v>
      </c>
    </row>
    <row r="132" spans="1:18" x14ac:dyDescent="0.25">
      <c r="A132" s="23">
        <v>125</v>
      </c>
      <c r="B132" s="23" t="s">
        <v>444</v>
      </c>
      <c r="C132" s="23">
        <v>6</v>
      </c>
      <c r="D132" s="24">
        <v>210</v>
      </c>
      <c r="E132" s="25" t="str">
        <f>'FixedP_Lower'!$G$132</f>
        <v>retained c/D (not the cap rule)</v>
      </c>
      <c r="F132" s="26">
        <f>'FixedP_Lower'!$H$132</f>
        <v>1</v>
      </c>
      <c r="G132" s="27">
        <f>'FixedP_Lower'!$AD$132</f>
        <v>17670.345615483235</v>
      </c>
      <c r="H132" s="25" t="str">
        <f>'FixedP_Upper'!$G$132</f>
        <v>retained c/D (not the cap rule)</v>
      </c>
      <c r="I132" s="26">
        <f>'FixedP_Upper'!$H$132</f>
        <v>1</v>
      </c>
      <c r="J132" s="27">
        <f>'FixedP_Upper'!$AD$132</f>
        <v>17670.345615483235</v>
      </c>
      <c r="K132" s="27">
        <f>Selected_P</f>
        <v>17670.345615483235</v>
      </c>
      <c r="L132" s="26">
        <f>IF(ABS(J132-G132)&lt;0.000000001,0,(K132-G132)/(J132-G132))</f>
        <v>0</v>
      </c>
      <c r="M132" s="25" t="str">
        <f>IF(ABS(J132-G132)&lt;0.000000001,"Exact station",IF(AND(K132&gt;=G132-0.000001,K132&lt;=J132+0.000001),"Interpolated","Outside range"))</f>
        <v>Exact station</v>
      </c>
      <c r="N132" s="28">
        <f>'FixedP_Lower'!$AE$132+L132*('FixedP_Upper'!$AE$132-'FixedP_Lower'!$AE$132)</f>
        <v>-1589.679543529549</v>
      </c>
      <c r="O132" s="28">
        <f>'FixedP_Lower'!$AF$132+L132*('FixedP_Upper'!$AF$132-'FixedP_Lower'!$AF$132)</f>
        <v>-1298.740265448249</v>
      </c>
      <c r="P132" s="7">
        <v>-1589.679543529549</v>
      </c>
      <c r="Q132" s="7">
        <v>-1298.740265448249</v>
      </c>
      <c r="R132" s="16">
        <f>SQRT((N132-P132)^2+(O132-Q132)^2)</f>
        <v>0</v>
      </c>
    </row>
    <row r="133" spans="1:18" x14ac:dyDescent="0.25">
      <c r="A133" s="7">
        <v>126</v>
      </c>
      <c r="B133" s="7" t="s">
        <v>446</v>
      </c>
      <c r="C133" s="7">
        <v>1</v>
      </c>
      <c r="D133" s="19">
        <v>220</v>
      </c>
      <c r="E133" s="29" t="str">
        <f>'FixedP_Lower'!$G$133</f>
        <v>retained c/D (not the cap rule)</v>
      </c>
      <c r="F133" s="16">
        <f>'FixedP_Lower'!$H$133</f>
        <v>3.000000000000001</v>
      </c>
      <c r="G133" s="18">
        <f>'FixedP_Lower'!$AD$133</f>
        <v>17670.345615483235</v>
      </c>
      <c r="H133" s="29" t="str">
        <f>'FixedP_Upper'!$G$133</f>
        <v>retained c/D (not the cap rule)</v>
      </c>
      <c r="I133" s="16">
        <f>'FixedP_Upper'!$H$133</f>
        <v>3.000000000000001</v>
      </c>
      <c r="J133" s="18">
        <f>'FixedP_Upper'!$AD$133</f>
        <v>17670.345615483235</v>
      </c>
      <c r="K133" s="18">
        <f>Selected_P</f>
        <v>17670.345615483235</v>
      </c>
      <c r="L133" s="16">
        <f>IF(ABS(J133-G133)&lt;0.000000001,0,(K133-G133)/(J133-G133))</f>
        <v>0</v>
      </c>
      <c r="M133" s="29" t="str">
        <f>IF(ABS(J133-G133)&lt;0.000000001,"Exact station",IF(AND(K133&gt;=G133-0.000001,K133&lt;=J133+0.000001),"Interpolated","Outside range"))</f>
        <v>Exact station</v>
      </c>
      <c r="N133" s="30">
        <f>'FixedP_Lower'!$AE$133+L133*('FixedP_Upper'!$AE$133-'FixedP_Lower'!$AE$133)</f>
        <v>-233.7540869767272</v>
      </c>
      <c r="O133" s="30">
        <f>'FixedP_Lower'!$AF$133+L133*('FixedP_Upper'!$AF$133-'FixedP_Lower'!$AF$133)</f>
        <v>-268.53690786270704</v>
      </c>
      <c r="P133" s="7">
        <v>-233.7540869767272</v>
      </c>
      <c r="Q133" s="7">
        <v>-268.53690786270704</v>
      </c>
      <c r="R133" s="16">
        <f>SQRT((N133-P133)^2+(O133-Q133)^2)</f>
        <v>0</v>
      </c>
    </row>
    <row r="134" spans="1:18" x14ac:dyDescent="0.25">
      <c r="A134" s="23">
        <v>127</v>
      </c>
      <c r="B134" s="23" t="s">
        <v>448</v>
      </c>
      <c r="C134" s="23">
        <v>2</v>
      </c>
      <c r="D134" s="24">
        <v>220</v>
      </c>
      <c r="E134" s="25" t="str">
        <f>'FixedP_Lower'!$G$134</f>
        <v>retained c/D (not the cap rule)</v>
      </c>
      <c r="F134" s="26">
        <f>'FixedP_Lower'!$H$134</f>
        <v>2.0000000000000004</v>
      </c>
      <c r="G134" s="27">
        <f>'FixedP_Lower'!$AD$134</f>
        <v>17670.345615483235</v>
      </c>
      <c r="H134" s="25" t="str">
        <f>'FixedP_Upper'!$G$134</f>
        <v>retained c/D (not the cap rule)</v>
      </c>
      <c r="I134" s="26">
        <f>'FixedP_Upper'!$H$134</f>
        <v>2.0000000000000004</v>
      </c>
      <c r="J134" s="27">
        <f>'FixedP_Upper'!$AD$134</f>
        <v>17670.345615483235</v>
      </c>
      <c r="K134" s="27">
        <f>Selected_P</f>
        <v>17670.345615483235</v>
      </c>
      <c r="L134" s="26">
        <f>IF(ABS(J134-G134)&lt;0.000000001,0,(K134-G134)/(J134-G134))</f>
        <v>0</v>
      </c>
      <c r="M134" s="25" t="str">
        <f>IF(ABS(J134-G134)&lt;0.000000001,"Exact station",IF(AND(K134&gt;=G134-0.000001,K134&lt;=J134+0.000001),"Interpolated","Outside range"))</f>
        <v>Exact station</v>
      </c>
      <c r="N134" s="28">
        <f>'FixedP_Lower'!$AE$134+L134*('FixedP_Upper'!$AE$134-'FixedP_Lower'!$AE$134)</f>
        <v>-467.5081739534544</v>
      </c>
      <c r="O134" s="28">
        <f>'FixedP_Lower'!$AF$134+L134*('FixedP_Upper'!$AF$134-'FixedP_Lower'!$AF$134)</f>
        <v>-537.0738157254141</v>
      </c>
      <c r="P134" s="7">
        <v>-467.5081739534544</v>
      </c>
      <c r="Q134" s="7">
        <v>-537.0738157254141</v>
      </c>
      <c r="R134" s="16">
        <f>SQRT((N134-P134)^2+(O134-Q134)^2)</f>
        <v>0</v>
      </c>
    </row>
    <row r="135" spans="1:18" x14ac:dyDescent="0.25">
      <c r="A135" s="7">
        <v>128</v>
      </c>
      <c r="B135" s="7" t="s">
        <v>450</v>
      </c>
      <c r="C135" s="7">
        <v>3</v>
      </c>
      <c r="D135" s="19">
        <v>220</v>
      </c>
      <c r="E135" s="29" t="str">
        <f>'FixedP_Lower'!$G$135</f>
        <v>retained c/D (not the cap rule)</v>
      </c>
      <c r="F135" s="16">
        <f>'FixedP_Lower'!$H$135</f>
        <v>1.5000000000000004</v>
      </c>
      <c r="G135" s="18">
        <f>'FixedP_Lower'!$AD$135</f>
        <v>17670.345615483235</v>
      </c>
      <c r="H135" s="29" t="str">
        <f>'FixedP_Upper'!$G$135</f>
        <v>retained c/D (not the cap rule)</v>
      </c>
      <c r="I135" s="16">
        <f>'FixedP_Upper'!$H$135</f>
        <v>1.5000000000000004</v>
      </c>
      <c r="J135" s="18">
        <f>'FixedP_Upper'!$AD$135</f>
        <v>17670.345615483235</v>
      </c>
      <c r="K135" s="18">
        <f>Selected_P</f>
        <v>17670.345615483235</v>
      </c>
      <c r="L135" s="16">
        <f>IF(ABS(J135-G135)&lt;0.000000001,0,(K135-G135)/(J135-G135))</f>
        <v>0</v>
      </c>
      <c r="M135" s="29" t="str">
        <f>IF(ABS(J135-G135)&lt;0.000000001,"Exact station",IF(AND(K135&gt;=G135-0.000001,K135&lt;=J135+0.000001),"Interpolated","Outside range"))</f>
        <v>Exact station</v>
      </c>
      <c r="N135" s="30">
        <f>'FixedP_Lower'!$AE$135+L135*('FixedP_Upper'!$AE$135-'FixedP_Lower'!$AE$135)</f>
        <v>-701.2622609301815</v>
      </c>
      <c r="O135" s="30">
        <f>'FixedP_Lower'!$AF$135+L135*('FixedP_Upper'!$AF$135-'FixedP_Lower'!$AF$135)</f>
        <v>-805.610723588121</v>
      </c>
      <c r="P135" s="7">
        <v>-701.2622609301815</v>
      </c>
      <c r="Q135" s="7">
        <v>-805.610723588121</v>
      </c>
      <c r="R135" s="16">
        <f>SQRT((N135-P135)^2+(O135-Q135)^2)</f>
        <v>0</v>
      </c>
    </row>
    <row r="136" spans="1:18" x14ac:dyDescent="0.25">
      <c r="A136" s="23">
        <v>129</v>
      </c>
      <c r="B136" s="23" t="s">
        <v>452</v>
      </c>
      <c r="C136" s="23">
        <v>4</v>
      </c>
      <c r="D136" s="24">
        <v>220</v>
      </c>
      <c r="E136" s="25" t="str">
        <f>'FixedP_Lower'!$G$136</f>
        <v>retained c/D (not the cap rule)</v>
      </c>
      <c r="F136" s="26">
        <f>'FixedP_Lower'!$H$136</f>
        <v>1.2</v>
      </c>
      <c r="G136" s="27">
        <f>'FixedP_Lower'!$AD$136</f>
        <v>17670.345615483235</v>
      </c>
      <c r="H136" s="25" t="str">
        <f>'FixedP_Upper'!$G$136</f>
        <v>retained c/D (not the cap rule)</v>
      </c>
      <c r="I136" s="26">
        <f>'FixedP_Upper'!$H$136</f>
        <v>1.2</v>
      </c>
      <c r="J136" s="27">
        <f>'FixedP_Upper'!$AD$136</f>
        <v>17670.345615483235</v>
      </c>
      <c r="K136" s="27">
        <f>Selected_P</f>
        <v>17670.345615483235</v>
      </c>
      <c r="L136" s="26">
        <f>IF(ABS(J136-G136)&lt;0.000000001,0,(K136-G136)/(J136-G136))</f>
        <v>0</v>
      </c>
      <c r="M136" s="25" t="str">
        <f>IF(ABS(J136-G136)&lt;0.000000001,"Exact station",IF(AND(K136&gt;=G136-0.000001,K136&lt;=J136+0.000001),"Interpolated","Outside range"))</f>
        <v>Exact station</v>
      </c>
      <c r="N136" s="28">
        <f>'FixedP_Lower'!$AE$136+L136*('FixedP_Upper'!$AE$136-'FixedP_Lower'!$AE$136)</f>
        <v>-935.0163479069088</v>
      </c>
      <c r="O136" s="28">
        <f>'FixedP_Lower'!$AF$136+L136*('FixedP_Upper'!$AF$136-'FixedP_Lower'!$AF$136)</f>
        <v>-1074.1476314508282</v>
      </c>
      <c r="P136" s="7">
        <v>-935.0163479069088</v>
      </c>
      <c r="Q136" s="7">
        <v>-1074.1476314508282</v>
      </c>
      <c r="R136" s="16">
        <f>SQRT((N136-P136)^2+(O136-Q136)^2)</f>
        <v>0</v>
      </c>
    </row>
    <row r="137" spans="1:18" x14ac:dyDescent="0.25">
      <c r="A137" s="7">
        <v>130</v>
      </c>
      <c r="B137" s="7" t="s">
        <v>454</v>
      </c>
      <c r="C137" s="7">
        <v>5</v>
      </c>
      <c r="D137" s="19">
        <v>220</v>
      </c>
      <c r="E137" s="29" t="str">
        <f>'FixedP_Lower'!$G$137</f>
        <v>retained c/D (not the cap rule)</v>
      </c>
      <c r="F137" s="16">
        <f>'FixedP_Lower'!$H$137</f>
        <v>1.1000000000000003</v>
      </c>
      <c r="G137" s="18">
        <f>'FixedP_Lower'!$AD$137</f>
        <v>17670.345615483235</v>
      </c>
      <c r="H137" s="29" t="str">
        <f>'FixedP_Upper'!$G$137</f>
        <v>retained c/D (not the cap rule)</v>
      </c>
      <c r="I137" s="16">
        <f>'FixedP_Upper'!$H$137</f>
        <v>1.1000000000000003</v>
      </c>
      <c r="J137" s="18">
        <f>'FixedP_Upper'!$AD$137</f>
        <v>17670.345615483235</v>
      </c>
      <c r="K137" s="18">
        <f>Selected_P</f>
        <v>17670.345615483235</v>
      </c>
      <c r="L137" s="16">
        <f>IF(ABS(J137-G137)&lt;0.000000001,0,(K137-G137)/(J137-G137))</f>
        <v>0</v>
      </c>
      <c r="M137" s="29" t="str">
        <f>IF(ABS(J137-G137)&lt;0.000000001,"Exact station",IF(AND(K137&gt;=G137-0.000001,K137&lt;=J137+0.000001),"Interpolated","Outside range"))</f>
        <v>Exact station</v>
      </c>
      <c r="N137" s="30">
        <f>'FixedP_Lower'!$AE$137+L137*('FixedP_Upper'!$AE$137-'FixedP_Lower'!$AE$137)</f>
        <v>-1168.770434883636</v>
      </c>
      <c r="O137" s="30">
        <f>'FixedP_Lower'!$AF$137+L137*('FixedP_Upper'!$AF$137-'FixedP_Lower'!$AF$137)</f>
        <v>-1342.684539313535</v>
      </c>
      <c r="P137" s="7">
        <v>-1168.770434883636</v>
      </c>
      <c r="Q137" s="7">
        <v>-1342.684539313535</v>
      </c>
      <c r="R137" s="16">
        <f>SQRT((N137-P137)^2+(O137-Q137)^2)</f>
        <v>0</v>
      </c>
    </row>
    <row r="138" spans="1:18" x14ac:dyDescent="0.25">
      <c r="A138" s="23">
        <v>131</v>
      </c>
      <c r="B138" s="23" t="s">
        <v>456</v>
      </c>
      <c r="C138" s="23">
        <v>6</v>
      </c>
      <c r="D138" s="24">
        <v>220</v>
      </c>
      <c r="E138" s="25" t="str">
        <f>'FixedP_Lower'!$G$138</f>
        <v>retained c/D (not the cap rule)</v>
      </c>
      <c r="F138" s="26">
        <f>'FixedP_Lower'!$H$138</f>
        <v>1.0000000000000002</v>
      </c>
      <c r="G138" s="27">
        <f>'FixedP_Lower'!$AD$138</f>
        <v>17670.345615483235</v>
      </c>
      <c r="H138" s="25" t="str">
        <f>'FixedP_Upper'!$G$138</f>
        <v>retained c/D (not the cap rule)</v>
      </c>
      <c r="I138" s="26">
        <f>'FixedP_Upper'!$H$138</f>
        <v>1.0000000000000002</v>
      </c>
      <c r="J138" s="27">
        <f>'FixedP_Upper'!$AD$138</f>
        <v>17670.345615483235</v>
      </c>
      <c r="K138" s="27">
        <f>Selected_P</f>
        <v>17670.345615483235</v>
      </c>
      <c r="L138" s="26">
        <f>IF(ABS(J138-G138)&lt;0.000000001,0,(K138-G138)/(J138-G138))</f>
        <v>0</v>
      </c>
      <c r="M138" s="25" t="str">
        <f>IF(ABS(J138-G138)&lt;0.000000001,"Exact station",IF(AND(K138&gt;=G138-0.000001,K138&lt;=J138+0.000001),"Interpolated","Outside range"))</f>
        <v>Exact station</v>
      </c>
      <c r="N138" s="28">
        <f>'FixedP_Lower'!$AE$138+L138*('FixedP_Upper'!$AE$138-'FixedP_Lower'!$AE$138)</f>
        <v>-1402.524521860363</v>
      </c>
      <c r="O138" s="28">
        <f>'FixedP_Lower'!$AF$138+L138*('FixedP_Upper'!$AF$138-'FixedP_Lower'!$AF$138)</f>
        <v>-1611.221447176242</v>
      </c>
      <c r="P138" s="7">
        <v>-1402.524521860363</v>
      </c>
      <c r="Q138" s="7">
        <v>-1611.221447176242</v>
      </c>
      <c r="R138" s="16">
        <f>SQRT((N138-P138)^2+(O138-Q138)^2)</f>
        <v>0</v>
      </c>
    </row>
    <row r="139" spans="1:18" x14ac:dyDescent="0.25">
      <c r="A139" s="7">
        <v>132</v>
      </c>
      <c r="B139" s="7" t="s">
        <v>458</v>
      </c>
      <c r="C139" s="7">
        <v>1</v>
      </c>
      <c r="D139" s="19">
        <v>230</v>
      </c>
      <c r="E139" s="29" t="str">
        <f>'FixedP_Lower'!$G$139</f>
        <v>retained c/D (not the cap rule)</v>
      </c>
      <c r="F139" s="16">
        <f>'FixedP_Lower'!$H$139</f>
        <v>2.9999999999999996</v>
      </c>
      <c r="G139" s="18">
        <f>'FixedP_Lower'!$AD$139</f>
        <v>17670.345615483235</v>
      </c>
      <c r="H139" s="29" t="str">
        <f>'FixedP_Upper'!$G$139</f>
        <v>retained c/D (not the cap rule)</v>
      </c>
      <c r="I139" s="16">
        <f>'FixedP_Upper'!$H$139</f>
        <v>2.9999999999999996</v>
      </c>
      <c r="J139" s="18">
        <f>'FixedP_Upper'!$AD$139</f>
        <v>17670.345615483235</v>
      </c>
      <c r="K139" s="18">
        <f>Selected_P</f>
        <v>17670.345615483235</v>
      </c>
      <c r="L139" s="16">
        <f>IF(ABS(J139-G139)&lt;0.000000001,0,(K139-G139)/(J139-G139))</f>
        <v>0</v>
      </c>
      <c r="M139" s="29" t="str">
        <f>IF(ABS(J139-G139)&lt;0.000000001,"Exact station",IF(AND(K139&gt;=G139-0.000001,K139&lt;=J139+0.000001),"Interpolated","Outside range"))</f>
        <v>Exact station</v>
      </c>
      <c r="N139" s="30">
        <f>'FixedP_Lower'!$AE$139+L139*('FixedP_Upper'!$AE$139-'FixedP_Lower'!$AE$139)</f>
        <v>-193.70253643705018</v>
      </c>
      <c r="O139" s="30">
        <f>'FixedP_Lower'!$AF$139+L139*('FixedP_Upper'!$AF$139-'FixedP_Lower'!$AF$139)</f>
        <v>-306.72727690126504</v>
      </c>
      <c r="P139" s="7">
        <v>-193.70253643705018</v>
      </c>
      <c r="Q139" s="7">
        <v>-306.72727690126504</v>
      </c>
      <c r="R139" s="16">
        <f>SQRT((N139-P139)^2+(O139-Q139)^2)</f>
        <v>0</v>
      </c>
    </row>
    <row r="140" spans="1:18" x14ac:dyDescent="0.25">
      <c r="A140" s="23">
        <v>133</v>
      </c>
      <c r="B140" s="23" t="s">
        <v>460</v>
      </c>
      <c r="C140" s="23">
        <v>2</v>
      </c>
      <c r="D140" s="24">
        <v>230</v>
      </c>
      <c r="E140" s="25" t="str">
        <f>'FixedP_Lower'!$G$140</f>
        <v>retained c/D (not the cap rule)</v>
      </c>
      <c r="F140" s="26">
        <f>'FixedP_Lower'!$H$140</f>
        <v>2</v>
      </c>
      <c r="G140" s="27">
        <f>'FixedP_Lower'!$AD$140</f>
        <v>17670.345615483235</v>
      </c>
      <c r="H140" s="25" t="str">
        <f>'FixedP_Upper'!$G$140</f>
        <v>retained c/D (not the cap rule)</v>
      </c>
      <c r="I140" s="26">
        <f>'FixedP_Upper'!$H$140</f>
        <v>2</v>
      </c>
      <c r="J140" s="27">
        <f>'FixedP_Upper'!$AD$140</f>
        <v>17670.345615483235</v>
      </c>
      <c r="K140" s="27">
        <f>Selected_P</f>
        <v>17670.345615483235</v>
      </c>
      <c r="L140" s="26">
        <f>IF(ABS(J140-G140)&lt;0.000000001,0,(K140-G140)/(J140-G140))</f>
        <v>0</v>
      </c>
      <c r="M140" s="25" t="str">
        <f>IF(ABS(J140-G140)&lt;0.000000001,"Exact station",IF(AND(K140&gt;=G140-0.000001,K140&lt;=J140+0.000001),"Interpolated","Outside range"))</f>
        <v>Exact station</v>
      </c>
      <c r="N140" s="28">
        <f>'FixedP_Lower'!$AE$140+L140*('FixedP_Upper'!$AE$140-'FixedP_Lower'!$AE$140)</f>
        <v>-387.40507287410037</v>
      </c>
      <c r="O140" s="28">
        <f>'FixedP_Lower'!$AF$140+L140*('FixedP_Upper'!$AF$140-'FixedP_Lower'!$AF$140)</f>
        <v>-613.4545538025301</v>
      </c>
      <c r="P140" s="7">
        <v>-387.40507287410037</v>
      </c>
      <c r="Q140" s="7">
        <v>-613.4545538025301</v>
      </c>
      <c r="R140" s="16">
        <f>SQRT((N140-P140)^2+(O140-Q140)^2)</f>
        <v>0</v>
      </c>
    </row>
    <row r="141" spans="1:18" x14ac:dyDescent="0.25">
      <c r="A141" s="7">
        <v>134</v>
      </c>
      <c r="B141" s="7" t="s">
        <v>462</v>
      </c>
      <c r="C141" s="7">
        <v>3</v>
      </c>
      <c r="D141" s="19">
        <v>230</v>
      </c>
      <c r="E141" s="29" t="str">
        <f>'FixedP_Lower'!$G$141</f>
        <v>retained c/D (not the cap rule)</v>
      </c>
      <c r="F141" s="16">
        <f>'FixedP_Lower'!$H$141</f>
        <v>1.4999999999999998</v>
      </c>
      <c r="G141" s="18">
        <f>'FixedP_Lower'!$AD$141</f>
        <v>17670.345615483235</v>
      </c>
      <c r="H141" s="29" t="str">
        <f>'FixedP_Upper'!$G$141</f>
        <v>retained c/D (not the cap rule)</v>
      </c>
      <c r="I141" s="16">
        <f>'FixedP_Upper'!$H$141</f>
        <v>1.4999999999999998</v>
      </c>
      <c r="J141" s="18">
        <f>'FixedP_Upper'!$AD$141</f>
        <v>17670.345615483235</v>
      </c>
      <c r="K141" s="18">
        <f>Selected_P</f>
        <v>17670.345615483235</v>
      </c>
      <c r="L141" s="16">
        <f>IF(ABS(J141-G141)&lt;0.000000001,0,(K141-G141)/(J141-G141))</f>
        <v>0</v>
      </c>
      <c r="M141" s="29" t="str">
        <f>IF(ABS(J141-G141)&lt;0.000000001,"Exact station",IF(AND(K141&gt;=G141-0.000001,K141&lt;=J141+0.000001),"Interpolated","Outside range"))</f>
        <v>Exact station</v>
      </c>
      <c r="N141" s="30">
        <f>'FixedP_Lower'!$AE$141+L141*('FixedP_Upper'!$AE$141-'FixedP_Lower'!$AE$141)</f>
        <v>-581.1076093111506</v>
      </c>
      <c r="O141" s="30">
        <f>'FixedP_Lower'!$AF$141+L141*('FixedP_Upper'!$AF$141-'FixedP_Lower'!$AF$141)</f>
        <v>-920.1818307037951</v>
      </c>
      <c r="P141" s="7">
        <v>-581.1076093111506</v>
      </c>
      <c r="Q141" s="7">
        <v>-920.1818307037951</v>
      </c>
      <c r="R141" s="16">
        <f>SQRT((N141-P141)^2+(O141-Q141)^2)</f>
        <v>0</v>
      </c>
    </row>
    <row r="142" spans="1:18" x14ac:dyDescent="0.25">
      <c r="A142" s="23">
        <v>135</v>
      </c>
      <c r="B142" s="23" t="s">
        <v>464</v>
      </c>
      <c r="C142" s="23">
        <v>4</v>
      </c>
      <c r="D142" s="24">
        <v>230</v>
      </c>
      <c r="E142" s="25" t="str">
        <f>'FixedP_Lower'!$G$142</f>
        <v>retained c/D (not the cap rule)</v>
      </c>
      <c r="F142" s="26">
        <f>'FixedP_Lower'!$H$142</f>
        <v>1.2</v>
      </c>
      <c r="G142" s="27">
        <f>'FixedP_Lower'!$AD$142</f>
        <v>17670.345615483235</v>
      </c>
      <c r="H142" s="25" t="str">
        <f>'FixedP_Upper'!$G$142</f>
        <v>retained c/D (not the cap rule)</v>
      </c>
      <c r="I142" s="26">
        <f>'FixedP_Upper'!$H$142</f>
        <v>1.2</v>
      </c>
      <c r="J142" s="27">
        <f>'FixedP_Upper'!$AD$142</f>
        <v>17670.345615483235</v>
      </c>
      <c r="K142" s="27">
        <f>Selected_P</f>
        <v>17670.345615483235</v>
      </c>
      <c r="L142" s="26">
        <f>IF(ABS(J142-G142)&lt;0.000000001,0,(K142-G142)/(J142-G142))</f>
        <v>0</v>
      </c>
      <c r="M142" s="25" t="str">
        <f>IF(ABS(J142-G142)&lt;0.000000001,"Exact station",IF(AND(K142&gt;=G142-0.000001,K142&lt;=J142+0.000001),"Interpolated","Outside range"))</f>
        <v>Exact station</v>
      </c>
      <c r="N142" s="28">
        <f>'FixedP_Lower'!$AE$142+L142*('FixedP_Upper'!$AE$142-'FixedP_Lower'!$AE$142)</f>
        <v>-774.8101457482007</v>
      </c>
      <c r="O142" s="28">
        <f>'FixedP_Lower'!$AF$142+L142*('FixedP_Upper'!$AF$142-'FixedP_Lower'!$AF$142)</f>
        <v>-1226.9091076050602</v>
      </c>
      <c r="P142" s="7">
        <v>-774.8101457482007</v>
      </c>
      <c r="Q142" s="7">
        <v>-1226.9091076050602</v>
      </c>
      <c r="R142" s="16">
        <f>SQRT((N142-P142)^2+(O142-Q142)^2)</f>
        <v>0</v>
      </c>
    </row>
    <row r="143" spans="1:18" x14ac:dyDescent="0.25">
      <c r="A143" s="7">
        <v>136</v>
      </c>
      <c r="B143" s="7" t="s">
        <v>466</v>
      </c>
      <c r="C143" s="7">
        <v>5</v>
      </c>
      <c r="D143" s="19">
        <v>230</v>
      </c>
      <c r="E143" s="29" t="str">
        <f>'FixedP_Lower'!$G$143</f>
        <v>retained c/D (not the cap rule)</v>
      </c>
      <c r="F143" s="16">
        <f>'FixedP_Lower'!$H$143</f>
        <v>1</v>
      </c>
      <c r="G143" s="18">
        <f>'FixedP_Lower'!$AD$143</f>
        <v>17670.345615483235</v>
      </c>
      <c r="H143" s="29" t="str">
        <f>'FixedP_Upper'!$G$143</f>
        <v>retained c/D (not the cap rule)</v>
      </c>
      <c r="I143" s="16">
        <f>'FixedP_Upper'!$H$143</f>
        <v>1</v>
      </c>
      <c r="J143" s="18">
        <f>'FixedP_Upper'!$AD$143</f>
        <v>17670.345615483235</v>
      </c>
      <c r="K143" s="18">
        <f>Selected_P</f>
        <v>17670.345615483235</v>
      </c>
      <c r="L143" s="16">
        <f>IF(ABS(J143-G143)&lt;0.000000001,0,(K143-G143)/(J143-G143))</f>
        <v>0</v>
      </c>
      <c r="M143" s="29" t="str">
        <f>IF(ABS(J143-G143)&lt;0.000000001,"Exact station",IF(AND(K143&gt;=G143-0.000001,K143&lt;=J143+0.000001),"Interpolated","Outside range"))</f>
        <v>Exact station</v>
      </c>
      <c r="N143" s="30">
        <f>'FixedP_Lower'!$AE$143+L143*('FixedP_Upper'!$AE$143-'FixedP_Lower'!$AE$143)</f>
        <v>-1162.215218622301</v>
      </c>
      <c r="O143" s="30">
        <f>'FixedP_Lower'!$AF$143+L143*('FixedP_Upper'!$AF$143-'FixedP_Lower'!$AF$143)</f>
        <v>-1840.3636614075901</v>
      </c>
      <c r="P143" s="7">
        <v>-1162.215218622301</v>
      </c>
      <c r="Q143" s="7">
        <v>-1840.3636614075901</v>
      </c>
      <c r="R143" s="16">
        <f>SQRT((N143-P143)^2+(O143-Q143)^2)</f>
        <v>0</v>
      </c>
    </row>
    <row r="144" spans="1:18" x14ac:dyDescent="0.25">
      <c r="A144" s="23">
        <v>137</v>
      </c>
      <c r="B144" s="23" t="s">
        <v>468</v>
      </c>
      <c r="C144" s="23">
        <v>6</v>
      </c>
      <c r="D144" s="24">
        <v>230</v>
      </c>
      <c r="E144" s="25" t="str">
        <f>'FixedP_Lower'!$G$144</f>
        <v>retained c/D (not the cap rule)</v>
      </c>
      <c r="F144" s="26">
        <f>'FixedP_Lower'!$H$144</f>
        <v>1.1</v>
      </c>
      <c r="G144" s="27">
        <f>'FixedP_Lower'!$AD$144</f>
        <v>17670.345615483235</v>
      </c>
      <c r="H144" s="25" t="str">
        <f>'FixedP_Upper'!$G$144</f>
        <v>retained c/D (not the cap rule)</v>
      </c>
      <c r="I144" s="26">
        <f>'FixedP_Upper'!$H$144</f>
        <v>1.1</v>
      </c>
      <c r="J144" s="27">
        <f>'FixedP_Upper'!$AD$144</f>
        <v>17670.345615483235</v>
      </c>
      <c r="K144" s="27">
        <f>Selected_P</f>
        <v>17670.345615483235</v>
      </c>
      <c r="L144" s="26">
        <f>IF(ABS(J144-G144)&lt;0.000000001,0,(K144-G144)/(J144-G144))</f>
        <v>0</v>
      </c>
      <c r="M144" s="25" t="str">
        <f>IF(ABS(J144-G144)&lt;0.000000001,"Exact station",IF(AND(K144&gt;=G144-0.000001,K144&lt;=J144+0.000001),"Interpolated","Outside range"))</f>
        <v>Exact station</v>
      </c>
      <c r="N144" s="28">
        <f>'FixedP_Lower'!$AE$144+L144*('FixedP_Upper'!$AE$144-'FixedP_Lower'!$AE$144)</f>
        <v>-968.5126821852509</v>
      </c>
      <c r="O144" s="28">
        <f>'FixedP_Lower'!$AF$144+L144*('FixedP_Upper'!$AF$144-'FixedP_Lower'!$AF$144)</f>
        <v>-1533.6363845063252</v>
      </c>
      <c r="P144" s="7">
        <v>-968.5126821852509</v>
      </c>
      <c r="Q144" s="7">
        <v>-1533.6363845063252</v>
      </c>
      <c r="R144" s="16">
        <f>SQRT((N144-P144)^2+(O144-Q144)^2)</f>
        <v>0</v>
      </c>
    </row>
    <row r="145" spans="1:18" x14ac:dyDescent="0.25">
      <c r="A145" s="7">
        <v>138</v>
      </c>
      <c r="B145" s="7" t="s">
        <v>470</v>
      </c>
      <c r="C145" s="7">
        <v>1</v>
      </c>
      <c r="D145" s="19">
        <v>240</v>
      </c>
      <c r="E145" s="29" t="str">
        <f>'FixedP_Lower'!$G$145</f>
        <v>retained c/D (not the cap rule)</v>
      </c>
      <c r="F145" s="16">
        <f>'FixedP_Lower'!$H$145</f>
        <v>1.5</v>
      </c>
      <c r="G145" s="18">
        <f>'FixedP_Lower'!$AD$145</f>
        <v>17670.345615483235</v>
      </c>
      <c r="H145" s="29" t="str">
        <f>'FixedP_Upper'!$G$145</f>
        <v>retained c/D (not the cap rule)</v>
      </c>
      <c r="I145" s="16">
        <f>'FixedP_Upper'!$H$145</f>
        <v>1.5</v>
      </c>
      <c r="J145" s="18">
        <f>'FixedP_Upper'!$AD$145</f>
        <v>17670.345615483235</v>
      </c>
      <c r="K145" s="18">
        <f>Selected_P</f>
        <v>17670.345615483235</v>
      </c>
      <c r="L145" s="16">
        <f>IF(ABS(J145-G145)&lt;0.000000001,0,(K145-G145)/(J145-G145))</f>
        <v>0</v>
      </c>
      <c r="M145" s="29" t="str">
        <f>IF(ABS(J145-G145)&lt;0.000000001,"Exact station",IF(AND(K145&gt;=G145-0.000001,K145&lt;=J145+0.000001),"Interpolated","Outside range"))</f>
        <v>Exact station</v>
      </c>
      <c r="N145" s="30">
        <f>'FixedP_Lower'!$AE$145+L145*('FixedP_Upper'!$AE$145-'FixedP_Lower'!$AE$145)</f>
        <v>-446.54742204047113</v>
      </c>
      <c r="O145" s="30">
        <f>'FixedP_Lower'!$AF$145+L145*('FixedP_Upper'!$AF$145-'FixedP_Lower'!$AF$145)</f>
        <v>-1009.8733609749177</v>
      </c>
      <c r="P145" s="7">
        <v>-446.54742204047113</v>
      </c>
      <c r="Q145" s="7">
        <v>-1009.8733609749177</v>
      </c>
      <c r="R145" s="16">
        <f>SQRT((N145-P145)^2+(O145-Q145)^2)</f>
        <v>0</v>
      </c>
    </row>
    <row r="146" spans="1:18" x14ac:dyDescent="0.25">
      <c r="A146" s="23">
        <v>139</v>
      </c>
      <c r="B146" s="23" t="s">
        <v>472</v>
      </c>
      <c r="C146" s="23">
        <v>2</v>
      </c>
      <c r="D146" s="24">
        <v>240</v>
      </c>
      <c r="E146" s="25" t="str">
        <f>'FixedP_Lower'!$G$146</f>
        <v>retained c/D (not the cap rule)</v>
      </c>
      <c r="F146" s="26">
        <f>'FixedP_Lower'!$H$146</f>
        <v>1.1000000000000003</v>
      </c>
      <c r="G146" s="27">
        <f>'FixedP_Lower'!$AD$146</f>
        <v>17670.345615483235</v>
      </c>
      <c r="H146" s="25" t="str">
        <f>'FixedP_Upper'!$G$146</f>
        <v>retained c/D (not the cap rule)</v>
      </c>
      <c r="I146" s="26">
        <f>'FixedP_Upper'!$H$146</f>
        <v>1.1000000000000003</v>
      </c>
      <c r="J146" s="27">
        <f>'FixedP_Upper'!$AD$146</f>
        <v>17670.345615483235</v>
      </c>
      <c r="K146" s="27">
        <f>Selected_P</f>
        <v>17670.345615483235</v>
      </c>
      <c r="L146" s="26">
        <f>IF(ABS(J146-G146)&lt;0.000000001,0,(K146-G146)/(J146-G146))</f>
        <v>0</v>
      </c>
      <c r="M146" s="25" t="str">
        <f>IF(ABS(J146-G146)&lt;0.000000001,"Exact station",IF(AND(K146&gt;=G146-0.000001,K146&lt;=J146+0.000001),"Interpolated","Outside range"))</f>
        <v>Exact station</v>
      </c>
      <c r="N146" s="28">
        <f>'FixedP_Lower'!$AE$146+L146*('FixedP_Upper'!$AE$146-'FixedP_Lower'!$AE$146)</f>
        <v>-744.2457034007853</v>
      </c>
      <c r="O146" s="28">
        <f>'FixedP_Lower'!$AF$146+L146*('FixedP_Upper'!$AF$146-'FixedP_Lower'!$AF$146)</f>
        <v>-1683.1222682915295</v>
      </c>
      <c r="P146" s="7">
        <v>-744.2457034007853</v>
      </c>
      <c r="Q146" s="7">
        <v>-1683.1222682915295</v>
      </c>
      <c r="R146" s="16">
        <f>SQRT((N146-P146)^2+(O146-Q146)^2)</f>
        <v>0</v>
      </c>
    </row>
    <row r="147" spans="1:18" x14ac:dyDescent="0.25">
      <c r="A147" s="7">
        <v>140</v>
      </c>
      <c r="B147" s="7" t="s">
        <v>474</v>
      </c>
      <c r="C147" s="7">
        <v>3</v>
      </c>
      <c r="D147" s="19">
        <v>240</v>
      </c>
      <c r="E147" s="29" t="str">
        <f>'FixedP_Lower'!$G$147</f>
        <v>retained c/D (not the cap rule)</v>
      </c>
      <c r="F147" s="16">
        <f>'FixedP_Lower'!$H$147</f>
        <v>1</v>
      </c>
      <c r="G147" s="18">
        <f>'FixedP_Lower'!$AD$147</f>
        <v>17670.345615483235</v>
      </c>
      <c r="H147" s="29" t="str">
        <f>'FixedP_Upper'!$G$147</f>
        <v>retained c/D (not the cap rule)</v>
      </c>
      <c r="I147" s="16">
        <f>'FixedP_Upper'!$H$147</f>
        <v>1</v>
      </c>
      <c r="J147" s="18">
        <f>'FixedP_Upper'!$AD$147</f>
        <v>17670.345615483235</v>
      </c>
      <c r="K147" s="18">
        <f>Selected_P</f>
        <v>17670.345615483235</v>
      </c>
      <c r="L147" s="16">
        <f>IF(ABS(J147-G147)&lt;0.000000001,0,(K147-G147)/(J147-G147))</f>
        <v>0</v>
      </c>
      <c r="M147" s="29" t="str">
        <f>IF(ABS(J147-G147)&lt;0.000000001,"Exact station",IF(AND(K147&gt;=G147-0.000001,K147&lt;=J147+0.000001),"Interpolated","Outside range"))</f>
        <v>Exact station</v>
      </c>
      <c r="N147" s="30">
        <f>'FixedP_Lower'!$AE$147+L147*('FixedP_Upper'!$AE$147-'FixedP_Lower'!$AE$147)</f>
        <v>-893.0948440809423</v>
      </c>
      <c r="O147" s="30">
        <f>'FixedP_Lower'!$AF$147+L147*('FixedP_Upper'!$AF$147-'FixedP_Lower'!$AF$147)</f>
        <v>-2019.7467219498353</v>
      </c>
      <c r="P147" s="7">
        <v>-893.0948440809423</v>
      </c>
      <c r="Q147" s="7">
        <v>-2019.7467219498353</v>
      </c>
      <c r="R147" s="16">
        <f>SQRT((N147-P147)^2+(O147-Q147)^2)</f>
        <v>0</v>
      </c>
    </row>
    <row r="148" spans="1:18" x14ac:dyDescent="0.25">
      <c r="A148" s="23">
        <v>141</v>
      </c>
      <c r="B148" s="23" t="s">
        <v>476</v>
      </c>
      <c r="C148" s="23">
        <v>4</v>
      </c>
      <c r="D148" s="24">
        <v>240</v>
      </c>
      <c r="E148" s="25" t="str">
        <f>'FixedP_Lower'!$G$148</f>
        <v>retained c/D (not the cap rule)</v>
      </c>
      <c r="F148" s="26">
        <f>'FixedP_Lower'!$H$148</f>
        <v>3</v>
      </c>
      <c r="G148" s="27">
        <f>'FixedP_Lower'!$AD$148</f>
        <v>17670.345615483235</v>
      </c>
      <c r="H148" s="25" t="str">
        <f>'FixedP_Upper'!$G$148</f>
        <v>retained c/D (not the cap rule)</v>
      </c>
      <c r="I148" s="26">
        <f>'FixedP_Upper'!$H$148</f>
        <v>3</v>
      </c>
      <c r="J148" s="27">
        <f>'FixedP_Upper'!$AD$148</f>
        <v>17670.345615483235</v>
      </c>
      <c r="K148" s="27">
        <f>Selected_P</f>
        <v>17670.345615483235</v>
      </c>
      <c r="L148" s="26">
        <f>IF(ABS(J148-G148)&lt;0.000000001,0,(K148-G148)/(J148-G148))</f>
        <v>0</v>
      </c>
      <c r="M148" s="25" t="str">
        <f>IF(ABS(J148-G148)&lt;0.000000001,"Exact station",IF(AND(K148&gt;=G148-0.000001,K148&lt;=J148+0.000001),"Interpolated","Outside range"))</f>
        <v>Exact station</v>
      </c>
      <c r="N148" s="28">
        <f>'FixedP_Lower'!$AE$148+L148*('FixedP_Upper'!$AE$148-'FixedP_Lower'!$AE$148)</f>
        <v>-148.84914068015703</v>
      </c>
      <c r="O148" s="28">
        <f>'FixedP_Lower'!$AF$148+L148*('FixedP_Upper'!$AF$148-'FixedP_Lower'!$AF$148)</f>
        <v>-336.62445365830587</v>
      </c>
      <c r="P148" s="7">
        <v>-148.84914068015703</v>
      </c>
      <c r="Q148" s="7">
        <v>-336.62445365830587</v>
      </c>
      <c r="R148" s="16">
        <f>SQRT((N148-P148)^2+(O148-Q148)^2)</f>
        <v>0</v>
      </c>
    </row>
    <row r="149" spans="1:18" x14ac:dyDescent="0.25">
      <c r="A149" s="7">
        <v>142</v>
      </c>
      <c r="B149" s="7" t="s">
        <v>478</v>
      </c>
      <c r="C149" s="7">
        <v>5</v>
      </c>
      <c r="D149" s="19">
        <v>240</v>
      </c>
      <c r="E149" s="29" t="str">
        <f>'FixedP_Lower'!$G$149</f>
        <v>retained c/D (not the cap rule)</v>
      </c>
      <c r="F149" s="16">
        <f>'FixedP_Lower'!$H$149</f>
        <v>2</v>
      </c>
      <c r="G149" s="18">
        <f>'FixedP_Lower'!$AD$149</f>
        <v>17670.345615483235</v>
      </c>
      <c r="H149" s="29" t="str">
        <f>'FixedP_Upper'!$G$149</f>
        <v>retained c/D (not the cap rule)</v>
      </c>
      <c r="I149" s="16">
        <f>'FixedP_Upper'!$H$149</f>
        <v>2</v>
      </c>
      <c r="J149" s="18">
        <f>'FixedP_Upper'!$AD$149</f>
        <v>17670.345615483235</v>
      </c>
      <c r="K149" s="18">
        <f>Selected_P</f>
        <v>17670.345615483235</v>
      </c>
      <c r="L149" s="16">
        <f>IF(ABS(J149-G149)&lt;0.000000001,0,(K149-G149)/(J149-G149))</f>
        <v>0</v>
      </c>
      <c r="M149" s="29" t="str">
        <f>IF(ABS(J149-G149)&lt;0.000000001,"Exact station",IF(AND(K149&gt;=G149-0.000001,K149&lt;=J149+0.000001),"Interpolated","Outside range"))</f>
        <v>Exact station</v>
      </c>
      <c r="N149" s="30">
        <f>'FixedP_Lower'!$AE$149+L149*('FixedP_Upper'!$AE$149-'FixedP_Lower'!$AE$149)</f>
        <v>-297.69828136031407</v>
      </c>
      <c r="O149" s="30">
        <f>'FixedP_Lower'!$AF$149+L149*('FixedP_Upper'!$AF$149-'FixedP_Lower'!$AF$149)</f>
        <v>-673.2489073166117</v>
      </c>
      <c r="P149" s="7">
        <v>-297.69828136031407</v>
      </c>
      <c r="Q149" s="7">
        <v>-673.2489073166117</v>
      </c>
      <c r="R149" s="16">
        <f>SQRT((N149-P149)^2+(O149-Q149)^2)</f>
        <v>0</v>
      </c>
    </row>
    <row r="150" spans="1:18" x14ac:dyDescent="0.25">
      <c r="A150" s="23">
        <v>143</v>
      </c>
      <c r="B150" s="23" t="s">
        <v>480</v>
      </c>
      <c r="C150" s="23">
        <v>6</v>
      </c>
      <c r="D150" s="24">
        <v>240</v>
      </c>
      <c r="E150" s="25" t="str">
        <f>'FixedP_Lower'!$G$150</f>
        <v>retained c/D (not the cap rule)</v>
      </c>
      <c r="F150" s="26">
        <f>'FixedP_Lower'!$H$150</f>
        <v>1.2000000000000004</v>
      </c>
      <c r="G150" s="27">
        <f>'FixedP_Lower'!$AD$150</f>
        <v>17670.345615483235</v>
      </c>
      <c r="H150" s="25" t="str">
        <f>'FixedP_Upper'!$G$150</f>
        <v>retained c/D (not the cap rule)</v>
      </c>
      <c r="I150" s="26">
        <f>'FixedP_Upper'!$H$150</f>
        <v>1.2000000000000004</v>
      </c>
      <c r="J150" s="27">
        <f>'FixedP_Upper'!$AD$150</f>
        <v>17670.345615483235</v>
      </c>
      <c r="K150" s="27">
        <f>Selected_P</f>
        <v>17670.345615483235</v>
      </c>
      <c r="L150" s="26">
        <f>IF(ABS(J150-G150)&lt;0.000000001,0,(K150-G150)/(J150-G150))</f>
        <v>0</v>
      </c>
      <c r="M150" s="25" t="str">
        <f>IF(ABS(J150-G150)&lt;0.000000001,"Exact station",IF(AND(K150&gt;=G150-0.000001,K150&lt;=J150+0.000001),"Interpolated","Outside range"))</f>
        <v>Exact station</v>
      </c>
      <c r="N150" s="28">
        <f>'FixedP_Lower'!$AE$150+L150*('FixedP_Upper'!$AE$150-'FixedP_Lower'!$AE$150)</f>
        <v>-595.3965627206281</v>
      </c>
      <c r="O150" s="28">
        <f>'FixedP_Lower'!$AF$150+L150*('FixedP_Upper'!$AF$150-'FixedP_Lower'!$AF$150)</f>
        <v>-1346.4978146332235</v>
      </c>
      <c r="P150" s="7">
        <v>-595.3965627206281</v>
      </c>
      <c r="Q150" s="7">
        <v>-1346.4978146332235</v>
      </c>
      <c r="R150" s="16">
        <f>SQRT((N150-P150)^2+(O150-Q150)^2)</f>
        <v>0</v>
      </c>
    </row>
    <row r="151" spans="1:18" x14ac:dyDescent="0.25">
      <c r="A151" s="7">
        <v>144</v>
      </c>
      <c r="B151" s="7" t="s">
        <v>482</v>
      </c>
      <c r="C151" s="7">
        <v>1</v>
      </c>
      <c r="D151" s="19">
        <v>250</v>
      </c>
      <c r="E151" s="29" t="str">
        <f>'FixedP_Lower'!$G$151</f>
        <v>retained c/D (not the cap rule)</v>
      </c>
      <c r="F151" s="16">
        <f>'FixedP_Lower'!$H$151</f>
        <v>2.9999999999999996</v>
      </c>
      <c r="G151" s="18">
        <f>'FixedP_Lower'!$AD$151</f>
        <v>17670.345615483235</v>
      </c>
      <c r="H151" s="29" t="str">
        <f>'FixedP_Upper'!$G$151</f>
        <v>retained c/D (not the cap rule)</v>
      </c>
      <c r="I151" s="16">
        <f>'FixedP_Upper'!$H$151</f>
        <v>2.9999999999999996</v>
      </c>
      <c r="J151" s="18">
        <f>'FixedP_Upper'!$AD$151</f>
        <v>17670.345615483235</v>
      </c>
      <c r="K151" s="18">
        <f>Selected_P</f>
        <v>17670.345615483235</v>
      </c>
      <c r="L151" s="16">
        <f>IF(ABS(J151-G151)&lt;0.000000001,0,(K151-G151)/(J151-G151))</f>
        <v>0</v>
      </c>
      <c r="M151" s="29" t="str">
        <f>IF(ABS(J151-G151)&lt;0.000000001,"Exact station",IF(AND(K151&gt;=G151-0.000001,K151&lt;=J151+0.000001),"Interpolated","Outside range"))</f>
        <v>Exact station</v>
      </c>
      <c r="N151" s="30">
        <f>'FixedP_Lower'!$AE$151+L151*('FixedP_Upper'!$AE$151-'FixedP_Lower'!$AE$151)</f>
        <v>-103.69524070440356</v>
      </c>
      <c r="O151" s="30">
        <f>'FixedP_Lower'!$AF$151+L151*('FixedP_Upper'!$AF$151-'FixedP_Lower'!$AF$151)</f>
        <v>-367.68685469206804</v>
      </c>
      <c r="P151" s="7">
        <v>-103.69524070440356</v>
      </c>
      <c r="Q151" s="7">
        <v>-367.68685469206804</v>
      </c>
      <c r="R151" s="16">
        <f>SQRT((N151-P151)^2+(O151-Q151)^2)</f>
        <v>0</v>
      </c>
    </row>
    <row r="152" spans="1:18" x14ac:dyDescent="0.25">
      <c r="A152" s="23">
        <v>145</v>
      </c>
      <c r="B152" s="23" t="s">
        <v>484</v>
      </c>
      <c r="C152" s="23">
        <v>2</v>
      </c>
      <c r="D152" s="24">
        <v>250</v>
      </c>
      <c r="E152" s="25" t="str">
        <f>'FixedP_Lower'!$G$152</f>
        <v>retained c/D (not the cap rule)</v>
      </c>
      <c r="F152" s="26">
        <f>'FixedP_Lower'!$H$152</f>
        <v>1.9999999999999996</v>
      </c>
      <c r="G152" s="27">
        <f>'FixedP_Lower'!$AD$152</f>
        <v>17670.345615483235</v>
      </c>
      <c r="H152" s="25" t="str">
        <f>'FixedP_Upper'!$G$152</f>
        <v>retained c/D (not the cap rule)</v>
      </c>
      <c r="I152" s="26">
        <f>'FixedP_Upper'!$H$152</f>
        <v>1.9999999999999996</v>
      </c>
      <c r="J152" s="27">
        <f>'FixedP_Upper'!$AD$152</f>
        <v>17670.345615483235</v>
      </c>
      <c r="K152" s="27">
        <f>Selected_P</f>
        <v>17670.345615483235</v>
      </c>
      <c r="L152" s="26">
        <f>IF(ABS(J152-G152)&lt;0.000000001,0,(K152-G152)/(J152-G152))</f>
        <v>0</v>
      </c>
      <c r="M152" s="25" t="str">
        <f>IF(ABS(J152-G152)&lt;0.000000001,"Exact station",IF(AND(K152&gt;=G152-0.000001,K152&lt;=J152+0.000001),"Interpolated","Outside range"))</f>
        <v>Exact station</v>
      </c>
      <c r="N152" s="28">
        <f>'FixedP_Lower'!$AE$152+L152*('FixedP_Upper'!$AE$152-'FixedP_Lower'!$AE$152)</f>
        <v>-207.39048140880712</v>
      </c>
      <c r="O152" s="28">
        <f>'FixedP_Lower'!$AF$152+L152*('FixedP_Upper'!$AF$152-'FixedP_Lower'!$AF$152)</f>
        <v>-735.3737093841361</v>
      </c>
      <c r="P152" s="7">
        <v>-207.39048140880712</v>
      </c>
      <c r="Q152" s="7">
        <v>-735.3737093841361</v>
      </c>
      <c r="R152" s="16">
        <f>SQRT((N152-P152)^2+(O152-Q152)^2)</f>
        <v>0</v>
      </c>
    </row>
    <row r="153" spans="1:18" x14ac:dyDescent="0.25">
      <c r="A153" s="7">
        <v>146</v>
      </c>
      <c r="B153" s="7" t="s">
        <v>486</v>
      </c>
      <c r="C153" s="7">
        <v>3</v>
      </c>
      <c r="D153" s="19">
        <v>250</v>
      </c>
      <c r="E153" s="29" t="str">
        <f>'FixedP_Lower'!$G$153</f>
        <v>retained c/D (not the cap rule)</v>
      </c>
      <c r="F153" s="16">
        <f>'FixedP_Lower'!$H$153</f>
        <v>1.4999999999999998</v>
      </c>
      <c r="G153" s="18">
        <f>'FixedP_Lower'!$AD$153</f>
        <v>17670.345615483235</v>
      </c>
      <c r="H153" s="29" t="str">
        <f>'FixedP_Upper'!$G$153</f>
        <v>retained c/D (not the cap rule)</v>
      </c>
      <c r="I153" s="16">
        <f>'FixedP_Upper'!$H$153</f>
        <v>1.4999999999999998</v>
      </c>
      <c r="J153" s="18">
        <f>'FixedP_Upper'!$AD$153</f>
        <v>17670.345615483235</v>
      </c>
      <c r="K153" s="18">
        <f>Selected_P</f>
        <v>17670.345615483235</v>
      </c>
      <c r="L153" s="16">
        <f>IF(ABS(J153-G153)&lt;0.000000001,0,(K153-G153)/(J153-G153))</f>
        <v>0</v>
      </c>
      <c r="M153" s="29" t="str">
        <f>IF(ABS(J153-G153)&lt;0.000000001,"Exact station",IF(AND(K153&gt;=G153-0.000001,K153&lt;=J153+0.000001),"Interpolated","Outside range"))</f>
        <v>Exact station</v>
      </c>
      <c r="N153" s="30">
        <f>'FixedP_Lower'!$AE$153+L153*('FixedP_Upper'!$AE$153-'FixedP_Lower'!$AE$153)</f>
        <v>-311.0857221132107</v>
      </c>
      <c r="O153" s="30">
        <f>'FixedP_Lower'!$AF$153+L153*('FixedP_Upper'!$AF$153-'FixedP_Lower'!$AF$153)</f>
        <v>-1103.0605640762042</v>
      </c>
      <c r="P153" s="7">
        <v>-311.0857221132107</v>
      </c>
      <c r="Q153" s="7">
        <v>-1103.0605640762042</v>
      </c>
      <c r="R153" s="16">
        <f>SQRT((N153-P153)^2+(O153-Q153)^2)</f>
        <v>0</v>
      </c>
    </row>
    <row r="154" spans="1:18" x14ac:dyDescent="0.25">
      <c r="A154" s="23">
        <v>147</v>
      </c>
      <c r="B154" s="23" t="s">
        <v>488</v>
      </c>
      <c r="C154" s="23">
        <v>4</v>
      </c>
      <c r="D154" s="24">
        <v>250</v>
      </c>
      <c r="E154" s="25" t="str">
        <f>'FixedP_Lower'!$G$154</f>
        <v>retained c/D (not the cap rule)</v>
      </c>
      <c r="F154" s="26">
        <f>'FixedP_Lower'!$H$154</f>
        <v>1.2</v>
      </c>
      <c r="G154" s="27">
        <f>'FixedP_Lower'!$AD$154</f>
        <v>17670.345615483235</v>
      </c>
      <c r="H154" s="25" t="str">
        <f>'FixedP_Upper'!$G$154</f>
        <v>retained c/D (not the cap rule)</v>
      </c>
      <c r="I154" s="26">
        <f>'FixedP_Upper'!$H$154</f>
        <v>1.2</v>
      </c>
      <c r="J154" s="27">
        <f>'FixedP_Upper'!$AD$154</f>
        <v>17670.345615483235</v>
      </c>
      <c r="K154" s="27">
        <f>Selected_P</f>
        <v>17670.345615483235</v>
      </c>
      <c r="L154" s="26">
        <f>IF(ABS(J154-G154)&lt;0.000000001,0,(K154-G154)/(J154-G154))</f>
        <v>0</v>
      </c>
      <c r="M154" s="25" t="str">
        <f>IF(ABS(J154-G154)&lt;0.000000001,"Exact station",IF(AND(K154&gt;=G154-0.000001,K154&lt;=J154+0.000001),"Interpolated","Outside range"))</f>
        <v>Exact station</v>
      </c>
      <c r="N154" s="28">
        <f>'FixedP_Lower'!$AE$154+L154*('FixedP_Upper'!$AE$154-'FixedP_Lower'!$AE$154)</f>
        <v>-414.78096281761424</v>
      </c>
      <c r="O154" s="28">
        <f>'FixedP_Lower'!$AF$154+L154*('FixedP_Upper'!$AF$154-'FixedP_Lower'!$AF$154)</f>
        <v>-1470.7474187682722</v>
      </c>
      <c r="P154" s="7">
        <v>-414.78096281761424</v>
      </c>
      <c r="Q154" s="7">
        <v>-1470.7474187682722</v>
      </c>
      <c r="R154" s="16">
        <f>SQRT((N154-P154)^2+(O154-Q154)^2)</f>
        <v>0</v>
      </c>
    </row>
    <row r="155" spans="1:18" x14ac:dyDescent="0.25">
      <c r="A155" s="7">
        <v>148</v>
      </c>
      <c r="B155" s="7" t="s">
        <v>490</v>
      </c>
      <c r="C155" s="7">
        <v>5</v>
      </c>
      <c r="D155" s="19">
        <v>250</v>
      </c>
      <c r="E155" s="29" t="str">
        <f>'FixedP_Lower'!$G$155</f>
        <v>retained c/D (not the cap rule)</v>
      </c>
      <c r="F155" s="16">
        <f>'FixedP_Lower'!$H$155</f>
        <v>1.0999999999999999</v>
      </c>
      <c r="G155" s="18">
        <f>'FixedP_Lower'!$AD$155</f>
        <v>17670.345615483235</v>
      </c>
      <c r="H155" s="29" t="str">
        <f>'FixedP_Upper'!$G$155</f>
        <v>retained c/D (not the cap rule)</v>
      </c>
      <c r="I155" s="16">
        <f>'FixedP_Upper'!$H$155</f>
        <v>1.0999999999999999</v>
      </c>
      <c r="J155" s="18">
        <f>'FixedP_Upper'!$AD$155</f>
        <v>17670.345615483235</v>
      </c>
      <c r="K155" s="18">
        <f>Selected_P</f>
        <v>17670.345615483235</v>
      </c>
      <c r="L155" s="16">
        <f>IF(ABS(J155-G155)&lt;0.000000001,0,(K155-G155)/(J155-G155))</f>
        <v>0</v>
      </c>
      <c r="M155" s="29" t="str">
        <f>IF(ABS(J155-G155)&lt;0.000000001,"Exact station",IF(AND(K155&gt;=G155-0.000001,K155&lt;=J155+0.000001),"Interpolated","Outside range"))</f>
        <v>Exact station</v>
      </c>
      <c r="N155" s="30">
        <f>'FixedP_Lower'!$AE$155+L155*('FixedP_Upper'!$AE$155-'FixedP_Lower'!$AE$155)</f>
        <v>-518.4762035220177</v>
      </c>
      <c r="O155" s="30">
        <f>'FixedP_Lower'!$AF$155+L155*('FixedP_Upper'!$AF$155-'FixedP_Lower'!$AF$155)</f>
        <v>-1838.43427346034</v>
      </c>
      <c r="P155" s="7">
        <v>-518.4762035220177</v>
      </c>
      <c r="Q155" s="7">
        <v>-1838.43427346034</v>
      </c>
      <c r="R155" s="16">
        <f>SQRT((N155-P155)^2+(O155-Q155)^2)</f>
        <v>0</v>
      </c>
    </row>
    <row r="156" spans="1:18" x14ac:dyDescent="0.25">
      <c r="A156" s="23">
        <v>149</v>
      </c>
      <c r="B156" s="23" t="s">
        <v>492</v>
      </c>
      <c r="C156" s="23">
        <v>6</v>
      </c>
      <c r="D156" s="24">
        <v>250</v>
      </c>
      <c r="E156" s="25" t="str">
        <f>'FixedP_Lower'!$G$156</f>
        <v>retained c/D (not the cap rule)</v>
      </c>
      <c r="F156" s="26">
        <f>'FixedP_Lower'!$H$156</f>
        <v>0.9999999999999999</v>
      </c>
      <c r="G156" s="27">
        <f>'FixedP_Lower'!$AD$156</f>
        <v>17670.345615483235</v>
      </c>
      <c r="H156" s="25" t="str">
        <f>'FixedP_Upper'!$G$156</f>
        <v>retained c/D (not the cap rule)</v>
      </c>
      <c r="I156" s="26">
        <f>'FixedP_Upper'!$H$156</f>
        <v>0.9999999999999999</v>
      </c>
      <c r="J156" s="27">
        <f>'FixedP_Upper'!$AD$156</f>
        <v>17670.345615483235</v>
      </c>
      <c r="K156" s="27">
        <f>Selected_P</f>
        <v>17670.345615483235</v>
      </c>
      <c r="L156" s="26">
        <f>IF(ABS(J156-G156)&lt;0.000000001,0,(K156-G156)/(J156-G156))</f>
        <v>0</v>
      </c>
      <c r="M156" s="25" t="str">
        <f>IF(ABS(J156-G156)&lt;0.000000001,"Exact station",IF(AND(K156&gt;=G156-0.000001,K156&lt;=J156+0.000001),"Interpolated","Outside range"))</f>
        <v>Exact station</v>
      </c>
      <c r="N156" s="28">
        <f>'FixedP_Lower'!$AE$156+L156*('FixedP_Upper'!$AE$156-'FixedP_Lower'!$AE$156)</f>
        <v>-622.1714442264214</v>
      </c>
      <c r="O156" s="28">
        <f>'FixedP_Lower'!$AF$156+L156*('FixedP_Upper'!$AF$156-'FixedP_Lower'!$AF$156)</f>
        <v>-2206.1211281524083</v>
      </c>
      <c r="P156" s="7">
        <v>-622.1714442264214</v>
      </c>
      <c r="Q156" s="7">
        <v>-2206.1211281524083</v>
      </c>
      <c r="R156" s="16">
        <f>SQRT((N156-P156)^2+(O156-Q156)^2)</f>
        <v>0</v>
      </c>
    </row>
    <row r="157" spans="1:18" x14ac:dyDescent="0.25">
      <c r="A157" s="7">
        <v>150</v>
      </c>
      <c r="B157" s="7" t="s">
        <v>494</v>
      </c>
      <c r="C157" s="7">
        <v>1</v>
      </c>
      <c r="D157" s="19">
        <v>260</v>
      </c>
      <c r="E157" s="29" t="str">
        <f>'FixedP_Lower'!$G$157</f>
        <v>retained c/D (not the cap rule)</v>
      </c>
      <c r="F157" s="16">
        <f>'FixedP_Lower'!$H$157</f>
        <v>3</v>
      </c>
      <c r="G157" s="18">
        <f>'FixedP_Lower'!$AD$157</f>
        <v>17670.345615483235</v>
      </c>
      <c r="H157" s="29" t="str">
        <f>'FixedP_Upper'!$G$157</f>
        <v>retained c/D (not the cap rule)</v>
      </c>
      <c r="I157" s="16">
        <f>'FixedP_Upper'!$H$157</f>
        <v>3</v>
      </c>
      <c r="J157" s="18">
        <f>'FixedP_Upper'!$AD$157</f>
        <v>17670.345615483235</v>
      </c>
      <c r="K157" s="18">
        <f>Selected_P</f>
        <v>17670.345615483235</v>
      </c>
      <c r="L157" s="16">
        <f>IF(ABS(J157-G157)&lt;0.000000001,0,(K157-G157)/(J157-G157))</f>
        <v>0</v>
      </c>
      <c r="M157" s="29" t="str">
        <f>IF(ABS(J157-G157)&lt;0.000000001,"Exact station",IF(AND(K157&gt;=G157-0.000001,K157&lt;=J157+0.000001),"Interpolated","Outside range"))</f>
        <v>Exact station</v>
      </c>
      <c r="N157" s="30">
        <f>'FixedP_Lower'!$AE$157+L157*('FixedP_Upper'!$AE$157-'FixedP_Lower'!$AE$157)</f>
        <v>-55.30274308899527</v>
      </c>
      <c r="O157" s="30">
        <f>'FixedP_Lower'!$AF$157+L157*('FixedP_Upper'!$AF$157-'FixedP_Lower'!$AF$157)</f>
        <v>-400.55441942274336</v>
      </c>
      <c r="P157" s="7">
        <v>-55.30274308899527</v>
      </c>
      <c r="Q157" s="7">
        <v>-400.55441942274336</v>
      </c>
      <c r="R157" s="16">
        <f>SQRT((N157-P157)^2+(O157-Q157)^2)</f>
        <v>0</v>
      </c>
    </row>
    <row r="158" spans="1:18" x14ac:dyDescent="0.25">
      <c r="A158" s="23">
        <v>151</v>
      </c>
      <c r="B158" s="23" t="s">
        <v>496</v>
      </c>
      <c r="C158" s="23">
        <v>2</v>
      </c>
      <c r="D158" s="24">
        <v>260</v>
      </c>
      <c r="E158" s="25" t="str">
        <f>'FixedP_Lower'!$G$158</f>
        <v>retained c/D (not the cap rule)</v>
      </c>
      <c r="F158" s="26">
        <f>'FixedP_Lower'!$H$158</f>
        <v>2.0000000000000004</v>
      </c>
      <c r="G158" s="27">
        <f>'FixedP_Lower'!$AD$158</f>
        <v>17670.345615483235</v>
      </c>
      <c r="H158" s="25" t="str">
        <f>'FixedP_Upper'!$G$158</f>
        <v>retained c/D (not the cap rule)</v>
      </c>
      <c r="I158" s="26">
        <f>'FixedP_Upper'!$H$158</f>
        <v>2.0000000000000004</v>
      </c>
      <c r="J158" s="27">
        <f>'FixedP_Upper'!$AD$158</f>
        <v>17670.345615483235</v>
      </c>
      <c r="K158" s="27">
        <f>Selected_P</f>
        <v>17670.345615483235</v>
      </c>
      <c r="L158" s="26">
        <f>IF(ABS(J158-G158)&lt;0.000000001,0,(K158-G158)/(J158-G158))</f>
        <v>0</v>
      </c>
      <c r="M158" s="25" t="str">
        <f>IF(ABS(J158-G158)&lt;0.000000001,"Exact station",IF(AND(K158&gt;=G158-0.000001,K158&lt;=J158+0.000001),"Interpolated","Outside range"))</f>
        <v>Exact station</v>
      </c>
      <c r="N158" s="28">
        <f>'FixedP_Lower'!$AE$158+L158*('FixedP_Upper'!$AE$158-'FixedP_Lower'!$AE$158)</f>
        <v>-110.60548617799054</v>
      </c>
      <c r="O158" s="28">
        <f>'FixedP_Lower'!$AF$158+L158*('FixedP_Upper'!$AF$158-'FixedP_Lower'!$AF$158)</f>
        <v>-801.1088388454867</v>
      </c>
      <c r="P158" s="7">
        <v>-110.60548617799054</v>
      </c>
      <c r="Q158" s="7">
        <v>-801.1088388454867</v>
      </c>
      <c r="R158" s="16">
        <f>SQRT((N158-P158)^2+(O158-Q158)^2)</f>
        <v>0</v>
      </c>
    </row>
    <row r="159" spans="1:18" x14ac:dyDescent="0.25">
      <c r="A159" s="7">
        <v>152</v>
      </c>
      <c r="B159" s="7" t="s">
        <v>498</v>
      </c>
      <c r="C159" s="7">
        <v>3</v>
      </c>
      <c r="D159" s="19">
        <v>260</v>
      </c>
      <c r="E159" s="29" t="str">
        <f>'FixedP_Lower'!$G$159</f>
        <v>retained c/D (not the cap rule)</v>
      </c>
      <c r="F159" s="16">
        <f>'FixedP_Lower'!$H$159</f>
        <v>1.5</v>
      </c>
      <c r="G159" s="18">
        <f>'FixedP_Lower'!$AD$159</f>
        <v>17670.345615483235</v>
      </c>
      <c r="H159" s="29" t="str">
        <f>'FixedP_Upper'!$G$159</f>
        <v>retained c/D (not the cap rule)</v>
      </c>
      <c r="I159" s="16">
        <f>'FixedP_Upper'!$H$159</f>
        <v>1.5</v>
      </c>
      <c r="J159" s="18">
        <f>'FixedP_Upper'!$AD$159</f>
        <v>17670.345615483235</v>
      </c>
      <c r="K159" s="18">
        <f>Selected_P</f>
        <v>17670.345615483235</v>
      </c>
      <c r="L159" s="16">
        <f>IF(ABS(J159-G159)&lt;0.000000001,0,(K159-G159)/(J159-G159))</f>
        <v>0</v>
      </c>
      <c r="M159" s="29" t="str">
        <f>IF(ABS(J159-G159)&lt;0.000000001,"Exact station",IF(AND(K159&gt;=G159-0.000001,K159&lt;=J159+0.000001),"Interpolated","Outside range"))</f>
        <v>Exact station</v>
      </c>
      <c r="N159" s="30">
        <f>'FixedP_Lower'!$AE$159+L159*('FixedP_Upper'!$AE$159-'FixedP_Lower'!$AE$159)</f>
        <v>-165.90822926698584</v>
      </c>
      <c r="O159" s="30">
        <f>'FixedP_Lower'!$AF$159+L159*('FixedP_Upper'!$AF$159-'FixedP_Lower'!$AF$159)</f>
        <v>-1201.6632582682303</v>
      </c>
      <c r="P159" s="7">
        <v>-165.90822926698584</v>
      </c>
      <c r="Q159" s="7">
        <v>-1201.6632582682303</v>
      </c>
      <c r="R159" s="16">
        <f>SQRT((N159-P159)^2+(O159-Q159)^2)</f>
        <v>0</v>
      </c>
    </row>
    <row r="160" spans="1:18" x14ac:dyDescent="0.25">
      <c r="A160" s="23">
        <v>153</v>
      </c>
      <c r="B160" s="23" t="s">
        <v>500</v>
      </c>
      <c r="C160" s="23">
        <v>4</v>
      </c>
      <c r="D160" s="24">
        <v>260</v>
      </c>
      <c r="E160" s="25" t="str">
        <f>'FixedP_Lower'!$G$160</f>
        <v>retained c/D (not the cap rule)</v>
      </c>
      <c r="F160" s="26">
        <f>'FixedP_Lower'!$H$160</f>
        <v>1.2</v>
      </c>
      <c r="G160" s="27">
        <f>'FixedP_Lower'!$AD$160</f>
        <v>17670.345615483235</v>
      </c>
      <c r="H160" s="25" t="str">
        <f>'FixedP_Upper'!$G$160</f>
        <v>retained c/D (not the cap rule)</v>
      </c>
      <c r="I160" s="26">
        <f>'FixedP_Upper'!$H$160</f>
        <v>1.2</v>
      </c>
      <c r="J160" s="27">
        <f>'FixedP_Upper'!$AD$160</f>
        <v>17670.345615483235</v>
      </c>
      <c r="K160" s="27">
        <f>Selected_P</f>
        <v>17670.345615483235</v>
      </c>
      <c r="L160" s="26">
        <f>IF(ABS(J160-G160)&lt;0.000000001,0,(K160-G160)/(J160-G160))</f>
        <v>0</v>
      </c>
      <c r="M160" s="25" t="str">
        <f>IF(ABS(J160-G160)&lt;0.000000001,"Exact station",IF(AND(K160&gt;=G160-0.000001,K160&lt;=J160+0.000001),"Interpolated","Outside range"))</f>
        <v>Exact station</v>
      </c>
      <c r="N160" s="28">
        <f>'FixedP_Lower'!$AE$160+L160*('FixedP_Upper'!$AE$160-'FixedP_Lower'!$AE$160)</f>
        <v>-221.21097235598108</v>
      </c>
      <c r="O160" s="28">
        <f>'FixedP_Lower'!$AF$160+L160*('FixedP_Upper'!$AF$160-'FixedP_Lower'!$AF$160)</f>
        <v>-1602.2176776909735</v>
      </c>
      <c r="P160" s="7">
        <v>-221.21097235598108</v>
      </c>
      <c r="Q160" s="7">
        <v>-1602.2176776909735</v>
      </c>
      <c r="R160" s="16">
        <f>SQRT((N160-P160)^2+(O160-Q160)^2)</f>
        <v>0</v>
      </c>
    </row>
    <row r="161" spans="1:18" x14ac:dyDescent="0.25">
      <c r="A161" s="7">
        <v>154</v>
      </c>
      <c r="B161" s="7" t="s">
        <v>502</v>
      </c>
      <c r="C161" s="7">
        <v>5</v>
      </c>
      <c r="D161" s="19">
        <v>260</v>
      </c>
      <c r="E161" s="29" t="str">
        <f>'FixedP_Lower'!$G$161</f>
        <v>retained c/D (not the cap rule)</v>
      </c>
      <c r="F161" s="16">
        <f>'FixedP_Lower'!$H$161</f>
        <v>1.1000000000000003</v>
      </c>
      <c r="G161" s="18">
        <f>'FixedP_Lower'!$AD$161</f>
        <v>17670.345615483235</v>
      </c>
      <c r="H161" s="29" t="str">
        <f>'FixedP_Upper'!$G$161</f>
        <v>retained c/D (not the cap rule)</v>
      </c>
      <c r="I161" s="16">
        <f>'FixedP_Upper'!$H$161</f>
        <v>1.1000000000000003</v>
      </c>
      <c r="J161" s="18">
        <f>'FixedP_Upper'!$AD$161</f>
        <v>17670.345615483235</v>
      </c>
      <c r="K161" s="18">
        <f>Selected_P</f>
        <v>17670.345615483235</v>
      </c>
      <c r="L161" s="16">
        <f>IF(ABS(J161-G161)&lt;0.000000001,0,(K161-G161)/(J161-G161))</f>
        <v>0</v>
      </c>
      <c r="M161" s="29" t="str">
        <f>IF(ABS(J161-G161)&lt;0.000000001,"Exact station",IF(AND(K161&gt;=G161-0.000001,K161&lt;=J161+0.000001),"Interpolated","Outside range"))</f>
        <v>Exact station</v>
      </c>
      <c r="N161" s="30">
        <f>'FixedP_Lower'!$AE$161+L161*('FixedP_Upper'!$AE$161-'FixedP_Lower'!$AE$161)</f>
        <v>-276.51371544497636</v>
      </c>
      <c r="O161" s="30">
        <f>'FixedP_Lower'!$AF$161+L161*('FixedP_Upper'!$AF$161-'FixedP_Lower'!$AF$161)</f>
        <v>-2002.772097113717</v>
      </c>
      <c r="P161" s="7">
        <v>-276.51371544497636</v>
      </c>
      <c r="Q161" s="7">
        <v>-2002.772097113717</v>
      </c>
      <c r="R161" s="16">
        <f>SQRT((N161-P161)^2+(O161-Q161)^2)</f>
        <v>0</v>
      </c>
    </row>
    <row r="162" spans="1:18" x14ac:dyDescent="0.25">
      <c r="A162" s="23">
        <v>155</v>
      </c>
      <c r="B162" s="23" t="s">
        <v>504</v>
      </c>
      <c r="C162" s="23">
        <v>1</v>
      </c>
      <c r="D162" s="24">
        <v>270</v>
      </c>
      <c r="E162" s="25" t="str">
        <f>'FixedP_Lower'!$G$162</f>
        <v>retained c/D (not the cap rule)</v>
      </c>
      <c r="F162" s="26">
        <f>'FixedP_Lower'!$H$162</f>
        <v>3</v>
      </c>
      <c r="G162" s="27">
        <f>'FixedP_Lower'!$AD$162</f>
        <v>17670.345615483235</v>
      </c>
      <c r="H162" s="25" t="str">
        <f>'FixedP_Upper'!$G$162</f>
        <v>retained c/D (not the cap rule)</v>
      </c>
      <c r="I162" s="26">
        <f>'FixedP_Upper'!$H$162</f>
        <v>3</v>
      </c>
      <c r="J162" s="27">
        <f>'FixedP_Upper'!$AD$162</f>
        <v>17670.345615483235</v>
      </c>
      <c r="K162" s="27">
        <f>Selected_P</f>
        <v>17670.345615483235</v>
      </c>
      <c r="L162" s="26">
        <f>IF(ABS(J162-G162)&lt;0.000000001,0,(K162-G162)/(J162-G162))</f>
        <v>0</v>
      </c>
      <c r="M162" s="25" t="str">
        <f>IF(ABS(J162-G162)&lt;0.000000001,"Exact station",IF(AND(K162&gt;=G162-0.000001,K162&lt;=J162+0.000001),"Interpolated","Outside range"))</f>
        <v>Exact station</v>
      </c>
      <c r="N162" s="28">
        <f>'FixedP_Lower'!$AE$162+L162*('FixedP_Upper'!$AE$162-'FixedP_Lower'!$AE$162)</f>
        <v>-0.0008350156762442883</v>
      </c>
      <c r="O162" s="28">
        <f>'FixedP_Lower'!$AF$162+L162*('FixedP_Upper'!$AF$162-'FixedP_Lower'!$AF$162)</f>
        <v>-435.0881282610674</v>
      </c>
      <c r="P162" s="7">
        <v>-0.0008350156762442883</v>
      </c>
      <c r="Q162" s="7">
        <v>-435.0881282610674</v>
      </c>
      <c r="R162" s="16">
        <f>SQRT((N162-P162)^2+(O162-Q162)^2)</f>
        <v>0</v>
      </c>
    </row>
    <row r="163" spans="1:18" x14ac:dyDescent="0.25">
      <c r="A163" s="7">
        <v>156</v>
      </c>
      <c r="B163" s="7" t="s">
        <v>506</v>
      </c>
      <c r="C163" s="7">
        <v>2</v>
      </c>
      <c r="D163" s="19">
        <v>270</v>
      </c>
      <c r="E163" s="29" t="str">
        <f>'FixedP_Lower'!$G$163</f>
        <v>retained c/D (not the cap rule)</v>
      </c>
      <c r="F163" s="16">
        <f>'FixedP_Lower'!$H$163</f>
        <v>1.9999999999999998</v>
      </c>
      <c r="G163" s="18">
        <f>'FixedP_Lower'!$AD$163</f>
        <v>17670.345615483235</v>
      </c>
      <c r="H163" s="29" t="str">
        <f>'FixedP_Upper'!$G$163</f>
        <v>retained c/D (not the cap rule)</v>
      </c>
      <c r="I163" s="16">
        <f>'FixedP_Upper'!$H$163</f>
        <v>1.9999999999999998</v>
      </c>
      <c r="J163" s="18">
        <f>'FixedP_Upper'!$AD$163</f>
        <v>17670.345615483235</v>
      </c>
      <c r="K163" s="18">
        <f>Selected_P</f>
        <v>17670.345615483235</v>
      </c>
      <c r="L163" s="16">
        <f>IF(ABS(J163-G163)&lt;0.000000001,0,(K163-G163)/(J163-G163))</f>
        <v>0</v>
      </c>
      <c r="M163" s="29" t="str">
        <f>IF(ABS(J163-G163)&lt;0.000000001,"Exact station",IF(AND(K163&gt;=G163-0.000001,K163&lt;=J163+0.000001),"Interpolated","Outside range"))</f>
        <v>Exact station</v>
      </c>
      <c r="N163" s="30">
        <f>'FixedP_Lower'!$AE$163+L163*('FixedP_Upper'!$AE$163-'FixedP_Lower'!$AE$163)</f>
        <v>-0.0016700313524885765</v>
      </c>
      <c r="O163" s="30">
        <f>'FixedP_Lower'!$AF$163+L163*('FixedP_Upper'!$AF$163-'FixedP_Lower'!$AF$163)</f>
        <v>-870.1762565221348</v>
      </c>
      <c r="P163" s="7">
        <v>-0.0016700313524885765</v>
      </c>
      <c r="Q163" s="7">
        <v>-870.1762565221348</v>
      </c>
      <c r="R163" s="16">
        <f>SQRT((N163-P163)^2+(O163-Q163)^2)</f>
        <v>0</v>
      </c>
    </row>
    <row r="164" spans="1:18" x14ac:dyDescent="0.25">
      <c r="A164" s="23">
        <v>157</v>
      </c>
      <c r="B164" s="23" t="s">
        <v>508</v>
      </c>
      <c r="C164" s="23">
        <v>3</v>
      </c>
      <c r="D164" s="24">
        <v>270</v>
      </c>
      <c r="E164" s="25" t="str">
        <f>'FixedP_Lower'!$G$164</f>
        <v>retained c/D (not the cap rule)</v>
      </c>
      <c r="F164" s="26">
        <f>'FixedP_Lower'!$H$164</f>
        <v>1.4999999999999998</v>
      </c>
      <c r="G164" s="27">
        <f>'FixedP_Lower'!$AD$164</f>
        <v>17670.345615483235</v>
      </c>
      <c r="H164" s="25" t="str">
        <f>'FixedP_Upper'!$G$164</f>
        <v>retained c/D (not the cap rule)</v>
      </c>
      <c r="I164" s="26">
        <f>'FixedP_Upper'!$H$164</f>
        <v>1.4999999999999998</v>
      </c>
      <c r="J164" s="27">
        <f>'FixedP_Upper'!$AD$164</f>
        <v>17670.345615483235</v>
      </c>
      <c r="K164" s="27">
        <f>Selected_P</f>
        <v>17670.345615483235</v>
      </c>
      <c r="L164" s="26">
        <f>IF(ABS(J164-G164)&lt;0.000000001,0,(K164-G164)/(J164-G164))</f>
        <v>0</v>
      </c>
      <c r="M164" s="25" t="str">
        <f>IF(ABS(J164-G164)&lt;0.000000001,"Exact station",IF(AND(K164&gt;=G164-0.000001,K164&lt;=J164+0.000001),"Interpolated","Outside range"))</f>
        <v>Exact station</v>
      </c>
      <c r="N164" s="28">
        <f>'FixedP_Lower'!$AE$164+L164*('FixedP_Upper'!$AE$164-'FixedP_Lower'!$AE$164)</f>
        <v>-0.0025050470287328644</v>
      </c>
      <c r="O164" s="28">
        <f>'FixedP_Lower'!$AF$164+L164*('FixedP_Upper'!$AF$164-'FixedP_Lower'!$AF$164)</f>
        <v>-1305.2643847832023</v>
      </c>
      <c r="P164" s="7">
        <v>-0.0025050470287328644</v>
      </c>
      <c r="Q164" s="7">
        <v>-1305.2643847832023</v>
      </c>
      <c r="R164" s="16">
        <f>SQRT((N164-P164)^2+(O164-Q164)^2)</f>
        <v>0</v>
      </c>
    </row>
    <row r="165" spans="1:18" x14ac:dyDescent="0.25">
      <c r="A165" s="7">
        <v>158</v>
      </c>
      <c r="B165" s="7" t="s">
        <v>510</v>
      </c>
      <c r="C165" s="7">
        <v>4</v>
      </c>
      <c r="D165" s="19">
        <v>270</v>
      </c>
      <c r="E165" s="29" t="str">
        <f>'FixedP_Lower'!$G$165</f>
        <v>retained c/D (not the cap rule)</v>
      </c>
      <c r="F165" s="16">
        <f>'FixedP_Lower'!$H$165</f>
        <v>1.1999999999999997</v>
      </c>
      <c r="G165" s="18">
        <f>'FixedP_Lower'!$AD$165</f>
        <v>17670.345615483235</v>
      </c>
      <c r="H165" s="29" t="str">
        <f>'FixedP_Upper'!$G$165</f>
        <v>retained c/D (not the cap rule)</v>
      </c>
      <c r="I165" s="16">
        <f>'FixedP_Upper'!$H$165</f>
        <v>1.1999999999999997</v>
      </c>
      <c r="J165" s="18">
        <f>'FixedP_Upper'!$AD$165</f>
        <v>17670.345615483235</v>
      </c>
      <c r="K165" s="18">
        <f>Selected_P</f>
        <v>17670.345615483235</v>
      </c>
      <c r="L165" s="16">
        <f>IF(ABS(J165-G165)&lt;0.000000001,0,(K165-G165)/(J165-G165))</f>
        <v>0</v>
      </c>
      <c r="M165" s="29" t="str">
        <f>IF(ABS(J165-G165)&lt;0.000000001,"Exact station",IF(AND(K165&gt;=G165-0.000001,K165&lt;=J165+0.000001),"Interpolated","Outside range"))</f>
        <v>Exact station</v>
      </c>
      <c r="N165" s="30">
        <f>'FixedP_Lower'!$AE$165+L165*('FixedP_Upper'!$AE$165-'FixedP_Lower'!$AE$165)</f>
        <v>-0.003340062704977153</v>
      </c>
      <c r="O165" s="30">
        <f>'FixedP_Lower'!$AF$165+L165*('FixedP_Upper'!$AF$165-'FixedP_Lower'!$AF$165)</f>
        <v>-1740.3525130442697</v>
      </c>
      <c r="P165" s="7">
        <v>-0.003340062704977153</v>
      </c>
      <c r="Q165" s="7">
        <v>-1740.3525130442697</v>
      </c>
      <c r="R165" s="16">
        <f>SQRT((N165-P165)^2+(O165-Q165)^2)</f>
        <v>0</v>
      </c>
    </row>
    <row r="166" spans="1:18" x14ac:dyDescent="0.25">
      <c r="A166" s="23">
        <v>159</v>
      </c>
      <c r="B166" s="23" t="s">
        <v>512</v>
      </c>
      <c r="C166" s="23">
        <v>5</v>
      </c>
      <c r="D166" s="24">
        <v>270</v>
      </c>
      <c r="E166" s="25" t="str">
        <f>'FixedP_Lower'!$G$166</f>
        <v>retained c/D (not the cap rule)</v>
      </c>
      <c r="F166" s="26">
        <f>'FixedP_Lower'!$H$166</f>
        <v>1.1</v>
      </c>
      <c r="G166" s="27">
        <f>'FixedP_Lower'!$AD$166</f>
        <v>17670.345615483235</v>
      </c>
      <c r="H166" s="25" t="str">
        <f>'FixedP_Upper'!$G$166</f>
        <v>retained c/D (not the cap rule)</v>
      </c>
      <c r="I166" s="26">
        <f>'FixedP_Upper'!$H$166</f>
        <v>1.1</v>
      </c>
      <c r="J166" s="27">
        <f>'FixedP_Upper'!$AD$166</f>
        <v>17670.345615483235</v>
      </c>
      <c r="K166" s="27">
        <f>Selected_P</f>
        <v>17670.345615483235</v>
      </c>
      <c r="L166" s="26">
        <f>IF(ABS(J166-G166)&lt;0.000000001,0,(K166-G166)/(J166-G166))</f>
        <v>0</v>
      </c>
      <c r="M166" s="25" t="str">
        <f>IF(ABS(J166-G166)&lt;0.000000001,"Exact station",IF(AND(K166&gt;=G166-0.000001,K166&lt;=J166+0.000001),"Interpolated","Outside range"))</f>
        <v>Exact station</v>
      </c>
      <c r="N166" s="28">
        <f>'FixedP_Lower'!$AE$166+L166*('FixedP_Upper'!$AE$166-'FixedP_Lower'!$AE$166)</f>
        <v>-0.004175078381221441</v>
      </c>
      <c r="O166" s="28">
        <f>'FixedP_Lower'!$AF$166+L166*('FixedP_Upper'!$AF$166-'FixedP_Lower'!$AF$166)</f>
        <v>-2175.4406413053375</v>
      </c>
      <c r="P166" s="7">
        <v>-0.004175078381221441</v>
      </c>
      <c r="Q166" s="7">
        <v>-2175.4406413053375</v>
      </c>
      <c r="R166" s="16">
        <f>SQRT((N166-P166)^2+(O166-Q166)^2)</f>
        <v>0</v>
      </c>
    </row>
    <row r="167" spans="1:18" x14ac:dyDescent="0.25">
      <c r="A167" s="7">
        <v>160</v>
      </c>
      <c r="B167" s="7" t="s">
        <v>514</v>
      </c>
      <c r="C167" s="7">
        <v>1</v>
      </c>
      <c r="D167" s="19">
        <v>280</v>
      </c>
      <c r="E167" s="29" t="str">
        <f>'FixedP_Lower'!$G$167</f>
        <v>retained c/D (not the cap rule)</v>
      </c>
      <c r="F167" s="16">
        <f>'FixedP_Lower'!$H$167</f>
        <v>1.1</v>
      </c>
      <c r="G167" s="18">
        <f>'FixedP_Lower'!$AD$167</f>
        <v>17670.345615483235</v>
      </c>
      <c r="H167" s="29" t="str">
        <f>'FixedP_Upper'!$G$167</f>
        <v>retained c/D (not the cap rule)</v>
      </c>
      <c r="I167" s="16">
        <f>'FixedP_Upper'!$H$167</f>
        <v>1.1</v>
      </c>
      <c r="J167" s="18">
        <f>'FixedP_Upper'!$AD$167</f>
        <v>17670.345615483235</v>
      </c>
      <c r="K167" s="18">
        <f>Selected_P</f>
        <v>17670.345615483235</v>
      </c>
      <c r="L167" s="16">
        <f>IF(ABS(J167-G167)&lt;0.000000001,0,(K167-G167)/(J167-G167))</f>
        <v>0</v>
      </c>
      <c r="M167" s="29" t="str">
        <f>IF(ABS(J167-G167)&lt;0.000000001,"Exact station",IF(AND(K167&gt;=G167-0.000001,K167&lt;=J167+0.000001),"Interpolated","Outside range"))</f>
        <v>Exact station</v>
      </c>
      <c r="N167" s="30">
        <f>'FixedP_Lower'!$AE$167+L167*('FixedP_Upper'!$AE$167-'FixedP_Lower'!$AE$167)</f>
        <v>276.50201629437777</v>
      </c>
      <c r="O167" s="30">
        <f>'FixedP_Lower'!$AF$167+L167*('FixedP_Upper'!$AF$167-'FixedP_Lower'!$AF$167)</f>
        <v>-2002.759824839201</v>
      </c>
      <c r="P167" s="7">
        <v>276.50201629437777</v>
      </c>
      <c r="Q167" s="7">
        <v>-2002.759824839201</v>
      </c>
      <c r="R167" s="16">
        <f>SQRT((N167-P167)^2+(O167-Q167)^2)</f>
        <v>0</v>
      </c>
    </row>
    <row r="168" spans="1:18" x14ac:dyDescent="0.25">
      <c r="A168" s="23">
        <v>161</v>
      </c>
      <c r="B168" s="23" t="s">
        <v>516</v>
      </c>
      <c r="C168" s="23">
        <v>2</v>
      </c>
      <c r="D168" s="24">
        <v>280</v>
      </c>
      <c r="E168" s="25" t="str">
        <f>'FixedP_Lower'!$G$168</f>
        <v>retained c/D (not the cap rule)</v>
      </c>
      <c r="F168" s="26">
        <f>'FixedP_Lower'!$H$168</f>
        <v>3</v>
      </c>
      <c r="G168" s="27">
        <f>'FixedP_Lower'!$AD$168</f>
        <v>17670.345615483235</v>
      </c>
      <c r="H168" s="25" t="str">
        <f>'FixedP_Upper'!$G$168</f>
        <v>retained c/D (not the cap rule)</v>
      </c>
      <c r="I168" s="26">
        <f>'FixedP_Upper'!$H$168</f>
        <v>3</v>
      </c>
      <c r="J168" s="27">
        <f>'FixedP_Upper'!$AD$168</f>
        <v>17670.345615483235</v>
      </c>
      <c r="K168" s="27">
        <f>Selected_P</f>
        <v>17670.345615483235</v>
      </c>
      <c r="L168" s="26">
        <f>IF(ABS(J168-G168)&lt;0.000000001,0,(K168-G168)/(J168-G168))</f>
        <v>0</v>
      </c>
      <c r="M168" s="25" t="str">
        <f>IF(ABS(J168-G168)&lt;0.000000001,"Exact station",IF(AND(K168&gt;=G168-0.000001,K168&lt;=J168+0.000001),"Interpolated","Outside range"))</f>
        <v>Exact station</v>
      </c>
      <c r="N168" s="28">
        <f>'FixedP_Lower'!$AE$168+L168*('FixedP_Upper'!$AE$168-'FixedP_Lower'!$AE$168)</f>
        <v>55.30040325887555</v>
      </c>
      <c r="O168" s="28">
        <f>'FixedP_Lower'!$AF$168+L168*('FixedP_Upper'!$AF$168-'FixedP_Lower'!$AF$168)</f>
        <v>-400.55196496784015</v>
      </c>
      <c r="P168" s="7">
        <v>55.30040325887555</v>
      </c>
      <c r="Q168" s="7">
        <v>-400.55196496784015</v>
      </c>
      <c r="R168" s="16">
        <f>SQRT((N168-P168)^2+(O168-Q168)^2)</f>
        <v>0</v>
      </c>
    </row>
    <row r="169" spans="1:18" x14ac:dyDescent="0.25">
      <c r="A169" s="7">
        <v>162</v>
      </c>
      <c r="B169" s="7" t="s">
        <v>518</v>
      </c>
      <c r="C169" s="7">
        <v>3</v>
      </c>
      <c r="D169" s="19">
        <v>280</v>
      </c>
      <c r="E169" s="29" t="str">
        <f>'FixedP_Lower'!$G$169</f>
        <v>retained c/D (not the cap rule)</v>
      </c>
      <c r="F169" s="16">
        <f>'FixedP_Lower'!$H$169</f>
        <v>2</v>
      </c>
      <c r="G169" s="18">
        <f>'FixedP_Lower'!$AD$169</f>
        <v>17670.345615483235</v>
      </c>
      <c r="H169" s="29" t="str">
        <f>'FixedP_Upper'!$G$169</f>
        <v>retained c/D (not the cap rule)</v>
      </c>
      <c r="I169" s="16">
        <f>'FixedP_Upper'!$H$169</f>
        <v>2</v>
      </c>
      <c r="J169" s="18">
        <f>'FixedP_Upper'!$AD$169</f>
        <v>17670.345615483235</v>
      </c>
      <c r="K169" s="18">
        <f>Selected_P</f>
        <v>17670.345615483235</v>
      </c>
      <c r="L169" s="16">
        <f>IF(ABS(J169-G169)&lt;0.000000001,0,(K169-G169)/(J169-G169))</f>
        <v>0</v>
      </c>
      <c r="M169" s="29" t="str">
        <f>IF(ABS(J169-G169)&lt;0.000000001,"Exact station",IF(AND(K169&gt;=G169-0.000001,K169&lt;=J169+0.000001),"Interpolated","Outside range"))</f>
        <v>Exact station</v>
      </c>
      <c r="N169" s="30">
        <f>'FixedP_Lower'!$AE$169+L169*('FixedP_Upper'!$AE$169-'FixedP_Lower'!$AE$169)</f>
        <v>110.6008065177511</v>
      </c>
      <c r="O169" s="30">
        <f>'FixedP_Lower'!$AF$169+L169*('FixedP_Upper'!$AF$169-'FixedP_Lower'!$AF$169)</f>
        <v>-801.1039299356803</v>
      </c>
      <c r="P169" s="7">
        <v>110.6008065177511</v>
      </c>
      <c r="Q169" s="7">
        <v>-801.1039299356803</v>
      </c>
      <c r="R169" s="16">
        <f>SQRT((N169-P169)^2+(O169-Q169)^2)</f>
        <v>0</v>
      </c>
    </row>
    <row r="170" spans="1:18" x14ac:dyDescent="0.25">
      <c r="A170" s="23">
        <v>163</v>
      </c>
      <c r="B170" s="23" t="s">
        <v>520</v>
      </c>
      <c r="C170" s="23">
        <v>4</v>
      </c>
      <c r="D170" s="24">
        <v>280</v>
      </c>
      <c r="E170" s="25" t="str">
        <f>'FixedP_Lower'!$G$170</f>
        <v>retained c/D (not the cap rule)</v>
      </c>
      <c r="F170" s="26">
        <f>'FixedP_Lower'!$H$170</f>
        <v>1.5</v>
      </c>
      <c r="G170" s="27">
        <f>'FixedP_Lower'!$AD$170</f>
        <v>17670.345615483235</v>
      </c>
      <c r="H170" s="25" t="str">
        <f>'FixedP_Upper'!$G$170</f>
        <v>retained c/D (not the cap rule)</v>
      </c>
      <c r="I170" s="26">
        <f>'FixedP_Upper'!$H$170</f>
        <v>1.5</v>
      </c>
      <c r="J170" s="27">
        <f>'FixedP_Upper'!$AD$170</f>
        <v>17670.345615483235</v>
      </c>
      <c r="K170" s="27">
        <f>Selected_P</f>
        <v>17670.345615483235</v>
      </c>
      <c r="L170" s="26">
        <f>IF(ABS(J170-G170)&lt;0.000000001,0,(K170-G170)/(J170-G170))</f>
        <v>0</v>
      </c>
      <c r="M170" s="25" t="str">
        <f>IF(ABS(J170-G170)&lt;0.000000001,"Exact station",IF(AND(K170&gt;=G170-0.000001,K170&lt;=J170+0.000001),"Interpolated","Outside range"))</f>
        <v>Exact station</v>
      </c>
      <c r="N170" s="28">
        <f>'FixedP_Lower'!$AE$170+L170*('FixedP_Upper'!$AE$170-'FixedP_Lower'!$AE$170)</f>
        <v>165.90120977662667</v>
      </c>
      <c r="O170" s="28">
        <f>'FixedP_Lower'!$AF$170+L170*('FixedP_Upper'!$AF$170-'FixedP_Lower'!$AF$170)</f>
        <v>-1201.6558949035207</v>
      </c>
      <c r="P170" s="7">
        <v>165.90120977662667</v>
      </c>
      <c r="Q170" s="7">
        <v>-1201.6558949035207</v>
      </c>
      <c r="R170" s="16">
        <f>SQRT((N170-P170)^2+(O170-Q170)^2)</f>
        <v>0</v>
      </c>
    </row>
    <row r="171" spans="1:18" x14ac:dyDescent="0.25">
      <c r="A171" s="7">
        <v>164</v>
      </c>
      <c r="B171" s="7" t="s">
        <v>522</v>
      </c>
      <c r="C171" s="7">
        <v>5</v>
      </c>
      <c r="D171" s="19">
        <v>280</v>
      </c>
      <c r="E171" s="29" t="str">
        <f>'FixedP_Lower'!$G$171</f>
        <v>retained c/D (not the cap rule)</v>
      </c>
      <c r="F171" s="16">
        <f>'FixedP_Lower'!$H$171</f>
        <v>1.2</v>
      </c>
      <c r="G171" s="18">
        <f>'FixedP_Lower'!$AD$171</f>
        <v>17670.345615483235</v>
      </c>
      <c r="H171" s="29" t="str">
        <f>'FixedP_Upper'!$G$171</f>
        <v>retained c/D (not the cap rule)</v>
      </c>
      <c r="I171" s="16">
        <f>'FixedP_Upper'!$H$171</f>
        <v>1.2</v>
      </c>
      <c r="J171" s="18">
        <f>'FixedP_Upper'!$AD$171</f>
        <v>17670.345615483235</v>
      </c>
      <c r="K171" s="18">
        <f>Selected_P</f>
        <v>17670.345615483235</v>
      </c>
      <c r="L171" s="16">
        <f>IF(ABS(J171-G171)&lt;0.000000001,0,(K171-G171)/(J171-G171))</f>
        <v>0</v>
      </c>
      <c r="M171" s="29" t="str">
        <f>IF(ABS(J171-G171)&lt;0.000000001,"Exact station",IF(AND(K171&gt;=G171-0.000001,K171&lt;=J171+0.000001),"Interpolated","Outside range"))</f>
        <v>Exact station</v>
      </c>
      <c r="N171" s="30">
        <f>'FixedP_Lower'!$AE$171+L171*('FixedP_Upper'!$AE$171-'FixedP_Lower'!$AE$171)</f>
        <v>221.2016130355022</v>
      </c>
      <c r="O171" s="30">
        <f>'FixedP_Lower'!$AF$171+L171*('FixedP_Upper'!$AF$171-'FixedP_Lower'!$AF$171)</f>
        <v>-1602.2078598713606</v>
      </c>
      <c r="P171" s="7">
        <v>221.2016130355022</v>
      </c>
      <c r="Q171" s="7">
        <v>-1602.2078598713606</v>
      </c>
      <c r="R171" s="16">
        <f>SQRT((N171-P171)^2+(O171-Q171)^2)</f>
        <v>0</v>
      </c>
    </row>
    <row r="172" spans="1:18" x14ac:dyDescent="0.25">
      <c r="A172" s="23">
        <v>165</v>
      </c>
      <c r="B172" s="23" t="s">
        <v>524</v>
      </c>
      <c r="C172" s="23">
        <v>1</v>
      </c>
      <c r="D172" s="24">
        <v>290</v>
      </c>
      <c r="E172" s="25" t="str">
        <f>'FixedP_Lower'!$G$172</f>
        <v>retained c/D (not the cap rule)</v>
      </c>
      <c r="F172" s="26">
        <f>'FixedP_Lower'!$H$172</f>
        <v>3.0000000000000004</v>
      </c>
      <c r="G172" s="27">
        <f>'FixedP_Lower'!$AD$172</f>
        <v>17670.345615483235</v>
      </c>
      <c r="H172" s="25" t="str">
        <f>'FixedP_Upper'!$G$172</f>
        <v>retained c/D (not the cap rule)</v>
      </c>
      <c r="I172" s="26">
        <f>'FixedP_Upper'!$H$172</f>
        <v>3.0000000000000004</v>
      </c>
      <c r="J172" s="27">
        <f>'FixedP_Upper'!$AD$172</f>
        <v>17670.345615483235</v>
      </c>
      <c r="K172" s="27">
        <f>Selected_P</f>
        <v>17670.345615483235</v>
      </c>
      <c r="L172" s="26">
        <f>IF(ABS(J172-G172)&lt;0.000000001,0,(K172-G172)/(J172-G172))</f>
        <v>0</v>
      </c>
      <c r="M172" s="25" t="str">
        <f>IF(ABS(J172-G172)&lt;0.000000001,"Exact station",IF(AND(K172&gt;=G172-0.000001,K172&lt;=J172+0.000001),"Interpolated","Outside range"))</f>
        <v>Exact station</v>
      </c>
      <c r="N172" s="28">
        <f>'FixedP_Lower'!$AE$172+L172*('FixedP_Upper'!$AE$172-'FixedP_Lower'!$AE$172)</f>
        <v>103.6930844469924</v>
      </c>
      <c r="O172" s="28">
        <f>'FixedP_Lower'!$AF$172+L172*('FixedP_Upper'!$AF$172-'FixedP_Lower'!$AF$172)</f>
        <v>-367.6881546488527</v>
      </c>
      <c r="P172" s="7">
        <v>103.6930844469924</v>
      </c>
      <c r="Q172" s="7">
        <v>-367.6881546488527</v>
      </c>
      <c r="R172" s="16">
        <f>SQRT((N172-P172)^2+(O172-Q172)^2)</f>
        <v>0</v>
      </c>
    </row>
    <row r="173" spans="1:18" x14ac:dyDescent="0.25">
      <c r="A173" s="7">
        <v>166</v>
      </c>
      <c r="B173" s="7" t="s">
        <v>526</v>
      </c>
      <c r="C173" s="7">
        <v>2</v>
      </c>
      <c r="D173" s="19">
        <v>290</v>
      </c>
      <c r="E173" s="29" t="str">
        <f>'FixedP_Lower'!$G$173</f>
        <v>retained c/D (not the cap rule)</v>
      </c>
      <c r="F173" s="16">
        <f>'FixedP_Lower'!$H$173</f>
        <v>2</v>
      </c>
      <c r="G173" s="18">
        <f>'FixedP_Lower'!$AD$173</f>
        <v>17670.345615483235</v>
      </c>
      <c r="H173" s="29" t="str">
        <f>'FixedP_Upper'!$G$173</f>
        <v>retained c/D (not the cap rule)</v>
      </c>
      <c r="I173" s="16">
        <f>'FixedP_Upper'!$H$173</f>
        <v>2</v>
      </c>
      <c r="J173" s="18">
        <f>'FixedP_Upper'!$AD$173</f>
        <v>17670.345615483235</v>
      </c>
      <c r="K173" s="18">
        <f>Selected_P</f>
        <v>17670.345615483235</v>
      </c>
      <c r="L173" s="16">
        <f>IF(ABS(J173-G173)&lt;0.000000001,0,(K173-G173)/(J173-G173))</f>
        <v>0</v>
      </c>
      <c r="M173" s="29" t="str">
        <f>IF(ABS(J173-G173)&lt;0.000000001,"Exact station",IF(AND(K173&gt;=G173-0.000001,K173&lt;=J173+0.000001),"Interpolated","Outside range"))</f>
        <v>Exact station</v>
      </c>
      <c r="N173" s="30">
        <f>'FixedP_Lower'!$AE$173+L173*('FixedP_Upper'!$AE$173-'FixedP_Lower'!$AE$173)</f>
        <v>207.3861688939848</v>
      </c>
      <c r="O173" s="30">
        <f>'FixedP_Lower'!$AF$173+L173*('FixedP_Upper'!$AF$173-'FixedP_Lower'!$AF$173)</f>
        <v>-735.3763092977053</v>
      </c>
      <c r="P173" s="7">
        <v>207.3861688939848</v>
      </c>
      <c r="Q173" s="7">
        <v>-735.3763092977053</v>
      </c>
      <c r="R173" s="16">
        <f>SQRT((N173-P173)^2+(O173-Q173)^2)</f>
        <v>0</v>
      </c>
    </row>
    <row r="174" spans="1:18" x14ac:dyDescent="0.25">
      <c r="A174" s="23">
        <v>167</v>
      </c>
      <c r="B174" s="23" t="s">
        <v>528</v>
      </c>
      <c r="C174" s="23">
        <v>3</v>
      </c>
      <c r="D174" s="24">
        <v>290</v>
      </c>
      <c r="E174" s="25" t="str">
        <f>'FixedP_Lower'!$G$174</f>
        <v>retained c/D (not the cap rule)</v>
      </c>
      <c r="F174" s="26">
        <f>'FixedP_Lower'!$H$174</f>
        <v>1.5000000000000002</v>
      </c>
      <c r="G174" s="27">
        <f>'FixedP_Lower'!$AD$174</f>
        <v>17670.345615483235</v>
      </c>
      <c r="H174" s="25" t="str">
        <f>'FixedP_Upper'!$G$174</f>
        <v>retained c/D (not the cap rule)</v>
      </c>
      <c r="I174" s="26">
        <f>'FixedP_Upper'!$H$174</f>
        <v>1.5000000000000002</v>
      </c>
      <c r="J174" s="27">
        <f>'FixedP_Upper'!$AD$174</f>
        <v>17670.345615483235</v>
      </c>
      <c r="K174" s="27">
        <f>Selected_P</f>
        <v>17670.345615483235</v>
      </c>
      <c r="L174" s="26">
        <f>IF(ABS(J174-G174)&lt;0.000000001,0,(K174-G174)/(J174-G174))</f>
        <v>0</v>
      </c>
      <c r="M174" s="25" t="str">
        <f>IF(ABS(J174-G174)&lt;0.000000001,"Exact station",IF(AND(K174&gt;=G174-0.000001,K174&lt;=J174+0.000001),"Interpolated","Outside range"))</f>
        <v>Exact station</v>
      </c>
      <c r="N174" s="28">
        <f>'FixedP_Lower'!$AE$174+L174*('FixedP_Upper'!$AE$174-'FixedP_Lower'!$AE$174)</f>
        <v>311.0792533409772</v>
      </c>
      <c r="O174" s="28">
        <f>'FixedP_Lower'!$AF$174+L174*('FixedP_Upper'!$AF$174-'FixedP_Lower'!$AF$174)</f>
        <v>-1103.0644639465577</v>
      </c>
      <c r="P174" s="7">
        <v>311.0792533409772</v>
      </c>
      <c r="Q174" s="7">
        <v>-1103.0644639465577</v>
      </c>
      <c r="R174" s="16">
        <f>SQRT((N174-P174)^2+(O174-Q174)^2)</f>
        <v>0</v>
      </c>
    </row>
    <row r="175" spans="1:18" x14ac:dyDescent="0.25">
      <c r="A175" s="7">
        <v>168</v>
      </c>
      <c r="B175" s="7" t="s">
        <v>530</v>
      </c>
      <c r="C175" s="7">
        <v>4</v>
      </c>
      <c r="D175" s="19">
        <v>290</v>
      </c>
      <c r="E175" s="29" t="str">
        <f>'FixedP_Lower'!$G$175</f>
        <v>retained c/D (not the cap rule)</v>
      </c>
      <c r="F175" s="16">
        <f>'FixedP_Lower'!$H$175</f>
        <v>1.2</v>
      </c>
      <c r="G175" s="18">
        <f>'FixedP_Lower'!$AD$175</f>
        <v>17670.345615483235</v>
      </c>
      <c r="H175" s="29" t="str">
        <f>'FixedP_Upper'!$G$175</f>
        <v>retained c/D (not the cap rule)</v>
      </c>
      <c r="I175" s="16">
        <f>'FixedP_Upper'!$H$175</f>
        <v>1.2</v>
      </c>
      <c r="J175" s="18">
        <f>'FixedP_Upper'!$AD$175</f>
        <v>17670.345615483235</v>
      </c>
      <c r="K175" s="18">
        <f>Selected_P</f>
        <v>17670.345615483235</v>
      </c>
      <c r="L175" s="16">
        <f>IF(ABS(J175-G175)&lt;0.000000001,0,(K175-G175)/(J175-G175))</f>
        <v>0</v>
      </c>
      <c r="M175" s="29" t="str">
        <f>IF(ABS(J175-G175)&lt;0.000000001,"Exact station",IF(AND(K175&gt;=G175-0.000001,K175&lt;=J175+0.000001),"Interpolated","Outside range"))</f>
        <v>Exact station</v>
      </c>
      <c r="N175" s="30">
        <f>'FixedP_Lower'!$AE$175+L175*('FixedP_Upper'!$AE$175-'FixedP_Lower'!$AE$175)</f>
        <v>414.7723377879696</v>
      </c>
      <c r="O175" s="30">
        <f>'FixedP_Lower'!$AF$175+L175*('FixedP_Upper'!$AF$175-'FixedP_Lower'!$AF$175)</f>
        <v>-1470.7526185954107</v>
      </c>
      <c r="P175" s="7">
        <v>414.7723377879696</v>
      </c>
      <c r="Q175" s="7">
        <v>-1470.7526185954107</v>
      </c>
      <c r="R175" s="16">
        <f>SQRT((N175-P175)^2+(O175-Q175)^2)</f>
        <v>0</v>
      </c>
    </row>
    <row r="176" spans="1:18" x14ac:dyDescent="0.25">
      <c r="A176" s="23">
        <v>169</v>
      </c>
      <c r="B176" s="23" t="s">
        <v>532</v>
      </c>
      <c r="C176" s="23">
        <v>5</v>
      </c>
      <c r="D176" s="24">
        <v>290</v>
      </c>
      <c r="E176" s="25" t="str">
        <f>'FixedP_Lower'!$G$176</f>
        <v>retained c/D (not the cap rule)</v>
      </c>
      <c r="F176" s="26">
        <f>'FixedP_Lower'!$H$176</f>
        <v>1.1000000000000003</v>
      </c>
      <c r="G176" s="27">
        <f>'FixedP_Lower'!$AD$176</f>
        <v>17670.345615483235</v>
      </c>
      <c r="H176" s="25" t="str">
        <f>'FixedP_Upper'!$G$176</f>
        <v>retained c/D (not the cap rule)</v>
      </c>
      <c r="I176" s="26">
        <f>'FixedP_Upper'!$H$176</f>
        <v>1.1000000000000003</v>
      </c>
      <c r="J176" s="27">
        <f>'FixedP_Upper'!$AD$176</f>
        <v>17670.345615483235</v>
      </c>
      <c r="K176" s="27">
        <f>Selected_P</f>
        <v>17670.345615483235</v>
      </c>
      <c r="L176" s="26">
        <f>IF(ABS(J176-G176)&lt;0.000000001,0,(K176-G176)/(J176-G176))</f>
        <v>0</v>
      </c>
      <c r="M176" s="25" t="str">
        <f>IF(ABS(J176-G176)&lt;0.000000001,"Exact station",IF(AND(K176&gt;=G176-0.000001,K176&lt;=J176+0.000001),"Interpolated","Outside range"))</f>
        <v>Exact station</v>
      </c>
      <c r="N176" s="28">
        <f>'FixedP_Lower'!$AE$176+L176*('FixedP_Upper'!$AE$176-'FixedP_Lower'!$AE$176)</f>
        <v>518.465422234962</v>
      </c>
      <c r="O176" s="28">
        <f>'FixedP_Lower'!$AF$176+L176*('FixedP_Upper'!$AF$176-'FixedP_Lower'!$AF$176)</f>
        <v>-1838.4407732442633</v>
      </c>
      <c r="P176" s="7">
        <v>518.465422234962</v>
      </c>
      <c r="Q176" s="7">
        <v>-1838.4407732442633</v>
      </c>
      <c r="R176" s="16">
        <f>SQRT((N176-P176)^2+(O176-Q176)^2)</f>
        <v>0</v>
      </c>
    </row>
    <row r="177" spans="1:18" x14ac:dyDescent="0.25">
      <c r="A177" s="7">
        <v>170</v>
      </c>
      <c r="B177" s="7" t="s">
        <v>534</v>
      </c>
      <c r="C177" s="7">
        <v>6</v>
      </c>
      <c r="D177" s="19">
        <v>290</v>
      </c>
      <c r="E177" s="29" t="str">
        <f>'FixedP_Lower'!$G$177</f>
        <v>retained c/D (not the cap rule)</v>
      </c>
      <c r="F177" s="16">
        <f>'FixedP_Lower'!$H$177</f>
        <v>0.9999999999999999</v>
      </c>
      <c r="G177" s="18">
        <f>'FixedP_Lower'!$AD$177</f>
        <v>17670.345615483235</v>
      </c>
      <c r="H177" s="29" t="str">
        <f>'FixedP_Upper'!$G$177</f>
        <v>retained c/D (not the cap rule)</v>
      </c>
      <c r="I177" s="16">
        <f>'FixedP_Upper'!$H$177</f>
        <v>0.9999999999999999</v>
      </c>
      <c r="J177" s="18">
        <f>'FixedP_Upper'!$AD$177</f>
        <v>17670.345615483235</v>
      </c>
      <c r="K177" s="18">
        <f>Selected_P</f>
        <v>17670.345615483235</v>
      </c>
      <c r="L177" s="16">
        <f>IF(ABS(J177-G177)&lt;0.000000001,0,(K177-G177)/(J177-G177))</f>
        <v>0</v>
      </c>
      <c r="M177" s="29" t="str">
        <f>IF(ABS(J177-G177)&lt;0.000000001,"Exact station",IF(AND(K177&gt;=G177-0.000001,K177&lt;=J177+0.000001),"Interpolated","Outside range"))</f>
        <v>Exact station</v>
      </c>
      <c r="N177" s="30">
        <f>'FixedP_Lower'!$AE$177+L177*('FixedP_Upper'!$AE$177-'FixedP_Lower'!$AE$177)</f>
        <v>622.1585066819543</v>
      </c>
      <c r="O177" s="30">
        <f>'FixedP_Lower'!$AF$177+L177*('FixedP_Upper'!$AF$177-'FixedP_Lower'!$AF$177)</f>
        <v>-2206.1289278931154</v>
      </c>
      <c r="P177" s="7">
        <v>622.1585066819543</v>
      </c>
      <c r="Q177" s="7">
        <v>-2206.1289278931154</v>
      </c>
      <c r="R177" s="16">
        <f>SQRT((N177-P177)^2+(O177-Q177)^2)</f>
        <v>0</v>
      </c>
    </row>
    <row r="178" spans="1:18" x14ac:dyDescent="0.25">
      <c r="A178" s="23">
        <v>171</v>
      </c>
      <c r="B178" s="23" t="s">
        <v>536</v>
      </c>
      <c r="C178" s="23">
        <v>1</v>
      </c>
      <c r="D178" s="24">
        <v>300</v>
      </c>
      <c r="E178" s="25" t="str">
        <f>'FixedP_Lower'!$G$178</f>
        <v>retained c/D (not the cap rule)</v>
      </c>
      <c r="F178" s="26">
        <f>'FixedP_Lower'!$H$178</f>
        <v>3</v>
      </c>
      <c r="G178" s="27">
        <f>'FixedP_Lower'!$AD$178</f>
        <v>17670.345615483235</v>
      </c>
      <c r="H178" s="25" t="str">
        <f>'FixedP_Upper'!$G$178</f>
        <v>retained c/D (not the cap rule)</v>
      </c>
      <c r="I178" s="26">
        <f>'FixedP_Upper'!$H$178</f>
        <v>3</v>
      </c>
      <c r="J178" s="27">
        <f>'FixedP_Upper'!$AD$178</f>
        <v>17670.345615483235</v>
      </c>
      <c r="K178" s="27">
        <f>Selected_P</f>
        <v>17670.345615483235</v>
      </c>
      <c r="L178" s="26">
        <f>IF(ABS(J178-G178)&lt;0.000000001,0,(K178-G178)/(J178-G178))</f>
        <v>0</v>
      </c>
      <c r="M178" s="25" t="str">
        <f>IF(ABS(J178-G178)&lt;0.000000001,"Exact station",IF(AND(K178&gt;=G178-0.000001,K178&lt;=J178+0.000001),"Interpolated","Outside range"))</f>
        <v>Exact station</v>
      </c>
      <c r="N178" s="28">
        <f>'FixedP_Lower'!$AE$178+L178*('FixedP_Upper'!$AE$178-'FixedP_Lower'!$AE$178)</f>
        <v>148.86672462011964</v>
      </c>
      <c r="O178" s="28">
        <f>'FixedP_Lower'!$AF$178+L178*('FixedP_Upper'!$AF$178-'FixedP_Lower'!$AF$178)</f>
        <v>-336.6534477749597</v>
      </c>
      <c r="P178" s="7">
        <v>148.86672462011964</v>
      </c>
      <c r="Q178" s="7">
        <v>-336.6534477749597</v>
      </c>
      <c r="R178" s="16">
        <f>SQRT((N178-P178)^2+(O178-Q178)^2)</f>
        <v>0</v>
      </c>
    </row>
    <row r="179" spans="1:18" x14ac:dyDescent="0.25">
      <c r="A179" s="7">
        <v>172</v>
      </c>
      <c r="B179" s="7" t="s">
        <v>538</v>
      </c>
      <c r="C179" s="7">
        <v>2</v>
      </c>
      <c r="D179" s="19">
        <v>300</v>
      </c>
      <c r="E179" s="29" t="str">
        <f>'FixedP_Lower'!$G$179</f>
        <v>retained c/D (not the cap rule)</v>
      </c>
      <c r="F179" s="16">
        <f>'FixedP_Lower'!$H$179</f>
        <v>2</v>
      </c>
      <c r="G179" s="18">
        <f>'FixedP_Lower'!$AD$179</f>
        <v>17670.345615483235</v>
      </c>
      <c r="H179" s="29" t="str">
        <f>'FixedP_Upper'!$G$179</f>
        <v>retained c/D (not the cap rule)</v>
      </c>
      <c r="I179" s="16">
        <f>'FixedP_Upper'!$H$179</f>
        <v>2</v>
      </c>
      <c r="J179" s="18">
        <f>'FixedP_Upper'!$AD$179</f>
        <v>17670.345615483235</v>
      </c>
      <c r="K179" s="18">
        <f>Selected_P</f>
        <v>17670.345615483235</v>
      </c>
      <c r="L179" s="16">
        <f>IF(ABS(J179-G179)&lt;0.000000001,0,(K179-G179)/(J179-G179))</f>
        <v>0</v>
      </c>
      <c r="M179" s="29" t="str">
        <f>IF(ABS(J179-G179)&lt;0.000000001,"Exact station",IF(AND(K179&gt;=G179-0.000001,K179&lt;=J179+0.000001),"Interpolated","Outside range"))</f>
        <v>Exact station</v>
      </c>
      <c r="N179" s="30">
        <f>'FixedP_Lower'!$AE$179+L179*('FixedP_Upper'!$AE$179-'FixedP_Lower'!$AE$179)</f>
        <v>297.7334492402393</v>
      </c>
      <c r="O179" s="30">
        <f>'FixedP_Lower'!$AF$179+L179*('FixedP_Upper'!$AF$179-'FixedP_Lower'!$AF$179)</f>
        <v>-673.3068955499194</v>
      </c>
      <c r="P179" s="7">
        <v>297.7334492402393</v>
      </c>
      <c r="Q179" s="7">
        <v>-673.3068955499194</v>
      </c>
      <c r="R179" s="16">
        <f>SQRT((N179-P179)^2+(O179-Q179)^2)</f>
        <v>0</v>
      </c>
    </row>
    <row r="180" spans="1:18" x14ac:dyDescent="0.25">
      <c r="A180" s="23">
        <v>173</v>
      </c>
      <c r="B180" s="23" t="s">
        <v>540</v>
      </c>
      <c r="C180" s="23">
        <v>3</v>
      </c>
      <c r="D180" s="24">
        <v>300</v>
      </c>
      <c r="E180" s="25" t="str">
        <f>'FixedP_Lower'!$G$180</f>
        <v>retained c/D (not the cap rule)</v>
      </c>
      <c r="F180" s="26">
        <f>'FixedP_Lower'!$H$180</f>
        <v>1.5</v>
      </c>
      <c r="G180" s="27">
        <f>'FixedP_Lower'!$AD$180</f>
        <v>17670.345615483235</v>
      </c>
      <c r="H180" s="25" t="str">
        <f>'FixedP_Upper'!$G$180</f>
        <v>retained c/D (not the cap rule)</v>
      </c>
      <c r="I180" s="26">
        <f>'FixedP_Upper'!$H$180</f>
        <v>1.5</v>
      </c>
      <c r="J180" s="27">
        <f>'FixedP_Upper'!$AD$180</f>
        <v>17670.345615483235</v>
      </c>
      <c r="K180" s="27">
        <f>Selected_P</f>
        <v>17670.345615483235</v>
      </c>
      <c r="L180" s="26">
        <f>IF(ABS(J180-G180)&lt;0.000000001,0,(K180-G180)/(J180-G180))</f>
        <v>0</v>
      </c>
      <c r="M180" s="25" t="str">
        <f>IF(ABS(J180-G180)&lt;0.000000001,"Exact station",IF(AND(K180&gt;=G180-0.000001,K180&lt;=J180+0.000001),"Interpolated","Outside range"))</f>
        <v>Exact station</v>
      </c>
      <c r="N180" s="28">
        <f>'FixedP_Lower'!$AE$180+L180*('FixedP_Upper'!$AE$180-'FixedP_Lower'!$AE$180)</f>
        <v>446.6001738603589</v>
      </c>
      <c r="O180" s="28">
        <f>'FixedP_Lower'!$AF$180+L180*('FixedP_Upper'!$AF$180-'FixedP_Lower'!$AF$180)</f>
        <v>-1009.9603433248793</v>
      </c>
      <c r="P180" s="7">
        <v>446.6001738603589</v>
      </c>
      <c r="Q180" s="7">
        <v>-1009.9603433248793</v>
      </c>
      <c r="R180" s="16">
        <f>SQRT((N180-P180)^2+(O180-Q180)^2)</f>
        <v>0</v>
      </c>
    </row>
    <row r="181" spans="1:18" x14ac:dyDescent="0.25">
      <c r="A181" s="7">
        <v>174</v>
      </c>
      <c r="B181" s="7" t="s">
        <v>542</v>
      </c>
      <c r="C181" s="7">
        <v>4</v>
      </c>
      <c r="D181" s="19">
        <v>300</v>
      </c>
      <c r="E181" s="29" t="str">
        <f>'FixedP_Lower'!$G$181</f>
        <v>retained c/D (not the cap rule)</v>
      </c>
      <c r="F181" s="16">
        <f>'FixedP_Lower'!$H$181</f>
        <v>1.2</v>
      </c>
      <c r="G181" s="18">
        <f>'FixedP_Lower'!$AD$181</f>
        <v>17670.345615483235</v>
      </c>
      <c r="H181" s="29" t="str">
        <f>'FixedP_Upper'!$G$181</f>
        <v>retained c/D (not the cap rule)</v>
      </c>
      <c r="I181" s="16">
        <f>'FixedP_Upper'!$H$181</f>
        <v>1.2</v>
      </c>
      <c r="J181" s="18">
        <f>'FixedP_Upper'!$AD$181</f>
        <v>17670.345615483235</v>
      </c>
      <c r="K181" s="18">
        <f>Selected_P</f>
        <v>17670.345615483235</v>
      </c>
      <c r="L181" s="16">
        <f>IF(ABS(J181-G181)&lt;0.000000001,0,(K181-G181)/(J181-G181))</f>
        <v>0</v>
      </c>
      <c r="M181" s="29" t="str">
        <f>IF(ABS(J181-G181)&lt;0.000000001,"Exact station",IF(AND(K181&gt;=G181-0.000001,K181&lt;=J181+0.000001),"Interpolated","Outside range"))</f>
        <v>Exact station</v>
      </c>
      <c r="N181" s="30">
        <f>'FixedP_Lower'!$AE$181+L181*('FixedP_Upper'!$AE$181-'FixedP_Lower'!$AE$181)</f>
        <v>595.4668984804786</v>
      </c>
      <c r="O181" s="30">
        <f>'FixedP_Lower'!$AF$181+L181*('FixedP_Upper'!$AF$181-'FixedP_Lower'!$AF$181)</f>
        <v>-1346.6137910998389</v>
      </c>
      <c r="P181" s="7">
        <v>595.4668984804786</v>
      </c>
      <c r="Q181" s="7">
        <v>-1346.6137910998389</v>
      </c>
      <c r="R181" s="16">
        <f>SQRT((N181-P181)^2+(O181-Q181)^2)</f>
        <v>0</v>
      </c>
    </row>
    <row r="182" spans="1:18" x14ac:dyDescent="0.25">
      <c r="A182" s="23">
        <v>175</v>
      </c>
      <c r="B182" s="23" t="s">
        <v>544</v>
      </c>
      <c r="C182" s="23">
        <v>5</v>
      </c>
      <c r="D182" s="24">
        <v>300</v>
      </c>
      <c r="E182" s="25" t="str">
        <f>'FixedP_Lower'!$G$182</f>
        <v>retained c/D (not the cap rule)</v>
      </c>
      <c r="F182" s="26">
        <f>'FixedP_Lower'!$H$182</f>
        <v>1.1</v>
      </c>
      <c r="G182" s="27">
        <f>'FixedP_Lower'!$AD$182</f>
        <v>17670.345615483235</v>
      </c>
      <c r="H182" s="25" t="str">
        <f>'FixedP_Upper'!$G$182</f>
        <v>retained c/D (not the cap rule)</v>
      </c>
      <c r="I182" s="26">
        <f>'FixedP_Upper'!$H$182</f>
        <v>1.1</v>
      </c>
      <c r="J182" s="27">
        <f>'FixedP_Upper'!$AD$182</f>
        <v>17670.345615483235</v>
      </c>
      <c r="K182" s="27">
        <f>Selected_P</f>
        <v>17670.345615483235</v>
      </c>
      <c r="L182" s="26">
        <f>IF(ABS(J182-G182)&lt;0.000000001,0,(K182-G182)/(J182-G182))</f>
        <v>0</v>
      </c>
      <c r="M182" s="25" t="str">
        <f>IF(ABS(J182-G182)&lt;0.000000001,"Exact station",IF(AND(K182&gt;=G182-0.000001,K182&lt;=J182+0.000001),"Interpolated","Outside range"))</f>
        <v>Exact station</v>
      </c>
      <c r="N182" s="28">
        <f>'FixedP_Lower'!$AE$182+L182*('FixedP_Upper'!$AE$182-'FixedP_Lower'!$AE$182)</f>
        <v>744.3336231005982</v>
      </c>
      <c r="O182" s="28">
        <f>'FixedP_Lower'!$AF$182+L182*('FixedP_Upper'!$AF$182-'FixedP_Lower'!$AF$182)</f>
        <v>-1683.2672388747987</v>
      </c>
      <c r="P182" s="7">
        <v>744.3336231005982</v>
      </c>
      <c r="Q182" s="7">
        <v>-1683.2672388747987</v>
      </c>
      <c r="R182" s="16">
        <f>SQRT((N182-P182)^2+(O182-Q182)^2)</f>
        <v>0</v>
      </c>
    </row>
    <row r="183" spans="1:18" x14ac:dyDescent="0.25">
      <c r="A183" s="7">
        <v>176</v>
      </c>
      <c r="B183" s="7" t="s">
        <v>546</v>
      </c>
      <c r="C183" s="7">
        <v>6</v>
      </c>
      <c r="D183" s="19">
        <v>300</v>
      </c>
      <c r="E183" s="29" t="str">
        <f>'FixedP_Lower'!$G$183</f>
        <v>retained c/D (not the cap rule)</v>
      </c>
      <c r="F183" s="16">
        <f>'FixedP_Lower'!$H$183</f>
        <v>1</v>
      </c>
      <c r="G183" s="18">
        <f>'FixedP_Lower'!$AD$183</f>
        <v>17670.345615483235</v>
      </c>
      <c r="H183" s="29" t="str">
        <f>'FixedP_Upper'!$G$183</f>
        <v>retained c/D (not the cap rule)</v>
      </c>
      <c r="I183" s="16">
        <f>'FixedP_Upper'!$H$183</f>
        <v>1</v>
      </c>
      <c r="J183" s="18">
        <f>'FixedP_Upper'!$AD$183</f>
        <v>17670.345615483235</v>
      </c>
      <c r="K183" s="18">
        <f>Selected_P</f>
        <v>17670.345615483235</v>
      </c>
      <c r="L183" s="16">
        <f>IF(ABS(J183-G183)&lt;0.000000001,0,(K183-G183)/(J183-G183))</f>
        <v>0</v>
      </c>
      <c r="M183" s="29" t="str">
        <f>IF(ABS(J183-G183)&lt;0.000000001,"Exact station",IF(AND(K183&gt;=G183-0.000001,K183&lt;=J183+0.000001),"Interpolated","Outside range"))</f>
        <v>Exact station</v>
      </c>
      <c r="N183" s="30">
        <f>'FixedP_Lower'!$AE$183+L183*('FixedP_Upper'!$AE$183-'FixedP_Lower'!$AE$183)</f>
        <v>893.2003477207178</v>
      </c>
      <c r="O183" s="30">
        <f>'FixedP_Lower'!$AF$183+L183*('FixedP_Upper'!$AF$183-'FixedP_Lower'!$AF$183)</f>
        <v>-2019.9206866497586</v>
      </c>
      <c r="P183" s="7">
        <v>893.2003477207178</v>
      </c>
      <c r="Q183" s="7">
        <v>-2019.9206866497586</v>
      </c>
      <c r="R183" s="16">
        <f>SQRT((N183-P183)^2+(O183-Q183)^2)</f>
        <v>0</v>
      </c>
    </row>
    <row r="184" spans="1:18" x14ac:dyDescent="0.25">
      <c r="A184" s="23">
        <v>177</v>
      </c>
      <c r="B184" s="23" t="s">
        <v>548</v>
      </c>
      <c r="C184" s="23">
        <v>1</v>
      </c>
      <c r="D184" s="24">
        <v>310</v>
      </c>
      <c r="E184" s="25" t="str">
        <f>'FixedP_Lower'!$G$184</f>
        <v>retained c/D (not the cap rule)</v>
      </c>
      <c r="F184" s="26">
        <f>'FixedP_Lower'!$H$184</f>
        <v>3</v>
      </c>
      <c r="G184" s="27">
        <f>'FixedP_Lower'!$AD$184</f>
        <v>17670.345615483235</v>
      </c>
      <c r="H184" s="25" t="str">
        <f>'FixedP_Upper'!$G$184</f>
        <v>retained c/D (not the cap rule)</v>
      </c>
      <c r="I184" s="26">
        <f>'FixedP_Upper'!$H$184</f>
        <v>3</v>
      </c>
      <c r="J184" s="27">
        <f>'FixedP_Upper'!$AD$184</f>
        <v>17670.345615483235</v>
      </c>
      <c r="K184" s="27">
        <f>Selected_P</f>
        <v>17670.345615483235</v>
      </c>
      <c r="L184" s="26">
        <f>IF(ABS(J184-G184)&lt;0.000000001,0,(K184-G184)/(J184-G184))</f>
        <v>0</v>
      </c>
      <c r="M184" s="25" t="str">
        <f>IF(ABS(J184-G184)&lt;0.000000001,"Exact station",IF(AND(K184&gt;=G184-0.000001,K184&lt;=J184+0.000001),"Interpolated","Outside range"))</f>
        <v>Exact station</v>
      </c>
      <c r="N184" s="28">
        <f>'FixedP_Lower'!$AE$184+L184*('FixedP_Upper'!$AE$184-'FixedP_Lower'!$AE$184)</f>
        <v>193.697596787329</v>
      </c>
      <c r="O184" s="28">
        <f>'FixedP_Lower'!$AF$184+L184*('FixedP_Upper'!$AF$184-'FixedP_Lower'!$AF$184)</f>
        <v>-306.76704106022277</v>
      </c>
      <c r="P184" s="7">
        <v>193.697596787329</v>
      </c>
      <c r="Q184" s="7">
        <v>-306.76704106022277</v>
      </c>
      <c r="R184" s="16">
        <f>SQRT((N184-P184)^2+(O184-Q184)^2)</f>
        <v>0</v>
      </c>
    </row>
    <row r="185" spans="1:18" x14ac:dyDescent="0.25">
      <c r="A185" s="7">
        <v>178</v>
      </c>
      <c r="B185" s="7" t="s">
        <v>550</v>
      </c>
      <c r="C185" s="7">
        <v>2</v>
      </c>
      <c r="D185" s="19">
        <v>310</v>
      </c>
      <c r="E185" s="29" t="str">
        <f>'FixedP_Lower'!$G$185</f>
        <v>retained c/D (not the cap rule)</v>
      </c>
      <c r="F185" s="16">
        <f>'FixedP_Lower'!$H$185</f>
        <v>1.9999999999999998</v>
      </c>
      <c r="G185" s="18">
        <f>'FixedP_Lower'!$AD$185</f>
        <v>17670.345615483235</v>
      </c>
      <c r="H185" s="29" t="str">
        <f>'FixedP_Upper'!$G$185</f>
        <v>retained c/D (not the cap rule)</v>
      </c>
      <c r="I185" s="16">
        <f>'FixedP_Upper'!$H$185</f>
        <v>1.9999999999999998</v>
      </c>
      <c r="J185" s="18">
        <f>'FixedP_Upper'!$AD$185</f>
        <v>17670.345615483235</v>
      </c>
      <c r="K185" s="18">
        <f>Selected_P</f>
        <v>17670.345615483235</v>
      </c>
      <c r="L185" s="16">
        <f>IF(ABS(J185-G185)&lt;0.000000001,0,(K185-G185)/(J185-G185))</f>
        <v>0</v>
      </c>
      <c r="M185" s="29" t="str">
        <f>IF(ABS(J185-G185)&lt;0.000000001,"Exact station",IF(AND(K185&gt;=G185-0.000001,K185&lt;=J185+0.000001),"Interpolated","Outside range"))</f>
        <v>Exact station</v>
      </c>
      <c r="N185" s="30">
        <f>'FixedP_Lower'!$AE$185+L185*('FixedP_Upper'!$AE$185-'FixedP_Lower'!$AE$185)</f>
        <v>387.395193574658</v>
      </c>
      <c r="O185" s="30">
        <f>'FixedP_Lower'!$AF$185+L185*('FixedP_Upper'!$AF$185-'FixedP_Lower'!$AF$185)</f>
        <v>-613.5340821204455</v>
      </c>
      <c r="P185" s="7">
        <v>387.395193574658</v>
      </c>
      <c r="Q185" s="7">
        <v>-613.5340821204455</v>
      </c>
      <c r="R185" s="16">
        <f>SQRT((N185-P185)^2+(O185-Q185)^2)</f>
        <v>0</v>
      </c>
    </row>
    <row r="186" spans="1:18" x14ac:dyDescent="0.25">
      <c r="A186" s="23">
        <v>179</v>
      </c>
      <c r="B186" s="23" t="s">
        <v>552</v>
      </c>
      <c r="C186" s="23">
        <v>3</v>
      </c>
      <c r="D186" s="24">
        <v>310</v>
      </c>
      <c r="E186" s="25" t="str">
        <f>'FixedP_Lower'!$G$186</f>
        <v>retained c/D (not the cap rule)</v>
      </c>
      <c r="F186" s="26">
        <f>'FixedP_Lower'!$H$186</f>
        <v>1.4999999999999998</v>
      </c>
      <c r="G186" s="27">
        <f>'FixedP_Lower'!$AD$186</f>
        <v>17670.345615483235</v>
      </c>
      <c r="H186" s="25" t="str">
        <f>'FixedP_Upper'!$G$186</f>
        <v>retained c/D (not the cap rule)</v>
      </c>
      <c r="I186" s="26">
        <f>'FixedP_Upper'!$H$186</f>
        <v>1.4999999999999998</v>
      </c>
      <c r="J186" s="27">
        <f>'FixedP_Upper'!$AD$186</f>
        <v>17670.345615483235</v>
      </c>
      <c r="K186" s="27">
        <f>Selected_P</f>
        <v>17670.345615483235</v>
      </c>
      <c r="L186" s="26">
        <f>IF(ABS(J186-G186)&lt;0.000000001,0,(K186-G186)/(J186-G186))</f>
        <v>0</v>
      </c>
      <c r="M186" s="25" t="str">
        <f>IF(ABS(J186-G186)&lt;0.000000001,"Exact station",IF(AND(K186&gt;=G186-0.000001,K186&lt;=J186+0.000001),"Interpolated","Outside range"))</f>
        <v>Exact station</v>
      </c>
      <c r="N186" s="28">
        <f>'FixedP_Lower'!$AE$186+L186*('FixedP_Upper'!$AE$186-'FixedP_Lower'!$AE$186)</f>
        <v>581.0927903619871</v>
      </c>
      <c r="O186" s="28">
        <f>'FixedP_Lower'!$AF$186+L186*('FixedP_Upper'!$AF$186-'FixedP_Lower'!$AF$186)</f>
        <v>-920.3011231806684</v>
      </c>
      <c r="P186" s="7">
        <v>581.0927903619871</v>
      </c>
      <c r="Q186" s="7">
        <v>-920.3011231806684</v>
      </c>
      <c r="R186" s="16">
        <f>SQRT((N186-P186)^2+(O186-Q186)^2)</f>
        <v>0</v>
      </c>
    </row>
    <row r="187" spans="1:18" x14ac:dyDescent="0.25">
      <c r="A187" s="7">
        <v>180</v>
      </c>
      <c r="B187" s="7" t="s">
        <v>554</v>
      </c>
      <c r="C187" s="7">
        <v>4</v>
      </c>
      <c r="D187" s="19">
        <v>310</v>
      </c>
      <c r="E187" s="29" t="str">
        <f>'FixedP_Lower'!$G$187</f>
        <v>retained c/D (not the cap rule)</v>
      </c>
      <c r="F187" s="16">
        <f>'FixedP_Lower'!$H$187</f>
        <v>1.1999999999999997</v>
      </c>
      <c r="G187" s="18">
        <f>'FixedP_Lower'!$AD$187</f>
        <v>17670.345615483235</v>
      </c>
      <c r="H187" s="29" t="str">
        <f>'FixedP_Upper'!$G$187</f>
        <v>retained c/D (not the cap rule)</v>
      </c>
      <c r="I187" s="16">
        <f>'FixedP_Upper'!$H$187</f>
        <v>1.1999999999999997</v>
      </c>
      <c r="J187" s="18">
        <f>'FixedP_Upper'!$AD$187</f>
        <v>17670.345615483235</v>
      </c>
      <c r="K187" s="18">
        <f>Selected_P</f>
        <v>17670.345615483235</v>
      </c>
      <c r="L187" s="16">
        <f>IF(ABS(J187-G187)&lt;0.000000001,0,(K187-G187)/(J187-G187))</f>
        <v>0</v>
      </c>
      <c r="M187" s="29" t="str">
        <f>IF(ABS(J187-G187)&lt;0.000000001,"Exact station",IF(AND(K187&gt;=G187-0.000001,K187&lt;=J187+0.000001),"Interpolated","Outside range"))</f>
        <v>Exact station</v>
      </c>
      <c r="N187" s="30">
        <f>'FixedP_Lower'!$AE$187+L187*('FixedP_Upper'!$AE$187-'FixedP_Lower'!$AE$187)</f>
        <v>774.790387149316</v>
      </c>
      <c r="O187" s="30">
        <f>'FixedP_Lower'!$AF$187+L187*('FixedP_Upper'!$AF$187-'FixedP_Lower'!$AF$187)</f>
        <v>-1227.068164240891</v>
      </c>
      <c r="P187" s="7">
        <v>774.790387149316</v>
      </c>
      <c r="Q187" s="7">
        <v>-1227.068164240891</v>
      </c>
      <c r="R187" s="16">
        <f>SQRT((N187-P187)^2+(O187-Q187)^2)</f>
        <v>0</v>
      </c>
    </row>
    <row r="188" spans="1:18" x14ac:dyDescent="0.25">
      <c r="A188" s="23">
        <v>181</v>
      </c>
      <c r="B188" s="23" t="s">
        <v>556</v>
      </c>
      <c r="C188" s="23">
        <v>5</v>
      </c>
      <c r="D188" s="24">
        <v>310</v>
      </c>
      <c r="E188" s="25" t="str">
        <f>'FixedP_Lower'!$G$188</f>
        <v>retained c/D (not the cap rule)</v>
      </c>
      <c r="F188" s="26">
        <f>'FixedP_Lower'!$H$188</f>
        <v>1.1</v>
      </c>
      <c r="G188" s="27">
        <f>'FixedP_Lower'!$AD$188</f>
        <v>17670.345615483235</v>
      </c>
      <c r="H188" s="25" t="str">
        <f>'FixedP_Upper'!$G$188</f>
        <v>retained c/D (not the cap rule)</v>
      </c>
      <c r="I188" s="26">
        <f>'FixedP_Upper'!$H$188</f>
        <v>1.1</v>
      </c>
      <c r="J188" s="27">
        <f>'FixedP_Upper'!$AD$188</f>
        <v>17670.345615483235</v>
      </c>
      <c r="K188" s="27">
        <f>Selected_P</f>
        <v>17670.345615483235</v>
      </c>
      <c r="L188" s="26">
        <f>IF(ABS(J188-G188)&lt;0.000000001,0,(K188-G188)/(J188-G188))</f>
        <v>0</v>
      </c>
      <c r="M188" s="25" t="str">
        <f>IF(ABS(J188-G188)&lt;0.000000001,"Exact station",IF(AND(K188&gt;=G188-0.000001,K188&lt;=J188+0.000001),"Interpolated","Outside range"))</f>
        <v>Exact station</v>
      </c>
      <c r="N188" s="28">
        <f>'FixedP_Lower'!$AE$188+L188*('FixedP_Upper'!$AE$188-'FixedP_Lower'!$AE$188)</f>
        <v>968.487983936645</v>
      </c>
      <c r="O188" s="28">
        <f>'FixedP_Lower'!$AF$188+L188*('FixedP_Upper'!$AF$188-'FixedP_Lower'!$AF$188)</f>
        <v>-1533.8352053011138</v>
      </c>
      <c r="P188" s="7">
        <v>968.487983936645</v>
      </c>
      <c r="Q188" s="7">
        <v>-1533.8352053011138</v>
      </c>
      <c r="R188" s="16">
        <f>SQRT((N188-P188)^2+(O188-Q188)^2)</f>
        <v>0</v>
      </c>
    </row>
    <row r="189" spans="1:18" x14ac:dyDescent="0.25">
      <c r="A189" s="7">
        <v>182</v>
      </c>
      <c r="B189" s="7" t="s">
        <v>558</v>
      </c>
      <c r="C189" s="7">
        <v>6</v>
      </c>
      <c r="D189" s="19">
        <v>310</v>
      </c>
      <c r="E189" s="29" t="str">
        <f>'FixedP_Lower'!$G$189</f>
        <v>retained c/D (not the cap rule)</v>
      </c>
      <c r="F189" s="16">
        <f>'FixedP_Lower'!$H$189</f>
        <v>0.9999999999999999</v>
      </c>
      <c r="G189" s="18">
        <f>'FixedP_Lower'!$AD$189</f>
        <v>17670.345615483235</v>
      </c>
      <c r="H189" s="29" t="str">
        <f>'FixedP_Upper'!$G$189</f>
        <v>retained c/D (not the cap rule)</v>
      </c>
      <c r="I189" s="16">
        <f>'FixedP_Upper'!$H$189</f>
        <v>0.9999999999999999</v>
      </c>
      <c r="J189" s="18">
        <f>'FixedP_Upper'!$AD$189</f>
        <v>17670.345615483235</v>
      </c>
      <c r="K189" s="18">
        <f>Selected_P</f>
        <v>17670.345615483235</v>
      </c>
      <c r="L189" s="16">
        <f>IF(ABS(J189-G189)&lt;0.000000001,0,(K189-G189)/(J189-G189))</f>
        <v>0</v>
      </c>
      <c r="M189" s="29" t="str">
        <f>IF(ABS(J189-G189)&lt;0.000000001,"Exact station",IF(AND(K189&gt;=G189-0.000001,K189&lt;=J189+0.000001),"Interpolated","Outside range"))</f>
        <v>Exact station</v>
      </c>
      <c r="N189" s="30">
        <f>'FixedP_Lower'!$AE$189+L189*('FixedP_Upper'!$AE$189-'FixedP_Lower'!$AE$189)</f>
        <v>1162.1855807239742</v>
      </c>
      <c r="O189" s="30">
        <f>'FixedP_Lower'!$AF$189+L189*('FixedP_Upper'!$AF$189-'FixedP_Lower'!$AF$189)</f>
        <v>-1840.6022463613367</v>
      </c>
      <c r="P189" s="7">
        <v>1162.1855807239742</v>
      </c>
      <c r="Q189" s="7">
        <v>-1840.6022463613367</v>
      </c>
      <c r="R189" s="16">
        <f>SQRT((N189-P189)^2+(O189-Q189)^2)</f>
        <v>0</v>
      </c>
    </row>
    <row r="190" spans="1:18" x14ac:dyDescent="0.25">
      <c r="A190" s="23">
        <v>183</v>
      </c>
      <c r="B190" s="23" t="s">
        <v>560</v>
      </c>
      <c r="C190" s="23">
        <v>1</v>
      </c>
      <c r="D190" s="24">
        <v>320</v>
      </c>
      <c r="E190" s="25" t="str">
        <f>'FixedP_Lower'!$G$190</f>
        <v>retained c/D (not the cap rule)</v>
      </c>
      <c r="F190" s="26">
        <f>'FixedP_Lower'!$H$190</f>
        <v>3.0000000000000004</v>
      </c>
      <c r="G190" s="27">
        <f>'FixedP_Lower'!$AD$190</f>
        <v>17670.345615483235</v>
      </c>
      <c r="H190" s="25" t="str">
        <f>'FixedP_Upper'!$G$190</f>
        <v>retained c/D (not the cap rule)</v>
      </c>
      <c r="I190" s="26">
        <f>'FixedP_Upper'!$H$190</f>
        <v>3.0000000000000004</v>
      </c>
      <c r="J190" s="27">
        <f>'FixedP_Upper'!$AD$190</f>
        <v>17670.345615483235</v>
      </c>
      <c r="K190" s="27">
        <f>Selected_P</f>
        <v>17670.345615483235</v>
      </c>
      <c r="L190" s="26">
        <f>IF(ABS(J190-G190)&lt;0.000000001,0,(K190-G190)/(J190-G190))</f>
        <v>0</v>
      </c>
      <c r="M190" s="25" t="str">
        <f>IF(ABS(J190-G190)&lt;0.000000001,"Exact station",IF(AND(K190&gt;=G190-0.000001,K190&lt;=J190+0.000001),"Interpolated","Outside range"))</f>
        <v>Exact station</v>
      </c>
      <c r="N190" s="28">
        <f>'FixedP_Lower'!$AE$190+L190*('FixedP_Upper'!$AE$190-'FixedP_Lower'!$AE$190)</f>
        <v>233.7459980821707</v>
      </c>
      <c r="O190" s="28">
        <f>'FixedP_Lower'!$AF$190+L190*('FixedP_Upper'!$AF$190-'FixedP_Lower'!$AF$190)</f>
        <v>-268.56769297988836</v>
      </c>
      <c r="P190" s="7">
        <v>233.7459980821707</v>
      </c>
      <c r="Q190" s="7">
        <v>-268.56769297988836</v>
      </c>
      <c r="R190" s="16">
        <f>SQRT((N190-P190)^2+(O190-Q190)^2)</f>
        <v>0</v>
      </c>
    </row>
    <row r="191" spans="1:18" x14ac:dyDescent="0.25">
      <c r="A191" s="7">
        <v>184</v>
      </c>
      <c r="B191" s="7" t="s">
        <v>562</v>
      </c>
      <c r="C191" s="7">
        <v>2</v>
      </c>
      <c r="D191" s="19">
        <v>320</v>
      </c>
      <c r="E191" s="29" t="str">
        <f>'FixedP_Lower'!$G$191</f>
        <v>retained c/D (not the cap rule)</v>
      </c>
      <c r="F191" s="16">
        <f>'FixedP_Lower'!$H$191</f>
        <v>2</v>
      </c>
      <c r="G191" s="18">
        <f>'FixedP_Lower'!$AD$191</f>
        <v>17670.345615483235</v>
      </c>
      <c r="H191" s="29" t="str">
        <f>'FixedP_Upper'!$G$191</f>
        <v>retained c/D (not the cap rule)</v>
      </c>
      <c r="I191" s="16">
        <f>'FixedP_Upper'!$H$191</f>
        <v>2</v>
      </c>
      <c r="J191" s="18">
        <f>'FixedP_Upper'!$AD$191</f>
        <v>17670.345615483235</v>
      </c>
      <c r="K191" s="18">
        <f>Selected_P</f>
        <v>17670.345615483235</v>
      </c>
      <c r="L191" s="16">
        <f>IF(ABS(J191-G191)&lt;0.000000001,0,(K191-G191)/(J191-G191))</f>
        <v>0</v>
      </c>
      <c r="M191" s="29" t="str">
        <f>IF(ABS(J191-G191)&lt;0.000000001,"Exact station",IF(AND(K191&gt;=G191-0.000001,K191&lt;=J191+0.000001),"Interpolated","Outside range"))</f>
        <v>Exact station</v>
      </c>
      <c r="N191" s="30">
        <f>'FixedP_Lower'!$AE$191+L191*('FixedP_Upper'!$AE$191-'FixedP_Lower'!$AE$191)</f>
        <v>467.4919961643414</v>
      </c>
      <c r="O191" s="30">
        <f>'FixedP_Lower'!$AF$191+L191*('FixedP_Upper'!$AF$191-'FixedP_Lower'!$AF$191)</f>
        <v>-537.1353859597767</v>
      </c>
      <c r="P191" s="7">
        <v>467.4919961643414</v>
      </c>
      <c r="Q191" s="7">
        <v>-537.1353859597767</v>
      </c>
      <c r="R191" s="16">
        <f>SQRT((N191-P191)^2+(O191-Q191)^2)</f>
        <v>0</v>
      </c>
    </row>
    <row r="192" spans="1:18" x14ac:dyDescent="0.25">
      <c r="A192" s="23">
        <v>185</v>
      </c>
      <c r="B192" s="23" t="s">
        <v>564</v>
      </c>
      <c r="C192" s="23">
        <v>3</v>
      </c>
      <c r="D192" s="24">
        <v>320</v>
      </c>
      <c r="E192" s="25" t="str">
        <f>'FixedP_Lower'!$G$192</f>
        <v>retained c/D (not the cap rule)</v>
      </c>
      <c r="F192" s="26">
        <f>'FixedP_Lower'!$H$192</f>
        <v>1.5000000000000002</v>
      </c>
      <c r="G192" s="27">
        <f>'FixedP_Lower'!$AD$192</f>
        <v>17670.345615483235</v>
      </c>
      <c r="H192" s="25" t="str">
        <f>'FixedP_Upper'!$G$192</f>
        <v>retained c/D (not the cap rule)</v>
      </c>
      <c r="I192" s="26">
        <f>'FixedP_Upper'!$H$192</f>
        <v>1.5000000000000002</v>
      </c>
      <c r="J192" s="27">
        <f>'FixedP_Upper'!$AD$192</f>
        <v>17670.345615483235</v>
      </c>
      <c r="K192" s="27">
        <f>Selected_P</f>
        <v>17670.345615483235</v>
      </c>
      <c r="L192" s="26">
        <f>IF(ABS(J192-G192)&lt;0.000000001,0,(K192-G192)/(J192-G192))</f>
        <v>0</v>
      </c>
      <c r="M192" s="25" t="str">
        <f>IF(ABS(J192-G192)&lt;0.000000001,"Exact station",IF(AND(K192&gt;=G192-0.000001,K192&lt;=J192+0.000001),"Interpolated","Outside range"))</f>
        <v>Exact station</v>
      </c>
      <c r="N192" s="28">
        <f>'FixedP_Lower'!$AE$192+L192*('FixedP_Upper'!$AE$192-'FixedP_Lower'!$AE$192)</f>
        <v>701.237994246512</v>
      </c>
      <c r="O192" s="28">
        <f>'FixedP_Lower'!$AF$192+L192*('FixedP_Upper'!$AF$192-'FixedP_Lower'!$AF$192)</f>
        <v>-805.703078939665</v>
      </c>
      <c r="P192" s="7">
        <v>701.237994246512</v>
      </c>
      <c r="Q192" s="7">
        <v>-805.703078939665</v>
      </c>
      <c r="R192" s="16">
        <f>SQRT((N192-P192)^2+(O192-Q192)^2)</f>
        <v>0</v>
      </c>
    </row>
    <row r="193" spans="1:18" x14ac:dyDescent="0.25">
      <c r="A193" s="7">
        <v>186</v>
      </c>
      <c r="B193" s="7" t="s">
        <v>566</v>
      </c>
      <c r="C193" s="7">
        <v>4</v>
      </c>
      <c r="D193" s="19">
        <v>320</v>
      </c>
      <c r="E193" s="29" t="str">
        <f>'FixedP_Lower'!$G$193</f>
        <v>retained c/D (not the cap rule)</v>
      </c>
      <c r="F193" s="16">
        <f>'FixedP_Lower'!$H$193</f>
        <v>1.2</v>
      </c>
      <c r="G193" s="18">
        <f>'FixedP_Lower'!$AD$193</f>
        <v>17670.345615483235</v>
      </c>
      <c r="H193" s="29" t="str">
        <f>'FixedP_Upper'!$G$193</f>
        <v>retained c/D (not the cap rule)</v>
      </c>
      <c r="I193" s="16">
        <f>'FixedP_Upper'!$H$193</f>
        <v>1.2</v>
      </c>
      <c r="J193" s="18">
        <f>'FixedP_Upper'!$AD$193</f>
        <v>17670.345615483235</v>
      </c>
      <c r="K193" s="18">
        <f>Selected_P</f>
        <v>17670.345615483235</v>
      </c>
      <c r="L193" s="16">
        <f>IF(ABS(J193-G193)&lt;0.000000001,0,(K193-G193)/(J193-G193))</f>
        <v>0</v>
      </c>
      <c r="M193" s="29" t="str">
        <f>IF(ABS(J193-G193)&lt;0.000000001,"Exact station",IF(AND(K193&gt;=G193-0.000001,K193&lt;=J193+0.000001),"Interpolated","Outside range"))</f>
        <v>Exact station</v>
      </c>
      <c r="N193" s="30">
        <f>'FixedP_Lower'!$AE$193+L193*('FixedP_Upper'!$AE$193-'FixedP_Lower'!$AE$193)</f>
        <v>934.9839923286828</v>
      </c>
      <c r="O193" s="30">
        <f>'FixedP_Lower'!$AF$193+L193*('FixedP_Upper'!$AF$193-'FixedP_Lower'!$AF$193)</f>
        <v>-1074.2707719195535</v>
      </c>
      <c r="P193" s="7">
        <v>934.9839923286828</v>
      </c>
      <c r="Q193" s="7">
        <v>-1074.2707719195535</v>
      </c>
      <c r="R193" s="16">
        <f>SQRT((N193-P193)^2+(O193-Q193)^2)</f>
        <v>0</v>
      </c>
    </row>
    <row r="194" spans="1:18" x14ac:dyDescent="0.25">
      <c r="A194" s="23">
        <v>187</v>
      </c>
      <c r="B194" s="23" t="s">
        <v>568</v>
      </c>
      <c r="C194" s="23">
        <v>5</v>
      </c>
      <c r="D194" s="24">
        <v>320</v>
      </c>
      <c r="E194" s="25" t="str">
        <f>'FixedP_Lower'!$G$194</f>
        <v>retained c/D (not the cap rule)</v>
      </c>
      <c r="F194" s="26">
        <f>'FixedP_Lower'!$H$194</f>
        <v>1.1</v>
      </c>
      <c r="G194" s="27">
        <f>'FixedP_Lower'!$AD$194</f>
        <v>17670.345615483235</v>
      </c>
      <c r="H194" s="25" t="str">
        <f>'FixedP_Upper'!$G$194</f>
        <v>retained c/D (not the cap rule)</v>
      </c>
      <c r="I194" s="26">
        <f>'FixedP_Upper'!$H$194</f>
        <v>1.1</v>
      </c>
      <c r="J194" s="27">
        <f>'FixedP_Upper'!$AD$194</f>
        <v>17670.345615483235</v>
      </c>
      <c r="K194" s="27">
        <f>Selected_P</f>
        <v>17670.345615483235</v>
      </c>
      <c r="L194" s="26">
        <f>IF(ABS(J194-G194)&lt;0.000000001,0,(K194-G194)/(J194-G194))</f>
        <v>0</v>
      </c>
      <c r="M194" s="25" t="str">
        <f>IF(ABS(J194-G194)&lt;0.000000001,"Exact station",IF(AND(K194&gt;=G194-0.000001,K194&lt;=J194+0.000001),"Interpolated","Outside range"))</f>
        <v>Exact station</v>
      </c>
      <c r="N194" s="28">
        <f>'FixedP_Lower'!$AE$194+L194*('FixedP_Upper'!$AE$194-'FixedP_Lower'!$AE$194)</f>
        <v>1168.7299904108534</v>
      </c>
      <c r="O194" s="28">
        <f>'FixedP_Lower'!$AF$194+L194*('FixedP_Upper'!$AF$194-'FixedP_Lower'!$AF$194)</f>
        <v>-1342.8384648994418</v>
      </c>
      <c r="P194" s="7">
        <v>1168.7299904108534</v>
      </c>
      <c r="Q194" s="7">
        <v>-1342.8384648994418</v>
      </c>
      <c r="R194" s="16">
        <f>SQRT((N194-P194)^2+(O194-Q194)^2)</f>
        <v>0</v>
      </c>
    </row>
    <row r="195" spans="1:18" x14ac:dyDescent="0.25">
      <c r="A195" s="7">
        <v>188</v>
      </c>
      <c r="B195" s="7" t="s">
        <v>570</v>
      </c>
      <c r="C195" s="7">
        <v>6</v>
      </c>
      <c r="D195" s="19">
        <v>320</v>
      </c>
      <c r="E195" s="29" t="str">
        <f>'FixedP_Lower'!$G$195</f>
        <v>retained c/D (not the cap rule)</v>
      </c>
      <c r="F195" s="16">
        <f>'FixedP_Lower'!$H$195</f>
        <v>1.0000000000000002</v>
      </c>
      <c r="G195" s="18">
        <f>'FixedP_Lower'!$AD$195</f>
        <v>17670.345615483235</v>
      </c>
      <c r="H195" s="29" t="str">
        <f>'FixedP_Upper'!$G$195</f>
        <v>retained c/D (not the cap rule)</v>
      </c>
      <c r="I195" s="16">
        <f>'FixedP_Upper'!$H$195</f>
        <v>1.0000000000000002</v>
      </c>
      <c r="J195" s="18">
        <f>'FixedP_Upper'!$AD$195</f>
        <v>17670.345615483235</v>
      </c>
      <c r="K195" s="18">
        <f>Selected_P</f>
        <v>17670.345615483235</v>
      </c>
      <c r="L195" s="16">
        <f>IF(ABS(J195-G195)&lt;0.000000001,0,(K195-G195)/(J195-G195))</f>
        <v>0</v>
      </c>
      <c r="M195" s="29" t="str">
        <f>IF(ABS(J195-G195)&lt;0.000000001,"Exact station",IF(AND(K195&gt;=G195-0.000001,K195&lt;=J195+0.000001),"Interpolated","Outside range"))</f>
        <v>Exact station</v>
      </c>
      <c r="N195" s="30">
        <f>'FixedP_Lower'!$AE$195+L195*('FixedP_Upper'!$AE$195-'FixedP_Lower'!$AE$195)</f>
        <v>1402.475988493024</v>
      </c>
      <c r="O195" s="30">
        <f>'FixedP_Lower'!$AF$195+L195*('FixedP_Upper'!$AF$195-'FixedP_Lower'!$AF$195)</f>
        <v>-1611.40615787933</v>
      </c>
      <c r="P195" s="7">
        <v>1402.475988493024</v>
      </c>
      <c r="Q195" s="7">
        <v>-1611.40615787933</v>
      </c>
      <c r="R195" s="16">
        <f>SQRT((N195-P195)^2+(O195-Q195)^2)</f>
        <v>0</v>
      </c>
    </row>
    <row r="196" spans="1:18" x14ac:dyDescent="0.25">
      <c r="A196" s="23">
        <v>189</v>
      </c>
      <c r="B196" s="23" t="s">
        <v>572</v>
      </c>
      <c r="C196" s="23">
        <v>1</v>
      </c>
      <c r="D196" s="24">
        <v>330</v>
      </c>
      <c r="E196" s="25" t="str">
        <f>'FixedP_Lower'!$G$196</f>
        <v>retained c/D (not the cap rule)</v>
      </c>
      <c r="F196" s="26">
        <f>'FixedP_Lower'!$H$196</f>
        <v>1.5000000000000002</v>
      </c>
      <c r="G196" s="27">
        <f>'FixedP_Lower'!$AD$196</f>
        <v>17670.345615483235</v>
      </c>
      <c r="H196" s="25" t="str">
        <f>'FixedP_Upper'!$G$196</f>
        <v>retained c/D (not the cap rule)</v>
      </c>
      <c r="I196" s="26">
        <f>'FixedP_Upper'!$H$196</f>
        <v>1.5000000000000002</v>
      </c>
      <c r="J196" s="27">
        <f>'FixedP_Upper'!$AD$196</f>
        <v>17670.345615483235</v>
      </c>
      <c r="K196" s="27">
        <f>Selected_P</f>
        <v>17670.345615483235</v>
      </c>
      <c r="L196" s="26">
        <f>IF(ABS(J196-G196)&lt;0.000000001,0,(K196-G196)/(J196-G196))</f>
        <v>0</v>
      </c>
      <c r="M196" s="25" t="str">
        <f>IF(ABS(J196-G196)&lt;0.000000001,"Exact station",IF(AND(K196&gt;=G196-0.000001,K196&lt;=J196+0.000001),"Interpolated","Outside range"))</f>
        <v>Exact station</v>
      </c>
      <c r="N196" s="28">
        <f>'FixedP_Lower'!$AE$196+L196*('FixedP_Upper'!$AE$196-'FixedP_Lower'!$AE$196)</f>
        <v>794.8061086677537</v>
      </c>
      <c r="O196" s="28">
        <f>'FixedP_Lower'!$AF$196+L196*('FixedP_Upper'!$AF$196-'FixedP_Lower'!$AF$196)</f>
        <v>-649.2460174271374</v>
      </c>
      <c r="P196" s="7">
        <v>794.8061086677537</v>
      </c>
      <c r="Q196" s="7">
        <v>-649.2460174271374</v>
      </c>
      <c r="R196" s="16">
        <f>SQRT((N196-P196)^2+(O196-Q196)^2)</f>
        <v>0</v>
      </c>
    </row>
    <row r="197" spans="1:18" x14ac:dyDescent="0.25">
      <c r="A197" s="7">
        <v>190</v>
      </c>
      <c r="B197" s="7" t="s">
        <v>574</v>
      </c>
      <c r="C197" s="7">
        <v>2</v>
      </c>
      <c r="D197" s="19">
        <v>330</v>
      </c>
      <c r="E197" s="29" t="str">
        <f>'FixedP_Lower'!$G$197</f>
        <v>retained c/D (not the cap rule)</v>
      </c>
      <c r="F197" s="16">
        <f>'FixedP_Lower'!$H$197</f>
        <v>1</v>
      </c>
      <c r="G197" s="18">
        <f>'FixedP_Lower'!$AD$197</f>
        <v>17670.345615483235</v>
      </c>
      <c r="H197" s="29" t="str">
        <f>'FixedP_Upper'!$G$197</f>
        <v>retained c/D (not the cap rule)</v>
      </c>
      <c r="I197" s="16">
        <f>'FixedP_Upper'!$H$197</f>
        <v>1</v>
      </c>
      <c r="J197" s="18">
        <f>'FixedP_Upper'!$AD$197</f>
        <v>17670.345615483235</v>
      </c>
      <c r="K197" s="18">
        <f>Selected_P</f>
        <v>17670.345615483235</v>
      </c>
      <c r="L197" s="16">
        <f>IF(ABS(J197-G197)&lt;0.000000001,0,(K197-G197)/(J197-G197))</f>
        <v>0</v>
      </c>
      <c r="M197" s="29" t="str">
        <f>IF(ABS(J197-G197)&lt;0.000000001,"Exact station",IF(AND(K197&gt;=G197-0.000001,K197&lt;=J197+0.000001),"Interpolated","Outside range"))</f>
        <v>Exact station</v>
      </c>
      <c r="N197" s="30">
        <f>'FixedP_Lower'!$AE$197+L197*('FixedP_Upper'!$AE$197-'FixedP_Lower'!$AE$197)</f>
        <v>1589.6122173355075</v>
      </c>
      <c r="O197" s="30">
        <f>'FixedP_Lower'!$AF$197+L197*('FixedP_Upper'!$AF$197-'FixedP_Lower'!$AF$197)</f>
        <v>-1298.4920348542748</v>
      </c>
      <c r="P197" s="7">
        <v>1589.6122173355075</v>
      </c>
      <c r="Q197" s="7">
        <v>-1298.4920348542748</v>
      </c>
      <c r="R197" s="16">
        <f>SQRT((N197-P197)^2+(O197-Q197)^2)</f>
        <v>0</v>
      </c>
    </row>
    <row r="198" spans="1:18" x14ac:dyDescent="0.25">
      <c r="A198" s="23">
        <v>191</v>
      </c>
      <c r="B198" s="23" t="s">
        <v>576</v>
      </c>
      <c r="C198" s="23">
        <v>3</v>
      </c>
      <c r="D198" s="24">
        <v>330</v>
      </c>
      <c r="E198" s="25" t="str">
        <f>'FixedP_Lower'!$G$198</f>
        <v>retained c/D (not the cap rule)</v>
      </c>
      <c r="F198" s="26">
        <f>'FixedP_Lower'!$H$198</f>
        <v>3</v>
      </c>
      <c r="G198" s="27">
        <f>'FixedP_Lower'!$AD$198</f>
        <v>17670.345615483235</v>
      </c>
      <c r="H198" s="25" t="str">
        <f>'FixedP_Upper'!$G$198</f>
        <v>retained c/D (not the cap rule)</v>
      </c>
      <c r="I198" s="26">
        <f>'FixedP_Upper'!$H$198</f>
        <v>3</v>
      </c>
      <c r="J198" s="27">
        <f>'FixedP_Upper'!$AD$198</f>
        <v>17670.345615483235</v>
      </c>
      <c r="K198" s="27">
        <f>Selected_P</f>
        <v>17670.345615483235</v>
      </c>
      <c r="L198" s="26">
        <f>IF(ABS(J198-G198)&lt;0.000000001,0,(K198-G198)/(J198-G198))</f>
        <v>0</v>
      </c>
      <c r="M198" s="25" t="str">
        <f>IF(ABS(J198-G198)&lt;0.000000001,"Exact station",IF(AND(K198&gt;=G198-0.000001,K198&lt;=J198+0.000001),"Interpolated","Outside range"))</f>
        <v>Exact station</v>
      </c>
      <c r="N198" s="28">
        <f>'FixedP_Lower'!$AE$198+L198*('FixedP_Upper'!$AE$198-'FixedP_Lower'!$AE$198)</f>
        <v>264.9353695559179</v>
      </c>
      <c r="O198" s="28">
        <f>'FixedP_Lower'!$AF$198+L198*('FixedP_Upper'!$AF$198-'FixedP_Lower'!$AF$198)</f>
        <v>-216.4153391423791</v>
      </c>
      <c r="P198" s="7">
        <v>264.9353695559179</v>
      </c>
      <c r="Q198" s="7">
        <v>-216.4153391423791</v>
      </c>
      <c r="R198" s="16">
        <f>SQRT((N198-P198)^2+(O198-Q198)^2)</f>
        <v>0</v>
      </c>
    </row>
    <row r="199" spans="1:18" x14ac:dyDescent="0.25">
      <c r="A199" s="7">
        <v>192</v>
      </c>
      <c r="B199" s="7" t="s">
        <v>578</v>
      </c>
      <c r="C199" s="7">
        <v>4</v>
      </c>
      <c r="D199" s="19">
        <v>330</v>
      </c>
      <c r="E199" s="29" t="str">
        <f>'FixedP_Lower'!$G$199</f>
        <v>retained c/D (not the cap rule)</v>
      </c>
      <c r="F199" s="16">
        <f>'FixedP_Lower'!$H$199</f>
        <v>2</v>
      </c>
      <c r="G199" s="18">
        <f>'FixedP_Lower'!$AD$199</f>
        <v>17670.345615483235</v>
      </c>
      <c r="H199" s="29" t="str">
        <f>'FixedP_Upper'!$G$199</f>
        <v>retained c/D (not the cap rule)</v>
      </c>
      <c r="I199" s="16">
        <f>'FixedP_Upper'!$H$199</f>
        <v>2</v>
      </c>
      <c r="J199" s="18">
        <f>'FixedP_Upper'!$AD$199</f>
        <v>17670.345615483235</v>
      </c>
      <c r="K199" s="18">
        <f>Selected_P</f>
        <v>17670.345615483235</v>
      </c>
      <c r="L199" s="16">
        <f>IF(ABS(J199-G199)&lt;0.000000001,0,(K199-G199)/(J199-G199))</f>
        <v>0</v>
      </c>
      <c r="M199" s="29" t="str">
        <f>IF(ABS(J199-G199)&lt;0.000000001,"Exact station",IF(AND(K199&gt;=G199-0.000001,K199&lt;=J199+0.000001),"Interpolated","Outside range"))</f>
        <v>Exact station</v>
      </c>
      <c r="N199" s="30">
        <f>'FixedP_Lower'!$AE$199+L199*('FixedP_Upper'!$AE$199-'FixedP_Lower'!$AE$199)</f>
        <v>529.8707391118357</v>
      </c>
      <c r="O199" s="30">
        <f>'FixedP_Lower'!$AF$199+L199*('FixedP_Upper'!$AF$199-'FixedP_Lower'!$AF$199)</f>
        <v>-432.8306782847582</v>
      </c>
      <c r="P199" s="7">
        <v>529.8707391118357</v>
      </c>
      <c r="Q199" s="7">
        <v>-432.8306782847582</v>
      </c>
      <c r="R199" s="16">
        <f>SQRT((N199-P199)^2+(O199-Q199)^2)</f>
        <v>0</v>
      </c>
    </row>
    <row r="200" spans="1:18" x14ac:dyDescent="0.25">
      <c r="A200" s="23">
        <v>193</v>
      </c>
      <c r="B200" s="23" t="s">
        <v>580</v>
      </c>
      <c r="C200" s="23">
        <v>5</v>
      </c>
      <c r="D200" s="24">
        <v>330</v>
      </c>
      <c r="E200" s="25" t="str">
        <f>'FixedP_Lower'!$G$200</f>
        <v>retained c/D (not the cap rule)</v>
      </c>
      <c r="F200" s="26">
        <f>'FixedP_Lower'!$H$200</f>
        <v>1.2</v>
      </c>
      <c r="G200" s="27">
        <f>'FixedP_Lower'!$AD$200</f>
        <v>17670.345615483235</v>
      </c>
      <c r="H200" s="25" t="str">
        <f>'FixedP_Upper'!$G$200</f>
        <v>retained c/D (not the cap rule)</v>
      </c>
      <c r="I200" s="26">
        <f>'FixedP_Upper'!$H$200</f>
        <v>1.2</v>
      </c>
      <c r="J200" s="27">
        <f>'FixedP_Upper'!$AD$200</f>
        <v>17670.345615483235</v>
      </c>
      <c r="K200" s="27">
        <f>Selected_P</f>
        <v>17670.345615483235</v>
      </c>
      <c r="L200" s="26">
        <f>IF(ABS(J200-G200)&lt;0.000000001,0,(K200-G200)/(J200-G200))</f>
        <v>0</v>
      </c>
      <c r="M200" s="25" t="str">
        <f>IF(ABS(J200-G200)&lt;0.000000001,"Exact station",IF(AND(K200&gt;=G200-0.000001,K200&lt;=J200+0.000001),"Interpolated","Outside range"))</f>
        <v>Exact station</v>
      </c>
      <c r="N200" s="28">
        <f>'FixedP_Lower'!$AE$200+L200*('FixedP_Upper'!$AE$200-'FixedP_Lower'!$AE$200)</f>
        <v>1059.7414782236715</v>
      </c>
      <c r="O200" s="28">
        <f>'FixedP_Lower'!$AF$200+L200*('FixedP_Upper'!$AF$200-'FixedP_Lower'!$AF$200)</f>
        <v>-865.6613565695164</v>
      </c>
      <c r="P200" s="7">
        <v>1059.7414782236715</v>
      </c>
      <c r="Q200" s="7">
        <v>-865.6613565695164</v>
      </c>
      <c r="R200" s="16">
        <f>SQRT((N200-P200)^2+(O200-Q200)^2)</f>
        <v>0</v>
      </c>
    </row>
    <row r="201" spans="1:18" x14ac:dyDescent="0.25">
      <c r="A201" s="7">
        <v>194</v>
      </c>
      <c r="B201" s="7" t="s">
        <v>582</v>
      </c>
      <c r="C201" s="7">
        <v>6</v>
      </c>
      <c r="D201" s="19">
        <v>330</v>
      </c>
      <c r="E201" s="29" t="str">
        <f>'FixedP_Lower'!$G$201</f>
        <v>retained c/D (not the cap rule)</v>
      </c>
      <c r="F201" s="16">
        <f>'FixedP_Lower'!$H$201</f>
        <v>1.1000000000000003</v>
      </c>
      <c r="G201" s="18">
        <f>'FixedP_Lower'!$AD$201</f>
        <v>17670.345615483235</v>
      </c>
      <c r="H201" s="29" t="str">
        <f>'FixedP_Upper'!$G$201</f>
        <v>retained c/D (not the cap rule)</v>
      </c>
      <c r="I201" s="16">
        <f>'FixedP_Upper'!$H$201</f>
        <v>1.1000000000000003</v>
      </c>
      <c r="J201" s="18">
        <f>'FixedP_Upper'!$AD$201</f>
        <v>17670.345615483235</v>
      </c>
      <c r="K201" s="18">
        <f>Selected_P</f>
        <v>17670.345615483235</v>
      </c>
      <c r="L201" s="16">
        <f>IF(ABS(J201-G201)&lt;0.000000001,0,(K201-G201)/(J201-G201))</f>
        <v>0</v>
      </c>
      <c r="M201" s="29" t="str">
        <f>IF(ABS(J201-G201)&lt;0.000000001,"Exact station",IF(AND(K201&gt;=G201-0.000001,K201&lt;=J201+0.000001),"Interpolated","Outside range"))</f>
        <v>Exact station</v>
      </c>
      <c r="N201" s="30">
        <f>'FixedP_Lower'!$AE$201+L201*('FixedP_Upper'!$AE$201-'FixedP_Lower'!$AE$201)</f>
        <v>1324.6768477795895</v>
      </c>
      <c r="O201" s="30">
        <f>'FixedP_Lower'!$AF$201+L201*('FixedP_Upper'!$AF$201-'FixedP_Lower'!$AF$201)</f>
        <v>-1082.0766957118954</v>
      </c>
      <c r="P201" s="7">
        <v>1324.6768477795895</v>
      </c>
      <c r="Q201" s="7">
        <v>-1082.0766957118954</v>
      </c>
      <c r="R201" s="16">
        <f>SQRT((N201-P201)^2+(O201-Q201)^2)</f>
        <v>0</v>
      </c>
    </row>
    <row r="202" spans="1:18" x14ac:dyDescent="0.25">
      <c r="A202" s="23">
        <v>195</v>
      </c>
      <c r="B202" s="23" t="s">
        <v>584</v>
      </c>
      <c r="C202" s="23">
        <v>1</v>
      </c>
      <c r="D202" s="24">
        <v>340</v>
      </c>
      <c r="E202" s="25" t="str">
        <f>'FixedP_Lower'!$G$202</f>
        <v>retained c/D (not the cap rule)</v>
      </c>
      <c r="F202" s="26">
        <f>'FixedP_Lower'!$H$202</f>
        <v>3.0000000000000004</v>
      </c>
      <c r="G202" s="27">
        <f>'FixedP_Lower'!$AD$202</f>
        <v>17670.345615483235</v>
      </c>
      <c r="H202" s="25" t="str">
        <f>'FixedP_Upper'!$G$202</f>
        <v>retained c/D (not the cap rule)</v>
      </c>
      <c r="I202" s="26">
        <f>'FixedP_Upper'!$H$202</f>
        <v>3.0000000000000004</v>
      </c>
      <c r="J202" s="27">
        <f>'FixedP_Upper'!$AD$202</f>
        <v>17670.345615483235</v>
      </c>
      <c r="K202" s="27">
        <f>Selected_P</f>
        <v>17670.345615483235</v>
      </c>
      <c r="L202" s="26">
        <f>IF(ABS(J202-G202)&lt;0.000000001,0,(K202-G202)/(J202-G202))</f>
        <v>0</v>
      </c>
      <c r="M202" s="25" t="str">
        <f>IF(ABS(J202-G202)&lt;0.000000001,"Exact station",IF(AND(K202&gt;=G202-0.000001,K202&lt;=J202+0.000001),"Interpolated","Outside range"))</f>
        <v>Exact station</v>
      </c>
      <c r="N202" s="28">
        <f>'FixedP_Lower'!$AE$202+L202*('FixedP_Upper'!$AE$202-'FixedP_Lower'!$AE$202)</f>
        <v>296.61294481147854</v>
      </c>
      <c r="O202" s="28">
        <f>'FixedP_Lower'!$AF$202+L202*('FixedP_Upper'!$AF$202-'FixedP_Lower'!$AF$202)</f>
        <v>-158.22081345161604</v>
      </c>
      <c r="P202" s="7">
        <v>296.61294481147854</v>
      </c>
      <c r="Q202" s="7">
        <v>-158.22081345161604</v>
      </c>
      <c r="R202" s="16">
        <f>SQRT((N202-P202)^2+(O202-Q202)^2)</f>
        <v>0</v>
      </c>
    </row>
    <row r="203" spans="1:18" x14ac:dyDescent="0.25">
      <c r="A203" s="7">
        <v>196</v>
      </c>
      <c r="B203" s="7" t="s">
        <v>586</v>
      </c>
      <c r="C203" s="7">
        <v>2</v>
      </c>
      <c r="D203" s="19">
        <v>340</v>
      </c>
      <c r="E203" s="29" t="str">
        <f>'FixedP_Lower'!$G$203</f>
        <v>retained c/D (not the cap rule)</v>
      </c>
      <c r="F203" s="16">
        <f>'FixedP_Lower'!$H$203</f>
        <v>2</v>
      </c>
      <c r="G203" s="18">
        <f>'FixedP_Lower'!$AD$203</f>
        <v>17670.345615483235</v>
      </c>
      <c r="H203" s="29" t="str">
        <f>'FixedP_Upper'!$G$203</f>
        <v>retained c/D (not the cap rule)</v>
      </c>
      <c r="I203" s="16">
        <f>'FixedP_Upper'!$H$203</f>
        <v>2</v>
      </c>
      <c r="J203" s="18">
        <f>'FixedP_Upper'!$AD$203</f>
        <v>17670.345615483235</v>
      </c>
      <c r="K203" s="18">
        <f>Selected_P</f>
        <v>17670.345615483235</v>
      </c>
      <c r="L203" s="16">
        <f>IF(ABS(J203-G203)&lt;0.000000001,0,(K203-G203)/(J203-G203))</f>
        <v>0</v>
      </c>
      <c r="M203" s="29" t="str">
        <f>IF(ABS(J203-G203)&lt;0.000000001,"Exact station",IF(AND(K203&gt;=G203-0.000001,K203&lt;=J203+0.000001),"Interpolated","Outside range"))</f>
        <v>Exact station</v>
      </c>
      <c r="N203" s="30">
        <f>'FixedP_Lower'!$AE$203+L203*('FixedP_Upper'!$AE$203-'FixedP_Lower'!$AE$203)</f>
        <v>593.2258896229571</v>
      </c>
      <c r="O203" s="30">
        <f>'FixedP_Lower'!$AF$203+L203*('FixedP_Upper'!$AF$203-'FixedP_Lower'!$AF$203)</f>
        <v>-316.4416269032321</v>
      </c>
      <c r="P203" s="7">
        <v>593.2258896229571</v>
      </c>
      <c r="Q203" s="7">
        <v>-316.4416269032321</v>
      </c>
      <c r="R203" s="16">
        <f>SQRT((N203-P203)^2+(O203-Q203)^2)</f>
        <v>0</v>
      </c>
    </row>
    <row r="204" spans="1:18" x14ac:dyDescent="0.25">
      <c r="A204" s="23">
        <v>197</v>
      </c>
      <c r="B204" s="23" t="s">
        <v>588</v>
      </c>
      <c r="C204" s="23">
        <v>3</v>
      </c>
      <c r="D204" s="24">
        <v>340</v>
      </c>
      <c r="E204" s="25" t="str">
        <f>'FixedP_Lower'!$G$204</f>
        <v>retained c/D (not the cap rule)</v>
      </c>
      <c r="F204" s="26">
        <f>'FixedP_Lower'!$H$204</f>
        <v>1.5</v>
      </c>
      <c r="G204" s="27">
        <f>'FixedP_Lower'!$AD$204</f>
        <v>17670.345615483235</v>
      </c>
      <c r="H204" s="25" t="str">
        <f>'FixedP_Upper'!$G$204</f>
        <v>retained c/D (not the cap rule)</v>
      </c>
      <c r="I204" s="26">
        <f>'FixedP_Upper'!$H$204</f>
        <v>1.5</v>
      </c>
      <c r="J204" s="27">
        <f>'FixedP_Upper'!$AD$204</f>
        <v>17670.345615483235</v>
      </c>
      <c r="K204" s="27">
        <f>Selected_P</f>
        <v>17670.345615483235</v>
      </c>
      <c r="L204" s="26">
        <f>IF(ABS(J204-G204)&lt;0.000000001,0,(K204-G204)/(J204-G204))</f>
        <v>0</v>
      </c>
      <c r="M204" s="25" t="str">
        <f>IF(ABS(J204-G204)&lt;0.000000001,"Exact station",IF(AND(K204&gt;=G204-0.000001,K204&lt;=J204+0.000001),"Interpolated","Outside range"))</f>
        <v>Exact station</v>
      </c>
      <c r="N204" s="28">
        <f>'FixedP_Lower'!$AE$204+L204*('FixedP_Upper'!$AE$204-'FixedP_Lower'!$AE$204)</f>
        <v>889.8388344344357</v>
      </c>
      <c r="O204" s="28">
        <f>'FixedP_Lower'!$AF$204+L204*('FixedP_Upper'!$AF$204-'FixedP_Lower'!$AF$204)</f>
        <v>-474.6624403548482</v>
      </c>
      <c r="P204" s="7">
        <v>889.8388344344357</v>
      </c>
      <c r="Q204" s="7">
        <v>-474.6624403548482</v>
      </c>
      <c r="R204" s="16">
        <f>SQRT((N204-P204)^2+(O204-Q204)^2)</f>
        <v>0</v>
      </c>
    </row>
    <row r="205" spans="1:18" x14ac:dyDescent="0.25">
      <c r="A205" s="7">
        <v>198</v>
      </c>
      <c r="B205" s="7" t="s">
        <v>590</v>
      </c>
      <c r="C205" s="7">
        <v>4</v>
      </c>
      <c r="D205" s="19">
        <v>340</v>
      </c>
      <c r="E205" s="29" t="str">
        <f>'FixedP_Lower'!$G$205</f>
        <v>retained c/D (not the cap rule)</v>
      </c>
      <c r="F205" s="16">
        <f>'FixedP_Lower'!$H$205</f>
        <v>1.2</v>
      </c>
      <c r="G205" s="18">
        <f>'FixedP_Lower'!$AD$205</f>
        <v>17670.345615483235</v>
      </c>
      <c r="H205" s="29" t="str">
        <f>'FixedP_Upper'!$G$205</f>
        <v>retained c/D (not the cap rule)</v>
      </c>
      <c r="I205" s="16">
        <f>'FixedP_Upper'!$H$205</f>
        <v>1.2</v>
      </c>
      <c r="J205" s="18">
        <f>'FixedP_Upper'!$AD$205</f>
        <v>17670.345615483235</v>
      </c>
      <c r="K205" s="18">
        <f>Selected_P</f>
        <v>17670.345615483235</v>
      </c>
      <c r="L205" s="16">
        <f>IF(ABS(J205-G205)&lt;0.000000001,0,(K205-G205)/(J205-G205))</f>
        <v>0</v>
      </c>
      <c r="M205" s="29" t="str">
        <f>IF(ABS(J205-G205)&lt;0.000000001,"Exact station",IF(AND(K205&gt;=G205-0.000001,K205&lt;=J205+0.000001),"Interpolated","Outside range"))</f>
        <v>Exact station</v>
      </c>
      <c r="N205" s="30">
        <f>'FixedP_Lower'!$AE$205+L205*('FixedP_Upper'!$AE$205-'FixedP_Lower'!$AE$205)</f>
        <v>1186.4517792459142</v>
      </c>
      <c r="O205" s="30">
        <f>'FixedP_Lower'!$AF$205+L205*('FixedP_Upper'!$AF$205-'FixedP_Lower'!$AF$205)</f>
        <v>-632.8832538064642</v>
      </c>
      <c r="P205" s="7">
        <v>1186.4517792459142</v>
      </c>
      <c r="Q205" s="7">
        <v>-632.8832538064642</v>
      </c>
      <c r="R205" s="16">
        <f>SQRT((N205-P205)^2+(O205-Q205)^2)</f>
        <v>0</v>
      </c>
    </row>
    <row r="206" spans="1:18" x14ac:dyDescent="0.25">
      <c r="A206" s="23">
        <v>199</v>
      </c>
      <c r="B206" s="23" t="s">
        <v>592</v>
      </c>
      <c r="C206" s="23">
        <v>5</v>
      </c>
      <c r="D206" s="24">
        <v>340</v>
      </c>
      <c r="E206" s="25" t="str">
        <f>'FixedP_Lower'!$G$206</f>
        <v>retained c/D (not the cap rule)</v>
      </c>
      <c r="F206" s="26">
        <f>'FixedP_Lower'!$H$206</f>
        <v>1.1</v>
      </c>
      <c r="G206" s="27">
        <f>'FixedP_Lower'!$AD$206</f>
        <v>17670.345615483235</v>
      </c>
      <c r="H206" s="25" t="str">
        <f>'FixedP_Upper'!$G$206</f>
        <v>retained c/D (not the cap rule)</v>
      </c>
      <c r="I206" s="26">
        <f>'FixedP_Upper'!$H$206</f>
        <v>1.1</v>
      </c>
      <c r="J206" s="27">
        <f>'FixedP_Upper'!$AD$206</f>
        <v>17670.345615483235</v>
      </c>
      <c r="K206" s="27">
        <f>Selected_P</f>
        <v>17670.345615483235</v>
      </c>
      <c r="L206" s="26">
        <f>IF(ABS(J206-G206)&lt;0.000000001,0,(K206-G206)/(J206-G206))</f>
        <v>0</v>
      </c>
      <c r="M206" s="25" t="str">
        <f>IF(ABS(J206-G206)&lt;0.000000001,"Exact station",IF(AND(K206&gt;=G206-0.000001,K206&lt;=J206+0.000001),"Interpolated","Outside range"))</f>
        <v>Exact station</v>
      </c>
      <c r="N206" s="28">
        <f>'FixedP_Lower'!$AE$206+L206*('FixedP_Upper'!$AE$206-'FixedP_Lower'!$AE$206)</f>
        <v>1483.0647240573928</v>
      </c>
      <c r="O206" s="28">
        <f>'FixedP_Lower'!$AF$206+L206*('FixedP_Upper'!$AF$206-'FixedP_Lower'!$AF$206)</f>
        <v>-791.1040672580802</v>
      </c>
      <c r="P206" s="7">
        <v>1483.0647240573928</v>
      </c>
      <c r="Q206" s="7">
        <v>-791.1040672580802</v>
      </c>
      <c r="R206" s="16">
        <f>SQRT((N206-P206)^2+(O206-Q206)^2)</f>
        <v>0</v>
      </c>
    </row>
    <row r="207" spans="1:18" x14ac:dyDescent="0.25">
      <c r="A207" s="7">
        <v>200</v>
      </c>
      <c r="B207" s="7" t="s">
        <v>594</v>
      </c>
      <c r="C207" s="7">
        <v>6</v>
      </c>
      <c r="D207" s="19">
        <v>340</v>
      </c>
      <c r="E207" s="29" t="str">
        <f>'FixedP_Lower'!$G$207</f>
        <v>retained c/D (not the cap rule)</v>
      </c>
      <c r="F207" s="16">
        <f>'FixedP_Lower'!$H$207</f>
        <v>1</v>
      </c>
      <c r="G207" s="18">
        <f>'FixedP_Lower'!$AD$207</f>
        <v>17670.345615483235</v>
      </c>
      <c r="H207" s="29" t="str">
        <f>'FixedP_Upper'!$G$207</f>
        <v>retained c/D (not the cap rule)</v>
      </c>
      <c r="I207" s="16">
        <f>'FixedP_Upper'!$H$207</f>
        <v>1</v>
      </c>
      <c r="J207" s="18">
        <f>'FixedP_Upper'!$AD$207</f>
        <v>17670.345615483235</v>
      </c>
      <c r="K207" s="18">
        <f>Selected_P</f>
        <v>17670.345615483235</v>
      </c>
      <c r="L207" s="16">
        <f>IF(ABS(J207-G207)&lt;0.000000001,0,(K207-G207)/(J207-G207))</f>
        <v>0</v>
      </c>
      <c r="M207" s="29" t="str">
        <f>IF(ABS(J207-G207)&lt;0.000000001,"Exact station",IF(AND(K207&gt;=G207-0.000001,K207&lt;=J207+0.000001),"Interpolated","Outside range"))</f>
        <v>Exact station</v>
      </c>
      <c r="N207" s="30">
        <f>'FixedP_Lower'!$AE$207+L207*('FixedP_Upper'!$AE$207-'FixedP_Lower'!$AE$207)</f>
        <v>1779.6776688688715</v>
      </c>
      <c r="O207" s="30">
        <f>'FixedP_Lower'!$AF$207+L207*('FixedP_Upper'!$AF$207-'FixedP_Lower'!$AF$207)</f>
        <v>-949.3248807096963</v>
      </c>
      <c r="P207" s="7">
        <v>1779.6776688688715</v>
      </c>
      <c r="Q207" s="7">
        <v>-949.3248807096963</v>
      </c>
      <c r="R207" s="16">
        <f>SQRT((N207-P207)^2+(O207-Q207)^2)</f>
        <v>0</v>
      </c>
    </row>
    <row r="208" spans="1:18" x14ac:dyDescent="0.25">
      <c r="A208" s="23">
        <v>201</v>
      </c>
      <c r="B208" s="23" t="s">
        <v>596</v>
      </c>
      <c r="C208" s="23">
        <v>1</v>
      </c>
      <c r="D208" s="24">
        <v>350</v>
      </c>
      <c r="E208" s="25" t="str">
        <f>'FixedP_Lower'!$G$208</f>
        <v>retained c/D (not the cap rule)</v>
      </c>
      <c r="F208" s="26">
        <f>'FixedP_Lower'!$H$208</f>
        <v>1.4999999999999998</v>
      </c>
      <c r="G208" s="27">
        <f>'FixedP_Lower'!$AD$208</f>
        <v>17670.345615483235</v>
      </c>
      <c r="H208" s="25" t="str">
        <f>'FixedP_Upper'!$G$208</f>
        <v>retained c/D (not the cap rule)</v>
      </c>
      <c r="I208" s="26">
        <f>'FixedP_Upper'!$H$208</f>
        <v>1.4999999999999998</v>
      </c>
      <c r="J208" s="27">
        <f>'FixedP_Upper'!$AD$208</f>
        <v>17670.345615483235</v>
      </c>
      <c r="K208" s="27">
        <f>Selected_P</f>
        <v>17670.345615483235</v>
      </c>
      <c r="L208" s="26">
        <f>IF(ABS(J208-G208)&lt;0.000000001,0,(K208-G208)/(J208-G208))</f>
        <v>0</v>
      </c>
      <c r="M208" s="25" t="str">
        <f>IF(ABS(J208-G208)&lt;0.000000001,"Exact station",IF(AND(K208&gt;=G208-0.000001,K208&lt;=J208+0.000001),"Interpolated","Outside range"))</f>
        <v>Exact station</v>
      </c>
      <c r="N208" s="28">
        <f>'FixedP_Lower'!$AE$208+L208*('FixedP_Upper'!$AE$208-'FixedP_Lower'!$AE$208)</f>
        <v>1000.6088309732183</v>
      </c>
      <c r="O208" s="28">
        <f>'FixedP_Lower'!$AF$208+L208*('FixedP_Upper'!$AF$208-'FixedP_Lower'!$AF$208)</f>
        <v>-264.212902228244</v>
      </c>
      <c r="P208" s="7">
        <v>1000.6088309732183</v>
      </c>
      <c r="Q208" s="7">
        <v>-264.212902228244</v>
      </c>
      <c r="R208" s="16">
        <f>SQRT((N208-P208)^2+(O208-Q208)^2)</f>
        <v>0</v>
      </c>
    </row>
    <row r="209" spans="1:18" x14ac:dyDescent="0.25">
      <c r="A209" s="7">
        <v>202</v>
      </c>
      <c r="B209" s="7" t="s">
        <v>598</v>
      </c>
      <c r="C209" s="7">
        <v>2</v>
      </c>
      <c r="D209" s="19">
        <v>350</v>
      </c>
      <c r="E209" s="29" t="str">
        <f>'FixedP_Lower'!$G$209</f>
        <v>retained c/D (not the cap rule)</v>
      </c>
      <c r="F209" s="16">
        <f>'FixedP_Lower'!$H$209</f>
        <v>1.0999999999999999</v>
      </c>
      <c r="G209" s="18">
        <f>'FixedP_Lower'!$AD$209</f>
        <v>17670.345615483235</v>
      </c>
      <c r="H209" s="29" t="str">
        <f>'FixedP_Upper'!$G$209</f>
        <v>retained c/D (not the cap rule)</v>
      </c>
      <c r="I209" s="16">
        <f>'FixedP_Upper'!$H$209</f>
        <v>1.0999999999999999</v>
      </c>
      <c r="J209" s="18">
        <f>'FixedP_Upper'!$AD$209</f>
        <v>17670.345615483235</v>
      </c>
      <c r="K209" s="18">
        <f>Selected_P</f>
        <v>17670.345615483235</v>
      </c>
      <c r="L209" s="16">
        <f>IF(ABS(J209-G209)&lt;0.000000001,0,(K209-G209)/(J209-G209))</f>
        <v>0</v>
      </c>
      <c r="M209" s="29" t="str">
        <f>IF(ABS(J209-G209)&lt;0.000000001,"Exact station",IF(AND(K209&gt;=G209-0.000001,K209&lt;=J209+0.000001),"Interpolated","Outside range"))</f>
        <v>Exact station</v>
      </c>
      <c r="N209" s="30">
        <f>'FixedP_Lower'!$AE$209+L209*('FixedP_Upper'!$AE$209-'FixedP_Lower'!$AE$209)</f>
        <v>1667.681384955364</v>
      </c>
      <c r="O209" s="30">
        <f>'FixedP_Lower'!$AF$209+L209*('FixedP_Upper'!$AF$209-'FixedP_Lower'!$AF$209)</f>
        <v>-440.3548370470734</v>
      </c>
      <c r="P209" s="7">
        <v>1667.681384955364</v>
      </c>
      <c r="Q209" s="7">
        <v>-440.3548370470734</v>
      </c>
      <c r="R209" s="16">
        <f>SQRT((N209-P209)^2+(O209-Q209)^2)</f>
        <v>0</v>
      </c>
    </row>
    <row r="210" spans="1:18" x14ac:dyDescent="0.25">
      <c r="A210" s="23">
        <v>203</v>
      </c>
      <c r="B210" s="23" t="s">
        <v>600</v>
      </c>
      <c r="C210" s="23">
        <v>3</v>
      </c>
      <c r="D210" s="24">
        <v>350</v>
      </c>
      <c r="E210" s="25" t="str">
        <f>'FixedP_Lower'!$G$210</f>
        <v>retained c/D (not the cap rule)</v>
      </c>
      <c r="F210" s="26">
        <f>'FixedP_Lower'!$H$210</f>
        <v>2.9999999999999987</v>
      </c>
      <c r="G210" s="27">
        <f>'FixedP_Lower'!$AD$210</f>
        <v>17670.345615483235</v>
      </c>
      <c r="H210" s="25" t="str">
        <f>'FixedP_Upper'!$G$210</f>
        <v>retained c/D (not the cap rule)</v>
      </c>
      <c r="I210" s="26">
        <f>'FixedP_Upper'!$H$210</f>
        <v>2.9999999999999987</v>
      </c>
      <c r="J210" s="27">
        <f>'FixedP_Upper'!$AD$210</f>
        <v>17670.345615483235</v>
      </c>
      <c r="K210" s="27">
        <f>Selected_P</f>
        <v>17670.345615483235</v>
      </c>
      <c r="L210" s="26">
        <f>IF(ABS(J210-G210)&lt;0.000000001,0,(K210-G210)/(J210-G210))</f>
        <v>0</v>
      </c>
      <c r="M210" s="25" t="str">
        <f>IF(ABS(J210-G210)&lt;0.000000001,"Exact station",IF(AND(K210&gt;=G210-0.000001,K210&lt;=J210+0.000001),"Interpolated","Outside range"))</f>
        <v>Exact station</v>
      </c>
      <c r="N210" s="28">
        <f>'FixedP_Lower'!$AE$210+L210*('FixedP_Upper'!$AE$210-'FixedP_Lower'!$AE$210)</f>
        <v>333.5362769910728</v>
      </c>
      <c r="O210" s="28">
        <f>'FixedP_Lower'!$AF$210+L210*('FixedP_Upper'!$AF$210-'FixedP_Lower'!$AF$210)</f>
        <v>-88.07096740941466</v>
      </c>
      <c r="P210" s="7">
        <v>333.5362769910728</v>
      </c>
      <c r="Q210" s="7">
        <v>-88.07096740941466</v>
      </c>
      <c r="R210" s="16">
        <f>SQRT((N210-P210)^2+(O210-Q210)^2)</f>
        <v>0</v>
      </c>
    </row>
    <row r="211" spans="1:18" x14ac:dyDescent="0.25">
      <c r="A211" s="7">
        <v>204</v>
      </c>
      <c r="B211" s="7" t="s">
        <v>602</v>
      </c>
      <c r="C211" s="7">
        <v>4</v>
      </c>
      <c r="D211" s="19">
        <v>350</v>
      </c>
      <c r="E211" s="29" t="str">
        <f>'FixedP_Lower'!$G$211</f>
        <v>retained c/D (not the cap rule)</v>
      </c>
      <c r="F211" s="16">
        <f>'FixedP_Lower'!$H$211</f>
        <v>1.9999999999999991</v>
      </c>
      <c r="G211" s="18">
        <f>'FixedP_Lower'!$AD$211</f>
        <v>17670.345615483235</v>
      </c>
      <c r="H211" s="29" t="str">
        <f>'FixedP_Upper'!$G$211</f>
        <v>retained c/D (not the cap rule)</v>
      </c>
      <c r="I211" s="16">
        <f>'FixedP_Upper'!$H$211</f>
        <v>1.9999999999999991</v>
      </c>
      <c r="J211" s="18">
        <f>'FixedP_Upper'!$AD$211</f>
        <v>17670.345615483235</v>
      </c>
      <c r="K211" s="18">
        <f>Selected_P</f>
        <v>17670.345615483235</v>
      </c>
      <c r="L211" s="16">
        <f>IF(ABS(J211-G211)&lt;0.000000001,0,(K211-G211)/(J211-G211))</f>
        <v>0</v>
      </c>
      <c r="M211" s="29" t="str">
        <f>IF(ABS(J211-G211)&lt;0.000000001,"Exact station",IF(AND(K211&gt;=G211-0.000001,K211&lt;=J211+0.000001),"Interpolated","Outside range"))</f>
        <v>Exact station</v>
      </c>
      <c r="N211" s="30">
        <f>'FixedP_Lower'!$AE$211+L211*('FixedP_Upper'!$AE$211-'FixedP_Lower'!$AE$211)</f>
        <v>667.0725539821456</v>
      </c>
      <c r="O211" s="30">
        <f>'FixedP_Lower'!$AF$211+L211*('FixedP_Upper'!$AF$211-'FixedP_Lower'!$AF$211)</f>
        <v>-176.14193481882933</v>
      </c>
      <c r="P211" s="7">
        <v>667.0725539821456</v>
      </c>
      <c r="Q211" s="7">
        <v>-176.14193481882933</v>
      </c>
      <c r="R211" s="16">
        <f>SQRT((N211-P211)^2+(O211-Q211)^2)</f>
        <v>0</v>
      </c>
    </row>
    <row r="212" spans="1:18" x14ac:dyDescent="0.25">
      <c r="A212" s="23">
        <v>205</v>
      </c>
      <c r="B212" s="23" t="s">
        <v>604</v>
      </c>
      <c r="C212" s="23">
        <v>5</v>
      </c>
      <c r="D212" s="24">
        <v>350</v>
      </c>
      <c r="E212" s="25" t="str">
        <f>'FixedP_Lower'!$G$212</f>
        <v>retained c/D (not the cap rule)</v>
      </c>
      <c r="F212" s="26">
        <f>'FixedP_Lower'!$H$212</f>
        <v>1.2</v>
      </c>
      <c r="G212" s="27">
        <f>'FixedP_Lower'!$AD$212</f>
        <v>17670.345615483235</v>
      </c>
      <c r="H212" s="25" t="str">
        <f>'FixedP_Upper'!$G$212</f>
        <v>retained c/D (not the cap rule)</v>
      </c>
      <c r="I212" s="26">
        <f>'FixedP_Upper'!$H$212</f>
        <v>1.2</v>
      </c>
      <c r="J212" s="27">
        <f>'FixedP_Upper'!$AD$212</f>
        <v>17670.345615483235</v>
      </c>
      <c r="K212" s="27">
        <f>Selected_P</f>
        <v>17670.345615483235</v>
      </c>
      <c r="L212" s="26">
        <f>IF(ABS(J212-G212)&lt;0.000000001,0,(K212-G212)/(J212-G212))</f>
        <v>0</v>
      </c>
      <c r="M212" s="25" t="str">
        <f>IF(ABS(J212-G212)&lt;0.000000001,"Exact station",IF(AND(K212&gt;=G212-0.000001,K212&lt;=J212+0.000001),"Interpolated","Outside range"))</f>
        <v>Exact station</v>
      </c>
      <c r="N212" s="28">
        <f>'FixedP_Lower'!$AE$212+L212*('FixedP_Upper'!$AE$212-'FixedP_Lower'!$AE$212)</f>
        <v>1334.1451079642911</v>
      </c>
      <c r="O212" s="28">
        <f>'FixedP_Lower'!$AF$212+L212*('FixedP_Upper'!$AF$212-'FixedP_Lower'!$AF$212)</f>
        <v>-352.28386963765865</v>
      </c>
      <c r="P212" s="7">
        <v>1334.1451079642911</v>
      </c>
      <c r="Q212" s="7">
        <v>-352.28386963765865</v>
      </c>
      <c r="R212" s="16">
        <f>SQRT((N212-P212)^2+(O212-Q212)^2)</f>
        <v>0</v>
      </c>
    </row>
  </sheetData>
  <autoFilter ref="A7:O212"/>
  <mergeCells count="2">
    <mergeCell ref="A1:R1"/>
    <mergeCell ref="B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Geometry</vt:lpstr>
      <vt:lpstr>Materials</vt:lpstr>
      <vt:lpstr>Mesh</vt:lpstr>
      <vt:lpstr>FixedP_Lower</vt:lpstr>
      <vt:lpstr>FixedP_Upper</vt:lpstr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P-M Column Designer</dc:creator>
  <dc:title/>
  <dc:subject/>
  <dc:description/>
  <cp:keywords/>
  <cp:category/>
  <cp:lastModifiedBy>Unknown</cp:lastModifiedBy>
  <dcterms:created xsi:type="dcterms:W3CDTF">2026-08-10T07:40:57Z</dcterms:created>
  <dcterms:modified xsi:type="dcterms:W3CDTF">2026-08-10T07:40:57Z</dcterms:modified>
</cp:coreProperties>
</file>